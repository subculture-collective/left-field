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 Districts" sheetId="1" r:id="rId5"/>
    <sheet state="visible" name="119th House" sheetId="2" r:id="rId6"/>
    <sheet state="visible" name="119th Senate" sheetId="3" r:id="rId7"/>
    <sheet state="visible" name="Averages" sheetId="4" r:id="rId8"/>
    <sheet state="hidden" name="Letter grades" sheetId="5" r:id="rId9"/>
    <sheet state="hidden" name="118th House" sheetId="6" r:id="rId10"/>
    <sheet state="hidden" name="118th Senate" sheetId="7" r:id="rId11"/>
    <sheet state="hidden" name="Statements" sheetId="8" r:id="rId12"/>
    <sheet state="hidden" name="Dem Demos" sheetId="9" r:id="rId13"/>
    <sheet state="hidden" name="Experimenting" sheetId="10" r:id="rId14"/>
  </sheets>
  <definedNames>
    <definedName hidden="1" localSheetId="1" name="Z_A0E4FBE2_5FA4_474E_B525_83D310E39F5D_.wvu.FilterData">'119th House'!$A$4:$BP$216</definedName>
  </definedNames>
  <calcPr/>
  <customWorkbookViews>
    <customWorkbookView activeSheetId="0" maximized="1" windowHeight="0" windowWidth="0" guid="{A0E4FBE2-5FA4-474E-B525-83D310E39F5D}" name="Alphabetical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7">
      <text>
        <t xml:space="preserve">Withdrew sponsorship</t>
      </text>
    </comment>
    <comment authorId="0" ref="O41">
      <text>
        <t xml:space="preserve">Withdrew sponsorship</t>
      </text>
    </comment>
    <comment authorId="0" ref="O65">
      <text>
        <t xml:space="preserve">Withdrew sponsorship</t>
      </text>
    </comment>
  </commentList>
</comments>
</file>

<file path=xl/sharedStrings.xml><?xml version="1.0" encoding="utf-8"?>
<sst xmlns="http://schemas.openxmlformats.org/spreadsheetml/2006/main" count="57505" uniqueCount="2861">
  <si>
    <t>District</t>
  </si>
  <si>
    <t>State</t>
  </si>
  <si>
    <t>Code</t>
  </si>
  <si>
    <t>Incumbent Party</t>
  </si>
  <si>
    <t>2022 Winners</t>
  </si>
  <si>
    <t>2020 President</t>
  </si>
  <si>
    <r>
      <rPr>
        <rFont val="Public Sans"/>
        <b/>
        <sz val="10.0"/>
      </rPr>
      <t xml:space="preserve">Grade </t>
    </r>
    <r>
      <rPr>
        <rFont val="Public Sans"/>
        <b val="0"/>
        <sz val="10.0"/>
      </rPr>
      <t xml:space="preserve">(based on </t>
    </r>
    <r>
      <rPr>
        <rFont val="Public Sans"/>
        <b val="0"/>
        <color rgb="FF1155CC"/>
        <sz val="10.0"/>
        <u/>
      </rPr>
      <t>USCPR metric</t>
    </r>
    <r>
      <rPr>
        <rFont val="Public Sans"/>
        <b val="0"/>
        <sz val="10.0"/>
      </rPr>
      <t>)</t>
    </r>
  </si>
  <si>
    <t>Average %</t>
  </si>
  <si>
    <r>
      <rPr>
        <rFont val="Public Sans"/>
        <b/>
        <sz val="10.0"/>
      </rPr>
      <t xml:space="preserve">Grade </t>
    </r>
    <r>
      <rPr>
        <rFont val="Public Sans"/>
        <b val="0"/>
        <sz val="10.0"/>
      </rPr>
      <t xml:space="preserve">(based on </t>
    </r>
    <r>
      <rPr>
        <rFont val="Public Sans"/>
        <b val="0"/>
        <color rgb="FF1155CC"/>
        <sz val="10.0"/>
        <u/>
      </rPr>
      <t>USCPR metric</t>
    </r>
    <r>
      <rPr>
        <rFont val="Public Sans"/>
        <b val="0"/>
        <sz val="10.0"/>
      </rPr>
      <t>)</t>
    </r>
  </si>
  <si>
    <t>2016 President</t>
  </si>
  <si>
    <t>2020 Census Voting Age Population by Race</t>
  </si>
  <si>
    <t>2020 ACS Adult Educational Attainment</t>
  </si>
  <si>
    <t>Non-College White Share</t>
  </si>
  <si>
    <t>Endorsement</t>
  </si>
  <si>
    <t>Party</t>
  </si>
  <si>
    <t>Candidate Status</t>
  </si>
  <si>
    <t>Candidate Name</t>
  </si>
  <si>
    <t>First Elected</t>
  </si>
  <si>
    <t>Race / Ethnicity</t>
  </si>
  <si>
    <t>LGBTQ</t>
  </si>
  <si>
    <t>VT</t>
  </si>
  <si>
    <t>Name</t>
  </si>
  <si>
    <t>Outcome</t>
  </si>
  <si>
    <t>Biden</t>
  </si>
  <si>
    <t>Trump</t>
  </si>
  <si>
    <t>Clinton</t>
  </si>
  <si>
    <t>White (Non-Hispanic, Single Race)</t>
  </si>
  <si>
    <t>Hispanic/Latino</t>
  </si>
  <si>
    <t>Black</t>
  </si>
  <si>
    <t>Asian</t>
  </si>
  <si>
    <t>Native</t>
  </si>
  <si>
    <t>Pacific</t>
  </si>
  <si>
    <t>Bachelor's Degree or Higher</t>
  </si>
  <si>
    <t>White BA (Bachelor's Degree or Higher Among Whites Only)</t>
  </si>
  <si>
    <t>First</t>
  </si>
  <si>
    <t>Last</t>
  </si>
  <si>
    <t>Nationwide</t>
  </si>
  <si>
    <t>USA</t>
  </si>
  <si>
    <t>222D - 213R</t>
  </si>
  <si>
    <t>Rank</t>
  </si>
  <si>
    <t>First Name</t>
  </si>
  <si>
    <t>Alabama's 7th</t>
  </si>
  <si>
    <t>AL-07</t>
  </si>
  <si>
    <t>Democratic</t>
  </si>
  <si>
    <t>Terri Sewell</t>
  </si>
  <si>
    <t>Hold</t>
  </si>
  <si>
    <t>Last Name</t>
  </si>
  <si>
    <t>CD</t>
  </si>
  <si>
    <t>Dem</t>
  </si>
  <si>
    <t>Incumbent</t>
  </si>
  <si>
    <r>
      <rPr>
        <rFont val="Public Sans"/>
        <b/>
        <i/>
        <color theme="1"/>
        <sz val="10.0"/>
      </rPr>
      <t>Sponsor Score</t>
    </r>
    <r>
      <rPr>
        <rFont val="Public Sans"/>
        <b val="0"/>
        <i/>
        <color theme="1"/>
        <sz val="10.0"/>
      </rPr>
      <t xml:space="preserve">
</t>
    </r>
    <r>
      <rPr>
        <rFont val="Public Sans"/>
        <b/>
        <i/>
        <color theme="1"/>
        <sz val="10.0"/>
      </rPr>
      <t xml:space="preserve"> 
</t>
    </r>
    <r>
      <rPr>
        <rFont val="Public Sans"/>
        <b val="0"/>
        <i/>
        <color theme="1"/>
        <sz val="10.0"/>
      </rPr>
      <t>(1/3 of Total Palestine Score)</t>
    </r>
  </si>
  <si>
    <t>Terri</t>
  </si>
  <si>
    <t>Sewell</t>
  </si>
  <si>
    <t>No</t>
  </si>
  <si>
    <t>DSA</t>
  </si>
  <si>
    <t>Arizona's 3rd</t>
  </si>
  <si>
    <r>
      <rPr>
        <rFont val="Public Sans"/>
        <b/>
        <i/>
        <color theme="1"/>
        <sz val="10.0"/>
      </rPr>
      <t>Total Voting Score</t>
    </r>
    <r>
      <rPr>
        <rFont val="Public Sans"/>
        <b val="0"/>
        <i/>
        <color theme="1"/>
        <sz val="10.0"/>
      </rPr>
      <t xml:space="preserve">
</t>
    </r>
    <r>
      <rPr>
        <rFont val="Public Sans"/>
        <b/>
        <i/>
        <color theme="1"/>
        <sz val="10.0"/>
      </rPr>
      <t xml:space="preserve"> 
</t>
    </r>
    <r>
      <rPr>
        <rFont val="Public Sans"/>
        <b val="0"/>
        <i/>
        <color theme="1"/>
        <sz val="10.0"/>
      </rPr>
      <t>(2/3 of Total Palestine Score)</t>
    </r>
  </si>
  <si>
    <t>AZ-03</t>
  </si>
  <si>
    <t>Ruben Gallego</t>
  </si>
  <si>
    <r>
      <rPr>
        <rFont val="Public Sans"/>
        <b/>
        <color theme="1"/>
        <sz val="10.0"/>
      </rPr>
      <t>Total Palestine Score</t>
    </r>
    <r>
      <rPr>
        <rFont val="Public Sans"/>
        <b val="0"/>
        <color theme="1"/>
        <sz val="10.0"/>
      </rPr>
      <t xml:space="preserve">
</t>
    </r>
    <r>
      <rPr>
        <rFont val="Public Sans"/>
        <b/>
        <color theme="1"/>
        <sz val="10.0"/>
      </rPr>
      <t xml:space="preserve"> 
</t>
    </r>
    <r>
      <rPr>
        <rFont val="Public Sans"/>
        <b val="0"/>
        <i/>
        <color theme="1"/>
        <sz val="10.0"/>
      </rPr>
      <t>("Present" vote = half of "Yes")</t>
    </r>
  </si>
  <si>
    <r>
      <rPr>
        <rFont val="Public Sans"/>
        <b/>
        <i/>
        <color theme="1"/>
        <sz val="10.0"/>
      </rPr>
      <t>Sponsor Score</t>
    </r>
    <r>
      <rPr>
        <rFont val="Public Sans"/>
        <b val="0"/>
        <i/>
        <color theme="1"/>
        <sz val="10.0"/>
      </rPr>
      <t xml:space="preserve">
</t>
    </r>
    <r>
      <rPr>
        <rFont val="Public Sans"/>
        <b/>
        <i/>
        <color theme="1"/>
        <sz val="10.0"/>
      </rPr>
      <t xml:space="preserve"> 
</t>
    </r>
    <r>
      <rPr>
        <rFont val="Public Sans"/>
        <b val="0"/>
        <i/>
        <color theme="1"/>
        <sz val="10.0"/>
      </rPr>
      <t>(1/3 of Total Palestine Score)</t>
    </r>
  </si>
  <si>
    <t>2026 endorsements</t>
  </si>
  <si>
    <t>Calling for humanitarian aid
for Gaza</t>
  </si>
  <si>
    <r>
      <rPr>
        <rFont val="Public Sans"/>
        <b/>
        <i/>
        <color theme="1"/>
        <sz val="10.0"/>
      </rPr>
      <t>Total Voting Score</t>
    </r>
    <r>
      <rPr>
        <rFont val="Public Sans"/>
        <b val="0"/>
        <i/>
        <color theme="1"/>
        <sz val="10.0"/>
      </rPr>
      <t xml:space="preserve">
</t>
    </r>
    <r>
      <rPr>
        <rFont val="Public Sans"/>
        <b/>
        <i/>
        <color theme="1"/>
        <sz val="10.0"/>
      </rPr>
      <t xml:space="preserve"> 
</t>
    </r>
    <r>
      <rPr>
        <rFont val="Public Sans"/>
        <b val="0"/>
        <i/>
        <color theme="1"/>
        <sz val="10.0"/>
      </rPr>
      <t>(2/3 of Total Palestine Score)</t>
    </r>
  </si>
  <si>
    <t>Ruben</t>
  </si>
  <si>
    <t>Gallego</t>
  </si>
  <si>
    <t>Hispanic - Mexican/Colombian</t>
  </si>
  <si>
    <r>
      <rPr>
        <rFont val="Public Sans"/>
        <b/>
        <color theme="1"/>
        <sz val="10.0"/>
      </rPr>
      <t>Total Palestine Score</t>
    </r>
    <r>
      <rPr>
        <rFont val="Public Sans"/>
        <b val="0"/>
        <color theme="1"/>
        <sz val="10.0"/>
      </rPr>
      <t xml:space="preserve">
</t>
    </r>
    <r>
      <rPr>
        <rFont val="Public Sans"/>
        <b/>
        <color theme="1"/>
        <sz val="10.0"/>
      </rPr>
      <t xml:space="preserve"> 
</t>
    </r>
    <r>
      <rPr>
        <rFont val="Public Sans"/>
        <b val="0"/>
        <i/>
        <color theme="1"/>
        <sz val="10.0"/>
      </rPr>
      <t>("Present" vote = half of "Yes")</t>
    </r>
  </si>
  <si>
    <t>Arizona's 4th</t>
  </si>
  <si>
    <t>AZ-04</t>
  </si>
  <si>
    <t>Greg Stanton</t>
  </si>
  <si>
    <t xml:space="preserve">Opposing using U.S. troops and funds to take over Gaza </t>
  </si>
  <si>
    <t>DE</t>
  </si>
  <si>
    <t>Greg</t>
  </si>
  <si>
    <t>Stanton</t>
  </si>
  <si>
    <t>White</t>
  </si>
  <si>
    <t>Arizona's 7th</t>
  </si>
  <si>
    <t>UNRWA Funding Emergency Restoration Act</t>
  </si>
  <si>
    <t>AZ-07</t>
  </si>
  <si>
    <t>Raúl Grijalva</t>
  </si>
  <si>
    <t>PAL PAC</t>
  </si>
  <si>
    <t>Raúl</t>
  </si>
  <si>
    <t>Grijalva</t>
  </si>
  <si>
    <t>Hispanic - Mexican</t>
  </si>
  <si>
    <t>California's 2nd</t>
  </si>
  <si>
    <t>CA-02</t>
  </si>
  <si>
    <t>Jared Huffman</t>
  </si>
  <si>
    <t>WI</t>
  </si>
  <si>
    <t>Jared</t>
  </si>
  <si>
    <t>Huffman</t>
  </si>
  <si>
    <t>California's 4th</t>
  </si>
  <si>
    <t>CA-04</t>
  </si>
  <si>
    <t>Mike Thompson</t>
  </si>
  <si>
    <t>Block the Bombs Act</t>
  </si>
  <si>
    <t>JDems</t>
  </si>
  <si>
    <t>Mike</t>
  </si>
  <si>
    <t>Thompson</t>
  </si>
  <si>
    <t>California's 6th</t>
  </si>
  <si>
    <t>CA-06</t>
  </si>
  <si>
    <t>MN</t>
  </si>
  <si>
    <t>Ami Bera</t>
  </si>
  <si>
    <t>United States-Israel Defense Partnership Act</t>
  </si>
  <si>
    <t>Recognizing the genocide of the Palestinian people in Gaza</t>
  </si>
  <si>
    <t>Ami</t>
  </si>
  <si>
    <t>Bera</t>
  </si>
  <si>
    <t>Asian - Indian</t>
  </si>
  <si>
    <t>California's 7th</t>
  </si>
  <si>
    <t>CA-07</t>
  </si>
  <si>
    <t>J Street</t>
  </si>
  <si>
    <t>Doris Matsui</t>
  </si>
  <si>
    <t>Doris</t>
  </si>
  <si>
    <t>Matsui</t>
  </si>
  <si>
    <t>2005 Special</t>
  </si>
  <si>
    <t>Asian - Japanese</t>
  </si>
  <si>
    <t>California's 8th</t>
  </si>
  <si>
    <t>CA-08</t>
  </si>
  <si>
    <t>John Garamendi</t>
  </si>
  <si>
    <t>AZ</t>
  </si>
  <si>
    <t>Recognizing the Nakba and Palestinian Refugees’ Rights</t>
  </si>
  <si>
    <t>Block $151.8 million sale of 1,000 lb bombs</t>
  </si>
  <si>
    <t>John</t>
  </si>
  <si>
    <t>Garamendi</t>
  </si>
  <si>
    <t>AIPAC</t>
  </si>
  <si>
    <t>2009 Special</t>
  </si>
  <si>
    <t>California's 10th</t>
  </si>
  <si>
    <t>CA-10</t>
  </si>
  <si>
    <t>Mark DeSaulnier</t>
  </si>
  <si>
    <t>Mark</t>
  </si>
  <si>
    <t>OR</t>
  </si>
  <si>
    <t>DeSaulnier</t>
  </si>
  <si>
    <t xml:space="preserve">Block $295 million sale of bulldozers to Israel </t>
  </si>
  <si>
    <t>California's 11th</t>
  </si>
  <si>
    <t>CA-11</t>
  </si>
  <si>
    <t>Nancy Pelosi</t>
  </si>
  <si>
    <t>2027 NDAA that links the US and Israeli military</t>
  </si>
  <si>
    <t>DMFI</t>
  </si>
  <si>
    <t>Nancy</t>
  </si>
  <si>
    <t>Pelosi</t>
  </si>
  <si>
    <t>1987 Special</t>
  </si>
  <si>
    <t>California's 12th</t>
  </si>
  <si>
    <t>CA-12</t>
  </si>
  <si>
    <t>Barbara Lee</t>
  </si>
  <si>
    <t xml:space="preserve">Block $675.7 million sale of bombs to Israel </t>
  </si>
  <si>
    <t>Barbara</t>
  </si>
  <si>
    <t>Lee</t>
  </si>
  <si>
    <t>1998 Special</t>
  </si>
  <si>
    <t>MS</t>
  </si>
  <si>
    <t>State Dept appropriations: $3.3B in military aid for Israel; blocks aid to Palestinian Authority or to support a Palestinian state</t>
  </si>
  <si>
    <t>California's 14th</t>
  </si>
  <si>
    <t>CA-14</t>
  </si>
  <si>
    <t>Eric Swalwell</t>
  </si>
  <si>
    <t>Eric</t>
  </si>
  <si>
    <t>Block sale of tens of thousands of fully automatic assault rifles to Israel</t>
  </si>
  <si>
    <t>Swalwell</t>
  </si>
  <si>
    <t>IL</t>
  </si>
  <si>
    <t>California's 15th</t>
  </si>
  <si>
    <r>
      <rPr>
        <rFont val="Public Sans"/>
        <b/>
        <color rgb="FF1155CC"/>
        <sz val="10.0"/>
        <u/>
      </rPr>
      <t>Eliminate $3.3 billion in military aid to Israel</t>
    </r>
    <r>
      <rPr>
        <rFont val="Public Sans"/>
        <b/>
        <color rgb="FF1F1F1F"/>
        <sz val="10.0"/>
      </rPr>
      <t xml:space="preserve"> </t>
    </r>
    <r>
      <rPr>
        <rFont val="Public Sans"/>
        <b val="0"/>
        <color rgb="FF1F1F1F"/>
        <sz val="10.0"/>
      </rPr>
      <t>(Massie amendment)</t>
    </r>
  </si>
  <si>
    <t>CA-15</t>
  </si>
  <si>
    <t>Kevin Mullin</t>
  </si>
  <si>
    <t>Open Seat</t>
  </si>
  <si>
    <t>Kevin</t>
  </si>
  <si>
    <t>IN</t>
  </si>
  <si>
    <t>Mullin</t>
  </si>
  <si>
    <t>California's 16th</t>
  </si>
  <si>
    <t>CA-16</t>
  </si>
  <si>
    <t>Anna Eshoo</t>
  </si>
  <si>
    <t>Block $6.75 billion in military aid to Israel</t>
  </si>
  <si>
    <t>Final appropriations bill with $3.3B for Israel, $500M for Iron Dome, total ban on UNRWA ICC/ICJ funding, etc.</t>
  </si>
  <si>
    <t>Anna</t>
  </si>
  <si>
    <t>Eshoo</t>
  </si>
  <si>
    <t>RI</t>
  </si>
  <si>
    <t>White - Armenian</t>
  </si>
  <si>
    <t>California's 17th</t>
  </si>
  <si>
    <t>CA-17</t>
  </si>
  <si>
    <t>Ro Khanna</t>
  </si>
  <si>
    <t>Block $2 billion in military aid
to Israel</t>
  </si>
  <si>
    <t>Ro</t>
  </si>
  <si>
    <t>PA</t>
  </si>
  <si>
    <t>Khanna</t>
  </si>
  <si>
    <t>California's 18th</t>
  </si>
  <si>
    <t>Appropriations bill increasing funding for military; $3.3B for Israel; defunds USAID and UNRWA</t>
  </si>
  <si>
    <t>CA-18</t>
  </si>
  <si>
    <t>Zoe Lofgren</t>
  </si>
  <si>
    <t>Zoe</t>
  </si>
  <si>
    <t>Lofgren</t>
  </si>
  <si>
    <t>NM</t>
  </si>
  <si>
    <t>California's 19th</t>
  </si>
  <si>
    <t>CA-19</t>
  </si>
  <si>
    <t>Jimmy Panetta</t>
  </si>
  <si>
    <t>Block sale of bomb guidance kits to Israel</t>
  </si>
  <si>
    <r>
      <rPr>
        <rFont val="Public Sans"/>
        <b/>
        <color rgb="FF1155CC"/>
        <sz val="10.0"/>
        <u/>
      </rPr>
      <t>2026 NDAA</t>
    </r>
    <r>
      <rPr>
        <rFont val="Public Sans"/>
        <b/>
        <color rgb="FF000000"/>
        <sz val="10.0"/>
      </rPr>
      <t xml:space="preserve"> </t>
    </r>
    <r>
      <rPr>
        <rFont val="Public Sans"/>
        <b val="0"/>
        <color rgb="FF000000"/>
        <sz val="10.0"/>
      </rPr>
      <t>with $500 million for U.S.-Israel missile defense cooperation (conference)</t>
    </r>
  </si>
  <si>
    <t>Jimmy</t>
  </si>
  <si>
    <t>Panetta</t>
  </si>
  <si>
    <t>MA</t>
  </si>
  <si>
    <t>California's 24th</t>
  </si>
  <si>
    <t>CA-24</t>
  </si>
  <si>
    <t>Salud Carbajal</t>
  </si>
  <si>
    <t>Block sale of mortar rounds to Israel</t>
  </si>
  <si>
    <r>
      <rPr>
        <rFont val="Public Sans"/>
        <b/>
        <color rgb="FF000000"/>
        <sz val="10.0"/>
      </rPr>
      <t xml:space="preserve">[HFAC AMENDMENT] </t>
    </r>
    <r>
      <rPr>
        <rFont val="Public Sans"/>
        <b val="0"/>
        <color rgb="FF1155CC"/>
        <sz val="10.0"/>
        <u/>
      </rPr>
      <t>Condition aid to Israel on cooperating with investigations into deaths of U.S. citizens</t>
    </r>
  </si>
  <si>
    <t>KY</t>
  </si>
  <si>
    <t>Salud</t>
  </si>
  <si>
    <t>Carbajal</t>
  </si>
  <si>
    <t>California's 25th</t>
  </si>
  <si>
    <t>CA-25</t>
  </si>
  <si>
    <t>Raul Ruiz</t>
  </si>
  <si>
    <r>
      <rPr>
        <rFont val="Public Sans"/>
        <b/>
        <color rgb="FF000000"/>
        <sz val="10.0"/>
      </rPr>
      <t xml:space="preserve">[HFAC AMENDMENT] </t>
    </r>
    <r>
      <rPr>
        <rFont val="Public Sans"/>
        <b val="0"/>
        <color rgb="FF1155CC"/>
        <sz val="10.0"/>
        <u/>
      </rPr>
      <t>Condition aid to Israel on ending war crimes and following international law</t>
    </r>
  </si>
  <si>
    <t>TX</t>
  </si>
  <si>
    <t>Raul</t>
  </si>
  <si>
    <t>Ruiz</t>
  </si>
  <si>
    <t>Block sale of tank rounds to Israel</t>
  </si>
  <si>
    <t>California's 26th</t>
  </si>
  <si>
    <t>Cut $500M for Israeli missile defense programs</t>
  </si>
  <si>
    <t>CA-26</t>
  </si>
  <si>
    <t>Julia Brownley</t>
  </si>
  <si>
    <t>HI</t>
  </si>
  <si>
    <t>Julia</t>
  </si>
  <si>
    <t>Brownley</t>
  </si>
  <si>
    <t>$95 billion in aid to Israel, Ukraine, Taiwan + TikTok ban</t>
  </si>
  <si>
    <t>California's 28th</t>
  </si>
  <si>
    <t>CA-28</t>
  </si>
  <si>
    <t>Judy Chu</t>
  </si>
  <si>
    <t>LA</t>
  </si>
  <si>
    <t>Resolution condemning the Boulder attack that conflates antisemitic violence and anti-Zionism</t>
  </si>
  <si>
    <t>Judy</t>
  </si>
  <si>
    <t>Chu</t>
  </si>
  <si>
    <t>Asian - Chinese</t>
  </si>
  <si>
    <t>California's 29th</t>
  </si>
  <si>
    <t>CA-29</t>
  </si>
  <si>
    <t>Tony Cárdenas</t>
  </si>
  <si>
    <t>VA</t>
  </si>
  <si>
    <t>Cloture on $95 billion in aid to Israel, Ukraine, Taiwan + TikTok ban</t>
  </si>
  <si>
    <t>Sanction the ICC for Netanyahu warrant</t>
  </si>
  <si>
    <t>Tony</t>
  </si>
  <si>
    <t>Cárdenas</t>
  </si>
  <si>
    <t>TN</t>
  </si>
  <si>
    <t>California's 30th</t>
  </si>
  <si>
    <t>CA-30</t>
  </si>
  <si>
    <t>Adam Schiff</t>
  </si>
  <si>
    <t>CA</t>
  </si>
  <si>
    <t xml:space="preserve">2024 NDAA (conference, with Israel funding, anti-Gaza provisions) </t>
  </si>
  <si>
    <t>Adam</t>
  </si>
  <si>
    <t>Schiff</t>
  </si>
  <si>
    <t>California's 31st</t>
  </si>
  <si>
    <t>MI</t>
  </si>
  <si>
    <t>CA-31</t>
  </si>
  <si>
    <t>Spending bill that cuts UNRWA funding</t>
  </si>
  <si>
    <t>Grace Napolitano</t>
  </si>
  <si>
    <t>WA</t>
  </si>
  <si>
    <t>Grace</t>
  </si>
  <si>
    <t>Napolitano</t>
  </si>
  <si>
    <t>Allow Trump administration to revoke non-profit tax status from pro-Palestine orgs (revote)</t>
  </si>
  <si>
    <t>CT</t>
  </si>
  <si>
    <t>California's 32nd</t>
  </si>
  <si>
    <t>CA-32</t>
  </si>
  <si>
    <t>Brad Sherman</t>
  </si>
  <si>
    <t>Final passage of $95B Israel, Ukraine, Taiwan funding</t>
  </si>
  <si>
    <t>NC</t>
  </si>
  <si>
    <t>Antisemitism resolution mentioning IHRA definition</t>
  </si>
  <si>
    <t>Brad</t>
  </si>
  <si>
    <t>Sherman</t>
  </si>
  <si>
    <t>KS</t>
  </si>
  <si>
    <t>California's 33rd</t>
  </si>
  <si>
    <t>CA-33</t>
  </si>
  <si>
    <t>Pete Aguilar</t>
  </si>
  <si>
    <t>Final cloture on $95B Israel, Ukraine, Taiwan funding, as amended with substitute</t>
  </si>
  <si>
    <t>NJ</t>
  </si>
  <si>
    <t>Pete</t>
  </si>
  <si>
    <t xml:space="preserve">Allow Trump administration to revoke non-profit tax status from pro-Palestine orgs </t>
  </si>
  <si>
    <t>Aguilar</t>
  </si>
  <si>
    <t>ME</t>
  </si>
  <si>
    <t>California's 35th</t>
  </si>
  <si>
    <t>CA-35</t>
  </si>
  <si>
    <t>Norma Torres</t>
  </si>
  <si>
    <t>Cloture on Senate Israel, Ukraine,
border deal</t>
  </si>
  <si>
    <t>CO</t>
  </si>
  <si>
    <t>Norma</t>
  </si>
  <si>
    <t>Torres</t>
  </si>
  <si>
    <t>Hispanic - Guatemalan</t>
  </si>
  <si>
    <t>NY</t>
  </si>
  <si>
    <t>Anti-BDS product labeling legislation that rejects the State of Palestine's existence</t>
  </si>
  <si>
    <t>California's 36th</t>
  </si>
  <si>
    <t>CA-36</t>
  </si>
  <si>
    <t>Ted Lieu</t>
  </si>
  <si>
    <t>Table bill requiring State Dept report on human rights abuses in Gaza</t>
  </si>
  <si>
    <t>GA</t>
  </si>
  <si>
    <t>Ted</t>
  </si>
  <si>
    <t>Lieu</t>
  </si>
  <si>
    <t>Asian - Taiwanese</t>
  </si>
  <si>
    <t>California's 38th</t>
  </si>
  <si>
    <t>MO</t>
  </si>
  <si>
    <t>CA-38</t>
  </si>
  <si>
    <t>Ban State Department from citing Palestinian death tolls from the Gaza Health Ministry</t>
  </si>
  <si>
    <t>Linda Sánchez</t>
  </si>
  <si>
    <t>2024 NDAA (Conference, with FISA extension, $500 million in FY 2024 for U.S.-Israel missile defense cooperation.)</t>
  </si>
  <si>
    <t>NH</t>
  </si>
  <si>
    <t>Linda</t>
  </si>
  <si>
    <t>Sánchez</t>
  </si>
  <si>
    <t>California's 39th</t>
  </si>
  <si>
    <t>CA-39</t>
  </si>
  <si>
    <t>MD</t>
  </si>
  <si>
    <t>Mark Takano</t>
  </si>
  <si>
    <r>
      <rPr>
        <rFont val="Public Sans"/>
        <b/>
        <color rgb="FF1155CC"/>
        <sz val="10.0"/>
        <u/>
      </rPr>
      <t>2023 NDAA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with funding for Israel (conference)</t>
    </r>
  </si>
  <si>
    <t>SC</t>
  </si>
  <si>
    <t>Takano</t>
  </si>
  <si>
    <t>Gay</t>
  </si>
  <si>
    <t>California's 42nd</t>
  </si>
  <si>
    <t>CA-42</t>
  </si>
  <si>
    <t>AL</t>
  </si>
  <si>
    <t>Robert Garcia</t>
  </si>
  <si>
    <t>Keep embassy 
in Jerusalem</t>
  </si>
  <si>
    <t>Ban any withholding or reversal of weapons to Israel</t>
  </si>
  <si>
    <t>OH</t>
  </si>
  <si>
    <t>Robert</t>
  </si>
  <si>
    <t>Garcia</t>
  </si>
  <si>
    <t>Hispanic - Peruvian</t>
  </si>
  <si>
    <t>California's 43rd</t>
  </si>
  <si>
    <t>CA-43</t>
  </si>
  <si>
    <t>Maxine Waters</t>
  </si>
  <si>
    <t>FL</t>
  </si>
  <si>
    <t>Weapons to Israel + "Combating BDS Act of 2019"</t>
  </si>
  <si>
    <t>Maxine</t>
  </si>
  <si>
    <t>Waters</t>
  </si>
  <si>
    <t>NV</t>
  </si>
  <si>
    <t>Codify IHRA definition of antisemitism ("anti-zionism is antisemitism")</t>
  </si>
  <si>
    <t>California's 44th</t>
  </si>
  <si>
    <t>CA-44</t>
  </si>
  <si>
    <t>Nanette Barragán</t>
  </si>
  <si>
    <r>
      <rPr>
        <rFont val="Arial"/>
        <b/>
        <i/>
        <color theme="1"/>
        <sz val="10.0"/>
      </rPr>
      <t>AIPAC contributions</t>
    </r>
    <r>
      <rPr>
        <rFont val="Arial"/>
        <b/>
        <i/>
        <color theme="1"/>
        <sz val="10.0"/>
      </rPr>
      <t xml:space="preserve"> (direct + bundled from other donors)</t>
    </r>
  </si>
  <si>
    <t>Nanette</t>
  </si>
  <si>
    <t>Barragán</t>
  </si>
  <si>
    <t>California's 46th</t>
  </si>
  <si>
    <t>CA-46</t>
  </si>
  <si>
    <t>Assumed Office</t>
  </si>
  <si>
    <t>Lou Correa</t>
  </si>
  <si>
    <t>$14 billion in weapons to Israel</t>
  </si>
  <si>
    <t>Biden '20
Margin</t>
  </si>
  <si>
    <t>Clinton '16 Margin</t>
  </si>
  <si>
    <t>Biden Vote %</t>
  </si>
  <si>
    <t>Trump
Vote %</t>
  </si>
  <si>
    <t>Lou</t>
  </si>
  <si>
    <t>Clinton
Vote %</t>
  </si>
  <si>
    <t>Correa</t>
  </si>
  <si>
    <t>Term Up</t>
  </si>
  <si>
    <t>California's 50th</t>
  </si>
  <si>
    <t>CA-50</t>
  </si>
  <si>
    <t>Scott Peters</t>
  </si>
  <si>
    <t>Rules package for Israel/Ukraine/Taiwain aid + Russian/Iran sanctions + TikTok ban</t>
  </si>
  <si>
    <t>Bill</t>
  </si>
  <si>
    <t>Scott</t>
  </si>
  <si>
    <t>Peters</t>
  </si>
  <si>
    <t>Resolution</t>
  </si>
  <si>
    <t>California's 51st</t>
  </si>
  <si>
    <t>CA-51</t>
  </si>
  <si>
    <t>Sara Jacobs</t>
  </si>
  <si>
    <t>Amendment</t>
  </si>
  <si>
    <t>Resolution standing with Israel against Iran + promising more military aid</t>
  </si>
  <si>
    <t>Sara</t>
  </si>
  <si>
    <t>Jacobs</t>
  </si>
  <si>
    <t>California's 52nd</t>
  </si>
  <si>
    <t>CA-52</t>
  </si>
  <si>
    <t>Juan Vargas</t>
  </si>
  <si>
    <t>Condemn "from the river to the sea" as antisemitic</t>
  </si>
  <si>
    <t>NDAA</t>
  </si>
  <si>
    <t>Juan</t>
  </si>
  <si>
    <t>Vargas</t>
  </si>
  <si>
    <t xml:space="preserve">Expanded sanctions on alleged Palestinian use of "human shields" </t>
  </si>
  <si>
    <t>Colorado's 1st</t>
  </si>
  <si>
    <t>CO-01</t>
  </si>
  <si>
    <t>Diana DeGette</t>
  </si>
  <si>
    <t>Allow Secretary of Treasury to unilaterally designate and terminate tax-exempt status of "terrorist supporting organizations" (targeting pro-Palestine groups)</t>
  </si>
  <si>
    <t>2025-2027</t>
  </si>
  <si>
    <t>Diana</t>
  </si>
  <si>
    <t>DeGette</t>
  </si>
  <si>
    <t>Colorado's 2nd</t>
  </si>
  <si>
    <t>CO-02</t>
  </si>
  <si>
    <t>Joe Neguse</t>
  </si>
  <si>
    <t>One-sided resolution only condemning Hamas for alleged sexual violence</t>
  </si>
  <si>
    <t>Joe</t>
  </si>
  <si>
    <t>Neguse</t>
  </si>
  <si>
    <t>Black - Eritrean</t>
  </si>
  <si>
    <t>Colorado's 6th</t>
  </si>
  <si>
    <t>CO-06</t>
  </si>
  <si>
    <t>Jason Crow</t>
  </si>
  <si>
    <t>$17.6 billion to Israel</t>
  </si>
  <si>
    <t>Jason</t>
  </si>
  <si>
    <t>Ban PLO members from entering the U.S.</t>
  </si>
  <si>
    <t>Crow</t>
  </si>
  <si>
    <t>Colorado's 7th</t>
  </si>
  <si>
    <t>CO-07</t>
  </si>
  <si>
    <t>Brittany Pettersen</t>
  </si>
  <si>
    <t>Condemning testimony of Harvard, UPenn, MIT's presidents</t>
  </si>
  <si>
    <t>Brittany</t>
  </si>
  <si>
    <t>Pettersen</t>
  </si>
  <si>
    <t>Colorado's 8th</t>
  </si>
  <si>
    <t>CO-08</t>
  </si>
  <si>
    <t>New</t>
  </si>
  <si>
    <t>Yadira Caraveo</t>
  </si>
  <si>
    <t>Gain</t>
  </si>
  <si>
    <t>F</t>
  </si>
  <si>
    <t>D</t>
  </si>
  <si>
    <t>C</t>
  </si>
  <si>
    <t>Yadira</t>
  </si>
  <si>
    <t>Caraveo</t>
  </si>
  <si>
    <t>Require other countries to disclose "any affiliation" to "terrorist" groups (targeting Palestine)</t>
  </si>
  <si>
    <t>Connecticut's 1st</t>
  </si>
  <si>
    <t>CT-01</t>
  </si>
  <si>
    <t>John Larson</t>
  </si>
  <si>
    <t>B</t>
  </si>
  <si>
    <t>A</t>
  </si>
  <si>
    <t>Larson</t>
  </si>
  <si>
    <t>IHRA definition of antisemitism + "anti-zionism is antisemitism"</t>
  </si>
  <si>
    <t>Connecticut's 2nd</t>
  </si>
  <si>
    <t>CT-02</t>
  </si>
  <si>
    <t>Joe Courtney</t>
  </si>
  <si>
    <t>Courtney</t>
  </si>
  <si>
    <t>Declaring that only Hamas's unconditional surrender can save civilian lives</t>
  </si>
  <si>
    <t>Connecticut's 3rd</t>
  </si>
  <si>
    <t>CT-03</t>
  </si>
  <si>
    <t>Rosa DeLauro</t>
  </si>
  <si>
    <t>Rosa</t>
  </si>
  <si>
    <t>DeLauro</t>
  </si>
  <si>
    <t>Affirming Israel's right to exist + denying that right is antisemitism</t>
  </si>
  <si>
    <t>Connecticut's 4th</t>
  </si>
  <si>
    <t>CT-04</t>
  </si>
  <si>
    <t>Jim Himes</t>
  </si>
  <si>
    <t xml:space="preserve">Ban funds for colleges with events that violate the pro-Israel IHRA definition of antisemitism </t>
  </si>
  <si>
    <t>Jim</t>
  </si>
  <si>
    <t>Himes</t>
  </si>
  <si>
    <t>Connecticut's 5th</t>
  </si>
  <si>
    <t>CT-05</t>
  </si>
  <si>
    <t>Jahana Hayes</t>
  </si>
  <si>
    <t>Resolution condemning Tlaib saying "from the river to the sea"</t>
  </si>
  <si>
    <t>Jahana</t>
  </si>
  <si>
    <t>Hayes</t>
  </si>
  <si>
    <t>Delaware's At-Large</t>
  </si>
  <si>
    <t>DE-AL</t>
  </si>
  <si>
    <t>Lisa Blunt Rochester</t>
  </si>
  <si>
    <t>Condemning pro-Palestine college students</t>
  </si>
  <si>
    <t>Lisa</t>
  </si>
  <si>
    <t>Blunt Rochester</t>
  </si>
  <si>
    <t>Florida's 9th</t>
  </si>
  <si>
    <t>FL-09</t>
  </si>
  <si>
    <t>Cut IRS budget for $14 billion in unconditional Israel aid</t>
  </si>
  <si>
    <t>Darren Soto</t>
  </si>
  <si>
    <t>Darren</t>
  </si>
  <si>
    <t>Soto</t>
  </si>
  <si>
    <t>Hispanic - Puerto Rican</t>
  </si>
  <si>
    <t>Florida's 10th</t>
  </si>
  <si>
    <t>FL-10</t>
  </si>
  <si>
    <t>Maxwell Alejandro Frost</t>
  </si>
  <si>
    <t>Sanction alleged financial backers of Palestinian militant groups</t>
  </si>
  <si>
    <t>Maxwell Alejandro</t>
  </si>
  <si>
    <t>Frost</t>
  </si>
  <si>
    <t>Multiple: Black/Hispanic - Cuban</t>
  </si>
  <si>
    <t>Florida's 14th</t>
  </si>
  <si>
    <t>Bernie</t>
  </si>
  <si>
    <t>FL-14</t>
  </si>
  <si>
    <t>Kathy Castor</t>
  </si>
  <si>
    <t>Sanders</t>
  </si>
  <si>
    <t>Vermont</t>
  </si>
  <si>
    <t>Meeks/McCaul anti-Palestinian resolution</t>
  </si>
  <si>
    <t>Kathy</t>
  </si>
  <si>
    <t>Castor</t>
  </si>
  <si>
    <t>Florida's 20th</t>
  </si>
  <si>
    <t>FL-20</t>
  </si>
  <si>
    <t>Sheila Cherfilus-McCormick</t>
  </si>
  <si>
    <t>Prohibit moving Jerusalem embassy</t>
  </si>
  <si>
    <t>Sheila</t>
  </si>
  <si>
    <t>Cherfilus-McCormick</t>
  </si>
  <si>
    <t>2021 Special</t>
  </si>
  <si>
    <t>Black - Hatian</t>
  </si>
  <si>
    <t>Florida's 22nd</t>
  </si>
  <si>
    <t>FL-22</t>
  </si>
  <si>
    <t>Lois Frankel</t>
  </si>
  <si>
    <t>Pro-Israel resolution declaring it not a racist or apartheid nation</t>
  </si>
  <si>
    <r>
      <rPr>
        <b/>
        <i/>
        <sz val="10.0"/>
      </rPr>
      <t>Take action:</t>
    </r>
    <r>
      <rPr>
        <i/>
        <color rgb="FF000000"/>
        <sz val="10.0"/>
      </rPr>
      <t xml:space="preserve">
</t>
    </r>
    <r>
      <rPr>
        <color rgb="FF1155CC"/>
        <sz val="10.0"/>
        <u/>
      </rPr>
      <t>Call your representatives!</t>
    </r>
  </si>
  <si>
    <t>Lois</t>
  </si>
  <si>
    <t>Frankel</t>
  </si>
  <si>
    <t>Florida's 23rd</t>
  </si>
  <si>
    <t>FL-23</t>
  </si>
  <si>
    <t>Jared Moskowitz</t>
  </si>
  <si>
    <t>Strengthen Abraham Accords with "Special Envoy" position</t>
  </si>
  <si>
    <t>Vacant</t>
  </si>
  <si>
    <t>Created and updated by a group of anti-Zionist DSA comrades.</t>
  </si>
  <si>
    <t>Moskowitz</t>
  </si>
  <si>
    <t>Support Abraham Accords</t>
  </si>
  <si>
    <t>Florida's 24th</t>
  </si>
  <si>
    <t>Sponsor</t>
  </si>
  <si>
    <t>FL-24</t>
  </si>
  <si>
    <t>Frederica Wilson</t>
  </si>
  <si>
    <t>Not sponsoring (correct)</t>
  </si>
  <si>
    <t>Yes (correct)</t>
  </si>
  <si>
    <t>Frederica</t>
  </si>
  <si>
    <t>Wilson</t>
  </si>
  <si>
    <r>
      <rPr>
        <rFont val="Public Sans"/>
        <b/>
        <color rgb="FF1155CC"/>
        <sz val="10.0"/>
        <u/>
      </rPr>
      <t>2023 NDAA</t>
    </r>
    <r>
      <rPr>
        <rFont val="Public Sans"/>
        <b/>
        <sz val="10.0"/>
      </rPr>
      <t xml:space="preserve"> </t>
    </r>
    <r>
      <rPr>
        <rFont val="Public Sans"/>
        <b val="0"/>
        <sz val="10.0"/>
      </rPr>
      <t>with funding for Israel (conference)</t>
    </r>
  </si>
  <si>
    <r>
      <rPr>
        <rFont val="Arial"/>
        <b/>
        <i/>
        <color theme="1"/>
        <sz val="10.0"/>
      </rPr>
      <t xml:space="preserve"> 118th Sponsor Score</t>
    </r>
    <r>
      <rPr>
        <rFont val="Arial"/>
        <b val="0"/>
        <i/>
        <color theme="1"/>
        <sz val="10.0"/>
      </rPr>
      <t xml:space="preserve">
</t>
    </r>
    <r>
      <rPr>
        <rFont val="Arial"/>
        <b/>
        <i/>
        <color theme="1"/>
        <sz val="10.0"/>
      </rPr>
      <t xml:space="preserve"> 
</t>
    </r>
    <r>
      <rPr>
        <rFont val="Arial"/>
        <b val="0"/>
        <i/>
        <color theme="1"/>
        <sz val="10.0"/>
      </rPr>
      <t>(25% of Total Palestine Score)</t>
    </r>
  </si>
  <si>
    <t>Florida's 25th</t>
  </si>
  <si>
    <t>FL-25</t>
  </si>
  <si>
    <r>
      <rPr>
        <rFont val="Arial"/>
        <b/>
        <i/>
        <color theme="1"/>
        <sz val="10.0"/>
      </rPr>
      <t>Total Voting Score</t>
    </r>
    <r>
      <rPr>
        <rFont val="Arial"/>
        <b val="0"/>
        <i/>
        <color theme="1"/>
        <sz val="10.0"/>
      </rPr>
      <t xml:space="preserve">
</t>
    </r>
    <r>
      <rPr>
        <rFont val="Arial"/>
        <b/>
        <i/>
        <color theme="1"/>
        <sz val="10.0"/>
      </rPr>
      <t xml:space="preserve"> 
</t>
    </r>
    <r>
      <rPr>
        <rFont val="Arial"/>
        <b val="0"/>
        <i/>
        <color theme="1"/>
        <sz val="10.0"/>
      </rPr>
      <t>(75% of Total Palestine Score)</t>
    </r>
  </si>
  <si>
    <t>Debbie Wasserman Schultz</t>
  </si>
  <si>
    <r>
      <rPr>
        <rFont val="Arial"/>
        <b/>
        <color theme="1"/>
        <sz val="10.0"/>
      </rPr>
      <t>Total Palestine Score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 xml:space="preserve"> 
</t>
    </r>
    <r>
      <rPr>
        <rFont val="Arial"/>
        <b val="0"/>
        <i/>
        <color theme="1"/>
        <sz val="10.0"/>
      </rPr>
      <t>("Present" vote = half of "Yes")</t>
    </r>
  </si>
  <si>
    <t>Bush/Tlaib
Ceasefire Now resolution</t>
  </si>
  <si>
    <r>
      <rPr>
        <rFont val="Public Sans"/>
        <b/>
        <color rgb="FF1155CC"/>
        <sz val="10.0"/>
        <u/>
      </rPr>
      <t>Defense
spending</t>
    </r>
    <r>
      <rPr>
        <rFont val="Public Sans"/>
        <b/>
        <color rgb="FF000000"/>
        <sz val="10.0"/>
      </rPr>
      <t xml:space="preserve"> </t>
    </r>
    <r>
      <rPr>
        <rFont val="Public Sans"/>
        <b val="0"/>
        <color rgb="FF000000"/>
        <sz val="10.0"/>
      </rPr>
      <t>(with $4.8 billion in weapons to Israel)</t>
    </r>
  </si>
  <si>
    <t>Debbie</t>
  </si>
  <si>
    <t>Wasserman Schultz</t>
  </si>
  <si>
    <t>Georgia's 2nd</t>
  </si>
  <si>
    <t>GA-02</t>
  </si>
  <si>
    <t>Sanford Bishop</t>
  </si>
  <si>
    <t>McCollum
Palestinian 
rights resolution</t>
  </si>
  <si>
    <t>Iron Dome funding</t>
  </si>
  <si>
    <t>Sanford</t>
  </si>
  <si>
    <t>Bishop</t>
  </si>
  <si>
    <t>Georgia's 4th</t>
  </si>
  <si>
    <t>GA-04</t>
  </si>
  <si>
    <t>Hank Johnson</t>
  </si>
  <si>
    <t>Unconditional aid to Israel</t>
  </si>
  <si>
    <t>Hank</t>
  </si>
  <si>
    <t>Johnson</t>
  </si>
  <si>
    <t>Georgia's 5th</t>
  </si>
  <si>
    <t>GA-05</t>
  </si>
  <si>
    <t>Nikema Williams</t>
  </si>
  <si>
    <t>Supporting 2016 MOU with Israel</t>
  </si>
  <si>
    <t>Require report on Israel's murder of Shireen Abu Akleh</t>
  </si>
  <si>
    <t>Nikema</t>
  </si>
  <si>
    <t>Williams</t>
  </si>
  <si>
    <t>Georgia's 7th</t>
  </si>
  <si>
    <t>Anti-BDS resolution</t>
  </si>
  <si>
    <t>GA-07</t>
  </si>
  <si>
    <t>Lucy McBath</t>
  </si>
  <si>
    <t>Jeff</t>
  </si>
  <si>
    <t>Merkley</t>
  </si>
  <si>
    <r>
      <rPr>
        <b/>
        <color rgb="FF1155CC"/>
        <sz val="10.0"/>
        <u/>
      </rPr>
      <t>Tlaib recognizing ongoing Nakba resolution</t>
    </r>
    <r>
      <rPr>
        <b/>
        <color rgb="FF000000"/>
        <sz val="10.0"/>
      </rPr>
      <t xml:space="preserve"> (2023)</t>
    </r>
  </si>
  <si>
    <t>Oregon</t>
  </si>
  <si>
    <t>Pro-Israel resolution criticizing 
UN's position</t>
  </si>
  <si>
    <t>Lucy</t>
  </si>
  <si>
    <t>McBath</t>
  </si>
  <si>
    <t>Georgia's 13th</t>
  </si>
  <si>
    <t>GA-13</t>
  </si>
  <si>
    <t>David Scott</t>
  </si>
  <si>
    <r>
      <rPr>
        <b/>
        <color rgb="FF1155CC"/>
        <sz val="10.0"/>
        <u/>
      </rPr>
      <t>Tlaib recognizing ongoing Nakba resolution</t>
    </r>
    <r>
      <rPr>
        <b/>
        <sz val="10.0"/>
      </rPr>
      <t xml:space="preserve"> (2024)</t>
    </r>
  </si>
  <si>
    <t>Anti-Palestinian state</t>
  </si>
  <si>
    <t>David</t>
  </si>
  <si>
    <t>Hawaii's 1st</t>
  </si>
  <si>
    <t>HI-01</t>
  </si>
  <si>
    <t>Ed Case</t>
  </si>
  <si>
    <t>Discharge petition for $95B Israel, Ukraine, Taiwan funding</t>
  </si>
  <si>
    <t>Letter to ICC complaining about arrest warrant for Netanyahu</t>
  </si>
  <si>
    <t>Statement condeming Tlaib saying "from the river to the sea"</t>
  </si>
  <si>
    <t>Ed</t>
  </si>
  <si>
    <t>Case</t>
  </si>
  <si>
    <t>2018, 2002-2006</t>
  </si>
  <si>
    <t>Hawaii's 2nd</t>
  </si>
  <si>
    <t>HI-02</t>
  </si>
  <si>
    <t>Jill Tokuda</t>
  </si>
  <si>
    <t xml:space="preserve">2024 NDAA (conference, with Israeli funding, anti-Gaza provisions) </t>
  </si>
  <si>
    <t>Bipartisan anti-de-
escalation letter</t>
  </si>
  <si>
    <t>Jill</t>
  </si>
  <si>
    <t>Tokuda</t>
  </si>
  <si>
    <t>Illinois' 1st</t>
  </si>
  <si>
    <t>IL-01</t>
  </si>
  <si>
    <t>Jonathan Jackson</t>
  </si>
  <si>
    <t>Yes</t>
  </si>
  <si>
    <t>Jonathan</t>
  </si>
  <si>
    <t>Jackson</t>
  </si>
  <si>
    <t>Illinois' 2nd</t>
  </si>
  <si>
    <t>IL-02</t>
  </si>
  <si>
    <t>Robin Kelly</t>
  </si>
  <si>
    <r>
      <rPr>
        <rFont val="Public Sans"/>
        <b/>
        <color theme="1"/>
        <sz val="10.0"/>
      </rPr>
      <t xml:space="preserve">Total Pro-Israel $$$ 
</t>
    </r>
    <r>
      <rPr>
        <rFont val="Public Sans"/>
        <b/>
        <i/>
        <color theme="1"/>
        <sz val="10.0"/>
      </rPr>
      <t>(negative amount = spending against incumbent)</t>
    </r>
  </si>
  <si>
    <r>
      <rPr>
        <rFont val="Public Sans"/>
        <b/>
        <i/>
        <color theme="1"/>
        <sz val="10.0"/>
      </rPr>
      <t xml:space="preserve">AIPAC contributions
</t>
    </r>
    <r>
      <rPr>
        <rFont val="Public Sans"/>
        <b/>
        <i/>
        <color theme="1"/>
        <sz val="10.0"/>
      </rPr>
      <t>(direct + bundled from other donors)</t>
    </r>
  </si>
  <si>
    <r>
      <rPr>
        <rFont val="Public Sans"/>
        <b/>
        <i/>
        <color theme="1"/>
        <sz val="10.0"/>
      </rPr>
      <t xml:space="preserve">AIPAC's "United Democracy Project" IE spending </t>
    </r>
    <r>
      <rPr>
        <rFont val="Public Sans"/>
        <b/>
        <i/>
        <color theme="1"/>
        <sz val="10.0"/>
      </rPr>
      <t xml:space="preserve">
</t>
    </r>
    <r>
      <rPr>
        <rFont val="Public Sans"/>
        <b/>
        <i/>
        <color theme="1"/>
        <sz val="10.0"/>
      </rPr>
      <t>(for candidate + against opponent)</t>
    </r>
  </si>
  <si>
    <t>Robin</t>
  </si>
  <si>
    <t>Kelly</t>
  </si>
  <si>
    <t>2013 Special</t>
  </si>
  <si>
    <t xml:space="preserve">DMFI Contributions </t>
  </si>
  <si>
    <t>Illinois' 3rd</t>
  </si>
  <si>
    <t>IL-03</t>
  </si>
  <si>
    <r>
      <rPr>
        <rFont val="Public Sans"/>
        <b/>
        <i/>
        <color theme="1"/>
        <sz val="10.0"/>
      </rPr>
      <t xml:space="preserve">DMFI IE Spending </t>
    </r>
    <r>
      <rPr>
        <rFont val="Public Sans"/>
        <b/>
        <i/>
        <color theme="1"/>
        <sz val="10.0"/>
      </rPr>
      <t xml:space="preserve">
(for candidate + against opponent)</t>
    </r>
  </si>
  <si>
    <t>Delia Ramirez</t>
  </si>
  <si>
    <r>
      <rPr>
        <rFont val="Public Sans"/>
        <b/>
        <color rgb="FF1155CC"/>
        <sz val="10.0"/>
        <u/>
      </rPr>
      <t>JVP-
endorsed</t>
    </r>
    <r>
      <rPr>
        <rFont val="Public Sans"/>
        <b/>
        <color rgb="FF000000"/>
        <sz val="10.0"/>
      </rPr>
      <t xml:space="preserve"> (2022)</t>
    </r>
  </si>
  <si>
    <t>Delia</t>
  </si>
  <si>
    <t>Ramirez</t>
  </si>
  <si>
    <t>Illinois' 4th</t>
  </si>
  <si>
    <t>IL-04</t>
  </si>
  <si>
    <t>Jesús "Chuy" García</t>
  </si>
  <si>
    <t>Andy</t>
  </si>
  <si>
    <r>
      <rPr>
        <rFont val="Public Sans"/>
        <b/>
        <color rgb="FF1155CC"/>
        <sz val="10.0"/>
        <u/>
      </rPr>
      <t>J Street-
endorsed</t>
    </r>
    <r>
      <rPr>
        <rFont val="Public Sans"/>
        <b/>
        <color rgb="FF000000"/>
        <sz val="10.0"/>
      </rPr>
      <t xml:space="preserve"> (2022)</t>
    </r>
  </si>
  <si>
    <t>Kim</t>
  </si>
  <si>
    <t>New Jersey</t>
  </si>
  <si>
    <t>Jesús "Chuy"</t>
  </si>
  <si>
    <t>García</t>
  </si>
  <si>
    <t>Illinois' 5th</t>
  </si>
  <si>
    <t>IL-05</t>
  </si>
  <si>
    <r>
      <rPr>
        <rFont val="Public Sans"/>
        <b/>
        <color rgb="FF1155CC"/>
        <sz val="10.0"/>
        <u/>
      </rPr>
      <t>DMFI-
endorsed</t>
    </r>
    <r>
      <rPr>
        <rFont val="Public Sans"/>
        <b/>
        <color rgb="FF000000"/>
        <sz val="10.0"/>
      </rPr>
      <t xml:space="preserve"> (2022)</t>
    </r>
  </si>
  <si>
    <t>Mike Quigley</t>
  </si>
  <si>
    <t>Not sponsoring</t>
  </si>
  <si>
    <t>Quigley</t>
  </si>
  <si>
    <r>
      <rPr>
        <rFont val="Public Sans"/>
        <b/>
        <color rgb="FF1155CC"/>
        <sz val="10.0"/>
        <u/>
      </rPr>
      <t>AIPAC-
endorsed</t>
    </r>
    <r>
      <rPr>
        <rFont val="Public Sans"/>
        <b/>
        <color rgb="FF000000"/>
        <sz val="10.0"/>
      </rPr>
      <t xml:space="preserve"> (2022)</t>
    </r>
  </si>
  <si>
    <t>Illinois' 6th</t>
  </si>
  <si>
    <t>IL-06</t>
  </si>
  <si>
    <t>Sean Casten</t>
  </si>
  <si>
    <t>Not elected</t>
  </si>
  <si>
    <t>Sean</t>
  </si>
  <si>
    <t>Casten</t>
  </si>
  <si>
    <t>Illinois' 7th</t>
  </si>
  <si>
    <t>IL-07</t>
  </si>
  <si>
    <t>Danny Davis</t>
  </si>
  <si>
    <t>Danny</t>
  </si>
  <si>
    <t>Davis</t>
  </si>
  <si>
    <t>Illinois' 8th</t>
  </si>
  <si>
    <t>IL-08</t>
  </si>
  <si>
    <t>Raja Krishnamoorthi</t>
  </si>
  <si>
    <t>Peter</t>
  </si>
  <si>
    <t>Committee vote</t>
  </si>
  <si>
    <t>Welch</t>
  </si>
  <si>
    <t>Raja</t>
  </si>
  <si>
    <t>Krishnamoorthi</t>
  </si>
  <si>
    <t>Illinois' 9th</t>
  </si>
  <si>
    <t>IL-09</t>
  </si>
  <si>
    <t>Jan Schakowsky</t>
  </si>
  <si>
    <t>Jan</t>
  </si>
  <si>
    <t>Schakowsky</t>
  </si>
  <si>
    <t>Illinois' 10th</t>
  </si>
  <si>
    <t>IL-10</t>
  </si>
  <si>
    <t>Brad Schneider</t>
  </si>
  <si>
    <t>Schneider</t>
  </si>
  <si>
    <t>Illinois' 11th</t>
  </si>
  <si>
    <t>IL-11</t>
  </si>
  <si>
    <t>Bill Foster</t>
  </si>
  <si>
    <t>Foster</t>
  </si>
  <si>
    <t>2012, 2008 Special-2010</t>
  </si>
  <si>
    <t>Illinois' 13th</t>
  </si>
  <si>
    <t>IL-13</t>
  </si>
  <si>
    <t>Republican</t>
  </si>
  <si>
    <t>Nikki Budzinski</t>
  </si>
  <si>
    <t>Nikki</t>
  </si>
  <si>
    <t>Budzinski</t>
  </si>
  <si>
    <t>Illinois' 14th</t>
  </si>
  <si>
    <t>IL-14</t>
  </si>
  <si>
    <t>Lauren Underwood</t>
  </si>
  <si>
    <t>Lauren</t>
  </si>
  <si>
    <t>Underwood</t>
  </si>
  <si>
    <t>Illinois' 17th</t>
  </si>
  <si>
    <t>IL-17</t>
  </si>
  <si>
    <t>Chris</t>
  </si>
  <si>
    <t>Eric Sorensen</t>
  </si>
  <si>
    <t>Van Hollen</t>
  </si>
  <si>
    <t>Maryland</t>
  </si>
  <si>
    <t>Sorensen</t>
  </si>
  <si>
    <t>Indiana's 1st</t>
  </si>
  <si>
    <t>IN-01</t>
  </si>
  <si>
    <t>Frank Mrvan</t>
  </si>
  <si>
    <t>2026-2027</t>
  </si>
  <si>
    <t>Frank</t>
  </si>
  <si>
    <t>Mrvan</t>
  </si>
  <si>
    <t>Indiana's 7th</t>
  </si>
  <si>
    <t>IN-07</t>
  </si>
  <si>
    <t>André Carson</t>
  </si>
  <si>
    <t>André</t>
  </si>
  <si>
    <t>Carson</t>
  </si>
  <si>
    <t>2008 Special</t>
  </si>
  <si>
    <t>Kansas' 3rd</t>
  </si>
  <si>
    <t>KS-03</t>
  </si>
  <si>
    <t>Sharice Davids</t>
  </si>
  <si>
    <t>Sharice</t>
  </si>
  <si>
    <t>Davids</t>
  </si>
  <si>
    <t>Native American - Ho-Chunk</t>
  </si>
  <si>
    <t>Lesbian</t>
  </si>
  <si>
    <t>Kentucky's 3rd</t>
  </si>
  <si>
    <t>KY-03</t>
  </si>
  <si>
    <t>Morgan McGarvey</t>
  </si>
  <si>
    <t>Morgan</t>
  </si>
  <si>
    <t>McGarvey</t>
  </si>
  <si>
    <t>Louisiana's 2nd</t>
  </si>
  <si>
    <t>LA-02</t>
  </si>
  <si>
    <t>Troy Carter</t>
  </si>
  <si>
    <t>Elizabeth</t>
  </si>
  <si>
    <t>Warren</t>
  </si>
  <si>
    <t>Massachusetts</t>
  </si>
  <si>
    <t>Troy</t>
  </si>
  <si>
    <t>Carter</t>
  </si>
  <si>
    <t>Maine's 1st</t>
  </si>
  <si>
    <t>ME-01</t>
  </si>
  <si>
    <t>Chellie Pingree</t>
  </si>
  <si>
    <t>% Correct:</t>
  </si>
  <si>
    <t>Chellie</t>
  </si>
  <si>
    <t>Pingree</t>
  </si>
  <si>
    <t>Maryland's 2nd</t>
  </si>
  <si>
    <t>MD-02</t>
  </si>
  <si>
    <t>Dutch Ruppersberger</t>
  </si>
  <si>
    <t>Dutch</t>
  </si>
  <si>
    <t>Ruppersberger</t>
  </si>
  <si>
    <t>Maryland's 3rd</t>
  </si>
  <si>
    <t>MD-03</t>
  </si>
  <si>
    <t>John Sarbanes</t>
  </si>
  <si>
    <t>Sarbanes</t>
  </si>
  <si>
    <t>Maryland's 4th</t>
  </si>
  <si>
    <t>MD-04</t>
  </si>
  <si>
    <t>Pro-Israel resolution declaring it 
not a racist or apartheid nation</t>
  </si>
  <si>
    <t>Glenn Ivey</t>
  </si>
  <si>
    <t>Mazie</t>
  </si>
  <si>
    <t>Hirono</t>
  </si>
  <si>
    <t>Glenn</t>
  </si>
  <si>
    <t>Ivey</t>
  </si>
  <si>
    <t>Hawaii</t>
  </si>
  <si>
    <t>Maryland's 5th</t>
  </si>
  <si>
    <t>MD-05</t>
  </si>
  <si>
    <t>Steny Hoyer</t>
  </si>
  <si>
    <t>Steny</t>
  </si>
  <si>
    <t>Hoyer</t>
  </si>
  <si>
    <t>1981 Special</t>
  </si>
  <si>
    <t>Maryland's 6th</t>
  </si>
  <si>
    <t>MD-06</t>
  </si>
  <si>
    <t>David Trone</t>
  </si>
  <si>
    <t>Trone</t>
  </si>
  <si>
    <t>Maryland's 7th</t>
  </si>
  <si>
    <t>MD-07</t>
  </si>
  <si>
    <t>Kweisi Mfume</t>
  </si>
  <si>
    <t>Anti-BDS</t>
  </si>
  <si>
    <t>Kweisi</t>
  </si>
  <si>
    <t>Mfume</t>
  </si>
  <si>
    <t>2020 Special, 1986-1996</t>
  </si>
  <si>
    <t>Maryland's 8th</t>
  </si>
  <si>
    <t>MD-08</t>
  </si>
  <si>
    <t>Jamie Raskin</t>
  </si>
  <si>
    <t>Markey</t>
  </si>
  <si>
    <t>Jamie</t>
  </si>
  <si>
    <t>Raskin</t>
  </si>
  <si>
    <t>Massachusetts' 1st</t>
  </si>
  <si>
    <t>MA-01</t>
  </si>
  <si>
    <t>Richard "Richie" Neal</t>
  </si>
  <si>
    <t>Richard "Richie"</t>
  </si>
  <si>
    <t>Neal</t>
  </si>
  <si>
    <t>Massachusetts' 2nd</t>
  </si>
  <si>
    <t>MA-02</t>
  </si>
  <si>
    <t>Jim McGovern</t>
  </si>
  <si>
    <t>McGovern</t>
  </si>
  <si>
    <r>
      <rPr>
        <rFont val="Arial"/>
        <b/>
        <color theme="1"/>
        <sz val="11.0"/>
      </rPr>
      <t xml:space="preserve">Total Pro-Israel $$$ 
</t>
    </r>
    <r>
      <rPr>
        <rFont val="Arial"/>
        <b/>
        <i/>
        <color theme="1"/>
        <sz val="8.0"/>
      </rPr>
      <t>(negative amount = spending against incumbent)</t>
    </r>
  </si>
  <si>
    <t>Massachusetts' 3rd</t>
  </si>
  <si>
    <r>
      <rPr>
        <rFont val="Arial"/>
        <b/>
        <i/>
        <color theme="1"/>
        <sz val="11.0"/>
      </rPr>
      <t xml:space="preserve">AIPAC contributions
</t>
    </r>
    <r>
      <rPr>
        <rFont val="Arial"/>
        <b/>
        <i/>
        <color theme="1"/>
        <sz val="8.0"/>
      </rPr>
      <t>(direct + bundled from other donors)</t>
    </r>
  </si>
  <si>
    <t>MA-03</t>
  </si>
  <si>
    <t>Lori Trahan</t>
  </si>
  <si>
    <r>
      <rPr>
        <rFont val="Arial"/>
        <b/>
        <i/>
        <color theme="1"/>
        <sz val="11.0"/>
      </rPr>
      <t xml:space="preserve">AIPAC's "United Democracy Project" IE spending </t>
    </r>
    <r>
      <rPr>
        <rFont val="Arial"/>
        <b/>
        <i/>
        <color theme="1"/>
        <sz val="12.0"/>
      </rPr>
      <t xml:space="preserve">
</t>
    </r>
    <r>
      <rPr>
        <rFont val="Arial"/>
        <b/>
        <i/>
        <color theme="1"/>
        <sz val="8.0"/>
      </rPr>
      <t>(for candidate + against opponent)</t>
    </r>
  </si>
  <si>
    <r>
      <rPr>
        <rFont val="Arial"/>
        <b/>
        <i/>
        <color theme="1"/>
        <sz val="11.0"/>
      </rPr>
      <t xml:space="preserve">DMFI IE Spending </t>
    </r>
    <r>
      <rPr>
        <rFont val="Arial"/>
        <b/>
        <i/>
        <color theme="1"/>
        <sz val="8.0"/>
      </rPr>
      <t xml:space="preserve">
(for candidate + against opponent)</t>
    </r>
  </si>
  <si>
    <t>2013 (special)</t>
  </si>
  <si>
    <r>
      <rPr>
        <b/>
        <color rgb="FF1155CC"/>
        <sz val="11.0"/>
        <u/>
      </rPr>
      <t>JVP-
endorsed</t>
    </r>
    <r>
      <rPr>
        <b/>
        <color rgb="FF000000"/>
        <sz val="11.0"/>
      </rPr>
      <t xml:space="preserve"> (2022)</t>
    </r>
  </si>
  <si>
    <t>Lori</t>
  </si>
  <si>
    <t>Trahan</t>
  </si>
  <si>
    <t>White - Portuguese</t>
  </si>
  <si>
    <t>Massachusetts' 4th</t>
  </si>
  <si>
    <t>MA-04</t>
  </si>
  <si>
    <r>
      <rPr>
        <b/>
        <color rgb="FF1155CC"/>
        <sz val="11.0"/>
        <u/>
      </rPr>
      <t>J Street-
endorsed</t>
    </r>
    <r>
      <rPr>
        <b/>
        <color rgb="FF000000"/>
        <sz val="11.0"/>
      </rPr>
      <t xml:space="preserve"> (2022)</t>
    </r>
  </si>
  <si>
    <t>Jake Auchincloss</t>
  </si>
  <si>
    <r>
      <rPr>
        <b/>
        <color rgb="FF1155CC"/>
        <sz val="11.0"/>
        <u/>
      </rPr>
      <t>DMFI-
endorsed</t>
    </r>
    <r>
      <rPr>
        <b/>
        <color rgb="FF000000"/>
        <sz val="11.0"/>
      </rPr>
      <t xml:space="preserve"> (2022)</t>
    </r>
  </si>
  <si>
    <t>Jake</t>
  </si>
  <si>
    <t>Auchincloss</t>
  </si>
  <si>
    <r>
      <rPr>
        <b/>
        <color rgb="FF1155CC"/>
        <sz val="11.0"/>
        <u/>
      </rPr>
      <t>AIPAC-
endorsed</t>
    </r>
    <r>
      <rPr>
        <b/>
        <color rgb="FF000000"/>
        <sz val="11.0"/>
      </rPr>
      <t xml:space="preserve"> (2022)</t>
    </r>
  </si>
  <si>
    <t>Massachusetts' 5th</t>
  </si>
  <si>
    <t>Angela</t>
  </si>
  <si>
    <t>MA-05</t>
  </si>
  <si>
    <t>Alsobrooks</t>
  </si>
  <si>
    <t>Katherine Clark</t>
  </si>
  <si>
    <t>Katherine</t>
  </si>
  <si>
    <t>Clark</t>
  </si>
  <si>
    <t>Massachusetts' 6th</t>
  </si>
  <si>
    <t>MA-06</t>
  </si>
  <si>
    <t>Seth Moulton</t>
  </si>
  <si>
    <t>No (incorrect)</t>
  </si>
  <si>
    <t>Seth</t>
  </si>
  <si>
    <t>Moulton</t>
  </si>
  <si>
    <t>Rashida</t>
  </si>
  <si>
    <t>Tlaib</t>
  </si>
  <si>
    <t>MI-12</t>
  </si>
  <si>
    <t>Massachusetts' 7th</t>
  </si>
  <si>
    <t>MA-07</t>
  </si>
  <si>
    <t>Ayanna Pressley</t>
  </si>
  <si>
    <t>2023-2025</t>
  </si>
  <si>
    <t>Ayanna</t>
  </si>
  <si>
    <t>Pressley</t>
  </si>
  <si>
    <t>Massachusetts' 8th</t>
  </si>
  <si>
    <t>MA-08</t>
  </si>
  <si>
    <t>Stephen Lynch</t>
  </si>
  <si>
    <t>Stephen</t>
  </si>
  <si>
    <t>Lynch</t>
  </si>
  <si>
    <t>2001 Special</t>
  </si>
  <si>
    <t>Massachusetts' 9th</t>
  </si>
  <si>
    <t>MA-09</t>
  </si>
  <si>
    <t>Bill Keating</t>
  </si>
  <si>
    <t>PAL PAC, DSA, JDems</t>
  </si>
  <si>
    <t>Delaware</t>
  </si>
  <si>
    <t>Keating</t>
  </si>
  <si>
    <t>Michigan's 3rd</t>
  </si>
  <si>
    <t>MI-03</t>
  </si>
  <si>
    <t>Hillary Scholten</t>
  </si>
  <si>
    <t>Hillary</t>
  </si>
  <si>
    <t>Scholten</t>
  </si>
  <si>
    <t>Michigan's 6th</t>
  </si>
  <si>
    <t>Not on committee</t>
  </si>
  <si>
    <t>MI-06</t>
  </si>
  <si>
    <t>Debbie Dingell</t>
  </si>
  <si>
    <t>Present</t>
  </si>
  <si>
    <t>Dingell</t>
  </si>
  <si>
    <t>Not voting</t>
  </si>
  <si>
    <t>Michigan's 7th</t>
  </si>
  <si>
    <t>MI-07</t>
  </si>
  <si>
    <t>Elissa Slotkin</t>
  </si>
  <si>
    <t>Elissa</t>
  </si>
  <si>
    <t>Slotkin</t>
  </si>
  <si>
    <t>Michigan's 8th</t>
  </si>
  <si>
    <t>MI-08</t>
  </si>
  <si>
    <t>Dan Kildee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</si>
  <si>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</si>
  <si>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Dan</t>
  </si>
  <si>
    <t>Kildee</t>
  </si>
  <si>
    <t>Michigan's 11th</t>
  </si>
  <si>
    <t>MI-11</t>
  </si>
  <si>
    <t>Michigan</t>
  </si>
  <si>
    <t>Haley Stevens</t>
  </si>
  <si>
    <t>Haley</t>
  </si>
  <si>
    <t>Stevens</t>
  </si>
  <si>
    <t>Michigan's 12th</t>
  </si>
  <si>
    <t>Rashida Tlaib</t>
  </si>
  <si>
    <t>Non-signatory</t>
  </si>
  <si>
    <t>Not signed</t>
  </si>
  <si>
    <t>Middle Eastern - Palestinian</t>
  </si>
  <si>
    <t>Michigan's 13th</t>
  </si>
  <si>
    <t>MI-13</t>
  </si>
  <si>
    <t>Shri Thanedar</t>
  </si>
  <si>
    <t>Shri</t>
  </si>
  <si>
    <t>Thanedar</t>
  </si>
  <si>
    <t>Minnesota's 2nd</t>
  </si>
  <si>
    <t>MN-02</t>
  </si>
  <si>
    <t>Angie Craig</t>
  </si>
  <si>
    <t>Ilhan</t>
  </si>
  <si>
    <t>Angie</t>
  </si>
  <si>
    <t>Omar</t>
  </si>
  <si>
    <t>Craig</t>
  </si>
  <si>
    <t>MN-05</t>
  </si>
  <si>
    <t>Minnesota's 3rd</t>
  </si>
  <si>
    <t>MN-03</t>
  </si>
  <si>
    <t>Dean Phillips</t>
  </si>
  <si>
    <t>PAL PAC, JDems</t>
  </si>
  <si>
    <t>Dean</t>
  </si>
  <si>
    <t>Phillips</t>
  </si>
  <si>
    <t>Dick</t>
  </si>
  <si>
    <t>Minnesota's 4th</t>
  </si>
  <si>
    <t>2019</t>
  </si>
  <si>
    <t>Durbin</t>
  </si>
  <si>
    <t>MN-04</t>
  </si>
  <si>
    <t>Illinois</t>
  </si>
  <si>
    <t>Betty McCollum</t>
  </si>
  <si>
    <t>Progressive</t>
  </si>
  <si>
    <t>DSA, Justice Dems</t>
  </si>
  <si>
    <t>Betty</t>
  </si>
  <si>
    <t>McCollum</t>
  </si>
  <si>
    <t>Minnesota's 5th</t>
  </si>
  <si>
    <t>Ilhan Omar</t>
  </si>
  <si>
    <t>Black - Somali</t>
  </si>
  <si>
    <t>Mississippi's 2nd</t>
  </si>
  <si>
    <t>MS-02</t>
  </si>
  <si>
    <t>Bennie Thompson</t>
  </si>
  <si>
    <t>Bennie</t>
  </si>
  <si>
    <t>1993 Special</t>
  </si>
  <si>
    <t>Missouri's 1st</t>
  </si>
  <si>
    <t>MO-01</t>
  </si>
  <si>
    <t>Cori Bush</t>
  </si>
  <si>
    <t>Cori</t>
  </si>
  <si>
    <t>Bush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</si>
  <si>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</si>
  <si>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Missouri's 5th</t>
  </si>
  <si>
    <t>MO-05</t>
  </si>
  <si>
    <t>Emanuel Cleaver</t>
  </si>
  <si>
    <t>Emanuel</t>
  </si>
  <si>
    <t>Cleaver</t>
  </si>
  <si>
    <t>Nevada's 1st</t>
  </si>
  <si>
    <t>NV-01</t>
  </si>
  <si>
    <t>Dina Titus</t>
  </si>
  <si>
    <t>Tina</t>
  </si>
  <si>
    <t>Smith</t>
  </si>
  <si>
    <t>Minnesota</t>
  </si>
  <si>
    <t>Dina</t>
  </si>
  <si>
    <t>Titus</t>
  </si>
  <si>
    <t>2012, 2008-2010</t>
  </si>
  <si>
    <t>Nevada's 3rd</t>
  </si>
  <si>
    <t>NV-03</t>
  </si>
  <si>
    <t>Susie Lee</t>
  </si>
  <si>
    <t>Susie</t>
  </si>
  <si>
    <t>Nevada's 4th</t>
  </si>
  <si>
    <t>NV-04</t>
  </si>
  <si>
    <t>Steven Horsford</t>
  </si>
  <si>
    <t>Steven</t>
  </si>
  <si>
    <t>Horsford</t>
  </si>
  <si>
    <t>2018, 2012-2014</t>
  </si>
  <si>
    <t>Black - Trinidadian</t>
  </si>
  <si>
    <t>New Hampshire's 1st</t>
  </si>
  <si>
    <t>NH-01</t>
  </si>
  <si>
    <t>Chris Pappas</t>
  </si>
  <si>
    <t>2018 (appt, special)</t>
  </si>
  <si>
    <t>Pappas</t>
  </si>
  <si>
    <t>New Hampshire's 2nd</t>
  </si>
  <si>
    <t>NH-02</t>
  </si>
  <si>
    <t>Annie Kuster</t>
  </si>
  <si>
    <t>PAL PAC, J Street, JDems</t>
  </si>
  <si>
    <t>Annie</t>
  </si>
  <si>
    <t>2021</t>
  </si>
  <si>
    <t>Kuster</t>
  </si>
  <si>
    <t>New Jersey's 1st</t>
  </si>
  <si>
    <t>NJ-01</t>
  </si>
  <si>
    <t>Donald Norcross</t>
  </si>
  <si>
    <t>Raphael</t>
  </si>
  <si>
    <t>Warnock</t>
  </si>
  <si>
    <t>Georgia</t>
  </si>
  <si>
    <t>Donald</t>
  </si>
  <si>
    <t>Norcross</t>
  </si>
  <si>
    <t>2014 Special</t>
  </si>
  <si>
    <t>New Jersey's 3rd</t>
  </si>
  <si>
    <t>NJ-03</t>
  </si>
  <si>
    <t>Andy Kim</t>
  </si>
  <si>
    <t>Asian - Korean</t>
  </si>
  <si>
    <t>New Jersey's 5th</t>
  </si>
  <si>
    <t>NJ-05</t>
  </si>
  <si>
    <t>Josh Gottheimer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</si>
  <si>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</si>
  <si>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Josh</t>
  </si>
  <si>
    <t>Gottheimer</t>
  </si>
  <si>
    <t>New Jersey's 6th</t>
  </si>
  <si>
    <t>NJ-06</t>
  </si>
  <si>
    <t>Frank Pallone</t>
  </si>
  <si>
    <t>Pallone</t>
  </si>
  <si>
    <t>Martin</t>
  </si>
  <si>
    <t>New Jersey's 8th</t>
  </si>
  <si>
    <t>Heinrich</t>
  </si>
  <si>
    <t>NJ-08</t>
  </si>
  <si>
    <t>New Mexico</t>
  </si>
  <si>
    <t>Rob Menendez</t>
  </si>
  <si>
    <t>Rob</t>
  </si>
  <si>
    <t>Menendez</t>
  </si>
  <si>
    <t>Hispanic - Cuban</t>
  </si>
  <si>
    <t>New Jersey's 9th</t>
  </si>
  <si>
    <t>NJ-09</t>
  </si>
  <si>
    <t>Bill Pascrell</t>
  </si>
  <si>
    <t>Justice Dems</t>
  </si>
  <si>
    <t>Pascrell</t>
  </si>
  <si>
    <t>New Jersey's 10th</t>
  </si>
  <si>
    <t>NJ-10</t>
  </si>
  <si>
    <t>Donald Payne</t>
  </si>
  <si>
    <t>Summer</t>
  </si>
  <si>
    <t>PA-12</t>
  </si>
  <si>
    <t>Payne</t>
  </si>
  <si>
    <t>2012 Special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</si>
  <si>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</si>
  <si>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New Jersey's 11th</t>
  </si>
  <si>
    <t>NJ-11</t>
  </si>
  <si>
    <t>Mikie Sherrill</t>
  </si>
  <si>
    <t>Mikie</t>
  </si>
  <si>
    <t>Ben Ray</t>
  </si>
  <si>
    <t>Sherrill</t>
  </si>
  <si>
    <t>Luján</t>
  </si>
  <si>
    <t>New Jersey's 12th</t>
  </si>
  <si>
    <t>NJ-12</t>
  </si>
  <si>
    <t>Bonnie Watson Coleman</t>
  </si>
  <si>
    <t>Bonnie</t>
  </si>
  <si>
    <t>Watson Coleman</t>
  </si>
  <si>
    <t>New Mexico's 1st</t>
  </si>
  <si>
    <t>NM-01</t>
  </si>
  <si>
    <t>Melanie Stansbury</t>
  </si>
  <si>
    <t>Melanie</t>
  </si>
  <si>
    <t>Stansbury</t>
  </si>
  <si>
    <t>New Mexico's 2nd</t>
  </si>
  <si>
    <t>NM-02</t>
  </si>
  <si>
    <t>Gabe Vasquez</t>
  </si>
  <si>
    <t>Challenger</t>
  </si>
  <si>
    <t>Gabe</t>
  </si>
  <si>
    <t>Vasquez</t>
  </si>
  <si>
    <t>New Mexico's 3rd</t>
  </si>
  <si>
    <t>NM-03</t>
  </si>
  <si>
    <t>Teresa Leger Fernandez</t>
  </si>
  <si>
    <t>2023</t>
  </si>
  <si>
    <t>Teresa</t>
  </si>
  <si>
    <t>Leger Fernandez</t>
  </si>
  <si>
    <t>Hispanic</t>
  </si>
  <si>
    <t>New York's 5th</t>
  </si>
  <si>
    <t>NY-05</t>
  </si>
  <si>
    <t>Gregory Meeks</t>
  </si>
  <si>
    <t>Gregory</t>
  </si>
  <si>
    <t>Meeks</t>
  </si>
  <si>
    <t>New York's 6th</t>
  </si>
  <si>
    <t>NY-06</t>
  </si>
  <si>
    <t>Grace Meng</t>
  </si>
  <si>
    <t>Tammy</t>
  </si>
  <si>
    <t>Baldwin</t>
  </si>
  <si>
    <t>Meng</t>
  </si>
  <si>
    <t>Wisconsin</t>
  </si>
  <si>
    <t>New York's 7th</t>
  </si>
  <si>
    <t>NY-07</t>
  </si>
  <si>
    <t>Nydia Velázquez</t>
  </si>
  <si>
    <t>Alexandria</t>
  </si>
  <si>
    <t>Ocasio-Cortez</t>
  </si>
  <si>
    <t>NY-14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</si>
  <si>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</si>
  <si>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Nydia</t>
  </si>
  <si>
    <t>Velázquez</t>
  </si>
  <si>
    <t>New York's 8th</t>
  </si>
  <si>
    <t>NY-08</t>
  </si>
  <si>
    <t>Hakeem Jeffries</t>
  </si>
  <si>
    <t>Hakeem</t>
  </si>
  <si>
    <t>Jeffries</t>
  </si>
  <si>
    <t>New York's 9th</t>
  </si>
  <si>
    <t>NY-09</t>
  </si>
  <si>
    <t>Yvette Clarke</t>
  </si>
  <si>
    <t>Yvette</t>
  </si>
  <si>
    <t>Clarke</t>
  </si>
  <si>
    <t>Black - Jamaican</t>
  </si>
  <si>
    <t>New York's 10th</t>
  </si>
  <si>
    <t>NY-10</t>
  </si>
  <si>
    <t>Dan Goldman</t>
  </si>
  <si>
    <t>Goldman</t>
  </si>
  <si>
    <t>New York's 12th</t>
  </si>
  <si>
    <t>NY-12</t>
  </si>
  <si>
    <t>Jerry Nadler</t>
  </si>
  <si>
    <t>Jerry</t>
  </si>
  <si>
    <t>Nadler</t>
  </si>
  <si>
    <t>1992 Special</t>
  </si>
  <si>
    <t>New York's 13th</t>
  </si>
  <si>
    <t>NY-13</t>
  </si>
  <si>
    <t>Adriano Espaillat</t>
  </si>
  <si>
    <t>NYC-DSA, JDems</t>
  </si>
  <si>
    <t>Adriano</t>
  </si>
  <si>
    <t>Espaillat</t>
  </si>
  <si>
    <t>Brian</t>
  </si>
  <si>
    <t>Hispanic - Dominican</t>
  </si>
  <si>
    <t>Schatz</t>
  </si>
  <si>
    <t>New York's 14th</t>
  </si>
  <si>
    <t>Alexandria Ocasio-Cortez</t>
  </si>
  <si>
    <t>New York's 15th</t>
  </si>
  <si>
    <t>NY-15</t>
  </si>
  <si>
    <t>Ritchie Torres</t>
  </si>
  <si>
    <t>Ritchie</t>
  </si>
  <si>
    <t>Multiple: Black/Hispanic - Puerto Rican</t>
  </si>
  <si>
    <t>New York's 16th</t>
  </si>
  <si>
    <t>NY-16</t>
  </si>
  <si>
    <t>Jamaal Bowman</t>
  </si>
  <si>
    <t>Jamaal</t>
  </si>
  <si>
    <t>Bowman</t>
  </si>
  <si>
    <t>New York's 18th</t>
  </si>
  <si>
    <t>NY-18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</si>
  <si>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</si>
  <si>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Pat Ryan</t>
  </si>
  <si>
    <t>2012 (appt., special)</t>
  </si>
  <si>
    <t>Pat</t>
  </si>
  <si>
    <t>Ryan</t>
  </si>
  <si>
    <t>2022 Special</t>
  </si>
  <si>
    <t>New York's 20th</t>
  </si>
  <si>
    <t>NY-20</t>
  </si>
  <si>
    <t>Paul Tonko</t>
  </si>
  <si>
    <t>Paul</t>
  </si>
  <si>
    <t>Tonko</t>
  </si>
  <si>
    <t>Tim</t>
  </si>
  <si>
    <t>Kaine</t>
  </si>
  <si>
    <t>New York's 25th</t>
  </si>
  <si>
    <t>NY-25</t>
  </si>
  <si>
    <t>Virginia</t>
  </si>
  <si>
    <t>Joe Morelle</t>
  </si>
  <si>
    <t>Morelle</t>
  </si>
  <si>
    <t>2018 Special</t>
  </si>
  <si>
    <t>New York's 26th</t>
  </si>
  <si>
    <t>Sponsor (incorrect)</t>
  </si>
  <si>
    <t>NY-26</t>
  </si>
  <si>
    <t>Brian Higgins</t>
  </si>
  <si>
    <t>Higgins</t>
  </si>
  <si>
    <t>North Carolina's 1st</t>
  </si>
  <si>
    <t>NC-01</t>
  </si>
  <si>
    <t>Don Davis</t>
  </si>
  <si>
    <t>Don</t>
  </si>
  <si>
    <t>North Carolina's 2nd</t>
  </si>
  <si>
    <t>NC-02</t>
  </si>
  <si>
    <t>Deborah Ross</t>
  </si>
  <si>
    <t>Deborah</t>
  </si>
  <si>
    <t>Ross</t>
  </si>
  <si>
    <t>North Carolina's 4th</t>
  </si>
  <si>
    <t>NC-04</t>
  </si>
  <si>
    <t>Valerie Foushee</t>
  </si>
  <si>
    <t>Murphy</t>
  </si>
  <si>
    <t>Valerie</t>
  </si>
  <si>
    <t>Connecticut</t>
  </si>
  <si>
    <t>Foushee</t>
  </si>
  <si>
    <t>North Carolina's 6th</t>
  </si>
  <si>
    <t>NC-06</t>
  </si>
  <si>
    <t>Kathy Manning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</si>
  <si>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</si>
  <si>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Manning</t>
  </si>
  <si>
    <t>North Carolina's 12th</t>
  </si>
  <si>
    <t>NC-12</t>
  </si>
  <si>
    <t>Alma Adams</t>
  </si>
  <si>
    <t>Alma</t>
  </si>
  <si>
    <t>Adams</t>
  </si>
  <si>
    <t>North Carolina's 13th</t>
  </si>
  <si>
    <t>NC-13</t>
  </si>
  <si>
    <t>Wiley Nickel</t>
  </si>
  <si>
    <t>Wiley</t>
  </si>
  <si>
    <t>Nickel</t>
  </si>
  <si>
    <t>North Carolina's 14th</t>
  </si>
  <si>
    <t>NC-14</t>
  </si>
  <si>
    <t>Jeff Jackson</t>
  </si>
  <si>
    <t>Ohio's 1st</t>
  </si>
  <si>
    <t>OH-01</t>
  </si>
  <si>
    <t>Greg Landsman</t>
  </si>
  <si>
    <t>Duckworth</t>
  </si>
  <si>
    <t>Landsman</t>
  </si>
  <si>
    <t>Ohio's 3rd</t>
  </si>
  <si>
    <t>OH-03</t>
  </si>
  <si>
    <t>Joyce Beatty</t>
  </si>
  <si>
    <t>Joyce</t>
  </si>
  <si>
    <t>Beatty</t>
  </si>
  <si>
    <t>Ohio's 9th</t>
  </si>
  <si>
    <t>OH-09</t>
  </si>
  <si>
    <t>Marcy Kaptur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</si>
  <si>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</si>
  <si>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Marcy</t>
  </si>
  <si>
    <t>Kaptur</t>
  </si>
  <si>
    <t>Ohio's 11th</t>
  </si>
  <si>
    <t>OH-11</t>
  </si>
  <si>
    <t>Shontel Brown</t>
  </si>
  <si>
    <t>Shontel</t>
  </si>
  <si>
    <t>Brown</t>
  </si>
  <si>
    <t>Ohio's 13th</t>
  </si>
  <si>
    <t>OH-13</t>
  </si>
  <si>
    <t>Emilia Sykes</t>
  </si>
  <si>
    <t>Emilia</t>
  </si>
  <si>
    <t>Sykes</t>
  </si>
  <si>
    <t>Amy</t>
  </si>
  <si>
    <t>Oregon's 1st</t>
  </si>
  <si>
    <t>OR-01</t>
  </si>
  <si>
    <t>Klobuchar</t>
  </si>
  <si>
    <t>Suzanne Bonamici</t>
  </si>
  <si>
    <t>Suzanne</t>
  </si>
  <si>
    <t>Bonamici</t>
  </si>
  <si>
    <t>Oregon's 3rd</t>
  </si>
  <si>
    <t>OR-03</t>
  </si>
  <si>
    <t>Earl Blumenauer</t>
  </si>
  <si>
    <t>Earl</t>
  </si>
  <si>
    <t>Blumenauer</t>
  </si>
  <si>
    <t>1996 Special</t>
  </si>
  <si>
    <t>Oregon's 4th</t>
  </si>
  <si>
    <t>OR-04</t>
  </si>
  <si>
    <t>Val Hoyle</t>
  </si>
  <si>
    <t>Val</t>
  </si>
  <si>
    <t>Hoyle</t>
  </si>
  <si>
    <t>Pennsylvania's 2nd</t>
  </si>
  <si>
    <t>PA-02</t>
  </si>
  <si>
    <t>Brendan Boyle</t>
  </si>
  <si>
    <t>Lateefah</t>
  </si>
  <si>
    <t>Simon</t>
  </si>
  <si>
    <t>Brendan</t>
  </si>
  <si>
    <t>Boyle</t>
  </si>
  <si>
    <t>Pennsylvania's 3rd</t>
  </si>
  <si>
    <t>PA-03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</si>
  <si>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</si>
  <si>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Dwight Evans</t>
  </si>
  <si>
    <t>Angus</t>
  </si>
  <si>
    <t>King</t>
  </si>
  <si>
    <t>Maine</t>
  </si>
  <si>
    <t>Dwight</t>
  </si>
  <si>
    <t>Evans</t>
  </si>
  <si>
    <t>Pennsylvania's 4th</t>
  </si>
  <si>
    <t>PA-04</t>
  </si>
  <si>
    <t>Madeleine Dean</t>
  </si>
  <si>
    <t>Madeleine</t>
  </si>
  <si>
    <t>Pennsylvania's 5th</t>
  </si>
  <si>
    <t>PA-05</t>
  </si>
  <si>
    <t>Mary Gay Scanlon</t>
  </si>
  <si>
    <t>Mary Gay</t>
  </si>
  <si>
    <t>Scanlon</t>
  </si>
  <si>
    <t>Pennsylvania's 6th</t>
  </si>
  <si>
    <t>PA-06</t>
  </si>
  <si>
    <t>Chrissy Houlahan</t>
  </si>
  <si>
    <t>Chrissy</t>
  </si>
  <si>
    <t>Houlahan</t>
  </si>
  <si>
    <t>Pennsylvania's 7th</t>
  </si>
  <si>
    <t>PA-07</t>
  </si>
  <si>
    <t>Susan Wild</t>
  </si>
  <si>
    <t>Jeanne</t>
  </si>
  <si>
    <t>Shaheen</t>
  </si>
  <si>
    <t>New Hampshire</t>
  </si>
  <si>
    <t>Susan</t>
  </si>
  <si>
    <t>Wild</t>
  </si>
  <si>
    <t>Pennsylvania's 8th</t>
  </si>
  <si>
    <t>PA-08</t>
  </si>
  <si>
    <t>Matt Cartwright</t>
  </si>
  <si>
    <t>Matt</t>
  </si>
  <si>
    <t>Cartwright</t>
  </si>
  <si>
    <t>Pennsylvania's 12th</t>
  </si>
  <si>
    <t>Summer Lee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</si>
  <si>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</si>
  <si>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Pennsylvania's 17th</t>
  </si>
  <si>
    <t>PA-17</t>
  </si>
  <si>
    <t>Chris Deluzio</t>
  </si>
  <si>
    <t>Deluzio</t>
  </si>
  <si>
    <t>California</t>
  </si>
  <si>
    <t>2008 (special)</t>
  </si>
  <si>
    <t>New Democrat, Progressive</t>
  </si>
  <si>
    <t>Pramila</t>
  </si>
  <si>
    <t>Jayapal</t>
  </si>
  <si>
    <t>WA-07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</si>
  <si>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</si>
  <si>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Jack</t>
  </si>
  <si>
    <t>Reed</t>
  </si>
  <si>
    <t>Rhode Island</t>
  </si>
  <si>
    <t>2017</t>
  </si>
  <si>
    <t>AIPAC, J Street</t>
  </si>
  <si>
    <t>Casar</t>
  </si>
  <si>
    <t>TX-35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</si>
  <si>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</si>
  <si>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Jon</t>
  </si>
  <si>
    <t>Ossoff</t>
  </si>
  <si>
    <t>Dexter</t>
  </si>
  <si>
    <t>Patty</t>
  </si>
  <si>
    <t>Murray</t>
  </si>
  <si>
    <t>Washington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</si>
  <si>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</si>
  <si>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Rhode Island's 1st</t>
  </si>
  <si>
    <t>RI-01</t>
  </si>
  <si>
    <t>David Cicilline</t>
  </si>
  <si>
    <t>Cicilline</t>
  </si>
  <si>
    <t>Rhode Island's 2nd</t>
  </si>
  <si>
    <t>RI-02</t>
  </si>
  <si>
    <t>Seth Magaziner</t>
  </si>
  <si>
    <t>Magaziner</t>
  </si>
  <si>
    <t>White - Jewish</t>
  </si>
  <si>
    <t>South Carolina's 6th</t>
  </si>
  <si>
    <t>SC-06</t>
  </si>
  <si>
    <t>Jim Clyburn</t>
  </si>
  <si>
    <t>Ron</t>
  </si>
  <si>
    <t>Wyden</t>
  </si>
  <si>
    <t>Clyburn</t>
  </si>
  <si>
    <t>1998 (special)</t>
  </si>
  <si>
    <t>Tennessee's 9th</t>
  </si>
  <si>
    <t>TN-09</t>
  </si>
  <si>
    <t>Steve Cohen</t>
  </si>
  <si>
    <t>Steve</t>
  </si>
  <si>
    <t>Cohen</t>
  </si>
  <si>
    <t>Adelita</t>
  </si>
  <si>
    <t>Texas' 7th</t>
  </si>
  <si>
    <t>TX-07</t>
  </si>
  <si>
    <t>Lizzie Fletcher</t>
  </si>
  <si>
    <t>Lizzie</t>
  </si>
  <si>
    <t>Fletcher</t>
  </si>
  <si>
    <t>Texas' 9th</t>
  </si>
  <si>
    <t>TX-09</t>
  </si>
  <si>
    <t>Al Green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</si>
  <si>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</si>
  <si>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1996 (special)</t>
  </si>
  <si>
    <t>Al</t>
  </si>
  <si>
    <t>Green</t>
  </si>
  <si>
    <t>Texas' 16th</t>
  </si>
  <si>
    <t>TX-16</t>
  </si>
  <si>
    <t>Veronica Escobar</t>
  </si>
  <si>
    <t>Signed</t>
  </si>
  <si>
    <t>Veronica</t>
  </si>
  <si>
    <t>Escobar</t>
  </si>
  <si>
    <t>Texas' 18th</t>
  </si>
  <si>
    <t>TX-18</t>
  </si>
  <si>
    <t>Sheila Jackson Lee</t>
  </si>
  <si>
    <t>Arizona</t>
  </si>
  <si>
    <t>Jackson Lee</t>
  </si>
  <si>
    <t>Texas' 20th</t>
  </si>
  <si>
    <t>TX-20</t>
  </si>
  <si>
    <t>Joaquin Castro</t>
  </si>
  <si>
    <t>Joaquin</t>
  </si>
  <si>
    <t>Castro</t>
  </si>
  <si>
    <t>Texas' 28th</t>
  </si>
  <si>
    <t>TX-28</t>
  </si>
  <si>
    <t>Henry Cuellar</t>
  </si>
  <si>
    <t>Henry</t>
  </si>
  <si>
    <t>Cuellar</t>
  </si>
  <si>
    <t>Texas' 29th</t>
  </si>
  <si>
    <t>TX-29</t>
  </si>
  <si>
    <t>Sylvia Garcia</t>
  </si>
  <si>
    <t>Sylvia</t>
  </si>
  <si>
    <t>Texas' 30th</t>
  </si>
  <si>
    <t>TX-30</t>
  </si>
  <si>
    <t>Pocan</t>
  </si>
  <si>
    <t>WI-02</t>
  </si>
  <si>
    <t>Jasmine Crockett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</si>
  <si>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</si>
  <si>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Jasmine</t>
  </si>
  <si>
    <t>Crockett</t>
  </si>
  <si>
    <t>Texas' 32nd</t>
  </si>
  <si>
    <t>TX-32</t>
  </si>
  <si>
    <t>Colin Allred</t>
  </si>
  <si>
    <t>Michael</t>
  </si>
  <si>
    <t>Bennet</t>
  </si>
  <si>
    <t>Colorado</t>
  </si>
  <si>
    <t>Colin</t>
  </si>
  <si>
    <t>Allred</t>
  </si>
  <si>
    <t>Texas' 33rd</t>
  </si>
  <si>
    <t>TX-33</t>
  </si>
  <si>
    <t>Marc Veasey</t>
  </si>
  <si>
    <t>Marc</t>
  </si>
  <si>
    <t>Veasey</t>
  </si>
  <si>
    <t>Texas' 34th</t>
  </si>
  <si>
    <t>TX-34</t>
  </si>
  <si>
    <t>Dem/Rep</t>
  </si>
  <si>
    <t>Vicente González</t>
  </si>
  <si>
    <t>Vicente</t>
  </si>
  <si>
    <t>González</t>
  </si>
  <si>
    <t>Texas' 35th</t>
  </si>
  <si>
    <t>Greg Casar</t>
  </si>
  <si>
    <t>2009 (appt.)</t>
  </si>
  <si>
    <t>Texas' 37th</t>
  </si>
  <si>
    <t>TX-37</t>
  </si>
  <si>
    <t>Lloyd Doggett</t>
  </si>
  <si>
    <t>2013</t>
  </si>
  <si>
    <t>Lloyd</t>
  </si>
  <si>
    <t>Doggett</t>
  </si>
  <si>
    <t>Vermont's At-Large</t>
  </si>
  <si>
    <t>VT-AL</t>
  </si>
  <si>
    <t>Becca Balint</t>
  </si>
  <si>
    <t>Becca</t>
  </si>
  <si>
    <t>Balint</t>
  </si>
  <si>
    <t>Alex</t>
  </si>
  <si>
    <t>Virginia's 3rd</t>
  </si>
  <si>
    <t>VA-03</t>
  </si>
  <si>
    <t>Padilla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</si>
  <si>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</si>
  <si>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Bobby Scott</t>
  </si>
  <si>
    <t>Bobby</t>
  </si>
  <si>
    <t>Multiple: Black/Asian - Filipino</t>
  </si>
  <si>
    <t>Virginia's 4th</t>
  </si>
  <si>
    <t>VA-04</t>
  </si>
  <si>
    <t>Donald McEachin</t>
  </si>
  <si>
    <t>McEachin</t>
  </si>
  <si>
    <t>Virginia's 7th</t>
  </si>
  <si>
    <t>VA-07</t>
  </si>
  <si>
    <t>Abigail Spanberger</t>
  </si>
  <si>
    <t>Abigail</t>
  </si>
  <si>
    <t>Spanberger</t>
  </si>
  <si>
    <t>Virginia's 8th</t>
  </si>
  <si>
    <t>VA-08</t>
  </si>
  <si>
    <t>Don Beyer</t>
  </si>
  <si>
    <t>2021 (appt.)</t>
  </si>
  <si>
    <t>Beyer</t>
  </si>
  <si>
    <t>Virginia's 10th</t>
  </si>
  <si>
    <t>VA-10</t>
  </si>
  <si>
    <t>Jennifer Wexton</t>
  </si>
  <si>
    <t>2001</t>
  </si>
  <si>
    <t>Jennifer</t>
  </si>
  <si>
    <t>Wexton</t>
  </si>
  <si>
    <t>Virginia's 11th</t>
  </si>
  <si>
    <t>VA-11</t>
  </si>
  <si>
    <t>Gerry Connolly</t>
  </si>
  <si>
    <t>Sheldon</t>
  </si>
  <si>
    <t>Whitehouse</t>
  </si>
  <si>
    <t>Gerry</t>
  </si>
  <si>
    <t>Connolly</t>
  </si>
  <si>
    <t>Washington's 1st</t>
  </si>
  <si>
    <t>WA-01</t>
  </si>
  <si>
    <t>Suzan DelBene</t>
  </si>
  <si>
    <t>Maxwell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</si>
  <si>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</si>
  <si>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Suzan</t>
  </si>
  <si>
    <t>DelBene</t>
  </si>
  <si>
    <t>Washington's 2nd</t>
  </si>
  <si>
    <t>WA-02</t>
  </si>
  <si>
    <t>Rick Larsen</t>
  </si>
  <si>
    <t>Rick</t>
  </si>
  <si>
    <t>Larsen</t>
  </si>
  <si>
    <t>Washington's 3rd</t>
  </si>
  <si>
    <t>WA-03</t>
  </si>
  <si>
    <t>Marie Gluesenkamp Perez</t>
  </si>
  <si>
    <t>Marie Gluesenkamp</t>
  </si>
  <si>
    <t>Perez</t>
  </si>
  <si>
    <t>Multiple: Hispanic/White</t>
  </si>
  <si>
    <t>Washington's 6th</t>
  </si>
  <si>
    <t>WA-06</t>
  </si>
  <si>
    <t>Derek Kilmer</t>
  </si>
  <si>
    <t>J Street, JDems</t>
  </si>
  <si>
    <t>Derek</t>
  </si>
  <si>
    <t>Kilmer</t>
  </si>
  <si>
    <t>Washington's 7th</t>
  </si>
  <si>
    <t>Maria</t>
  </si>
  <si>
    <t>Cantwell</t>
  </si>
  <si>
    <t>Pramila Jayapal</t>
  </si>
  <si>
    <t>Washington's 8th</t>
  </si>
  <si>
    <t>WA-08</t>
  </si>
  <si>
    <t>Kim Schrier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</si>
  <si>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</si>
  <si>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Schrier</t>
  </si>
  <si>
    <t>Washington's 9th</t>
  </si>
  <si>
    <t>WA-09</t>
  </si>
  <si>
    <t>Adam Smith</t>
  </si>
  <si>
    <t>Washington's 10th</t>
  </si>
  <si>
    <t>WA-10</t>
  </si>
  <si>
    <t>Marilyn Strickland</t>
  </si>
  <si>
    <t>Marilyn</t>
  </si>
  <si>
    <t>Strickland</t>
  </si>
  <si>
    <t>Multiple: Black/Asian - Korean</t>
  </si>
  <si>
    <t>Wisconsin's 2nd</t>
  </si>
  <si>
    <t>Mark Pocan</t>
  </si>
  <si>
    <t>Maggie</t>
  </si>
  <si>
    <t>Hassan</t>
  </si>
  <si>
    <t>2003</t>
  </si>
  <si>
    <t>Wisconsin's 4th</t>
  </si>
  <si>
    <t>WI-04</t>
  </si>
  <si>
    <t>Gwen Moore</t>
  </si>
  <si>
    <t>Gwen</t>
  </si>
  <si>
    <t>Moore</t>
  </si>
  <si>
    <t>Alabama's 1st</t>
  </si>
  <si>
    <t>AL-01</t>
  </si>
  <si>
    <t>Jerry Carl</t>
  </si>
  <si>
    <t>Rep</t>
  </si>
  <si>
    <t>Carl</t>
  </si>
  <si>
    <t>Alabama's 2nd</t>
  </si>
  <si>
    <t>AL-02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</si>
  <si>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</si>
  <si>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Barry Moore</t>
  </si>
  <si>
    <t>Barry</t>
  </si>
  <si>
    <t>Alabama's 3rd</t>
  </si>
  <si>
    <t>AL-03</t>
  </si>
  <si>
    <t>Mike Rogers</t>
  </si>
  <si>
    <t>Rogers</t>
  </si>
  <si>
    <t>Alabama's 4th</t>
  </si>
  <si>
    <t>AL-04</t>
  </si>
  <si>
    <t>Robert Aderholt</t>
  </si>
  <si>
    <t>Hickenlooper</t>
  </si>
  <si>
    <t>Aderholt</t>
  </si>
  <si>
    <t>Alabama's 5th</t>
  </si>
  <si>
    <t>AL-05</t>
  </si>
  <si>
    <t>Dale Strong</t>
  </si>
  <si>
    <t>Dale</t>
  </si>
  <si>
    <t>Strong</t>
  </si>
  <si>
    <t>Alabama's 6th</t>
  </si>
  <si>
    <t>AL-06</t>
  </si>
  <si>
    <t>2015</t>
  </si>
  <si>
    <t>Gary Palmer</t>
  </si>
  <si>
    <t>Gary</t>
  </si>
  <si>
    <t>Palmer</t>
  </si>
  <si>
    <t>Arizona's 2nd</t>
  </si>
  <si>
    <t>AZ-02</t>
  </si>
  <si>
    <t>Eli Crane</t>
  </si>
  <si>
    <t>Eli</t>
  </si>
  <si>
    <t>Crane</t>
  </si>
  <si>
    <t>Arizona's 5th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</si>
  <si>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</si>
  <si>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AZ-05</t>
  </si>
  <si>
    <t>Andy Biggs</t>
  </si>
  <si>
    <t>Biggs</t>
  </si>
  <si>
    <t>Arizona's 8th</t>
  </si>
  <si>
    <t>AZ-08</t>
  </si>
  <si>
    <t>Debbie Lesko</t>
  </si>
  <si>
    <t>Lesko</t>
  </si>
  <si>
    <t>Arizona's 9th</t>
  </si>
  <si>
    <t>AZ-09</t>
  </si>
  <si>
    <t>Paul Gosar</t>
  </si>
  <si>
    <t>Gosar</t>
  </si>
  <si>
    <t>Arkansas' 1st</t>
  </si>
  <si>
    <t>AR-01</t>
  </si>
  <si>
    <t>Rick Crawford</t>
  </si>
  <si>
    <t>1993</t>
  </si>
  <si>
    <t>Crawford</t>
  </si>
  <si>
    <t>Arkansas' 2nd</t>
  </si>
  <si>
    <t>AR-02</t>
  </si>
  <si>
    <t>French Hill</t>
  </si>
  <si>
    <t>Cory</t>
  </si>
  <si>
    <t>Booker</t>
  </si>
  <si>
    <t>French</t>
  </si>
  <si>
    <t>Hill</t>
  </si>
  <si>
    <t>Arkansas' 3rd</t>
  </si>
  <si>
    <t>AR-03</t>
  </si>
  <si>
    <t>Steve Womack</t>
  </si>
  <si>
    <r>
      <rPr>
        <color rgb="FF1155CC"/>
        <sz val="10.0"/>
        <u/>
      </rPr>
      <t>YES</t>
    </r>
    <r>
      <rPr>
        <sz val="10.0"/>
      </rPr>
      <t xml:space="preserve"> - signed reso</t>
    </r>
  </si>
  <si>
    <t>Womack</t>
  </si>
  <si>
    <t>Arkansas' 4th</t>
  </si>
  <si>
    <t>AR-04</t>
  </si>
  <si>
    <t>Bruce Westerman</t>
  </si>
  <si>
    <t>Bruce</t>
  </si>
  <si>
    <t>Westerman</t>
  </si>
  <si>
    <t>California's 1st</t>
  </si>
  <si>
    <t>CA-01</t>
  </si>
  <si>
    <t>Doug LaMalfa</t>
  </si>
  <si>
    <t>Richard</t>
  </si>
  <si>
    <t>Blumenthal</t>
  </si>
  <si>
    <t>Doug</t>
  </si>
  <si>
    <t>LaMalfa</t>
  </si>
  <si>
    <t>California's 5th</t>
  </si>
  <si>
    <t>CA-05</t>
  </si>
  <si>
    <t>Tom McClintock</t>
  </si>
  <si>
    <t>Tom</t>
  </si>
  <si>
    <t>McClintock</t>
  </si>
  <si>
    <t>California's 20th</t>
  </si>
  <si>
    <t>CA-20</t>
  </si>
  <si>
    <t>Kevin McCarthy</t>
  </si>
  <si>
    <t>McCarthy</t>
  </si>
  <si>
    <t>California's 23rd</t>
  </si>
  <si>
    <t>CA-23</t>
  </si>
  <si>
    <t>Jay Obernolte</t>
  </si>
  <si>
    <t>2007</t>
  </si>
  <si>
    <t>Jay</t>
  </si>
  <si>
    <t>Obernolte</t>
  </si>
  <si>
    <t>California's 40th</t>
  </si>
  <si>
    <t>CA-40</t>
  </si>
  <si>
    <t>Young Kim</t>
  </si>
  <si>
    <t>Coons</t>
  </si>
  <si>
    <t>Young</t>
  </si>
  <si>
    <t>California's 48th</t>
  </si>
  <si>
    <t>CA-48</t>
  </si>
  <si>
    <t>Darrell Issa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</si>
  <si>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</si>
  <si>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Darrell</t>
  </si>
  <si>
    <t>Issa</t>
  </si>
  <si>
    <t>2020, 2000-2018</t>
  </si>
  <si>
    <t>Multiple: White/Middle Eastern - Lebanese</t>
  </si>
  <si>
    <t>Colorado's 4th</t>
  </si>
  <si>
    <t>CO-04</t>
  </si>
  <si>
    <t>Ken Buck</t>
  </si>
  <si>
    <t>Ken</t>
  </si>
  <si>
    <t>Buck</t>
  </si>
  <si>
    <t>Colorado's 5th</t>
  </si>
  <si>
    <t>CO-05</t>
  </si>
  <si>
    <t>Doug Lamborn</t>
  </si>
  <si>
    <t>2010 (special)</t>
  </si>
  <si>
    <t>Lamborn</t>
  </si>
  <si>
    <t>Florida's 1st</t>
  </si>
  <si>
    <t>FL-01</t>
  </si>
  <si>
    <t>Matt Gaetz</t>
  </si>
  <si>
    <t>Gaetz</t>
  </si>
  <si>
    <t>Florida's 2nd</t>
  </si>
  <si>
    <t>FL-02</t>
  </si>
  <si>
    <t>Chuck</t>
  </si>
  <si>
    <t>Neal Dunn</t>
  </si>
  <si>
    <t>Schumer</t>
  </si>
  <si>
    <t>New York</t>
  </si>
  <si>
    <t>1991</t>
  </si>
  <si>
    <t>Dunn</t>
  </si>
  <si>
    <t>Florida's 3rd</t>
  </si>
  <si>
    <t>FL-03</t>
  </si>
  <si>
    <t>Kat Cammack</t>
  </si>
  <si>
    <t>Kat</t>
  </si>
  <si>
    <t>Cammack</t>
  </si>
  <si>
    <t>Florida's 4th</t>
  </si>
  <si>
    <t>FL-04</t>
  </si>
  <si>
    <t>Open</t>
  </si>
  <si>
    <t>Aaron Bean</t>
  </si>
  <si>
    <t>Aaron</t>
  </si>
  <si>
    <t>Bean</t>
  </si>
  <si>
    <t>Florida's 5th</t>
  </si>
  <si>
    <t>FL-05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</si>
  <si>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</si>
  <si>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John Rutherford</t>
  </si>
  <si>
    <t>Rutherford</t>
  </si>
  <si>
    <t>Florida's 6th</t>
  </si>
  <si>
    <t>FL-06</t>
  </si>
  <si>
    <t>Mike Waltz</t>
  </si>
  <si>
    <t>Waltz</t>
  </si>
  <si>
    <t>Florida's 7th</t>
  </si>
  <si>
    <t>FL-07</t>
  </si>
  <si>
    <t>Cory Mills</t>
  </si>
  <si>
    <t>Mills</t>
  </si>
  <si>
    <t>Florida's 8th</t>
  </si>
  <si>
    <t>FL-08</t>
  </si>
  <si>
    <t>Bill Posey</t>
  </si>
  <si>
    <t>Posey</t>
  </si>
  <si>
    <t>Florida's 11th</t>
  </si>
  <si>
    <t>FL-11</t>
  </si>
  <si>
    <t>Daniel Webster</t>
  </si>
  <si>
    <t>Daniel</t>
  </si>
  <si>
    <t>Webster</t>
  </si>
  <si>
    <t>Florida's 12th</t>
  </si>
  <si>
    <t>FL-12</t>
  </si>
  <si>
    <t>Gus Bilirakis</t>
  </si>
  <si>
    <t>New Democrat</t>
  </si>
  <si>
    <t>Gus</t>
  </si>
  <si>
    <t>Bilirakis</t>
  </si>
  <si>
    <t>Florida's 13th</t>
  </si>
  <si>
    <t>FL-13</t>
  </si>
  <si>
    <t>Anna Paulina Luna</t>
  </si>
  <si>
    <t>Anna Paulina</t>
  </si>
  <si>
    <t>Luna</t>
  </si>
  <si>
    <t>Multiple: Hispanic - Mexican/White</t>
  </si>
  <si>
    <t>Florida's 15th</t>
  </si>
  <si>
    <t>FL-15</t>
  </si>
  <si>
    <t>Laurel Lee</t>
  </si>
  <si>
    <t>Laurel</t>
  </si>
  <si>
    <t>Florida's 16th</t>
  </si>
  <si>
    <t>FL-16</t>
  </si>
  <si>
    <t>Vern Buchanan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</si>
  <si>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</si>
  <si>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Vern</t>
  </si>
  <si>
    <t>Buchanan</t>
  </si>
  <si>
    <t>Florida's 17th</t>
  </si>
  <si>
    <t>FL-17</t>
  </si>
  <si>
    <t>Greg Steube</t>
  </si>
  <si>
    <t>Steube</t>
  </si>
  <si>
    <t>Florida's 18th</t>
  </si>
  <si>
    <t>FL-18</t>
  </si>
  <si>
    <t>Scott Franklin</t>
  </si>
  <si>
    <t>Franklin</t>
  </si>
  <si>
    <t>Florida's 19th</t>
  </si>
  <si>
    <t>FL-19</t>
  </si>
  <si>
    <t>Byron Donalds</t>
  </si>
  <si>
    <t>Byron</t>
  </si>
  <si>
    <t>Donalds</t>
  </si>
  <si>
    <t>Warner</t>
  </si>
  <si>
    <t>Florida's 21st</t>
  </si>
  <si>
    <t>FL-21</t>
  </si>
  <si>
    <t>Brian Mast</t>
  </si>
  <si>
    <t>Mast</t>
  </si>
  <si>
    <t>Florida's 26th</t>
  </si>
  <si>
    <t>FL-26</t>
  </si>
  <si>
    <t>Mario Diaz-Balart</t>
  </si>
  <si>
    <t>Mario</t>
  </si>
  <si>
    <t>Diaz-Balart</t>
  </si>
  <si>
    <t>Florida's 27th</t>
  </si>
  <si>
    <t>FL-27</t>
  </si>
  <si>
    <t>María Elvira Salazar</t>
  </si>
  <si>
    <t>María Elvira</t>
  </si>
  <si>
    <t>Salazar</t>
  </si>
  <si>
    <t>Florida's 28th</t>
  </si>
  <si>
    <t>FL-28</t>
  </si>
  <si>
    <t>Carlos Giménez</t>
  </si>
  <si>
    <t>Carlos</t>
  </si>
  <si>
    <t>Giménez</t>
  </si>
  <si>
    <t>Georgia's 1st</t>
  </si>
  <si>
    <t>Says ceasefire=pause</t>
  </si>
  <si>
    <t>GA-01</t>
  </si>
  <si>
    <t>Buddy Carter</t>
  </si>
  <si>
    <t>Buddy</t>
  </si>
  <si>
    <t>Georgia's 3rd</t>
  </si>
  <si>
    <t>GA-03</t>
  </si>
  <si>
    <t>Drew Ferguson</t>
  </si>
  <si>
    <t>Drew</t>
  </si>
  <si>
    <t>Ferguson</t>
  </si>
  <si>
    <t>Georgia's 6th</t>
  </si>
  <si>
    <t>GA-06</t>
  </si>
  <si>
    <t>Rich McCormick</t>
  </si>
  <si>
    <t>Catherine</t>
  </si>
  <si>
    <t>Cortez Masto</t>
  </si>
  <si>
    <t>Rich</t>
  </si>
  <si>
    <t>Nevada</t>
  </si>
  <si>
    <t>McCormick</t>
  </si>
  <si>
    <t>Georgia's 8th</t>
  </si>
  <si>
    <t>GA-08</t>
  </si>
  <si>
    <t>Austin Scott</t>
  </si>
  <si>
    <t>Austin</t>
  </si>
  <si>
    <t>Georgia's 9th</t>
  </si>
  <si>
    <t>GA-09</t>
  </si>
  <si>
    <t>Andrew Clyde</t>
  </si>
  <si>
    <t>Andrew</t>
  </si>
  <si>
    <t>Clyde</t>
  </si>
  <si>
    <t>Georgia's 10th</t>
  </si>
  <si>
    <t>GA-10</t>
  </si>
  <si>
    <t>Mike Collins</t>
  </si>
  <si>
    <t>Collins</t>
  </si>
  <si>
    <t>Georgia's 11th</t>
  </si>
  <si>
    <t>GA-11</t>
  </si>
  <si>
    <t>Barry Loudermilk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</si>
  <si>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</si>
  <si>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Loudermilk</t>
  </si>
  <si>
    <t>Georgia's 12th</t>
  </si>
  <si>
    <t>GA-12</t>
  </si>
  <si>
    <t>Rick Allen</t>
  </si>
  <si>
    <t>Fetterman</t>
  </si>
  <si>
    <t>Pennsylvania</t>
  </si>
  <si>
    <t>Allen</t>
  </si>
  <si>
    <t>Georgia's 14th</t>
  </si>
  <si>
    <t>GA-14</t>
  </si>
  <si>
    <t>Marjorie Taylor Greene</t>
  </si>
  <si>
    <t>Marjorie Taylor</t>
  </si>
  <si>
    <t>Greene</t>
  </si>
  <si>
    <t>Idaho's 1st</t>
  </si>
  <si>
    <t>ID-01</t>
  </si>
  <si>
    <t>Russ Fulcher</t>
  </si>
  <si>
    <t>Russ</t>
  </si>
  <si>
    <t>Fulcher</t>
  </si>
  <si>
    <t>Emily</t>
  </si>
  <si>
    <t>Idaho's 2nd</t>
  </si>
  <si>
    <t>ID-02</t>
  </si>
  <si>
    <t>Randall</t>
  </si>
  <si>
    <t>Mike Simpson</t>
  </si>
  <si>
    <t>2009</t>
  </si>
  <si>
    <t>Simpson</t>
  </si>
  <si>
    <t>Illinois' 12th</t>
  </si>
  <si>
    <t>IL-12</t>
  </si>
  <si>
    <t>Mike Bost</t>
  </si>
  <si>
    <t>Bost</t>
  </si>
  <si>
    <t>Illinois' 15th</t>
  </si>
  <si>
    <t>IL-15</t>
  </si>
  <si>
    <t>Mary Miller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</si>
  <si>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</si>
  <si>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Kirsten</t>
  </si>
  <si>
    <t>Mary</t>
  </si>
  <si>
    <t>Gillibrand</t>
  </si>
  <si>
    <t>Miller</t>
  </si>
  <si>
    <t>Illinois' 16th</t>
  </si>
  <si>
    <t>IL-16</t>
  </si>
  <si>
    <t>Darin LaHood</t>
  </si>
  <si>
    <t>Darin</t>
  </si>
  <si>
    <t>LaHood</t>
  </si>
  <si>
    <t>2015 Special</t>
  </si>
  <si>
    <t>Indiana's 2nd</t>
  </si>
  <si>
    <t>IN-02</t>
  </si>
  <si>
    <t>Rudy Yakym</t>
  </si>
  <si>
    <t>Rudy</t>
  </si>
  <si>
    <t>Yakym</t>
  </si>
  <si>
    <t>Indiana's 3rd</t>
  </si>
  <si>
    <t>IN-03</t>
  </si>
  <si>
    <t>Jim Banks</t>
  </si>
  <si>
    <t>Banks</t>
  </si>
  <si>
    <t>2009 (appt., special)</t>
  </si>
  <si>
    <t>Indiana's 4th</t>
  </si>
  <si>
    <t>IN-04</t>
  </si>
  <si>
    <t>Jim Baird</t>
  </si>
  <si>
    <t>1997</t>
  </si>
  <si>
    <t>Baird</t>
  </si>
  <si>
    <t>Indiana's 5th</t>
  </si>
  <si>
    <t>IN-05</t>
  </si>
  <si>
    <t>Victoria Spartz</t>
  </si>
  <si>
    <t>Jacky</t>
  </si>
  <si>
    <t>Rosen</t>
  </si>
  <si>
    <t>Victoria</t>
  </si>
  <si>
    <t>Spartz</t>
  </si>
  <si>
    <t>White - Ukranian</t>
  </si>
  <si>
    <t>Indiana's 6th</t>
  </si>
  <si>
    <t>IN-06</t>
  </si>
  <si>
    <t>Greg Pence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</si>
  <si>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</si>
  <si>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Pence</t>
  </si>
  <si>
    <t>Indiana's 8th</t>
  </si>
  <si>
    <t>IN-08</t>
  </si>
  <si>
    <t>Larry Bucshon</t>
  </si>
  <si>
    <t>Larry</t>
  </si>
  <si>
    <t>Bucshon</t>
  </si>
  <si>
    <t>Indiana's 9th</t>
  </si>
  <si>
    <t>IN-09</t>
  </si>
  <si>
    <t>Erin Houchin</t>
  </si>
  <si>
    <t>Erin</t>
  </si>
  <si>
    <t>Houchin</t>
  </si>
  <si>
    <t>Iowa's 1st</t>
  </si>
  <si>
    <t>IA-01</t>
  </si>
  <si>
    <t>Mariannette Miller-Meeks</t>
  </si>
  <si>
    <t>Mariannette</t>
  </si>
  <si>
    <t>Miller-Meeks</t>
  </si>
  <si>
    <t>Iowa's 2nd</t>
  </si>
  <si>
    <t>IA-02</t>
  </si>
  <si>
    <t>Ashley Hinson</t>
  </si>
  <si>
    <t>Ashley</t>
  </si>
  <si>
    <t>Hinson</t>
  </si>
  <si>
    <t>Iowa's 3rd</t>
  </si>
  <si>
    <t>IA-03</t>
  </si>
  <si>
    <t>Zach Nunn</t>
  </si>
  <si>
    <t>Zach</t>
  </si>
  <si>
    <t>Nunn</t>
  </si>
  <si>
    <t>Iowa's 4th</t>
  </si>
  <si>
    <t>IA-04</t>
  </si>
  <si>
    <t>Randy Feenstra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</si>
  <si>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</si>
  <si>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Randy</t>
  </si>
  <si>
    <t>Feenstra</t>
  </si>
  <si>
    <t>Kansas' 1st</t>
  </si>
  <si>
    <t>KS-01</t>
  </si>
  <si>
    <t>Tracey Mann</t>
  </si>
  <si>
    <t>Tracey</t>
  </si>
  <si>
    <t>Mann</t>
  </si>
  <si>
    <t>Kansas' 2nd</t>
  </si>
  <si>
    <t>KS-02</t>
  </si>
  <si>
    <t>Jake LaTurner</t>
  </si>
  <si>
    <t>LaTurner</t>
  </si>
  <si>
    <t>Kansas' 4th</t>
  </si>
  <si>
    <t>KS-04</t>
  </si>
  <si>
    <t>Ron Estes</t>
  </si>
  <si>
    <t>LaMonica</t>
  </si>
  <si>
    <t>McIver</t>
  </si>
  <si>
    <t>Estes</t>
  </si>
  <si>
    <t>2017 Special</t>
  </si>
  <si>
    <t>Kentucky's 1st</t>
  </si>
  <si>
    <t>KY-01</t>
  </si>
  <si>
    <t>James Comer</t>
  </si>
  <si>
    <t>James</t>
  </si>
  <si>
    <t>Comer</t>
  </si>
  <si>
    <t>Kentucky's 2nd</t>
  </si>
  <si>
    <t>KY-02</t>
  </si>
  <si>
    <t>Brett Guthrie</t>
  </si>
  <si>
    <t>Brett</t>
  </si>
  <si>
    <t>Guthrie</t>
  </si>
  <si>
    <t>Kentucky's 4th</t>
  </si>
  <si>
    <t>KY-04</t>
  </si>
  <si>
    <t>Thomas Massie</t>
  </si>
  <si>
    <t>Thomas</t>
  </si>
  <si>
    <t>Massie</t>
  </si>
  <si>
    <t>Kentucky's 5th</t>
  </si>
  <si>
    <t>KY-05</t>
  </si>
  <si>
    <t>Hal Rogers</t>
  </si>
  <si>
    <t>Only if Hamas ousted</t>
  </si>
  <si>
    <t>Hal</t>
  </si>
  <si>
    <t>Kentucky's 6th</t>
  </si>
  <si>
    <t>KY-06</t>
  </si>
  <si>
    <t>Andy Barr</t>
  </si>
  <si>
    <t>Barr</t>
  </si>
  <si>
    <t>Louisiana's 1st</t>
  </si>
  <si>
    <t>LA-01</t>
  </si>
  <si>
    <t>Steve Scalise</t>
  </si>
  <si>
    <t>Scalise</t>
  </si>
  <si>
    <t>Louisiana's 3rd</t>
  </si>
  <si>
    <t>LA-03</t>
  </si>
  <si>
    <t>Clay Higgins</t>
  </si>
  <si>
    <t>Clay</t>
  </si>
  <si>
    <t>Louisiana's 4th</t>
  </si>
  <si>
    <t>LA-04</t>
  </si>
  <si>
    <t>Mike Johnson</t>
  </si>
  <si>
    <t>2009 (special)</t>
  </si>
  <si>
    <t>Louisiana's 5th</t>
  </si>
  <si>
    <t>LA-05</t>
  </si>
  <si>
    <t>Julia Letlow</t>
  </si>
  <si>
    <t>Letlow</t>
  </si>
  <si>
    <t>Louisiana's 6th</t>
  </si>
  <si>
    <t>LA-06</t>
  </si>
  <si>
    <t>Garret Graves</t>
  </si>
  <si>
    <t>Total Palestine Score</t>
  </si>
  <si>
    <t>Garret</t>
  </si>
  <si>
    <t>Graves</t>
  </si>
  <si>
    <t>Maryland's 1st</t>
  </si>
  <si>
    <t>MD-01</t>
  </si>
  <si>
    <t>Andy Harris</t>
  </si>
  <si>
    <t>Harris</t>
  </si>
  <si>
    <t>Michigan's 1st</t>
  </si>
  <si>
    <t>MI-01</t>
  </si>
  <si>
    <t>Jack Bergman</t>
  </si>
  <si>
    <t>Bergman</t>
  </si>
  <si>
    <t>Michigan's 2nd</t>
  </si>
  <si>
    <t>MI-02</t>
  </si>
  <si>
    <t>John Moolenaar</t>
  </si>
  <si>
    <t>Moolenaar</t>
  </si>
  <si>
    <t>Michigan's 4th</t>
  </si>
  <si>
    <t>Signatory</t>
  </si>
  <si>
    <t>MI-04</t>
  </si>
  <si>
    <t>Bill Huizenga</t>
  </si>
  <si>
    <t>Huizenga</t>
  </si>
  <si>
    <t>Michigan's 5th</t>
  </si>
  <si>
    <t>MI-05</t>
  </si>
  <si>
    <t>Tim Walberg</t>
  </si>
  <si>
    <t>Walberg</t>
  </si>
  <si>
    <t>2010, 2006-2008</t>
  </si>
  <si>
    <t>Michigan's 9th</t>
  </si>
  <si>
    <t>MI-09</t>
  </si>
  <si>
    <t>Lisa McClain</t>
  </si>
  <si>
    <t>McClain</t>
  </si>
  <si>
    <t>Michigan's 10th</t>
  </si>
  <si>
    <t>MI-10</t>
  </si>
  <si>
    <t>"Prioritize moving toward a humanitarian ceasefire" and ousting Hamas</t>
  </si>
  <si>
    <t>John James</t>
  </si>
  <si>
    <t>Minnesota's 1st</t>
  </si>
  <si>
    <t>MN-01</t>
  </si>
  <si>
    <t>Brad Finstad</t>
  </si>
  <si>
    <t>Cloture on $95B Israel, Ukraine, Taiwan funding</t>
  </si>
  <si>
    <t>Finstad</t>
  </si>
  <si>
    <t>Minnesota's 6th</t>
  </si>
  <si>
    <t>MN-06</t>
  </si>
  <si>
    <t>Tom Emmer</t>
  </si>
  <si>
    <t>Emmer</t>
  </si>
  <si>
    <t>Minnesota's 7th</t>
  </si>
  <si>
    <t>MN-07</t>
  </si>
  <si>
    <t>Michelle Fischbach</t>
  </si>
  <si>
    <t>Michelle</t>
  </si>
  <si>
    <t>Fischbach</t>
  </si>
  <si>
    <t>Minnesota's 8th</t>
  </si>
  <si>
    <t>MN-08</t>
  </si>
  <si>
    <t>Pete Stauber</t>
  </si>
  <si>
    <t>Cloture on $106B for Israel, Ukraine, Taiwan</t>
  </si>
  <si>
    <t>2005</t>
  </si>
  <si>
    <t>Stauber</t>
  </si>
  <si>
    <t>Mississippi's 1st</t>
  </si>
  <si>
    <t>MS-01</t>
  </si>
  <si>
    <t>Trent Kelly</t>
  </si>
  <si>
    <t>Trent</t>
  </si>
  <si>
    <t>Mississippi's 3rd</t>
  </si>
  <si>
    <t>MS-03</t>
  </si>
  <si>
    <t>Weapons to Israel</t>
  </si>
  <si>
    <t>Michael Guest</t>
  </si>
  <si>
    <r>
      <rPr>
        <rFont val="Arial"/>
        <b/>
        <i/>
        <color theme="1"/>
        <sz val="10.0"/>
      </rPr>
      <t>AIPAC contributions</t>
    </r>
    <r>
      <rPr>
        <rFont val="Arial"/>
        <b/>
        <i/>
        <color theme="1"/>
        <sz val="10.0"/>
      </rPr>
      <t xml:space="preserve"> (direct + bundled from other donors)</t>
    </r>
  </si>
  <si>
    <t>Guest</t>
  </si>
  <si>
    <t>Mississippi's 4th</t>
  </si>
  <si>
    <t>MS-04</t>
  </si>
  <si>
    <t>Mike Ezell</t>
  </si>
  <si>
    <t>Supports ceasefire?</t>
  </si>
  <si>
    <t>Ezell</t>
  </si>
  <si>
    <t>Missouri's 2nd</t>
  </si>
  <si>
    <t>MO-02</t>
  </si>
  <si>
    <t>Ann Wagner</t>
  </si>
  <si>
    <t>Ann</t>
  </si>
  <si>
    <t>Wagner</t>
  </si>
  <si>
    <t>Missouri's 3rd</t>
  </si>
  <si>
    <t>MO-03</t>
  </si>
  <si>
    <t>Blaine Luetkemeyer</t>
  </si>
  <si>
    <t>Blaine</t>
  </si>
  <si>
    <t>Luetkemeyer</t>
  </si>
  <si>
    <t>Missouri's 4th</t>
  </si>
  <si>
    <t>MO-04</t>
  </si>
  <si>
    <t>Mark Alford</t>
  </si>
  <si>
    <t>Alford</t>
  </si>
  <si>
    <t>Missouri's 6th</t>
  </si>
  <si>
    <t>MO-06</t>
  </si>
  <si>
    <t>Sam Graves</t>
  </si>
  <si>
    <t>Sam</t>
  </si>
  <si>
    <t>Missouri's 7th</t>
  </si>
  <si>
    <t>MO-07</t>
  </si>
  <si>
    <t>Eric Burlison</t>
  </si>
  <si>
    <t>Burlison</t>
  </si>
  <si>
    <t>Missouri's 8th</t>
  </si>
  <si>
    <t>MO-08</t>
  </si>
  <si>
    <t>Jason Smith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</si>
  <si>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</si>
  <si>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Montana's 1st</t>
  </si>
  <si>
    <t>MT-01</t>
  </si>
  <si>
    <t>Ryan Zinke</t>
  </si>
  <si>
    <t>Zinke</t>
  </si>
  <si>
    <t>2014-2017</t>
  </si>
  <si>
    <t>Montana's 2nd</t>
  </si>
  <si>
    <t>MT-02</t>
  </si>
  <si>
    <t>Matt Rosendale</t>
  </si>
  <si>
    <t>Rosendale</t>
  </si>
  <si>
    <t>Nebraska's 1st</t>
  </si>
  <si>
    <t>NE-01</t>
  </si>
  <si>
    <t>Mike Flood</t>
  </si>
  <si>
    <t>Flood</t>
  </si>
  <si>
    <t>Nebraska's 2nd</t>
  </si>
  <si>
    <t>NE-02</t>
  </si>
  <si>
    <t>Don Bacon</t>
  </si>
  <si>
    <t>YES</t>
  </si>
  <si>
    <t>Bacon</t>
  </si>
  <si>
    <t>Nebraska's 3rd</t>
  </si>
  <si>
    <t>NE-03</t>
  </si>
  <si>
    <t>Adrian Smith</t>
  </si>
  <si>
    <t>Adrian</t>
  </si>
  <si>
    <t>Nevada's 2nd</t>
  </si>
  <si>
    <t>NV-02</t>
  </si>
  <si>
    <t>Mark Amodei</t>
  </si>
  <si>
    <t>Amodei</t>
  </si>
  <si>
    <t>2011 Special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</si>
  <si>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</si>
  <si>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UNCLEAR</t>
  </si>
  <si>
    <t>New Jersey's 2nd</t>
  </si>
  <si>
    <t>NJ-02</t>
  </si>
  <si>
    <t>Jeff Van Drew</t>
  </si>
  <si>
    <t>Van Drew</t>
  </si>
  <si>
    <t>New Jersey's 4th</t>
  </si>
  <si>
    <t>NJ-04</t>
  </si>
  <si>
    <t>Chris Smith</t>
  </si>
  <si>
    <t>New Jersey's 7th</t>
  </si>
  <si>
    <t>NJ-07</t>
  </si>
  <si>
    <t>Tom Kean</t>
  </si>
  <si>
    <t>Kean</t>
  </si>
  <si>
    <t>New York's 1st</t>
  </si>
  <si>
    <t>NY-01</t>
  </si>
  <si>
    <t>Nick LaLota</t>
  </si>
  <si>
    <t>Nick</t>
  </si>
  <si>
    <t>LaLota</t>
  </si>
  <si>
    <t>New York's 2nd</t>
  </si>
  <si>
    <t>NY-02</t>
  </si>
  <si>
    <t>Andrew Garbarino</t>
  </si>
  <si>
    <t>Garbarino</t>
  </si>
  <si>
    <t>New York's 3rd</t>
  </si>
  <si>
    <t>NY-03</t>
  </si>
  <si>
    <t>George Santos</t>
  </si>
  <si>
    <t>George</t>
  </si>
  <si>
    <t>Santos</t>
  </si>
  <si>
    <t>Multiple: Latino - Brazilian/White</t>
  </si>
  <si>
    <t>New York's 4th</t>
  </si>
  <si>
    <t>NY-04</t>
  </si>
  <si>
    <t>Anthony D'Esposito</t>
  </si>
  <si>
    <r>
      <rPr>
        <color rgb="FF1155CC"/>
        <sz val="10.0"/>
        <u/>
      </rPr>
      <t>YES</t>
    </r>
    <r>
      <rPr>
        <color rgb="FF000000"/>
        <sz val="10.0"/>
      </rPr>
      <t xml:space="preserve"> - not on reso</t>
    </r>
  </si>
  <si>
    <t>Anthony</t>
  </si>
  <si>
    <t>D'Esposito</t>
  </si>
  <si>
    <t>New York's 11th</t>
  </si>
  <si>
    <t>NY-11</t>
  </si>
  <si>
    <t>Nicole Malliotakis</t>
  </si>
  <si>
    <t>Nicole</t>
  </si>
  <si>
    <t>Malliotakis</t>
  </si>
  <si>
    <t>Multiple: Hispanic - Cuban/White</t>
  </si>
  <si>
    <t>New York's 17th</t>
  </si>
  <si>
    <t>NY-17</t>
  </si>
  <si>
    <t>Mike Lawler</t>
  </si>
  <si>
    <t>Lawler</t>
  </si>
  <si>
    <t>New York's 19th</t>
  </si>
  <si>
    <t>NY-19</t>
  </si>
  <si>
    <t>Marc Molinaro</t>
  </si>
  <si>
    <t>Sarah</t>
  </si>
  <si>
    <t>McBride</t>
  </si>
  <si>
    <t>Molinaro</t>
  </si>
  <si>
    <t>New York's 21st</t>
  </si>
  <si>
    <t>NY-21</t>
  </si>
  <si>
    <t>Elise Stefanik</t>
  </si>
  <si>
    <t>Elise</t>
  </si>
  <si>
    <t>Stefanik</t>
  </si>
  <si>
    <t>New York's 23rd</t>
  </si>
  <si>
    <t>NY-23</t>
  </si>
  <si>
    <t>Nick Langworthy</t>
  </si>
  <si>
    <t>Langworthy</t>
  </si>
  <si>
    <t>New York's 24th</t>
  </si>
  <si>
    <t>NY-24</t>
  </si>
  <si>
    <t>Claudia Tenney</t>
  </si>
  <si>
    <t>Claudia</t>
  </si>
  <si>
    <t>Tenney</t>
  </si>
  <si>
    <t>2020, 2016-2018</t>
  </si>
  <si>
    <t>North Carolina's 3rd</t>
  </si>
  <si>
    <t>NC-03</t>
  </si>
  <si>
    <t>Greg Murphy</t>
  </si>
  <si>
    <t>2019 Special</t>
  </si>
  <si>
    <t>North Carolina's 5th</t>
  </si>
  <si>
    <t>NC-05</t>
  </si>
  <si>
    <t>Virginia Foxx</t>
  </si>
  <si>
    <t>Foxx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</si>
  <si>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</si>
  <si>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North Carolina's 7th</t>
  </si>
  <si>
    <t>NC-07</t>
  </si>
  <si>
    <t>David Rouzer</t>
  </si>
  <si>
    <t>Rouzer</t>
  </si>
  <si>
    <t>North Carolina's 8th</t>
  </si>
  <si>
    <t>NC-08</t>
  </si>
  <si>
    <t>Dan Bishop</t>
  </si>
  <si>
    <t>North Carolina's 9th</t>
  </si>
  <si>
    <t>NC-09</t>
  </si>
  <si>
    <t>Richard Hudson</t>
  </si>
  <si>
    <t>Hudson</t>
  </si>
  <si>
    <t>North Carolina's 10th</t>
  </si>
  <si>
    <t>NC-10</t>
  </si>
  <si>
    <t>Patrick McHenry</t>
  </si>
  <si>
    <t>Patrick</t>
  </si>
  <si>
    <t>McHenry</t>
  </si>
  <si>
    <t>North Carolina's 11th</t>
  </si>
  <si>
    <t>NC-11</t>
  </si>
  <si>
    <t>Chuck Edwards</t>
  </si>
  <si>
    <t>AIPAC, DMFI</t>
  </si>
  <si>
    <t>Edwards</t>
  </si>
  <si>
    <t>North Dakota's At-Large</t>
  </si>
  <si>
    <t>ND-AL</t>
  </si>
  <si>
    <t>Kelly Armstrong</t>
  </si>
  <si>
    <t>Armstrong</t>
  </si>
  <si>
    <t>Ohio's 2nd</t>
  </si>
  <si>
    <t>OH-02</t>
  </si>
  <si>
    <t>Brad Wenstrup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</si>
  <si>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</si>
  <si>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Wenstrup</t>
  </si>
  <si>
    <t>Ohio's 4th</t>
  </si>
  <si>
    <t>OH-04</t>
  </si>
  <si>
    <t>Jim Jordan</t>
  </si>
  <si>
    <t>Jordan</t>
  </si>
  <si>
    <t>Ohio's 5th</t>
  </si>
  <si>
    <t>OH-05</t>
  </si>
  <si>
    <t>Bob Latta</t>
  </si>
  <si>
    <t>Bob</t>
  </si>
  <si>
    <t>Latta</t>
  </si>
  <si>
    <t>2007 Special</t>
  </si>
  <si>
    <t>Ohio's 6th</t>
  </si>
  <si>
    <t>OH-06</t>
  </si>
  <si>
    <t>Bill Johnson</t>
  </si>
  <si>
    <t>Ohio's 7th</t>
  </si>
  <si>
    <t>OH-07</t>
  </si>
  <si>
    <t>Max Miller</t>
  </si>
  <si>
    <t>Max</t>
  </si>
  <si>
    <t>Ohio's 8th</t>
  </si>
  <si>
    <t>OH-08</t>
  </si>
  <si>
    <t>Warren Davidson</t>
  </si>
  <si>
    <t>1999</t>
  </si>
  <si>
    <t>Davidson</t>
  </si>
  <si>
    <t>2016 Special</t>
  </si>
  <si>
    <t>Ohio's 10th</t>
  </si>
  <si>
    <t>OH-10</t>
  </si>
  <si>
    <t>Mike Turner</t>
  </si>
  <si>
    <t>Turner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</si>
  <si>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</si>
  <si>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Ohio's 12th</t>
  </si>
  <si>
    <t>OH-12</t>
  </si>
  <si>
    <t>Troy Balderson</t>
  </si>
  <si>
    <t>Balderson</t>
  </si>
  <si>
    <t>Ohio's 14th</t>
  </si>
  <si>
    <t>OH-14</t>
  </si>
  <si>
    <t>Dave Joyce</t>
  </si>
  <si>
    <t>Dave</t>
  </si>
  <si>
    <t>Ohio's 15th</t>
  </si>
  <si>
    <t>OH-15</t>
  </si>
  <si>
    <t>Mike Carey</t>
  </si>
  <si>
    <t>Carey</t>
  </si>
  <si>
    <t>Oklahoma's 1st</t>
  </si>
  <si>
    <t>OK-01</t>
  </si>
  <si>
    <t>Kevin Hern</t>
  </si>
  <si>
    <t>1995</t>
  </si>
  <si>
    <t>Hern</t>
  </si>
  <si>
    <t>Oklahoma's 2nd</t>
  </si>
  <si>
    <t>OK-02</t>
  </si>
  <si>
    <t>Josh Brecheen</t>
  </si>
  <si>
    <t>Absent</t>
  </si>
  <si>
    <t>Brecheen</t>
  </si>
  <si>
    <t>Multiple: White/Native American - Choctaw</t>
  </si>
  <si>
    <t>Oklahoma's 3rd</t>
  </si>
  <si>
    <t>OK-03</t>
  </si>
  <si>
    <t>Frank Lucas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</si>
  <si>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</si>
  <si>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Lucas</t>
  </si>
  <si>
    <t>1994 Special</t>
  </si>
  <si>
    <t>Oklahoma's 4th</t>
  </si>
  <si>
    <t>OK-04</t>
  </si>
  <si>
    <t>Tom Cole</t>
  </si>
  <si>
    <t>Cole</t>
  </si>
  <si>
    <t>Multiple: Native American - Chickasaw/White</t>
  </si>
  <si>
    <t>Oklahoma's 5th</t>
  </si>
  <si>
    <t>OK-05</t>
  </si>
  <si>
    <t>Stephanie Bice</t>
  </si>
  <si>
    <t>Stephanie</t>
  </si>
  <si>
    <t>Bice</t>
  </si>
  <si>
    <t>Multiple: White/Middle Eastern - Iranian</t>
  </si>
  <si>
    <t>Oregon's 2nd</t>
  </si>
  <si>
    <t>Yassamin</t>
  </si>
  <si>
    <t>OR-02</t>
  </si>
  <si>
    <t>Ansari</t>
  </si>
  <si>
    <t>Cliff Bentz</t>
  </si>
  <si>
    <t>Cliff</t>
  </si>
  <si>
    <t>Bentz</t>
  </si>
  <si>
    <t>Oregon's 5th</t>
  </si>
  <si>
    <t>OR-05</t>
  </si>
  <si>
    <t>Lori Chavez-DeRemer</t>
  </si>
  <si>
    <t>Chavez-DeRemer</t>
  </si>
  <si>
    <t>Pennsylvania's 1st</t>
  </si>
  <si>
    <t>PA-01</t>
  </si>
  <si>
    <t>Brian Fitzpatrick</t>
  </si>
  <si>
    <t>Fitzpatrick</t>
  </si>
  <si>
    <t>Pennsylvania's 9th</t>
  </si>
  <si>
    <t>PA-09</t>
  </si>
  <si>
    <t>Dan Meuser</t>
  </si>
  <si>
    <t>Meuser</t>
  </si>
  <si>
    <t>Pennsylvania's 10th</t>
  </si>
  <si>
    <t>PA-10</t>
  </si>
  <si>
    <t>Scott Perry</t>
  </si>
  <si>
    <t>Perry</t>
  </si>
  <si>
    <t>Pennsylvania's 11th</t>
  </si>
  <si>
    <t>PA-11</t>
  </si>
  <si>
    <t>Lloyd Smucker</t>
  </si>
  <si>
    <t>Smucker</t>
  </si>
  <si>
    <t>Pennsylvania's 13th</t>
  </si>
  <si>
    <t>PA-13</t>
  </si>
  <si>
    <t>John Joyce</t>
  </si>
  <si>
    <t>Pennsylvania's 14th</t>
  </si>
  <si>
    <t>PA-14</t>
  </si>
  <si>
    <t>Guy Reschenthaler</t>
  </si>
  <si>
    <t>Guy</t>
  </si>
  <si>
    <t>Reschenthaler</t>
  </si>
  <si>
    <t>Pennsylvania's 15th</t>
  </si>
  <si>
    <t>PA-15</t>
  </si>
  <si>
    <t>Glenn "GT" Thompson</t>
  </si>
  <si>
    <t>Glenn "GT"</t>
  </si>
  <si>
    <t>Pennsylvania's 16th</t>
  </si>
  <si>
    <t>PA-16</t>
  </si>
  <si>
    <t>Mike Kelly</t>
  </si>
  <si>
    <t>Carper</t>
  </si>
  <si>
    <t>South Carolina's 1st</t>
  </si>
  <si>
    <t>SC-01</t>
  </si>
  <si>
    <t>Nancy Mace</t>
  </si>
  <si>
    <t>Mace</t>
  </si>
  <si>
    <t>South Carolina's 2nd</t>
  </si>
  <si>
    <t>SC-02</t>
  </si>
  <si>
    <t>Joe Wilson</t>
  </si>
  <si>
    <r>
      <rPr>
        <color rgb="FF1155CC"/>
        <sz val="10.0"/>
        <u/>
      </rPr>
      <t>YES</t>
    </r>
    <r>
      <rPr>
        <color rgb="FF000000"/>
        <sz val="10.0"/>
      </rPr>
      <t xml:space="preserve"> - not on reso</t>
    </r>
  </si>
  <si>
    <t>Laphonza</t>
  </si>
  <si>
    <t>Butler</t>
  </si>
  <si>
    <t>South Carolina's 3rd</t>
  </si>
  <si>
    <t>SC-03</t>
  </si>
  <si>
    <t>Jeff Duncan</t>
  </si>
  <si>
    <t>2023 (appt.)</t>
  </si>
  <si>
    <t>Duncan</t>
  </si>
  <si>
    <t>South Carolina's 4th</t>
  </si>
  <si>
    <t>SC-04</t>
  </si>
  <si>
    <t>William Timmons</t>
  </si>
  <si>
    <t>William</t>
  </si>
  <si>
    <t>Timmons</t>
  </si>
  <si>
    <t>South Carolina's 5th</t>
  </si>
  <si>
    <t>SC-05</t>
  </si>
  <si>
    <t>Ralph Norman</t>
  </si>
  <si>
    <t>Ralph</t>
  </si>
  <si>
    <t>Norman</t>
  </si>
  <si>
    <t>South Carolina's 7th</t>
  </si>
  <si>
    <t>SC-07</t>
  </si>
  <si>
    <t>Russell Fry</t>
  </si>
  <si>
    <t>Russell</t>
  </si>
  <si>
    <t>Fry</t>
  </si>
  <si>
    <t>South Dakota's At-Large</t>
  </si>
  <si>
    <t>SD-AL</t>
  </si>
  <si>
    <t>Dusty Johnson</t>
  </si>
  <si>
    <t>Dusty</t>
  </si>
  <si>
    <t>Tennessee's 1st</t>
  </si>
  <si>
    <t>TN-01</t>
  </si>
  <si>
    <t>Diana Harshbarger</t>
  </si>
  <si>
    <r>
      <rPr>
        <color rgb="FF1155CC"/>
        <sz val="10.0"/>
        <u/>
      </rPr>
      <t>YES</t>
    </r>
    <r>
      <rPr>
        <color rgb="FF000000"/>
        <sz val="10.0"/>
      </rPr>
      <t xml:space="preserve"> - not on reso</t>
    </r>
  </si>
  <si>
    <t>Harshbarger</t>
  </si>
  <si>
    <t>Tennessee's 2nd</t>
  </si>
  <si>
    <t>TN-02</t>
  </si>
  <si>
    <t>Tim Burchett</t>
  </si>
  <si>
    <t>Burchett</t>
  </si>
  <si>
    <t>Tennessee's 3rd</t>
  </si>
  <si>
    <t>TN-03</t>
  </si>
  <si>
    <t>Chuck Fleischmann</t>
  </si>
  <si>
    <t>Fleischmann</t>
  </si>
  <si>
    <t>Tennessee's 4th</t>
  </si>
  <si>
    <t>TN-04</t>
  </si>
  <si>
    <t>Scott DesJarlais</t>
  </si>
  <si>
    <t>DesJarlais</t>
  </si>
  <si>
    <t>Tennessee's 5th</t>
  </si>
  <si>
    <t>TN-05</t>
  </si>
  <si>
    <t>Andy Ogles</t>
  </si>
  <si>
    <t>Sherrod</t>
  </si>
  <si>
    <t>Ogles</t>
  </si>
  <si>
    <t>Ohio</t>
  </si>
  <si>
    <t>Tennessee's 6th</t>
  </si>
  <si>
    <t>TN-06</t>
  </si>
  <si>
    <t>John Rose</t>
  </si>
  <si>
    <t>Rose</t>
  </si>
  <si>
    <t>Tennessee's 7th</t>
  </si>
  <si>
    <t>TN-07</t>
  </si>
  <si>
    <t>Mark Green</t>
  </si>
  <si>
    <t>Tennessee's 8th</t>
  </si>
  <si>
    <t>TN-08</t>
  </si>
  <si>
    <t>David Kustoff</t>
  </si>
  <si>
    <t>Kustoff</t>
  </si>
  <si>
    <t>Texas' 1st</t>
  </si>
  <si>
    <t>TX-01</t>
  </si>
  <si>
    <t>Nathaniel Moran</t>
  </si>
  <si>
    <t>Nathaniel</t>
  </si>
  <si>
    <t>Moran</t>
  </si>
  <si>
    <t>Texas' 2nd</t>
  </si>
  <si>
    <t>TX-02</t>
  </si>
  <si>
    <t>Dan Crenshaw</t>
  </si>
  <si>
    <t>Crenshaw</t>
  </si>
  <si>
    <t>Texas' 3rd</t>
  </si>
  <si>
    <t>TX-03</t>
  </si>
  <si>
    <t>Keith Self</t>
  </si>
  <si>
    <t>Keith</t>
  </si>
  <si>
    <t>Self</t>
  </si>
  <si>
    <t>Texas' 4th</t>
  </si>
  <si>
    <t>TX-04</t>
  </si>
  <si>
    <t>Pat Fallon</t>
  </si>
  <si>
    <t>Fallon</t>
  </si>
  <si>
    <t>Texas' 5th</t>
  </si>
  <si>
    <t>TX-05</t>
  </si>
  <si>
    <t>Lance Gooden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</si>
  <si>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</si>
  <si>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Lance</t>
  </si>
  <si>
    <t>Gooden</t>
  </si>
  <si>
    <t>Texas' 6th</t>
  </si>
  <si>
    <t>TX-06</t>
  </si>
  <si>
    <t>Jake Ellzey</t>
  </si>
  <si>
    <t>Ellzey</t>
  </si>
  <si>
    <t>Texas' 8th</t>
  </si>
  <si>
    <t>TX-08</t>
  </si>
  <si>
    <t>Morgan Luttrell</t>
  </si>
  <si>
    <t>Luttrell</t>
  </si>
  <si>
    <t>Texas' 10th</t>
  </si>
  <si>
    <t>TX-10</t>
  </si>
  <si>
    <t>Michael McCaul</t>
  </si>
  <si>
    <t>McCaul</t>
  </si>
  <si>
    <t>Texas' 11th</t>
  </si>
  <si>
    <t>TX-11</t>
  </si>
  <si>
    <t>August Pfluger</t>
  </si>
  <si>
    <t>August</t>
  </si>
  <si>
    <t>Pfluger</t>
  </si>
  <si>
    <t>Texas' 12th</t>
  </si>
  <si>
    <t>TX-12</t>
  </si>
  <si>
    <t>Kay Granger</t>
  </si>
  <si>
    <t>Kay</t>
  </si>
  <si>
    <t>Granger</t>
  </si>
  <si>
    <t>Texas' 13th</t>
  </si>
  <si>
    <t>TX-13</t>
  </si>
  <si>
    <t>Ronny Jackson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</si>
  <si>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</si>
  <si>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Ben</t>
  </si>
  <si>
    <t>Cardin</t>
  </si>
  <si>
    <t>Ronny</t>
  </si>
  <si>
    <t>Texas' 14th</t>
  </si>
  <si>
    <t>TX-14</t>
  </si>
  <si>
    <t>Randy Weber</t>
  </si>
  <si>
    <t>Weber</t>
  </si>
  <si>
    <t>Texas' 15th</t>
  </si>
  <si>
    <t>TX-15</t>
  </si>
  <si>
    <t>Monica De La Cruz</t>
  </si>
  <si>
    <t>Casey</t>
  </si>
  <si>
    <t>Monica</t>
  </si>
  <si>
    <t>De La Cruz</t>
  </si>
  <si>
    <t>Texas' 17th</t>
  </si>
  <si>
    <t>TX-17</t>
  </si>
  <si>
    <t>Pete Sessions</t>
  </si>
  <si>
    <t>Sessions</t>
  </si>
  <si>
    <t>Texas' 19th</t>
  </si>
  <si>
    <t>TX-19</t>
  </si>
  <si>
    <t>Jodey Arrington</t>
  </si>
  <si>
    <t>Jodey</t>
  </si>
  <si>
    <t>Arrington</t>
  </si>
  <si>
    <t>Texas' 21st</t>
  </si>
  <si>
    <t>TX-21</t>
  </si>
  <si>
    <t>Chip Roy</t>
  </si>
  <si>
    <t>Chip</t>
  </si>
  <si>
    <t>Roy</t>
  </si>
  <si>
    <t>Texas' 22nd</t>
  </si>
  <si>
    <t>TX-22</t>
  </si>
  <si>
    <t>Troy Nehls</t>
  </si>
  <si>
    <t>Sydney</t>
  </si>
  <si>
    <t>Kamlager-Dove</t>
  </si>
  <si>
    <t>CA-37</t>
  </si>
  <si>
    <t>Nehls</t>
  </si>
  <si>
    <t>Texas' 23rd</t>
  </si>
  <si>
    <t>TX-23</t>
  </si>
  <si>
    <t>Tony Gonzales</t>
  </si>
  <si>
    <t>Gonzales</t>
  </si>
  <si>
    <t>Texas' 24th</t>
  </si>
  <si>
    <t>TX-24</t>
  </si>
  <si>
    <t>Beth Van Duyne</t>
  </si>
  <si>
    <t>Beth</t>
  </si>
  <si>
    <t>Van Duyne</t>
  </si>
  <si>
    <t>Texas' 25th</t>
  </si>
  <si>
    <t>TX-25</t>
  </si>
  <si>
    <t>Roger Williams</t>
  </si>
  <si>
    <t>Roger</t>
  </si>
  <si>
    <t>Texas' 26th</t>
  </si>
  <si>
    <t>TX-26</t>
  </si>
  <si>
    <t>Michael Burgess</t>
  </si>
  <si>
    <t>Burgess</t>
  </si>
  <si>
    <t>Texas' 27th</t>
  </si>
  <si>
    <t>TX-27</t>
  </si>
  <si>
    <t>Michael Cloud</t>
  </si>
  <si>
    <t>Cloud</t>
  </si>
  <si>
    <t>Texas' 31st</t>
  </si>
  <si>
    <t>TX-31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</si>
  <si>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</si>
  <si>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John Carter</t>
  </si>
  <si>
    <t>OPPOSES</t>
  </si>
  <si>
    <t>Texas' 36th</t>
  </si>
  <si>
    <t>TX-36</t>
  </si>
  <si>
    <t>Brian Babin</t>
  </si>
  <si>
    <t>Babin</t>
  </si>
  <si>
    <t>Texas' 38th</t>
  </si>
  <si>
    <t>TX-38</t>
  </si>
  <si>
    <t>Wesley Hunt</t>
  </si>
  <si>
    <t>Wesley</t>
  </si>
  <si>
    <t>Hunt</t>
  </si>
  <si>
    <t>Utah's 1st</t>
  </si>
  <si>
    <t>UT-01</t>
  </si>
  <si>
    <t>Blake Moore</t>
  </si>
  <si>
    <t>Blake</t>
  </si>
  <si>
    <t>Utah's 2nd</t>
  </si>
  <si>
    <t>UT-02</t>
  </si>
  <si>
    <t>Chris Stewart</t>
  </si>
  <si>
    <t>Stewart</t>
  </si>
  <si>
    <t>Utah's 3rd</t>
  </si>
  <si>
    <t>UT-03</t>
  </si>
  <si>
    <t>John Curtis</t>
  </si>
  <si>
    <t>Curtis</t>
  </si>
  <si>
    <t>Utah's 4th</t>
  </si>
  <si>
    <t>UT-04</t>
  </si>
  <si>
    <t>Burgess Owens</t>
  </si>
  <si>
    <t>Owens</t>
  </si>
  <si>
    <t>Virginia's 1st</t>
  </si>
  <si>
    <t>VA-01</t>
  </si>
  <si>
    <t>Rob Wittman</t>
  </si>
  <si>
    <t>Wittman</t>
  </si>
  <si>
    <t>Virginia's 2nd</t>
  </si>
  <si>
    <t>VA-02</t>
  </si>
  <si>
    <t>Jen Kiggans</t>
  </si>
  <si>
    <t>Jen</t>
  </si>
  <si>
    <t>Kiggans</t>
  </si>
  <si>
    <t>Virginia's 5th</t>
  </si>
  <si>
    <t>VA-05</t>
  </si>
  <si>
    <t>Bob Good</t>
  </si>
  <si>
    <t>2012 (special)</t>
  </si>
  <si>
    <t>Good</t>
  </si>
  <si>
    <t>Virginia's 6th</t>
  </si>
  <si>
    <t>VA-06</t>
  </si>
  <si>
    <t>Ben Cline</t>
  </si>
  <si>
    <t>Amo</t>
  </si>
  <si>
    <t>Manchin</t>
  </si>
  <si>
    <t>West Virginia</t>
  </si>
  <si>
    <t>Cline</t>
  </si>
  <si>
    <t>Virginia's 9th</t>
  </si>
  <si>
    <t>VA-09</t>
  </si>
  <si>
    <t>Morgan Griffith</t>
  </si>
  <si>
    <t>Griffith</t>
  </si>
  <si>
    <t>Washington's 4th</t>
  </si>
  <si>
    <t>WA-04</t>
  </si>
  <si>
    <t>Dan Newhouse</t>
  </si>
  <si>
    <t>Newhouse</t>
  </si>
  <si>
    <t>Washington's 5th</t>
  </si>
  <si>
    <t>WA-05</t>
  </si>
  <si>
    <t>Cathy McMorris Rodgers</t>
  </si>
  <si>
    <t>Cathy</t>
  </si>
  <si>
    <t>McMorris Rodgers</t>
  </si>
  <si>
    <t>West Virginia's 1st</t>
  </si>
  <si>
    <t>WV-01</t>
  </si>
  <si>
    <t>Carol Miller</t>
  </si>
  <si>
    <t>Carol</t>
  </si>
  <si>
    <t>West Virginia's 2nd</t>
  </si>
  <si>
    <t>WV-02</t>
  </si>
  <si>
    <t>Alex Mooney</t>
  </si>
  <si>
    <t>Mooney</t>
  </si>
  <si>
    <t>Wisconsin's 1st</t>
  </si>
  <si>
    <t>WI-01</t>
  </si>
  <si>
    <t>Bryan Steil</t>
  </si>
  <si>
    <t>Bryan</t>
  </si>
  <si>
    <t>Steil</t>
  </si>
  <si>
    <t>Wisconsin's 3rd</t>
  </si>
  <si>
    <t>WI-03</t>
  </si>
  <si>
    <t>Derrick Van Orden</t>
  </si>
  <si>
    <t>Derrick</t>
  </si>
  <si>
    <t>Van Orden</t>
  </si>
  <si>
    <t>Wisconsin's 5th</t>
  </si>
  <si>
    <t>WI-05</t>
  </si>
  <si>
    <t>Scott Fitzgerald</t>
  </si>
  <si>
    <t>Fitzgerald</t>
  </si>
  <si>
    <t>Wisconsin's 6th</t>
  </si>
  <si>
    <t>WI-06</t>
  </si>
  <si>
    <t>Glenn Grothman</t>
  </si>
  <si>
    <t>Grothman</t>
  </si>
  <si>
    <t>Wisconsin's 7th</t>
  </si>
  <si>
    <t>WI-07</t>
  </si>
  <si>
    <t>Tom Tiffany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</si>
  <si>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</si>
  <si>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Tiffany</t>
  </si>
  <si>
    <t>2020 Special</t>
  </si>
  <si>
    <t>Wisconsin's 8th</t>
  </si>
  <si>
    <t>WI-08</t>
  </si>
  <si>
    <t>Mike Gallagher</t>
  </si>
  <si>
    <t>Gallagher</t>
  </si>
  <si>
    <t>Wyoming's At-Large</t>
  </si>
  <si>
    <t>WY-AL</t>
  </si>
  <si>
    <t>Harriet Hageman</t>
  </si>
  <si>
    <t>Harriet</t>
  </si>
  <si>
    <t>Hageman</t>
  </si>
  <si>
    <t>Alaska's At-Large</t>
  </si>
  <si>
    <t>AK-AL</t>
  </si>
  <si>
    <t>Peltola</t>
  </si>
  <si>
    <t>Native American - Yup'ik (Native Alaskan)</t>
  </si>
  <si>
    <t>Palin</t>
  </si>
  <si>
    <t>Arizona's 1st</t>
  </si>
  <si>
    <t>AZ-01</t>
  </si>
  <si>
    <t>Jevin</t>
  </si>
  <si>
    <t>Hodge</t>
  </si>
  <si>
    <t>Schweikert</t>
  </si>
  <si>
    <t>Arizona's 6th</t>
  </si>
  <si>
    <t>AZ-06</t>
  </si>
  <si>
    <t>Engel</t>
  </si>
  <si>
    <t>Ciscomani</t>
  </si>
  <si>
    <t>California's 3rd</t>
  </si>
  <si>
    <t>CA-03</t>
  </si>
  <si>
    <t>Kermit</t>
  </si>
  <si>
    <t>Jones</t>
  </si>
  <si>
    <t>Kiley</t>
  </si>
  <si>
    <t>California's 9th</t>
  </si>
  <si>
    <t>CA-09</t>
  </si>
  <si>
    <t>Krysten</t>
  </si>
  <si>
    <t>Harder</t>
  </si>
  <si>
    <t>Sinema</t>
  </si>
  <si>
    <t>Patti</t>
  </si>
  <si>
    <t>California's 13th</t>
  </si>
  <si>
    <t>CA-13</t>
  </si>
  <si>
    <t>Gray</t>
  </si>
  <si>
    <t>Duarte</t>
  </si>
  <si>
    <t>California's 21st</t>
  </si>
  <si>
    <t>CA-21</t>
  </si>
  <si>
    <t>Costa</t>
  </si>
  <si>
    <t>Maher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</si>
  <si>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</si>
  <si>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California's 22nd</t>
  </si>
  <si>
    <t>CA-22</t>
  </si>
  <si>
    <t>Salas</t>
  </si>
  <si>
    <t>Valadao</t>
  </si>
  <si>
    <t>2020, 2012-2018</t>
  </si>
  <si>
    <t>California's 27th</t>
  </si>
  <si>
    <t>CA-27</t>
  </si>
  <si>
    <t>Stabenow</t>
  </si>
  <si>
    <t>Christy</t>
  </si>
  <si>
    <t>California's 34th</t>
  </si>
  <si>
    <t>CA-34</t>
  </si>
  <si>
    <t>Gomez</t>
  </si>
  <si>
    <t>None</t>
  </si>
  <si>
    <t>California's 37th</t>
  </si>
  <si>
    <t>Kamlager</t>
  </si>
  <si>
    <t>Multiple: Black/White</t>
  </si>
  <si>
    <t>California's 41st</t>
  </si>
  <si>
    <t>CA-41</t>
  </si>
  <si>
    <t>Tester</t>
  </si>
  <si>
    <t>Montana</t>
  </si>
  <si>
    <t>Will</t>
  </si>
  <si>
    <t>Rollins</t>
  </si>
  <si>
    <t>Calvert</t>
  </si>
  <si>
    <t>California's 45th</t>
  </si>
  <si>
    <t>CA-45</t>
  </si>
  <si>
    <t>Chen</t>
  </si>
  <si>
    <t>Steel</t>
  </si>
  <si>
    <t>California's 47th</t>
  </si>
  <si>
    <t>CA-47</t>
  </si>
  <si>
    <t>Katie</t>
  </si>
  <si>
    <t>Porter</t>
  </si>
  <si>
    <t>Baugh</t>
  </si>
  <si>
    <t>California's 49th</t>
  </si>
  <si>
    <t>CA-49</t>
  </si>
  <si>
    <t>Levin</t>
  </si>
  <si>
    <t>Multiple: Hispanic - Mexican/White - Jewish</t>
  </si>
  <si>
    <t>Maryott</t>
  </si>
  <si>
    <t>Colorado's 3rd</t>
  </si>
  <si>
    <t>CO-03</t>
  </si>
  <si>
    <t>Frisch</t>
  </si>
  <si>
    <t>Boebert</t>
  </si>
  <si>
    <t>Maine's 2nd</t>
  </si>
  <si>
    <t>ME-02</t>
  </si>
  <si>
    <t>Golden</t>
  </si>
  <si>
    <t>Poliquin</t>
  </si>
  <si>
    <t>2014-2018</t>
  </si>
  <si>
    <t>New York's 22nd</t>
  </si>
  <si>
    <t>NY-22</t>
  </si>
  <si>
    <t>Francis</t>
  </si>
  <si>
    <t>Conole</t>
  </si>
  <si>
    <t>Brandon</t>
  </si>
  <si>
    <t>Oregon's 6th</t>
  </si>
  <si>
    <t>OR-06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</si>
  <si>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</si>
  <si>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Andrea</t>
  </si>
  <si>
    <t>Salinas</t>
  </si>
  <si>
    <t>Erickson</t>
  </si>
  <si>
    <t>N/A</t>
  </si>
  <si>
    <t>Helmy</t>
  </si>
  <si>
    <t>2006 (appt.)</t>
  </si>
  <si>
    <t>2016 (special)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</si>
  <si>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</si>
  <si>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1993 (special)</t>
  </si>
  <si>
    <t>URL</t>
  </si>
  <si>
    <t>Author</t>
  </si>
  <si>
    <t>Endorsed?</t>
  </si>
  <si>
    <t>Statements</t>
  </si>
  <si>
    <t>Condemn Hamas</t>
  </si>
  <si>
    <t>Describe Hamas attacks</t>
  </si>
  <si>
    <t>Condemn civilian violence</t>
  </si>
  <si>
    <t>Mourn deaths, both sides</t>
  </si>
  <si>
    <t>Lasting Peace for All</t>
  </si>
  <si>
    <t>Ceasefire / De-escalation</t>
  </si>
  <si>
    <t>Anti Occupation/Apartheid</t>
  </si>
  <si>
    <t>Anti Gaza Blockade</t>
  </si>
  <si>
    <t>Anti US Aid to Israel</t>
  </si>
  <si>
    <t>https://twitter.com/repcori/status/1710825310642466999</t>
  </si>
  <si>
    <t>Winner</t>
  </si>
  <si>
    <t>Winner Name</t>
  </si>
  <si>
    <t>Latino</t>
  </si>
  <si>
    <t>Bachelor's+</t>
  </si>
  <si>
    <t>White BA+</t>
  </si>
  <si>
    <t>Non-College White</t>
  </si>
  <si>
    <t>Status</t>
  </si>
  <si>
    <t>https://twitter.com/jacobin/status/1711727231540625650</t>
  </si>
  <si>
    <t>https://twitter.com/IlhanMN/status/1711468671770439864</t>
  </si>
  <si>
    <t>AOC</t>
  </si>
  <si>
    <t>https://twitter.com/RepBowman/status/1710711916484579524</t>
  </si>
  <si>
    <t>Jamaal Bowman 1</t>
  </si>
  <si>
    <t>https://twitter.com/RepBowman/status/1711801731124703423</t>
  </si>
  <si>
    <t>Jamaal Bowman 2</t>
  </si>
  <si>
    <t>https://twitter.com/rosadelauro/status/1710694861635002439</t>
  </si>
  <si>
    <t>Conn-3</t>
  </si>
  <si>
    <t>https://www.politico.com/news/2023/10/13/progressive-lawmakers-letter-biden-israel-00121463</t>
  </si>
  <si>
    <t>Pramilia Jayapal</t>
  </si>
  <si>
    <t>https://www.politico.com/news/2023/10/13/progressive-lawmakers-letter-biden-israel-00121464</t>
  </si>
  <si>
    <t>https://www.politico.com/news/2023/10/13/progressive-lawmakers-letter-biden-israel-00121465</t>
  </si>
  <si>
    <t>https://www.politico.com/news/2023/10/13/progressive-lawmakers-letter-biden-israel-00121466</t>
  </si>
  <si>
    <t>https://www.politico.com/news/2023/10/13/progressive-lawmakers-letter-biden-israel-00121467</t>
  </si>
  <si>
    <t>https://twitter.com/RepPressley/status/1710724975756202018</t>
  </si>
  <si>
    <t>https://twitter.com/RepAndreCarson/status/1712849608903147983</t>
  </si>
  <si>
    <r>
      <rPr>
        <color rgb="FF1155CC"/>
        <sz val="10.0"/>
        <u/>
      </rPr>
      <t>YES</t>
    </r>
    <r>
      <rPr>
        <color rgb="FF000000"/>
        <sz val="10.0"/>
      </rPr>
      <t xml:space="preserve"> - not on reso</t>
    </r>
  </si>
  <si>
    <t>https://mccollum.house.gov/media/statements-record/mccollum-statement-congressional-record-support-bipartisan-resolution</t>
  </si>
  <si>
    <t>Liccardo</t>
  </si>
  <si>
    <t>Donald Beyer</t>
  </si>
  <si>
    <t>Andre Carson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</si>
  <si>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</si>
  <si>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Min</t>
  </si>
  <si>
    <t>2021 (special)</t>
  </si>
  <si>
    <t>Letter</t>
  </si>
  <si>
    <t>https://jayapal.house.gov/2023/10/13/schakowsky-pocan-jayapal-mcgovern-lead-55-members-in-letter-condemning-hamas-attacks-urging-protection-of-innocent-civilian-lives/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</si>
  <si>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</si>
  <si>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2001 (special)</t>
  </si>
  <si>
    <t>Tran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</si>
  <si>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</si>
  <si>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McClellan</t>
  </si>
  <si>
    <t>2023 (special)</t>
  </si>
  <si>
    <r>
      <rPr>
        <color rgb="FF1155CC"/>
        <sz val="10.0"/>
        <u/>
      </rPr>
      <t>YES</t>
    </r>
    <r>
      <rPr>
        <color rgb="FF000000"/>
        <sz val="10.0"/>
      </rPr>
      <t xml:space="preserve"> - signed reso</t>
    </r>
  </si>
  <si>
    <t>2014 (special)</t>
  </si>
  <si>
    <t>"Temporary ceasefire"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</si>
  <si>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</si>
  <si>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2018 (special)</t>
  </si>
  <si>
    <t>2013, 2008–2011</t>
  </si>
  <si>
    <t>1987 (special)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</si>
  <si>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</si>
  <si>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2017 (special)</t>
  </si>
  <si>
    <t>Robert (Bobby)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</si>
  <si>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</si>
  <si>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Laura</t>
  </si>
  <si>
    <t>Friedman</t>
  </si>
  <si>
    <t>AIPAC, DMFI, J Street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</si>
  <si>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</si>
  <si>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1992 (special)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</si>
  <si>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</si>
  <si>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Morrison</t>
  </si>
  <si>
    <r>
      <rPr>
        <color rgb="FF1155CC"/>
        <sz val="10.0"/>
        <u/>
      </rPr>
      <t>YES</t>
    </r>
    <r>
      <rPr>
        <color rgb="FF000000"/>
        <sz val="10.0"/>
      </rPr>
      <t xml:space="preserve"> - not on reso</t>
    </r>
  </si>
  <si>
    <t>2020 (special), 1987–1996</t>
  </si>
  <si>
    <t>BACKTRACKED</t>
  </si>
  <si>
    <t>Blue Dog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</si>
  <si>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</si>
  <si>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Suhas</t>
  </si>
  <si>
    <t>Subramanyam</t>
  </si>
  <si>
    <t>Goodlander</t>
  </si>
  <si>
    <t>2019, 2002–2007</t>
  </si>
  <si>
    <t>Julie</t>
  </si>
  <si>
    <t>1989</t>
  </si>
  <si>
    <t>DMFI, J Street</t>
  </si>
  <si>
    <t>Cleo</t>
  </si>
  <si>
    <t>Fields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</si>
  <si>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</si>
  <si>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Herb</t>
  </si>
  <si>
    <t>Conaway</t>
  </si>
  <si>
    <t>2022 (special)</t>
  </si>
  <si>
    <t>Nellie</t>
  </si>
  <si>
    <t>Pou</t>
  </si>
  <si>
    <t>2005 (special)</t>
  </si>
  <si>
    <t>1983</t>
  </si>
  <si>
    <t>2013, 2009–2011</t>
  </si>
  <si>
    <t>Walkinshaw</t>
  </si>
  <si>
    <t>J Street, DMFI</t>
  </si>
  <si>
    <r>
      <rPr>
        <color rgb="FF1155CC"/>
        <sz val="10.0"/>
        <u/>
      </rPr>
      <t>YES</t>
    </r>
    <r>
      <rPr>
        <color rgb="FF000000"/>
        <sz val="10.0"/>
      </rPr>
      <t xml:space="preserve"> - not on reso</t>
    </r>
  </si>
  <si>
    <t>Mannion</t>
  </si>
  <si>
    <t>2011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</si>
  <si>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</si>
  <si>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Kennedy</t>
  </si>
  <si>
    <t>Kristen</t>
  </si>
  <si>
    <t>McDonald Rivet</t>
  </si>
  <si>
    <t>2019, 2013–2015</t>
  </si>
  <si>
    <t>Eugene</t>
  </si>
  <si>
    <t>Vindman</t>
  </si>
  <si>
    <t>Joseph</t>
  </si>
  <si>
    <t>YES - not on reso</t>
  </si>
  <si>
    <t>1981 (special)</t>
  </si>
  <si>
    <r>
      <rPr>
        <color rgb="FF1155CC"/>
        <sz val="10.0"/>
        <u/>
      </rPr>
      <t>YES</t>
    </r>
    <r>
      <rPr>
        <sz val="10.0"/>
      </rPr>
      <t xml:space="preserve"> - not on reso</t>
    </r>
  </si>
  <si>
    <t>Elfreth</t>
  </si>
  <si>
    <t>Janelle</t>
  </si>
  <si>
    <t>Bynum</t>
  </si>
  <si>
    <t>Luz</t>
  </si>
  <si>
    <t>Rivas</t>
  </si>
  <si>
    <t>Sponsor Record Score</t>
  </si>
  <si>
    <t>Voting Record
Score</t>
  </si>
  <si>
    <t>Weighted Voting Score</t>
  </si>
  <si>
    <t>117th Congress Voting Score</t>
  </si>
  <si>
    <t>116th Congress Voting Score</t>
  </si>
  <si>
    <t>115th Congress Voting Score</t>
  </si>
  <si>
    <t>114th Congress Voting Score</t>
  </si>
  <si>
    <t>Total 
Score</t>
  </si>
  <si>
    <t>Medicare 
for All</t>
  </si>
  <si>
    <t>Green New Deal</t>
  </si>
  <si>
    <t>Abolish the death penalty</t>
  </si>
  <si>
    <t>Tuition-free college for all</t>
  </si>
  <si>
    <t>Expand the Supreme Court</t>
  </si>
  <si>
    <t>Palestinian rights</t>
  </si>
  <si>
    <t>2023 NDAA</t>
  </si>
  <si>
    <t>Block 
Railroad 
Strike</t>
  </si>
  <si>
    <t>More local police funding (Invest to Protect Act only)</t>
  </si>
  <si>
    <r>
      <rPr>
        <rFont val="Arial"/>
        <b/>
        <color rgb="FF1155CC"/>
        <sz val="12.0"/>
        <u/>
      </rPr>
      <t>More local police funding</t>
    </r>
    <r>
      <rPr>
        <rFont val="Arial"/>
        <b/>
        <color rgb="FF000000"/>
        <sz val="12.0"/>
      </rPr>
      <t xml:space="preserve"> (package)</t>
    </r>
  </si>
  <si>
    <t>Make it easier to export agricultural products to Cuba</t>
  </si>
  <si>
    <t>2023 
NDAA</t>
  </si>
  <si>
    <t>Reduce DoD Budget to Biden's Requested Level</t>
  </si>
  <si>
    <t>Barring security clearance revocation due to weed use</t>
  </si>
  <si>
    <t>Blue Dog, 
New Democrat</t>
  </si>
  <si>
    <t>Defense
spending</t>
  </si>
  <si>
    <t>Inflation 
"impact" study</t>
  </si>
  <si>
    <t>U.S. sanction impact study</t>
  </si>
  <si>
    <t>Allow intelligence agency investigations</t>
  </si>
  <si>
    <t>2022 NDAA (conference)</t>
  </si>
  <si>
    <t>Infrastucture bill (no Build Back Better)</t>
  </si>
  <si>
    <t>One-sided Cuba Resolution</t>
  </si>
  <si>
    <t>Nicaraguan Sanctions</t>
  </si>
  <si>
    <t>2022 
NDAA</t>
  </si>
  <si>
    <t>Reverse DoD Increase</t>
  </si>
  <si>
    <t>10% DoD Cut</t>
  </si>
  <si>
    <t>Rein in Military Wish Lists</t>
  </si>
  <si>
    <t>Pause ICBMs</t>
  </si>
  <si>
    <t>Stop Military Equipment Transfer to Police</t>
  </si>
  <si>
    <t>Bar Troops 
in Syria</t>
  </si>
  <si>
    <t>Iron Dome Funding</t>
  </si>
  <si>
    <t>Increased Capitol Police Funding</t>
  </si>
  <si>
    <t>Unconditional Aid to Israel</t>
  </si>
  <si>
    <t>Study medical benefits of illegal drugs</t>
  </si>
  <si>
    <t>Policing 
Students</t>
  </si>
  <si>
    <t>Allow incarcerated people to vote</t>
  </si>
  <si>
    <t>2021 NDAA Veto Override</t>
  </si>
  <si>
    <t>Defense, DHS, Other Spending</t>
  </si>
  <si>
    <t>2021 NDAA (Conference)</t>
  </si>
  <si>
    <t>Weak climate
legislation</t>
  </si>
  <si>
    <t>Blue Dog, New Democrat</t>
  </si>
  <si>
    <t>Ban Military from Twitch</t>
  </si>
  <si>
    <t>2021 NDAA</t>
  </si>
  <si>
    <t>Cancel up to $10k student debt per borrower</t>
  </si>
  <si>
    <t>PATRIOT ACT Reauthorization</t>
  </si>
  <si>
    <t>USMCA</t>
  </si>
  <si>
    <t>Increased DHS Funding</t>
  </si>
  <si>
    <t>2020 NDAA (Conference)</t>
  </si>
  <si>
    <t>Motion to Table Impeachment</t>
  </si>
  <si>
    <t>2020 NDAA</t>
  </si>
  <si>
    <t>No troops 
to border</t>
  </si>
  <si>
    <t>No immigrants in DoD facilities</t>
  </si>
  <si>
    <t>ICE &amp; CBP Appropriations</t>
  </si>
  <si>
    <t>Defund FISA</t>
  </si>
  <si>
    <t>Tax Cuts for Small Businesses</t>
  </si>
  <si>
    <t>Expand PATRIOT Act</t>
  </si>
  <si>
    <t>Expand definition of "violent crime"</t>
  </si>
  <si>
    <t>2019 NDAA (Conference)</t>
  </si>
  <si>
    <t>2017, 2013–2015</t>
  </si>
  <si>
    <t>Increased 
drug penalties</t>
  </si>
  <si>
    <t>2019 NDAA</t>
  </si>
  <si>
    <t>Bank Lobbyist Act</t>
  </si>
  <si>
    <t>"Blue Lives
Matter"</t>
  </si>
  <si>
    <t>Volcker Rule
Rollback</t>
  </si>
  <si>
    <t>SESTA/FOSTA</t>
  </si>
  <si>
    <t>Weaken the ADA</t>
  </si>
  <si>
    <t>1988 (special)</t>
  </si>
  <si>
    <t>2018 NDAA 
(Conference)</t>
  </si>
  <si>
    <t>Weaken 
Dodd-Frank</t>
  </si>
  <si>
    <t>2018 Intelligence
Reauthorization</t>
  </si>
  <si>
    <t>ICE Reauth.</t>
  </si>
  <si>
    <t>2018 NDAA</t>
  </si>
  <si>
    <t>1% DoD Cut</t>
  </si>
  <si>
    <t>Criminalizing Teen Sexts</t>
  </si>
  <si>
    <t>2017 Pentagon Appropriations</t>
  </si>
  <si>
    <t>2017 NDAA</t>
  </si>
  <si>
    <t>2017 Intelligence Authorization</t>
  </si>
  <si>
    <t>Criminalizing more drugs</t>
  </si>
  <si>
    <t>Reauthorize
PATRIOT Act</t>
  </si>
  <si>
    <t>Caucuses</t>
  </si>
  <si>
    <t>Endorsed By (2022)</t>
  </si>
  <si>
    <t>2020 Primary 
Endorsement</t>
  </si>
  <si>
    <t>LGBTQ+</t>
  </si>
  <si>
    <t>2020 Dem Margin</t>
  </si>
  <si>
    <t>Biden '20</t>
  </si>
  <si>
    <t>Trump '20</t>
  </si>
  <si>
    <t>2016 Dem Margin</t>
  </si>
  <si>
    <t>Clinton '16</t>
  </si>
  <si>
    <t>Trump '16</t>
  </si>
  <si>
    <t>White
VAP</t>
  </si>
  <si>
    <t>Latino
VAP</t>
  </si>
  <si>
    <t>Black
VAP</t>
  </si>
  <si>
    <t>Asian
VAP</t>
  </si>
  <si>
    <t>Native
VAP</t>
  </si>
  <si>
    <t>Pacific
VAP</t>
  </si>
  <si>
    <t>% of White, 
Bachelor's+</t>
  </si>
  <si>
    <t>% of White, Non-College</t>
  </si>
  <si>
    <r>
      <rPr>
        <color rgb="FF000000"/>
        <sz val="12.0"/>
      </rPr>
      <t xml:space="preserve">Created by </t>
    </r>
    <r>
      <rPr>
        <color rgb="FF1155CC"/>
        <sz val="12.0"/>
        <u/>
      </rPr>
      <t>@aaronnarraph</t>
    </r>
    <r>
      <rPr>
        <color rgb="FF000000"/>
        <sz val="12.0"/>
      </rPr>
      <t xml:space="preserve"> and updated
by</t>
    </r>
    <r>
      <rPr>
        <color rgb="FF000000"/>
        <sz val="12.0"/>
      </rPr>
      <t xml:space="preserve"> </t>
    </r>
    <r>
      <rPr>
        <color rgb="FF1155CC"/>
        <sz val="12.0"/>
        <u/>
      </rPr>
      <t>@arachno_commie</t>
    </r>
    <r>
      <rPr>
        <color rgb="FF000000"/>
        <sz val="12.0"/>
      </rPr>
      <t xml:space="preserve"> and</t>
    </r>
    <r>
      <rPr>
        <color rgb="FF000000"/>
        <sz val="12.0"/>
      </rPr>
      <t xml:space="preserve"> </t>
    </r>
    <r>
      <rPr>
        <color rgb="FF1155CC"/>
        <sz val="12.0"/>
        <u/>
      </rPr>
      <t>@kittyflandre</t>
    </r>
    <r>
      <rPr>
        <color rgb="FF000000"/>
        <sz val="12.0"/>
      </rPr>
      <t xml:space="preserve">!
Demographic + voting data via </t>
    </r>
    <r>
      <rPr>
        <color rgb="FF1155CC"/>
        <sz val="12.0"/>
        <u/>
      </rPr>
      <t>Daily Kos</t>
    </r>
  </si>
  <si>
    <t>Date:</t>
  </si>
  <si>
    <t>2021–2023</t>
  </si>
  <si>
    <t>Type:</t>
  </si>
  <si>
    <t>Healthcare (bill)</t>
  </si>
  <si>
    <t>Environment (bill)</t>
  </si>
  <si>
    <t>Criminal justice (bill)</t>
  </si>
  <si>
    <t>Education (bill)</t>
  </si>
  <si>
    <t>Courts (bill)</t>
  </si>
  <si>
    <t>Foreign policy (bill)</t>
  </si>
  <si>
    <t>Foreign policy (vote)</t>
  </si>
  <si>
    <t>Labor
(vote)</t>
  </si>
  <si>
    <t>Criminal justice (vote)</t>
  </si>
  <si>
    <t>Foreign Policy (amendment)</t>
  </si>
  <si>
    <t>Military 
(vote)</t>
  </si>
  <si>
    <t>Military (amendment)</t>
  </si>
  <si>
    <t>Marijuana (amend)</t>
  </si>
  <si>
    <t>Economy (vote)</t>
  </si>
  <si>
    <t>Foreign policy (amend)</t>
  </si>
  <si>
    <t>Surveillance (amend)</t>
  </si>
  <si>
    <t>Military (vote)</t>
  </si>
  <si>
    <t>Infrastucture (vote)</t>
  </si>
  <si>
    <t>Military
(vote)</t>
  </si>
  <si>
    <t>Criminal justice (amendment)</t>
  </si>
  <si>
    <t>Foreign policy (amendment)</t>
  </si>
  <si>
    <t>Spending (vote)</t>
  </si>
  <si>
    <t>Climate (vote)</t>
  </si>
  <si>
    <t>Education (amendment)</t>
  </si>
  <si>
    <t>Surveillance (vote)</t>
  </si>
  <si>
    <t>Trade (vote)</t>
  </si>
  <si>
    <t>Immigration (vote)</t>
  </si>
  <si>
    <t>Foreign Policy (vote)</t>
  </si>
  <si>
    <t>Impeachment (vote)</t>
  </si>
  <si>
    <t>Immigration (amendment)</t>
  </si>
  <si>
    <t>Surveillance (amendment)</t>
  </si>
  <si>
    <t>Taxation (vote)</t>
  </si>
  <si>
    <t>Criminal Justice (vote)</t>
  </si>
  <si>
    <t>Criminal justice
(vote)</t>
  </si>
  <si>
    <t>Finance (vote)</t>
  </si>
  <si>
    <t>Other (vote)</t>
  </si>
  <si>
    <t>Healthcare (vote)</t>
  </si>
  <si>
    <t>Gonzalez</t>
  </si>
  <si>
    <t>Suozzi</t>
  </si>
  <si>
    <t xml:space="preserve">Perez </t>
  </si>
  <si>
    <t>Shomari</t>
  </si>
  <si>
    <t>Figures</t>
  </si>
  <si>
    <t>Not Elected</t>
  </si>
  <si>
    <t>Yes (amend)</t>
  </si>
  <si>
    <t>Yes (Amend)</t>
  </si>
  <si>
    <t>Gil</t>
  </si>
  <si>
    <t>Cisneros</t>
  </si>
  <si>
    <t>DSA, 
Justice Dems</t>
  </si>
  <si>
    <t>Missouri</t>
  </si>
  <si>
    <t>Erica</t>
  </si>
  <si>
    <t>Lee Carter</t>
  </si>
  <si>
    <t>Whitesides</t>
  </si>
  <si>
    <t>Johnny</t>
  </si>
  <si>
    <t>Olszewski</t>
  </si>
  <si>
    <t>No (Amend)</t>
  </si>
  <si>
    <t>No (amend)</t>
  </si>
  <si>
    <t>2017 (special, sworn in 7/11)</t>
  </si>
  <si>
    <t>Black/Hispanic - Dominican</t>
  </si>
  <si>
    <t>April</t>
  </si>
  <si>
    <t>McClain-Delaney</t>
  </si>
  <si>
    <t>Bell</t>
  </si>
  <si>
    <t>Riley</t>
  </si>
  <si>
    <t>Gillen</t>
  </si>
  <si>
    <t>Latimer</t>
  </si>
  <si>
    <t>Danny K.</t>
  </si>
  <si>
    <t>Harris -&gt; Biden</t>
  </si>
  <si>
    <t>Black/Hispanic - Puerto Rican</t>
  </si>
  <si>
    <t>DMFI, AIPAC</t>
  </si>
  <si>
    <t>Tennessee</t>
  </si>
  <si>
    <t xml:space="preserve">Adam </t>
  </si>
  <si>
    <t>Booker -&gt; Biden</t>
  </si>
  <si>
    <t>Delaney -&gt; 
Bloomberg -&gt; Biden</t>
  </si>
  <si>
    <t>Texas</t>
  </si>
  <si>
    <t>O'Rourke -&gt; Biden</t>
  </si>
  <si>
    <t xml:space="preserve">Sheila </t>
  </si>
  <si>
    <t>Florida</t>
  </si>
  <si>
    <t>Analilia</t>
  </si>
  <si>
    <t>Mejia</t>
  </si>
  <si>
    <t>Christian</t>
  </si>
  <si>
    <t>Menefee</t>
  </si>
  <si>
    <t>Indiana</t>
  </si>
  <si>
    <t>Castro -&gt; Warren</t>
  </si>
  <si>
    <t>Bloomberg -&gt; 
Joe Biden</t>
  </si>
  <si>
    <t>North Carolina</t>
  </si>
  <si>
    <t>Black/Asian - Filipino</t>
  </si>
  <si>
    <t>Mississippi</t>
  </si>
  <si>
    <t>2020 (special, sworn in 5/5)</t>
  </si>
  <si>
    <t>Swalwell -&gt; 
Harris -&gt; Biden</t>
  </si>
  <si>
    <t>2018 (special, sworn in 11/13)</t>
  </si>
  <si>
    <t>Louisiana</t>
  </si>
  <si>
    <t>South Carolina</t>
  </si>
  <si>
    <t>Black/Asian - Korean</t>
  </si>
  <si>
    <t>2018 (special, sworn in 11/27)</t>
  </si>
  <si>
    <t>Inslee</t>
  </si>
  <si>
    <t>O'Rourke -&gt; Harris</t>
  </si>
  <si>
    <t>Alabama</t>
  </si>
  <si>
    <t>Delaney -&gt; Biden</t>
  </si>
  <si>
    <t>Kansas</t>
  </si>
  <si>
    <t>Buttigieg -&gt; Biden</t>
  </si>
  <si>
    <t>Booker -&gt; 
Buttigieg -&gt; Biden</t>
  </si>
  <si>
    <t>Castro -&gt; Biden</t>
  </si>
  <si>
    <t>Booker -&gt; 
Bloomberg -&gt; Biden</t>
  </si>
  <si>
    <t>Blue Dog,
New Democrat</t>
  </si>
  <si>
    <t>Alaska</t>
  </si>
  <si>
    <t>Black/Hispanic - Cuban</t>
  </si>
  <si>
    <t>Marie</t>
  </si>
  <si>
    <t xml:space="preserve">Gluesenkamp Perez </t>
  </si>
  <si>
    <t>Kentucky</t>
  </si>
  <si>
    <t>Progressive, New Democrat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</si>
</sst>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&quot;$&quot;#,##0"/>
    <numFmt numFmtId="166" formatCode="m/d/yyyy"/>
    <numFmt numFmtId="167" formatCode="&quot;$&quot;#,##0.00"/>
  </numFmts>
  <fonts count="11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ublic Sans"/>
    </font>
    <font>
      <b/>
      <color theme="1"/>
      <name val="Arial"/>
    </font>
    <font>
      <color theme="1"/>
      <name val="Public Sans"/>
    </font>
    <font>
      <b/>
      <u/>
      <sz val="10.0"/>
      <color rgb="FF0000FF"/>
      <name val="Public Sans"/>
    </font>
    <font>
      <b/>
      <sz val="10.0"/>
      <color theme="1"/>
      <name val="Public Sans"/>
    </font>
    <font>
      <b/>
      <sz val="10.0"/>
      <color rgb="FF222222"/>
      <name val="Public Sans"/>
    </font>
    <font>
      <b/>
      <i/>
      <sz val="10.0"/>
      <color theme="1"/>
      <name val="Public Sans"/>
    </font>
    <font>
      <sz val="10.0"/>
      <color rgb="FF000000"/>
      <name val="Public Sans"/>
    </font>
    <font>
      <b/>
      <u/>
      <sz val="10.0"/>
      <color rgb="FF0000FF"/>
      <name val="Public Sans"/>
    </font>
    <font>
      <b/>
      <u/>
      <sz val="10.0"/>
      <color rgb="FF0000FF"/>
      <name val="Public Sans"/>
    </font>
    <font>
      <b/>
      <u/>
      <color rgb="FF0000FF"/>
      <name val="Public Sans"/>
    </font>
    <font>
      <b/>
      <u/>
      <sz val="10.0"/>
      <color rgb="FF0000FF"/>
      <name val="Public Sans"/>
    </font>
    <font>
      <b/>
      <u/>
      <sz val="10.0"/>
      <color rgb="FF1155CC"/>
      <name val="Public Sans"/>
    </font>
    <font>
      <b/>
      <u/>
      <sz val="10.0"/>
      <color rgb="FF0000FF"/>
      <name val="Public Sans"/>
    </font>
    <font>
      <b/>
      <u/>
      <sz val="10.0"/>
      <color rgb="FF1155CC"/>
      <name val="Public Sans"/>
    </font>
    <font>
      <b/>
      <i/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222222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i/>
      <sz val="12.0"/>
      <color rgb="FF000000"/>
      <name val="Arial"/>
      <scheme val="minor"/>
    </font>
    <font>
      <sz val="10.0"/>
      <color theme="1"/>
      <name val="Public Sans"/>
    </font>
    <font>
      <sz val="10.0"/>
      <color rgb="FF222222"/>
      <name val="Public Sans"/>
    </font>
    <font>
      <i/>
      <sz val="10.0"/>
      <color rgb="FF000000"/>
      <name val="Public Sans"/>
    </font>
    <font>
      <b/>
      <sz val="10.0"/>
      <color theme="1"/>
      <name val="Arial"/>
      <scheme val="minor"/>
    </font>
    <font>
      <i/>
      <sz val="10.0"/>
      <color theme="1"/>
      <name val="Public Sans"/>
    </font>
    <font>
      <u/>
      <sz val="10.0"/>
      <color rgb="FF0000FF"/>
    </font>
    <font>
      <i/>
      <sz val="10.0"/>
      <color rgb="FF000000"/>
      <name val="Arial"/>
    </font>
    <font>
      <b/>
      <u/>
      <sz val="10.0"/>
      <color rgb="FF0000FF"/>
    </font>
    <font>
      <i/>
      <sz val="10.0"/>
      <color rgb="FF000000"/>
      <name val="Arial"/>
      <scheme val="minor"/>
    </font>
    <font>
      <sz val="12.0"/>
      <color rgb="FF222222"/>
      <name val="Arial"/>
      <scheme val="minor"/>
    </font>
    <font>
      <b/>
      <u/>
      <sz val="10.0"/>
      <color rgb="FF0000FF"/>
      <name val="Arial"/>
    </font>
    <font>
      <b/>
      <sz val="10.0"/>
      <color rgb="FF0000FF"/>
    </font>
    <font>
      <b/>
      <u/>
      <sz val="10.0"/>
      <color rgb="FF1155CC"/>
      <name val="Arial"/>
    </font>
    <font>
      <b/>
      <i/>
      <u/>
      <sz val="10.0"/>
      <color rgb="FF0000FF"/>
      <name val="Public Sans"/>
    </font>
    <font>
      <b/>
      <u/>
      <sz val="10.0"/>
      <color rgb="FF0000FF"/>
      <name val="Arial"/>
    </font>
    <font>
      <b/>
      <u/>
      <sz val="10.0"/>
      <color rgb="FF0000FF"/>
      <name val="Public Sans"/>
    </font>
    <font>
      <b/>
      <u/>
      <sz val="10.0"/>
      <color rgb="FF1155CC"/>
      <name val="Arial"/>
    </font>
    <font>
      <i/>
      <sz val="10.0"/>
      <color rgb="FF222222"/>
      <name val="Public Sans"/>
    </font>
    <font>
      <b/>
      <u/>
      <sz val="10.0"/>
      <color rgb="FF0000FF"/>
      <name val="Arial"/>
    </font>
    <font>
      <b/>
      <u/>
      <sz val="10.0"/>
      <color rgb="FF1155CC"/>
      <name val="Arial"/>
    </font>
    <font>
      <b/>
      <u/>
      <sz val="10.0"/>
      <color rgb="FF0000FF"/>
    </font>
    <font>
      <sz val="9.0"/>
      <color theme="1"/>
      <name val="Public Sans"/>
    </font>
    <font>
      <b/>
      <u/>
      <sz val="10.0"/>
      <color rgb="FF0000FF"/>
    </font>
    <font>
      <b/>
      <i/>
      <u/>
      <sz val="10.0"/>
      <color rgb="FF0000FF"/>
    </font>
    <font>
      <b/>
      <i/>
      <sz val="12.0"/>
      <color theme="1"/>
      <name val="Arial"/>
      <scheme val="minor"/>
    </font>
    <font>
      <b/>
      <i/>
      <sz val="11.0"/>
      <color theme="1"/>
      <name val="Arial"/>
      <scheme val="minor"/>
    </font>
    <font>
      <b/>
      <u/>
      <sz val="11.0"/>
      <color rgb="FF0000FF"/>
    </font>
    <font>
      <sz val="10.0"/>
      <color theme="1"/>
      <name val="Arial"/>
    </font>
    <font>
      <b/>
      <sz val="10.0"/>
      <color rgb="FF000000"/>
      <name val="Public Sans"/>
    </font>
    <font>
      <i/>
      <sz val="10.0"/>
      <color theme="1"/>
      <name val="Arial"/>
    </font>
    <font>
      <u/>
      <sz val="10.0"/>
      <color rgb="FF0000FF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u/>
      <sz val="10.0"/>
      <color rgb="FF0000FF"/>
      <name val="Public Sans"/>
    </font>
    <font>
      <i/>
      <sz val="10.0"/>
      <color theme="1"/>
      <name val="Arial"/>
      <scheme val="minor"/>
    </font>
    <font>
      <b/>
      <sz val="11.0"/>
      <color rgb="FF000000"/>
      <name val="Arial"/>
      <scheme val="minor"/>
    </font>
    <font>
      <i/>
      <sz val="11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b/>
      <i/>
      <sz val="11.0"/>
      <color rgb="FF000000"/>
      <name val="Arial"/>
      <scheme val="minor"/>
    </font>
    <font>
      <b/>
      <sz val="11.0"/>
      <color theme="1"/>
      <name val="Arial"/>
      <scheme val="minor"/>
    </font>
    <font>
      <u/>
      <sz val="10.0"/>
      <color rgb="FF0000FF"/>
      <name val="Arial"/>
    </font>
    <font>
      <u/>
      <sz val="10.0"/>
      <color rgb="FF0000FF"/>
    </font>
    <font>
      <sz val="10.0"/>
      <color rgb="FF0000FF"/>
    </font>
    <font>
      <u/>
      <sz val="10.0"/>
      <color rgb="FF0000FF"/>
    </font>
    <font>
      <b/>
      <i/>
      <sz val="10.0"/>
      <color rgb="FF000000"/>
      <name val="Public Sans"/>
    </font>
    <font>
      <u/>
      <sz val="10.0"/>
      <color rgb="FF0000FF"/>
    </font>
    <font>
      <u/>
      <sz val="10.0"/>
      <color rgb="FF0000FF"/>
    </font>
    <font>
      <b/>
      <sz val="10.0"/>
      <color rgb="FF222222"/>
      <name val="Arial"/>
      <scheme val="minor"/>
    </font>
    <font>
      <b/>
      <u/>
      <sz val="10.0"/>
      <color rgb="FF0000FF"/>
      <name val="Arial"/>
    </font>
    <font>
      <b/>
      <u/>
      <sz val="10.0"/>
      <color rgb="FF1155CC"/>
      <name val="Arial"/>
    </font>
    <font>
      <sz val="10.0"/>
      <color rgb="FF000000"/>
      <name val="Arial"/>
    </font>
    <font>
      <sz val="10.0"/>
      <color rgb="FF222222"/>
      <name val="Arial"/>
      <scheme val="minor"/>
    </font>
    <font>
      <sz val="10.0"/>
      <color rgb="FF000000"/>
    </font>
    <font>
      <u/>
      <sz val="10.0"/>
      <color rgb="FF0000FF"/>
    </font>
    <font>
      <u/>
      <sz val="11.0"/>
      <color rgb="FF0000FF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FF"/>
      <name val="Public Sans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sz val="10.0"/>
      <color rgb="FF0000FF"/>
      <name val="Public Sans"/>
    </font>
    <font>
      <u/>
      <sz val="10.0"/>
      <color rgb="FF0000FF"/>
    </font>
    <font>
      <sz val="11.0"/>
      <color theme="1"/>
      <name val="Arial"/>
    </font>
    <font>
      <b/>
      <sz val="11.0"/>
      <color theme="1"/>
      <name val="Arial"/>
    </font>
    <font>
      <i/>
      <u/>
      <sz val="11.0"/>
      <color rgb="FF0000FF"/>
    </font>
    <font>
      <i/>
      <color theme="1"/>
      <name val="Arial"/>
      <scheme val="minor"/>
    </font>
    <font>
      <b/>
      <u/>
      <sz val="12.0"/>
      <color rgb="FF1155CC"/>
    </font>
    <font>
      <b/>
      <u/>
      <sz val="12.0"/>
      <color rgb="FF0000FF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1155CC"/>
    </font>
    <font>
      <b/>
      <u/>
      <sz val="12.0"/>
      <color rgb="FF1155CC"/>
    </font>
    <font>
      <b/>
      <u/>
      <sz val="12.0"/>
      <color rgb="FF1155CC"/>
    </font>
    <font>
      <b/>
      <u/>
      <sz val="12.0"/>
      <color rgb="FF0000FF"/>
    </font>
    <font>
      <b/>
      <u/>
      <sz val="12.0"/>
      <color rgb="FF1155CC"/>
    </font>
    <font>
      <i/>
      <sz val="11.0"/>
      <color theme="1"/>
      <name val="Arial"/>
      <scheme val="minor"/>
    </font>
    <font>
      <b/>
      <u/>
      <sz val="12.0"/>
      <color rgb="FF0000FF"/>
    </font>
    <font>
      <b/>
      <u/>
      <sz val="12.0"/>
      <color rgb="FF1155CC"/>
    </font>
    <font>
      <b/>
      <u/>
      <sz val="12.0"/>
      <color rgb="FF1155CC"/>
      <name val="Arial"/>
    </font>
    <font>
      <b/>
      <u/>
      <sz val="12.0"/>
      <color rgb="FF1155CC"/>
      <name val="Arial"/>
      <scheme val="minor"/>
    </font>
    <font>
      <b/>
      <u/>
      <sz val="12.0"/>
      <color rgb="FF1155CC"/>
      <name val="Arial"/>
      <scheme val="minor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1155CC"/>
    </font>
    <font>
      <sz val="12.0"/>
      <color rgb="FF000000"/>
    </font>
    <font>
      <sz val="12.0"/>
      <color theme="1"/>
      <name val="Arial"/>
    </font>
    <font>
      <i/>
      <sz val="12.0"/>
      <color theme="1"/>
      <name val="Arial"/>
      <scheme val="minor"/>
    </font>
    <font>
      <u/>
      <sz val="10.0"/>
      <color rgb="FF0000FF"/>
      <name val="Arial"/>
    </font>
    <font>
      <b/>
      <sz val="12.0"/>
      <color rgb="FF000000"/>
      <name val="Arial"/>
      <scheme val="minor"/>
    </font>
    <font>
      <i/>
      <u/>
      <sz val="10.0"/>
      <color rgb="FF0000FF"/>
      <name val="Public Sans"/>
    </font>
  </fonts>
  <fills count="5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67FF"/>
        <bgColor rgb="FFFF67FF"/>
      </patternFill>
    </fill>
    <fill>
      <patternFill patternType="solid">
        <fgColor rgb="FFFF00FF"/>
        <bgColor rgb="FFFF00FF"/>
      </patternFill>
    </fill>
    <fill>
      <patternFill patternType="solid">
        <fgColor rgb="FFFF0BFF"/>
        <bgColor rgb="FFFF0BFF"/>
      </patternFill>
    </fill>
    <fill>
      <patternFill patternType="solid">
        <fgColor rgb="FFD9EAD3"/>
        <bgColor rgb="FFD9EAD3"/>
      </patternFill>
    </fill>
    <fill>
      <patternFill patternType="solid">
        <fgColor rgb="FFFF91FF"/>
        <bgColor rgb="FFFF91FF"/>
      </patternFill>
    </fill>
    <fill>
      <patternFill patternType="solid">
        <fgColor rgb="FFF4CCCC"/>
        <bgColor rgb="FFF4CCCC"/>
      </patternFill>
    </fill>
    <fill>
      <patternFill patternType="solid">
        <fgColor rgb="FFFFA4FF"/>
        <bgColor rgb="FFFFA4FF"/>
      </patternFill>
    </fill>
    <fill>
      <patternFill patternType="solid">
        <fgColor rgb="FFFFA3FF"/>
        <bgColor rgb="FFFFA3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B7E1CD"/>
        <bgColor rgb="FFB7E1CD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5CACA"/>
        <bgColor rgb="FFF5CACA"/>
      </patternFill>
    </fill>
    <fill>
      <patternFill patternType="solid">
        <fgColor rgb="FFB2CCF6"/>
        <bgColor rgb="FFB2CCF6"/>
      </patternFill>
    </fill>
    <fill>
      <patternFill patternType="solid">
        <fgColor rgb="FF84ACF0"/>
        <bgColor rgb="FF84ACF0"/>
      </patternFill>
    </fill>
    <fill>
      <patternFill patternType="solid">
        <fgColor rgb="FFAFCAF5"/>
        <bgColor rgb="FFAFCAF5"/>
      </patternFill>
    </fill>
    <fill>
      <patternFill patternType="solid">
        <fgColor rgb="FF86AEF0"/>
        <bgColor rgb="FF86AEF0"/>
      </patternFill>
    </fill>
    <fill>
      <patternFill patternType="solid">
        <fgColor rgb="FFF6D0D0"/>
        <bgColor rgb="FFF6D0D0"/>
      </patternFill>
    </fill>
    <fill>
      <patternFill patternType="solid">
        <fgColor rgb="FFB1FFFF"/>
        <bgColor rgb="FFB1FFFF"/>
      </patternFill>
    </fill>
    <fill>
      <patternFill patternType="solid">
        <fgColor rgb="FFBDFFBD"/>
        <bgColor rgb="FFBDFFBD"/>
      </patternFill>
    </fill>
    <fill>
      <patternFill patternType="solid">
        <fgColor rgb="FFFFEED3"/>
        <bgColor rgb="FFFFEED3"/>
      </patternFill>
    </fill>
    <fill>
      <patternFill patternType="solid">
        <fgColor rgb="FFD99FFF"/>
        <bgColor rgb="FFD99FFF"/>
      </patternFill>
    </fill>
    <fill>
      <patternFill patternType="solid">
        <fgColor rgb="FFFFFFF4"/>
        <bgColor rgb="FFFFFFF4"/>
      </patternFill>
    </fill>
    <fill>
      <patternFill patternType="solid">
        <fgColor rgb="FFFFFFF8"/>
        <bgColor rgb="FFFFFFF8"/>
      </patternFill>
    </fill>
    <fill>
      <patternFill patternType="solid">
        <fgColor rgb="FF9EFFFF"/>
        <bgColor rgb="FF9EFFFF"/>
      </patternFill>
    </fill>
    <fill>
      <patternFill patternType="solid">
        <fgColor rgb="FFC5FFC5"/>
        <bgColor rgb="FFC5FFC5"/>
      </patternFill>
    </fill>
    <fill>
      <patternFill patternType="solid">
        <fgColor rgb="FFFFEDD1"/>
        <bgColor rgb="FFFFEDD1"/>
      </patternFill>
    </fill>
    <fill>
      <patternFill patternType="solid">
        <fgColor rgb="FFE0B2FF"/>
        <bgColor rgb="FFE0B2FF"/>
      </patternFill>
    </fill>
    <fill>
      <patternFill patternType="solid">
        <fgColor rgb="FFFFFFFC"/>
        <bgColor rgb="FFFFFFFC"/>
      </patternFill>
    </fill>
    <fill>
      <patternFill patternType="solid">
        <fgColor rgb="FFFFFFFB"/>
        <bgColor rgb="FFFFFFFB"/>
      </patternFill>
    </fill>
    <fill>
      <patternFill patternType="solid">
        <fgColor rgb="FFFFB2FF"/>
        <bgColor rgb="FFFFB2FF"/>
      </patternFill>
    </fill>
    <fill>
      <patternFill patternType="solid">
        <fgColor rgb="FFC8DDEF"/>
        <bgColor rgb="FFC8DDEF"/>
      </patternFill>
    </fill>
    <fill>
      <patternFill patternType="solid">
        <fgColor rgb="FFC7EBEE"/>
        <bgColor rgb="FFC7EBEE"/>
      </patternFill>
    </fill>
    <fill>
      <patternFill patternType="solid">
        <fgColor rgb="FFE6B8AF"/>
        <bgColor rgb="FFE6B8AF"/>
      </patternFill>
    </fill>
    <fill>
      <patternFill patternType="solid">
        <fgColor rgb="FFFF42FF"/>
        <bgColor rgb="FFFF42FF"/>
      </patternFill>
    </fill>
    <fill>
      <patternFill patternType="solid">
        <fgColor rgb="FFFFD5FF"/>
        <bgColor rgb="FFFFD5FF"/>
      </patternFill>
    </fill>
    <fill>
      <patternFill patternType="solid">
        <fgColor rgb="FFFF60FF"/>
        <bgColor rgb="FFFF60FF"/>
      </patternFill>
    </fill>
    <fill>
      <patternFill patternType="solid">
        <fgColor rgb="FFFF28FF"/>
        <bgColor rgb="FFFF28FF"/>
      </patternFill>
    </fill>
    <fill>
      <patternFill patternType="solid">
        <fgColor rgb="FFFF2DFF"/>
        <bgColor rgb="FFFF2DFF"/>
      </patternFill>
    </fill>
    <fill>
      <patternFill patternType="solid">
        <fgColor rgb="FFFF13FF"/>
        <bgColor rgb="FFFF13FF"/>
      </patternFill>
    </fill>
    <fill>
      <patternFill patternType="solid">
        <fgColor rgb="FFFF11FF"/>
        <bgColor rgb="FFFF11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A843A9"/>
        <bgColor rgb="FFA843A9"/>
      </patternFill>
    </fill>
    <fill>
      <patternFill patternType="solid">
        <fgColor rgb="FF666666"/>
        <bgColor rgb="FF666666"/>
      </patternFill>
    </fill>
    <fill>
      <patternFill patternType="solid">
        <fgColor rgb="FFCC66FF"/>
        <bgColor rgb="FFCC66FF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3" fontId="2" numFmtId="164" xfId="0" applyAlignment="1" applyFill="1" applyFont="1" applyNumberFormat="1">
      <alignment horizontal="center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" numFmtId="10" xfId="0" applyAlignment="1" applyFont="1" applyNumberFormat="1">
      <alignment readingOrder="0"/>
    </xf>
    <xf borderId="0" fillId="0" fontId="8" numFmtId="0" xfId="0" applyAlignment="1" applyFont="1">
      <alignment horizontal="center" readingOrder="0" shrinkToFit="0" vertical="center" wrapText="1"/>
    </xf>
    <xf borderId="0" fillId="0" fontId="9" numFmtId="49" xfId="0" applyAlignment="1" applyFont="1" applyNumberFormat="1">
      <alignment horizontal="center" readingOrder="0" shrinkToFit="0" vertical="center" wrapText="1"/>
    </xf>
    <xf borderId="0" fillId="4" fontId="6" numFmtId="9" xfId="0" applyAlignment="1" applyFill="1" applyFont="1" applyNumberForma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0" fillId="5" fontId="2" numFmtId="164" xfId="0" applyAlignment="1" applyFill="1" applyFont="1" applyNumberFormat="1">
      <alignment horizontal="center" shrinkToFit="0" wrapText="1"/>
    </xf>
    <xf borderId="0" fillId="6" fontId="10" numFmtId="0" xfId="0" applyAlignment="1" applyFill="1" applyFont="1">
      <alignment horizontal="center" readingOrder="0" shrinkToFit="0" vertical="center" wrapText="1"/>
    </xf>
    <xf borderId="0" fillId="7" fontId="2" numFmtId="164" xfId="0" applyAlignment="1" applyFill="1" applyFont="1" applyNumberFormat="1">
      <alignment horizontal="center" shrinkToFit="0" wrapText="1"/>
    </xf>
    <xf borderId="0" fillId="8" fontId="11" numFmtId="0" xfId="0" applyAlignment="1" applyFill="1" applyFont="1">
      <alignment horizontal="center" readingOrder="0" shrinkToFit="0" vertical="center" wrapText="1"/>
    </xf>
    <xf borderId="0" fillId="9" fontId="2" numFmtId="164" xfId="0" applyAlignment="1" applyFill="1" applyFont="1" applyNumberFormat="1">
      <alignment horizontal="center" shrinkToFit="0" wrapText="1"/>
    </xf>
    <xf borderId="0" fillId="10" fontId="2" numFmtId="164" xfId="0" applyAlignment="1" applyFill="1" applyFont="1" applyNumberFormat="1">
      <alignment horizontal="center" shrinkToFit="0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165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7" numFmtId="165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11" fontId="19" numFmtId="0" xfId="0" applyAlignment="1" applyFill="1" applyFont="1">
      <alignment horizontal="center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0" fillId="8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11" fontId="2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right" readingOrder="0" shrinkToFit="0" vertical="center" wrapText="1"/>
    </xf>
    <xf borderId="0" fillId="0" fontId="23" numFmtId="166" xfId="0" applyAlignment="1" applyFont="1" applyNumberFormat="1">
      <alignment horizontal="center" readingOrder="0" shrinkToFit="0" vertical="center" wrapText="1"/>
    </xf>
    <xf borderId="0" fillId="0" fontId="23" numFmtId="166" xfId="0" applyAlignment="1" applyFont="1" applyNumberFormat="1">
      <alignment horizontal="center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0" fillId="0" fontId="23" numFmtId="164" xfId="0" applyAlignment="1" applyFont="1" applyNumberFormat="1">
      <alignment horizontal="center" readingOrder="0" shrinkToFit="0" vertical="center" wrapText="1"/>
    </xf>
    <xf borderId="0" fillId="0" fontId="1" numFmtId="9" xfId="0" applyAlignment="1" applyFont="1" applyNumberFormat="1">
      <alignment readingOrder="0"/>
    </xf>
    <xf borderId="0" fillId="0" fontId="23" numFmtId="164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readingOrder="0" vertical="center"/>
    </xf>
    <xf borderId="0" fillId="12" fontId="24" numFmtId="0" xfId="0" applyAlignment="1" applyFill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5" numFmtId="9" xfId="0" applyAlignment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27" numFmtId="9" xfId="0" applyAlignment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11" fontId="6" numFmtId="9" xfId="0" applyAlignment="1" applyFont="1" applyNumberFormat="1">
      <alignment horizontal="center" vertical="center"/>
    </xf>
    <xf borderId="0" fillId="0" fontId="29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shrinkToFit="0" vertical="center" wrapText="1"/>
    </xf>
    <xf borderId="0" fillId="13" fontId="26" numFmtId="0" xfId="0" applyAlignment="1" applyFill="1" applyFont="1">
      <alignment horizontal="center" vertical="center"/>
    </xf>
    <xf borderId="0" fillId="0" fontId="17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4" fontId="26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0" fillId="14" fontId="30" numFmtId="0" xfId="0" applyAlignment="1" applyFill="1" applyFont="1">
      <alignment horizontal="center" readingOrder="0" shrinkToFit="0" vertical="center" wrapText="1"/>
    </xf>
    <xf borderId="0" fillId="0" fontId="31" numFmtId="165" xfId="0" applyAlignment="1" applyFont="1" applyNumberForma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11" fontId="32" numFmtId="0" xfId="0" applyAlignment="1" applyFont="1">
      <alignment horizontal="center" readingOrder="0" shrinkToFit="0" vertical="center" wrapText="1"/>
    </xf>
    <xf borderId="0" fillId="11" fontId="32" numFmtId="164" xfId="0" applyAlignment="1" applyFont="1" applyNumberFormat="1">
      <alignment horizontal="center" readingOrder="0" shrinkToFit="0" vertical="center" wrapText="1"/>
    </xf>
    <xf borderId="0" fillId="0" fontId="20" numFmtId="164" xfId="0" applyAlignment="1" applyFont="1" applyNumberFormat="1">
      <alignment horizontal="center" readingOrder="0" vertical="center"/>
    </xf>
    <xf borderId="0" fillId="14" fontId="33" numFmtId="0" xfId="0" applyAlignment="1" applyFont="1">
      <alignment horizontal="center" readingOrder="0" shrinkToFit="0" vertical="center" wrapText="1"/>
    </xf>
    <xf borderId="0" fillId="2" fontId="24" numFmtId="0" xfId="0" applyAlignment="1" applyFont="1">
      <alignment horizontal="center" readingOrder="0" shrinkToFit="0" vertical="center" wrapText="1"/>
    </xf>
    <xf borderId="0" fillId="14" fontId="34" numFmtId="0" xfId="0" applyAlignment="1" applyFont="1">
      <alignment horizontal="center" readingOrder="0" shrinkToFit="0" vertical="center" wrapText="1"/>
    </xf>
    <xf borderId="0" fillId="8" fontId="8" numFmtId="0" xfId="0" applyAlignment="1" applyFont="1">
      <alignment horizontal="center" readingOrder="0" shrinkToFit="0" vertical="center" wrapText="1"/>
    </xf>
    <xf borderId="0" fillId="15" fontId="35" numFmtId="0" xfId="0" applyAlignment="1" applyFill="1" applyFont="1">
      <alignment horizontal="center" shrinkToFit="0" vertical="center" wrapText="1"/>
    </xf>
    <xf borderId="0" fillId="8" fontId="36" numFmtId="0" xfId="0" applyAlignment="1" applyFont="1">
      <alignment horizontal="center" readingOrder="0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6" numFmtId="165" xfId="0" applyAlignment="1" applyFont="1" applyNumberFormat="1">
      <alignment horizontal="center" readingOrder="0" shrinkToFit="0" vertical="center" wrapText="1"/>
    </xf>
    <xf borderId="0" fillId="0" fontId="8" numFmtId="165" xfId="0" applyAlignment="1" applyFont="1" applyNumberFormat="1">
      <alignment horizontal="center" readingOrder="0" shrinkToFit="0" vertical="center" wrapText="1"/>
    </xf>
    <xf borderId="0" fillId="0" fontId="8" numFmtId="167" xfId="0" applyAlignment="1" applyFont="1" applyNumberFormat="1">
      <alignment horizontal="center" readingOrder="0" shrinkToFit="0" vertical="center" wrapText="1"/>
    </xf>
    <xf borderId="0" fillId="0" fontId="38" numFmtId="49" xfId="0" applyAlignment="1" applyFont="1" applyNumberFormat="1">
      <alignment horizontal="center" readingOrder="0" shrinkToFit="0" vertical="center" wrapText="1"/>
    </xf>
    <xf borderId="0" fillId="11" fontId="23" numFmtId="0" xfId="0" applyAlignment="1" applyFont="1">
      <alignment horizontal="center" shrinkToFit="0" vertical="center" wrapText="1"/>
    </xf>
    <xf borderId="0" fillId="0" fontId="39" numFmtId="165" xfId="0" applyAlignment="1" applyFont="1" applyNumberFormat="1">
      <alignment horizontal="center" shrinkToFit="0" vertical="center" wrapText="1"/>
    </xf>
    <xf borderId="0" fillId="2" fontId="40" numFmtId="0" xfId="0" applyAlignment="1" applyFont="1">
      <alignment horizontal="center" readingOrder="0" shrinkToFit="0" vertical="center" wrapText="1"/>
    </xf>
    <xf borderId="0" fillId="0" fontId="41" numFmtId="165" xfId="0" applyAlignment="1" applyFont="1" applyNumberFormat="1">
      <alignment horizontal="center" readingOrder="0" shrinkToFit="0" vertical="center" wrapText="1"/>
    </xf>
    <xf borderId="0" fillId="0" fontId="42" numFmtId="0" xfId="0" applyAlignment="1" applyFont="1">
      <alignment horizontal="center" shrinkToFit="0" vertical="center" wrapText="1"/>
    </xf>
    <xf borderId="0" fillId="15" fontId="21" numFmtId="0" xfId="0" applyAlignment="1" applyFont="1">
      <alignment horizontal="center" readingOrder="0" shrinkToFit="0" vertical="center" wrapText="1"/>
    </xf>
    <xf borderId="0" fillId="8" fontId="27" numFmtId="166" xfId="0" applyAlignment="1" applyFont="1" applyNumberFormat="1">
      <alignment horizontal="center" readingOrder="0" shrinkToFit="0" vertical="center" wrapText="1"/>
    </xf>
    <xf borderId="0" fillId="0" fontId="43" numFmtId="0" xfId="0" applyAlignment="1" applyFon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0" fillId="0" fontId="44" numFmtId="0" xfId="0" applyAlignment="1" applyFont="1">
      <alignment horizontal="center" readingOrder="0" shrinkToFit="0" vertical="center" wrapText="1"/>
    </xf>
    <xf borderId="0" fillId="11" fontId="45" numFmtId="0" xfId="0" applyAlignment="1" applyFont="1">
      <alignment horizontal="center" readingOrder="0" shrinkToFit="0" vertical="center" wrapText="1"/>
    </xf>
    <xf borderId="0" fillId="16" fontId="46" numFmtId="0" xfId="0" applyAlignment="1" applyFill="1" applyFont="1">
      <alignment horizontal="center" readingOrder="0" shrinkToFit="0" vertical="center" wrapText="1"/>
    </xf>
    <xf borderId="0" fillId="0" fontId="18" numFmtId="165" xfId="0" applyAlignment="1" applyFont="1" applyNumberFormat="1">
      <alignment horizontal="center" readingOrder="0" shrinkToFit="0" vertical="center" wrapText="1"/>
    </xf>
    <xf borderId="0" fillId="0" fontId="47" numFmtId="165" xfId="0" applyAlignment="1" applyFont="1" applyNumberFormat="1">
      <alignment horizontal="center" readingOrder="0" shrinkToFit="0" vertical="center" wrapText="1"/>
    </xf>
    <xf borderId="0" fillId="0" fontId="48" numFmtId="167" xfId="0" applyAlignment="1" applyFont="1" applyNumberFormat="1">
      <alignment horizontal="center" readingOrder="0" shrinkToFit="0" vertical="center" wrapText="1"/>
    </xf>
    <xf borderId="0" fillId="0" fontId="47" numFmtId="167" xfId="0" applyAlignment="1" applyFont="1" applyNumberFormat="1">
      <alignment horizontal="center" readingOrder="0" shrinkToFit="0" vertical="center" wrapText="1"/>
    </xf>
    <xf borderId="0" fillId="0" fontId="49" numFmtId="49" xfId="0" applyAlignment="1" applyFont="1" applyNumberFormat="1">
      <alignment horizontal="center" readingOrder="0" shrinkToFit="0" vertical="center" wrapText="1"/>
    </xf>
    <xf borderId="0" fillId="0" fontId="18" numFmtId="49" xfId="0" applyAlignment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19" numFmtId="9" xfId="0" applyAlignment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14" fontId="0" numFmtId="0" xfId="0" applyAlignment="1" applyFont="1">
      <alignment horizontal="center" readingOrder="0" shrinkToFit="0" vertical="center" wrapText="1"/>
    </xf>
    <xf borderId="0" fillId="14" fontId="50" numFmtId="166" xfId="0" applyAlignment="1" applyFont="1" applyNumberFormat="1">
      <alignment horizontal="center" shrinkToFit="0" vertical="center" wrapText="1"/>
    </xf>
    <xf borderId="0" fillId="15" fontId="50" numFmtId="166" xfId="0" applyAlignment="1" applyFont="1" applyNumberFormat="1">
      <alignment horizontal="center" shrinkToFit="0" vertical="center" wrapText="1"/>
    </xf>
    <xf borderId="0" fillId="0" fontId="50" numFmtId="166" xfId="0" applyAlignment="1" applyFont="1" applyNumberFormat="1">
      <alignment horizontal="center" readingOrder="0" shrinkToFit="0" vertical="center" wrapText="1"/>
    </xf>
    <xf borderId="0" fillId="0" fontId="50" numFmtId="166" xfId="0" applyAlignment="1" applyFont="1" applyNumberFormat="1">
      <alignment horizontal="center" shrinkToFit="0" vertical="center" wrapText="1"/>
    </xf>
    <xf borderId="0" fillId="0" fontId="0" numFmtId="166" xfId="0" applyAlignment="1" applyFont="1" applyNumberFormat="1">
      <alignment horizontal="center" readingOrder="0" shrinkToFit="0" vertical="center" wrapText="1"/>
    </xf>
    <xf borderId="0" fillId="0" fontId="51" numFmtId="9" xfId="0" applyAlignment="1" applyFont="1" applyNumberFormat="1">
      <alignment horizontal="center" readingOrder="0" shrinkToFit="0" vertical="center" wrapText="1"/>
    </xf>
    <xf borderId="0" fillId="11" fontId="0" numFmtId="166" xfId="0" applyAlignment="1" applyFont="1" applyNumberFormat="1">
      <alignment horizontal="center" readingOrder="0" shrinkToFit="0" vertical="center" wrapText="1"/>
    </xf>
    <xf borderId="0" fillId="0" fontId="2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0" numFmtId="166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16" fontId="52" numFmtId="166" xfId="0" applyAlignment="1" applyFont="1" applyNumberFormat="1">
      <alignment horizontal="center" readingOrder="0" shrinkToFit="0" vertical="center" wrapText="1"/>
    </xf>
    <xf borderId="0" fillId="0" fontId="0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 shrinkToFit="0" vertical="center" wrapText="1"/>
    </xf>
    <xf borderId="0" fillId="13" fontId="53" numFmtId="0" xfId="0" applyAlignment="1" applyFont="1">
      <alignment horizontal="center" readingOrder="0" shrinkToFit="0" vertical="center" wrapText="1"/>
    </xf>
    <xf borderId="0" fillId="0" fontId="31" numFmtId="9" xfId="0" applyAlignment="1" applyFont="1" applyNumberFormat="1">
      <alignment horizontal="center" readingOrder="0" shrinkToFit="0" vertical="center" wrapText="1"/>
    </xf>
    <xf borderId="0" fillId="0" fontId="54" numFmtId="164" xfId="0" applyAlignment="1" applyFont="1" applyNumberFormat="1">
      <alignment horizontal="center" readingOrder="0" shrinkToFit="0" vertical="center" wrapText="1"/>
    </xf>
    <xf borderId="0" fillId="0" fontId="55" numFmtId="0" xfId="0" applyAlignment="1" applyFont="1">
      <alignment horizontal="center" readingOrder="0" vertical="center"/>
    </xf>
    <xf borderId="0" fillId="17" fontId="27" numFmtId="0" xfId="0" applyAlignment="1" applyFill="1" applyFont="1">
      <alignment horizontal="center" readingOrder="0" vertical="center"/>
    </xf>
    <xf borderId="0" fillId="13" fontId="50" numFmtId="0" xfId="0" applyAlignment="1" applyFont="1">
      <alignment horizontal="center" vertical="center"/>
    </xf>
    <xf borderId="0" fillId="13" fontId="56" numFmtId="0" xfId="0" applyAlignment="1" applyFont="1">
      <alignment horizontal="center"/>
    </xf>
    <xf borderId="0" fillId="13" fontId="50" numFmtId="0" xfId="0" applyAlignment="1" applyFont="1">
      <alignment horizontal="center" readingOrder="0" vertical="center"/>
    </xf>
    <xf borderId="0" fillId="0" fontId="51" numFmtId="165" xfId="0" applyAlignment="1" applyFont="1" applyNumberFormat="1">
      <alignment horizontal="center" readingOrder="0" shrinkToFit="0" vertical="center" wrapText="1"/>
    </xf>
    <xf borderId="0" fillId="18" fontId="50" numFmtId="0" xfId="0" applyAlignment="1" applyFill="1" applyFont="1">
      <alignment horizontal="center" vertical="center"/>
    </xf>
    <xf borderId="0" fillId="0" fontId="57" numFmtId="0" xfId="0" applyAlignment="1" applyFont="1">
      <alignment horizontal="center" readingOrder="0" shrinkToFit="0" vertical="center" wrapText="1"/>
    </xf>
    <xf borderId="0" fillId="0" fontId="50" numFmtId="0" xfId="0" applyAlignment="1" applyFont="1">
      <alignment horizontal="center" readingOrder="0" vertical="center"/>
    </xf>
    <xf borderId="0" fillId="0" fontId="25" numFmtId="165" xfId="0" applyAlignment="1" applyFont="1" applyNumberFormat="1">
      <alignment horizontal="center" readingOrder="0" shrinkToFit="0" vertical="center" wrapText="1"/>
    </xf>
    <xf borderId="0" fillId="0" fontId="25" numFmtId="167" xfId="0" applyAlignment="1" applyFont="1" applyNumberFormat="1">
      <alignment horizontal="center" readingOrder="0" shrinkToFit="0" vertical="center" wrapText="1"/>
    </xf>
    <xf borderId="0" fillId="19" fontId="50" numFmtId="0" xfId="0" applyAlignment="1" applyFill="1" applyFont="1">
      <alignment horizontal="center" readingOrder="0" vertical="center"/>
    </xf>
    <xf borderId="0" fillId="17" fontId="58" numFmtId="0" xfId="0" applyAlignment="1" applyFont="1">
      <alignment horizontal="center" readingOrder="0" vertical="center"/>
    </xf>
    <xf borderId="0" fillId="0" fontId="59" numFmtId="165" xfId="0" applyAlignment="1" applyFont="1" applyNumberFormat="1">
      <alignment horizontal="center" readingOrder="0" shrinkToFit="0" vertical="center" wrapText="1"/>
    </xf>
    <xf borderId="0" fillId="0" fontId="60" numFmtId="165" xfId="0" applyAlignment="1" applyFont="1" applyNumberFormat="1">
      <alignment horizontal="center" readingOrder="0" shrinkToFit="0" vertical="center" wrapText="1"/>
    </xf>
    <xf borderId="0" fillId="0" fontId="60" numFmtId="167" xfId="0" applyAlignment="1" applyFont="1" applyNumberFormat="1">
      <alignment horizontal="center" readingOrder="0" shrinkToFit="0" vertical="center" wrapText="1"/>
    </xf>
    <xf borderId="0" fillId="0" fontId="61" numFmtId="49" xfId="0" applyAlignment="1" applyFont="1" applyNumberFormat="1">
      <alignment horizontal="center" readingOrder="0" shrinkToFit="0" vertical="center" wrapText="1"/>
    </xf>
    <xf borderId="0" fillId="0" fontId="61" numFmtId="0" xfId="0" applyAlignment="1" applyFont="1">
      <alignment horizontal="center" readingOrder="0" shrinkToFit="0" vertical="center" wrapText="1"/>
    </xf>
    <xf borderId="0" fillId="6" fontId="61" numFmtId="0" xfId="0" applyAlignment="1" applyFont="1">
      <alignment horizontal="center" readingOrder="0" shrinkToFit="0" vertical="center" wrapText="1"/>
    </xf>
    <xf borderId="0" fillId="13" fontId="61" numFmtId="0" xfId="0" applyAlignment="1" applyFont="1">
      <alignment horizontal="center" readingOrder="0" shrinkToFit="0" vertical="center" wrapText="1"/>
    </xf>
    <xf borderId="0" fillId="0" fontId="61" numFmtId="9" xfId="0" applyAlignment="1" applyFont="1" applyNumberFormat="1">
      <alignment horizontal="center" readingOrder="0" shrinkToFit="0" vertical="center" wrapText="1"/>
    </xf>
    <xf borderId="0" fillId="0" fontId="59" numFmtId="9" xfId="0" applyAlignment="1" applyFont="1" applyNumberFormat="1">
      <alignment horizontal="center" readingOrder="0" shrinkToFit="0" vertical="center" wrapText="1"/>
    </xf>
    <xf borderId="0" fillId="0" fontId="62" numFmtId="0" xfId="0" applyAlignment="1" applyFont="1">
      <alignment vertical="center"/>
    </xf>
    <xf borderId="0" fillId="0" fontId="63" numFmtId="165" xfId="0" applyAlignment="1" applyFont="1" applyNumberFormat="1">
      <alignment horizontal="center" readingOrder="0" shrinkToFit="0" vertical="center" wrapText="1"/>
    </xf>
    <xf borderId="0" fillId="0" fontId="62" numFmtId="9" xfId="0" applyAlignment="1" applyFont="1" applyNumberFormat="1">
      <alignment horizontal="center" readingOrder="0" vertical="center"/>
    </xf>
    <xf borderId="0" fillId="0" fontId="64" numFmtId="9" xfId="0" applyAlignment="1" applyFont="1" applyNumberFormat="1">
      <alignment horizontal="center" readingOrder="0" vertical="center"/>
    </xf>
    <xf borderId="0" fillId="0" fontId="62" numFmtId="9" xfId="0" applyAlignment="1" applyFont="1" applyNumberFormat="1">
      <alignment horizontal="center" vertical="center"/>
    </xf>
    <xf borderId="0" fillId="0" fontId="55" numFmtId="9" xfId="0" applyAlignment="1" applyFont="1" applyNumberFormat="1">
      <alignment horizontal="center" readingOrder="0" vertical="center"/>
    </xf>
    <xf borderId="0" fillId="0" fontId="23" numFmtId="9" xfId="0" applyAlignment="1" applyFont="1" applyNumberFormat="1">
      <alignment horizontal="center" readingOrder="0" vertical="center"/>
    </xf>
    <xf borderId="0" fillId="20" fontId="50" numFmtId="0" xfId="0" applyAlignment="1" applyFill="1" applyFont="1">
      <alignment horizontal="center" vertical="center"/>
    </xf>
    <xf borderId="0" fillId="13" fontId="65" numFmtId="0" xfId="0" applyAlignment="1" applyFont="1">
      <alignment horizontal="center" readingOrder="0" vertical="center"/>
    </xf>
    <xf borderId="0" fillId="0" fontId="23" numFmtId="9" xfId="0" applyAlignment="1" applyFont="1" applyNumberFormat="1">
      <alignment horizontal="center" shrinkToFit="0" vertical="center" wrapText="1"/>
    </xf>
    <xf borderId="0" fillId="19" fontId="50" numFmtId="0" xfId="0" applyAlignment="1" applyFont="1">
      <alignment horizontal="center" vertical="center"/>
    </xf>
    <xf borderId="0" fillId="8" fontId="61" numFmtId="0" xfId="0" applyAlignment="1" applyFont="1">
      <alignment horizontal="center" readingOrder="0" shrinkToFit="0" vertical="center" wrapText="1"/>
    </xf>
    <xf borderId="0" fillId="0" fontId="66" numFmtId="0" xfId="0" applyAlignment="1" applyFont="1">
      <alignment horizontal="center" readingOrder="0" vertical="center"/>
    </xf>
    <xf borderId="0" fillId="11" fontId="23" numFmtId="0" xfId="0" applyAlignment="1" applyFont="1">
      <alignment horizontal="center" vertical="center"/>
    </xf>
    <xf borderId="0" fillId="6" fontId="67" numFmtId="0" xfId="0" applyAlignment="1" applyFont="1">
      <alignment horizontal="center" readingOrder="0" shrinkToFit="0" vertical="center" wrapText="1"/>
    </xf>
    <xf borderId="0" fillId="6" fontId="68" numFmtId="0" xfId="0" applyAlignment="1" applyFont="1">
      <alignment horizontal="center" readingOrder="0" shrinkToFit="0" vertical="center" wrapText="1"/>
    </xf>
    <xf borderId="0" fillId="0" fontId="69" numFmtId="165" xfId="0" applyAlignment="1" applyFont="1" applyNumberFormat="1">
      <alignment horizontal="center" readingOrder="0" shrinkToFit="0" vertical="center" wrapText="1"/>
    </xf>
    <xf borderId="0" fillId="18" fontId="56" numFmtId="0" xfId="0" applyAlignment="1" applyFont="1">
      <alignment horizontal="center"/>
    </xf>
    <xf borderId="0" fillId="13" fontId="67" numFmtId="0" xfId="0" applyAlignment="1" applyFont="1">
      <alignment horizontal="center" readingOrder="0" shrinkToFit="0" vertical="center" wrapText="1"/>
    </xf>
    <xf borderId="0" fillId="11" fontId="70" numFmtId="0" xfId="0" applyAlignment="1" applyFont="1">
      <alignment horizontal="center" readingOrder="0" shrinkToFit="0" vertical="center" wrapText="1"/>
    </xf>
    <xf borderId="0" fillId="12" fontId="71" numFmtId="0" xfId="0" applyAlignment="1" applyFont="1">
      <alignment horizontal="center" readingOrder="0" shrinkToFit="0" vertical="center" wrapText="1"/>
    </xf>
    <xf borderId="0" fillId="2" fontId="72" numFmtId="0" xfId="0" applyAlignment="1" applyFont="1">
      <alignment horizontal="center" readingOrder="0" shrinkToFit="0" vertical="center" wrapText="1"/>
    </xf>
    <xf borderId="0" fillId="0" fontId="72" numFmtId="0" xfId="0" applyAlignment="1" applyFont="1">
      <alignment horizontal="center" readingOrder="0" shrinkToFit="0" vertical="center" wrapText="1"/>
    </xf>
    <xf borderId="0" fillId="4" fontId="26" numFmtId="9" xfId="0" applyAlignment="1" applyFont="1" applyNumberFormat="1">
      <alignment horizontal="center" readingOrder="0" shrinkToFit="0" vertical="center" wrapText="1"/>
    </xf>
    <xf borderId="0" fillId="0" fontId="55" numFmtId="0" xfId="0" applyAlignment="1" applyFont="1">
      <alignment horizontal="center" readingOrder="0" shrinkToFit="0" vertical="center" wrapText="1"/>
    </xf>
    <xf borderId="0" fillId="21" fontId="58" numFmtId="0" xfId="0" applyAlignment="1" applyFill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73" numFmtId="0" xfId="0" applyAlignment="1" applyFont="1">
      <alignment horizontal="center" readingOrder="0" shrinkToFit="0" vertical="center" wrapText="1"/>
    </xf>
    <xf borderId="0" fillId="0" fontId="74" numFmtId="0" xfId="0" applyAlignment="1" applyFont="1">
      <alignment horizontal="center" readingOrder="0" shrinkToFit="0" vertical="center" wrapText="1"/>
    </xf>
    <xf borderId="0" fillId="0" fontId="75" numFmtId="166" xfId="0" applyAlignment="1" applyFont="1" applyNumberFormat="1">
      <alignment horizontal="center" readingOrder="0" shrinkToFit="0" vertical="center" wrapText="1"/>
    </xf>
    <xf borderId="0" fillId="12" fontId="76" numFmtId="0" xfId="0" applyAlignment="1" applyFont="1">
      <alignment horizontal="center" readingOrder="0" shrinkToFit="0" vertical="center" wrapText="1"/>
    </xf>
    <xf borderId="0" fillId="0" fontId="76" numFmtId="0" xfId="0" applyAlignment="1" applyFont="1">
      <alignment horizontal="center" readingOrder="0" shrinkToFit="0" vertical="center" wrapText="1"/>
    </xf>
    <xf borderId="0" fillId="0" fontId="26" numFmtId="9" xfId="0" applyAlignment="1" applyFont="1" applyNumberFormat="1">
      <alignment horizontal="center" readingOrder="0" shrinkToFit="0" vertical="center" wrapText="1"/>
    </xf>
    <xf borderId="0" fillId="0" fontId="50" numFmtId="0" xfId="0" applyAlignment="1" applyFont="1">
      <alignment horizontal="center" readingOrder="0" shrinkToFit="0" wrapText="1"/>
    </xf>
    <xf borderId="0" fillId="13" fontId="50" numFmtId="0" xfId="0" applyAlignment="1" applyFont="1">
      <alignment horizontal="center" shrinkToFit="0" wrapText="1"/>
    </xf>
    <xf borderId="0" fillId="19" fontId="50" numFmtId="0" xfId="0" applyAlignment="1" applyFont="1">
      <alignment horizontal="center" readingOrder="0" shrinkToFit="0" vertical="center" wrapText="1"/>
    </xf>
    <xf borderId="0" fillId="13" fontId="50" numFmtId="0" xfId="0" applyAlignment="1" applyFont="1">
      <alignment horizontal="center" readingOrder="0" shrinkToFit="0" vertical="center" wrapText="1"/>
    </xf>
    <xf borderId="0" fillId="0" fontId="55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vertical="center"/>
    </xf>
    <xf borderId="0" fillId="2" fontId="76" numFmtId="0" xfId="0" applyAlignment="1" applyFont="1">
      <alignment horizontal="center" readingOrder="0" shrinkToFit="0" vertical="center" wrapText="1"/>
    </xf>
    <xf borderId="0" fillId="19" fontId="50" numFmtId="0" xfId="0" applyAlignment="1" applyFont="1">
      <alignment horizontal="center" shrinkToFit="0" wrapText="1"/>
    </xf>
    <xf borderId="0" fillId="21" fontId="27" numFmtId="0" xfId="0" applyAlignment="1" applyFont="1">
      <alignment horizontal="center" readingOrder="0" vertical="center"/>
    </xf>
    <xf borderId="0" fillId="19" fontId="61" numFmtId="0" xfId="0" applyAlignment="1" applyFont="1">
      <alignment horizontal="center" readingOrder="0" shrinkToFit="0" vertical="center" wrapText="1"/>
    </xf>
    <xf borderId="0" fillId="18" fontId="50" numFmtId="0" xfId="0" applyAlignment="1" applyFont="1">
      <alignment horizontal="center" readingOrder="0" shrinkToFit="0" vertical="center" wrapText="1"/>
    </xf>
    <xf borderId="0" fillId="11" fontId="61" numFmtId="0" xfId="0" applyAlignment="1" applyFont="1">
      <alignment horizontal="center" readingOrder="0" shrinkToFit="0" vertical="center" wrapText="1"/>
    </xf>
    <xf borderId="0" fillId="6" fontId="77" numFmtId="0" xfId="0" applyAlignment="1" applyFont="1">
      <alignment horizontal="center" readingOrder="0" shrinkToFit="0" vertical="center" wrapText="1"/>
    </xf>
    <xf borderId="0" fillId="19" fontId="56" numFmtId="0" xfId="0" applyAlignment="1" applyFont="1">
      <alignment horizontal="center"/>
    </xf>
    <xf borderId="0" fillId="0" fontId="0" numFmtId="9" xfId="0" applyAlignment="1" applyFont="1" applyNumberFormat="1">
      <alignment horizontal="center" readingOrder="0" shrinkToFit="0" vertical="center" wrapText="1"/>
    </xf>
    <xf borderId="0" fillId="19" fontId="76" numFmtId="0" xfId="0" applyAlignment="1" applyFont="1">
      <alignment horizontal="center" readingOrder="0" shrinkToFit="0" vertical="center" wrapText="1"/>
    </xf>
    <xf borderId="0" fillId="0" fontId="61" numFmtId="49" xfId="0" applyAlignment="1" applyFont="1" applyNumberFormat="1">
      <alignment horizontal="center" readingOrder="0" shrinkToFit="0" vertical="center" wrapText="1"/>
    </xf>
    <xf borderId="0" fillId="0" fontId="50" numFmtId="0" xfId="0" applyAlignment="1" applyFont="1">
      <alignment horizontal="center" vertical="center"/>
    </xf>
    <xf borderId="0" fillId="19" fontId="78" numFmtId="0" xfId="0" applyAlignment="1" applyFont="1">
      <alignment horizontal="center" readingOrder="0" shrinkToFit="0" vertical="center" wrapText="1"/>
    </xf>
    <xf borderId="0" fillId="0" fontId="79" numFmtId="49" xfId="0" applyAlignment="1" applyFont="1" applyNumberFormat="1">
      <alignment horizontal="center" readingOrder="0" shrinkToFit="0" vertical="center" wrapText="1"/>
    </xf>
    <xf borderId="0" fillId="19" fontId="80" numFmtId="0" xfId="0" applyAlignment="1" applyFont="1">
      <alignment horizontal="center" readingOrder="0" shrinkToFit="0" vertical="center" wrapText="1"/>
    </xf>
    <xf borderId="0" fillId="19" fontId="81" numFmtId="0" xfId="0" applyAlignment="1" applyFont="1">
      <alignment horizontal="center" readingOrder="0" shrinkToFit="0" vertical="center" wrapText="1"/>
    </xf>
    <xf borderId="0" fillId="0" fontId="82" numFmtId="0" xfId="0" applyAlignment="1" applyFont="1">
      <alignment horizontal="center" readingOrder="0" vertical="center"/>
    </xf>
    <xf borderId="0" fillId="0" fontId="54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center"/>
    </xf>
    <xf borderId="0" fillId="0" fontId="83" numFmtId="0" xfId="0" applyAlignment="1" applyFont="1">
      <alignment vertical="bottom"/>
    </xf>
    <xf borderId="0" fillId="0" fontId="56" numFmtId="0" xfId="0" applyAlignment="1" applyFont="1">
      <alignment vertical="bottom"/>
    </xf>
    <xf borderId="0" fillId="0" fontId="56" numFmtId="0" xfId="0" applyFont="1"/>
    <xf borderId="0" fillId="0" fontId="1" numFmtId="0" xfId="0" applyAlignment="1" applyFont="1">
      <alignment horizontal="center" vertical="center"/>
    </xf>
    <xf borderId="0" fillId="0" fontId="84" numFmtId="0" xfId="0" applyAlignment="1" applyFont="1">
      <alignment readingOrder="0" vertical="bottom"/>
    </xf>
    <xf borderId="0" fillId="0" fontId="56" numFmtId="0" xfId="0" applyAlignment="1" applyFont="1">
      <alignment readingOrder="0" vertical="bottom"/>
    </xf>
    <xf borderId="0" fillId="0" fontId="56" numFmtId="0" xfId="0" applyAlignment="1" applyFont="1">
      <alignment readingOrder="0"/>
    </xf>
    <xf borderId="0" fillId="0" fontId="85" numFmtId="0" xfId="0" applyAlignment="1" applyFont="1">
      <alignment readingOrder="0" vertical="bottom"/>
    </xf>
    <xf borderId="0" fillId="14" fontId="56" numFmtId="0" xfId="0" applyAlignment="1" applyFont="1">
      <alignment readingOrder="0" vertical="bottom"/>
    </xf>
    <xf borderId="0" fillId="14" fontId="86" numFmtId="0" xfId="0" applyAlignment="1" applyFont="1">
      <alignment readingOrder="0" vertical="bottom"/>
    </xf>
    <xf borderId="0" fillId="18" fontId="61" numFmtId="0" xfId="0" applyAlignment="1" applyFont="1">
      <alignment horizontal="center" readingOrder="0" shrinkToFit="0" vertical="center" wrapText="1"/>
    </xf>
    <xf borderId="0" fillId="0" fontId="62" numFmtId="0" xfId="0" applyAlignment="1" applyFont="1">
      <alignment horizontal="center" vertical="center"/>
    </xf>
    <xf borderId="0" fillId="0" fontId="87" numFmtId="49" xfId="0" applyAlignment="1" applyFont="1" applyNumberFormat="1">
      <alignment horizontal="center" readingOrder="0" shrinkToFit="0" vertical="center" wrapText="1"/>
    </xf>
    <xf borderId="0" fillId="8" fontId="88" numFmtId="0" xfId="0" applyAlignment="1" applyFont="1">
      <alignment horizontal="center" readingOrder="0" shrinkToFit="0" vertical="center" wrapText="1"/>
    </xf>
    <xf borderId="0" fillId="0" fontId="89" numFmtId="0" xfId="0" applyAlignment="1" applyFont="1">
      <alignment horizontal="center" readingOrder="0" vertical="center"/>
    </xf>
    <xf borderId="0" fillId="0" fontId="50" numFmtId="0" xfId="0" applyAlignment="1" applyFont="1">
      <alignment horizontal="center" shrinkToFit="0" vertical="center" wrapText="1"/>
    </xf>
    <xf borderId="0" fillId="0" fontId="89" numFmtId="49" xfId="0" applyAlignment="1" applyFont="1" applyNumberFormat="1">
      <alignment horizontal="center" shrinkToFit="0" vertical="center" wrapText="1"/>
    </xf>
    <xf borderId="0" fillId="0" fontId="89" numFmtId="0" xfId="0" applyAlignment="1" applyFont="1">
      <alignment horizontal="center" vertical="center"/>
    </xf>
    <xf borderId="0" fillId="19" fontId="89" numFmtId="0" xfId="0" applyAlignment="1" applyFont="1">
      <alignment horizontal="center" shrinkToFit="0" vertical="center" wrapText="1"/>
    </xf>
    <xf borderId="0" fillId="0" fontId="89" numFmtId="49" xfId="0" applyAlignment="1" applyFont="1" applyNumberFormat="1">
      <alignment horizontal="center" vertical="center"/>
    </xf>
    <xf borderId="0" fillId="22" fontId="89" numFmtId="9" xfId="0" applyAlignment="1" applyFill="1" applyFont="1" applyNumberFormat="1">
      <alignment horizontal="center" shrinkToFit="0" vertical="center" wrapText="1"/>
    </xf>
    <xf borderId="0" fillId="23" fontId="90" numFmtId="9" xfId="0" applyAlignment="1" applyFill="1" applyFont="1" applyNumberFormat="1">
      <alignment horizontal="center" shrinkToFit="0" vertical="center" wrapText="1"/>
    </xf>
    <xf borderId="0" fillId="21" fontId="89" numFmtId="9" xfId="0" applyAlignment="1" applyFont="1" applyNumberFormat="1">
      <alignment horizontal="center" shrinkToFit="0" vertical="center" wrapText="1"/>
    </xf>
    <xf borderId="0" fillId="0" fontId="89" numFmtId="9" xfId="0" applyAlignment="1" applyFont="1" applyNumberFormat="1">
      <alignment horizontal="center" vertical="center"/>
    </xf>
    <xf borderId="0" fillId="24" fontId="89" numFmtId="9" xfId="0" applyAlignment="1" applyFill="1" applyFont="1" applyNumberFormat="1">
      <alignment horizontal="center" shrinkToFit="0" vertical="center" wrapText="1"/>
    </xf>
    <xf borderId="0" fillId="25" fontId="90" numFmtId="9" xfId="0" applyAlignment="1" applyFill="1" applyFont="1" applyNumberFormat="1">
      <alignment horizontal="center" shrinkToFit="0" vertical="center" wrapText="1"/>
    </xf>
    <xf borderId="0" fillId="26" fontId="89" numFmtId="9" xfId="0" applyAlignment="1" applyFill="1" applyFont="1" applyNumberFormat="1">
      <alignment horizontal="center" shrinkToFit="0" vertical="center" wrapText="1"/>
    </xf>
    <xf borderId="0" fillId="27" fontId="90" numFmtId="9" xfId="0" applyAlignment="1" applyFill="1" applyFont="1" applyNumberFormat="1">
      <alignment horizontal="center" shrinkToFit="0" vertical="center" wrapText="1"/>
    </xf>
    <xf borderId="0" fillId="28" fontId="89" numFmtId="9" xfId="0" applyAlignment="1" applyFill="1" applyFont="1" applyNumberFormat="1">
      <alignment horizontal="center" shrinkToFit="0" vertical="center" wrapText="1"/>
    </xf>
    <xf borderId="0" fillId="29" fontId="89" numFmtId="9" xfId="0" applyAlignment="1" applyFill="1" applyFont="1" applyNumberFormat="1">
      <alignment horizontal="center" shrinkToFit="0" vertical="center" wrapText="1"/>
    </xf>
    <xf borderId="0" fillId="30" fontId="89" numFmtId="9" xfId="0" applyAlignment="1" applyFill="1" applyFont="1" applyNumberFormat="1">
      <alignment horizontal="center" shrinkToFit="0" vertical="center" wrapText="1"/>
    </xf>
    <xf borderId="0" fillId="31" fontId="89" numFmtId="9" xfId="0" applyAlignment="1" applyFill="1" applyFont="1" applyNumberFormat="1">
      <alignment horizontal="center" shrinkToFit="0" vertical="center" wrapText="1"/>
    </xf>
    <xf borderId="0" fillId="32" fontId="89" numFmtId="9" xfId="0" applyAlignment="1" applyFill="1" applyFont="1" applyNumberFormat="1">
      <alignment horizontal="center" shrinkToFit="0" vertical="center" wrapText="1"/>
    </xf>
    <xf borderId="0" fillId="33" fontId="90" numFmtId="9" xfId="0" applyAlignment="1" applyFill="1" applyFont="1" applyNumberFormat="1">
      <alignment horizontal="center" shrinkToFit="0" vertical="center" wrapText="1"/>
    </xf>
    <xf borderId="0" fillId="34" fontId="89" numFmtId="9" xfId="0" applyAlignment="1" applyFill="1" applyFont="1" applyNumberFormat="1">
      <alignment horizontal="center" shrinkToFit="0" vertical="center" wrapText="1"/>
    </xf>
    <xf borderId="0" fillId="35" fontId="89" numFmtId="9" xfId="0" applyAlignment="1" applyFill="1" applyFont="1" applyNumberFormat="1">
      <alignment horizontal="center" shrinkToFit="0" vertical="center" wrapText="1"/>
    </xf>
    <xf borderId="0" fillId="36" fontId="89" numFmtId="9" xfId="0" applyAlignment="1" applyFill="1" applyFont="1" applyNumberFormat="1">
      <alignment horizontal="center" shrinkToFit="0" vertical="center" wrapText="1"/>
    </xf>
    <xf borderId="0" fillId="37" fontId="89" numFmtId="9" xfId="0" applyAlignment="1" applyFill="1" applyFont="1" applyNumberFormat="1">
      <alignment horizontal="center" shrinkToFit="0" vertical="center" wrapText="1"/>
    </xf>
    <xf borderId="0" fillId="38" fontId="89" numFmtId="9" xfId="0" applyAlignment="1" applyFill="1" applyFont="1" applyNumberFormat="1">
      <alignment horizontal="center" shrinkToFit="0" vertical="center" wrapText="1"/>
    </xf>
    <xf borderId="0" fillId="39" fontId="89" numFmtId="9" xfId="0" applyAlignment="1" applyFill="1" applyFont="1" applyNumberFormat="1">
      <alignment horizontal="center" shrinkToFit="0" vertical="center" wrapText="1"/>
    </xf>
    <xf borderId="0" fillId="40" fontId="89" numFmtId="9" xfId="0" applyAlignment="1" applyFill="1" applyFont="1" applyNumberFormat="1">
      <alignment horizontal="center" shrinkToFit="0" vertical="center" wrapText="1"/>
    </xf>
    <xf borderId="0" fillId="41" fontId="89" numFmtId="9" xfId="0" applyAlignment="1" applyFill="1" applyFont="1" applyNumberFormat="1">
      <alignment horizontal="center" shrinkToFit="0" vertical="center" wrapText="1"/>
    </xf>
    <xf borderId="0" fillId="0" fontId="61" numFmtId="164" xfId="0" applyAlignment="1" applyFont="1" applyNumberFormat="1">
      <alignment horizontal="center" readingOrder="0" shrinkToFit="0" vertical="center" wrapText="1"/>
    </xf>
    <xf borderId="0" fillId="0" fontId="59" numFmtId="164" xfId="0" applyAlignment="1" applyFont="1" applyNumberFormat="1">
      <alignment horizontal="center" readingOrder="0" shrinkToFit="0" vertical="center" wrapText="1"/>
    </xf>
    <xf borderId="0" fillId="42" fontId="27" numFmtId="0" xfId="0" applyAlignment="1" applyFill="1" applyFont="1">
      <alignment horizontal="center" readingOrder="0" vertical="center"/>
    </xf>
    <xf borderId="0" fillId="42" fontId="69" numFmtId="165" xfId="0" applyAlignment="1" applyFont="1" applyNumberFormat="1">
      <alignment horizontal="center" readingOrder="0" shrinkToFit="0" vertical="center" wrapText="1"/>
    </xf>
    <xf borderId="0" fillId="42" fontId="25" numFmtId="165" xfId="0" applyAlignment="1" applyFont="1" applyNumberFormat="1">
      <alignment horizontal="center" readingOrder="0" shrinkToFit="0" vertical="center" wrapText="1"/>
    </xf>
    <xf borderId="0" fillId="42" fontId="25" numFmtId="167" xfId="0" applyAlignment="1" applyFont="1" applyNumberFormat="1">
      <alignment horizontal="center" readingOrder="0" shrinkToFit="0" vertical="center" wrapText="1"/>
    </xf>
    <xf borderId="0" fillId="42" fontId="25" numFmtId="49" xfId="0" applyAlignment="1" applyFont="1" applyNumberFormat="1">
      <alignment horizontal="center" readingOrder="0" shrinkToFit="0" vertical="center" wrapText="1"/>
    </xf>
    <xf borderId="0" fillId="11" fontId="27" numFmtId="9" xfId="0" applyAlignment="1" applyFont="1" applyNumberFormat="1">
      <alignment horizontal="center" shrinkToFit="0" vertical="center" wrapText="1"/>
    </xf>
    <xf borderId="0" fillId="0" fontId="9" numFmtId="165" xfId="0" applyAlignment="1" applyFont="1" applyNumberFormat="1">
      <alignment horizontal="center" readingOrder="0" shrinkToFit="0" vertical="center" wrapText="1"/>
    </xf>
    <xf borderId="0" fillId="19" fontId="55" numFmtId="0" xfId="0" applyAlignment="1" applyFont="1">
      <alignment horizontal="center" readingOrder="0" shrinkToFit="0" vertical="center" wrapText="1"/>
    </xf>
    <xf borderId="0" fillId="0" fontId="91" numFmtId="165" xfId="0" applyAlignment="1" applyFont="1" applyNumberFormat="1">
      <alignment horizontal="center" readingOrder="0" shrinkToFit="0" vertical="center" wrapText="1"/>
    </xf>
    <xf borderId="0" fillId="0" fontId="1" numFmtId="9" xfId="0" applyAlignment="1" applyFont="1" applyNumberFormat="1">
      <alignment horizontal="center" readingOrder="0" vertical="center"/>
    </xf>
    <xf borderId="0" fillId="0" fontId="92" numFmtId="0" xfId="0" applyAlignment="1" applyFont="1">
      <alignment horizontal="center" readingOrder="0" vertical="center"/>
    </xf>
    <xf borderId="0" fillId="0" fontId="92" numFmtId="0" xfId="0" applyAlignment="1" applyFont="1">
      <alignment horizontal="center" vertical="center"/>
    </xf>
    <xf borderId="0" fillId="2" fontId="18" numFmtId="0" xfId="0" applyAlignment="1" applyFont="1">
      <alignment horizontal="center" readingOrder="0" shrinkToFit="0" vertical="center" wrapText="1"/>
    </xf>
    <xf borderId="0" fillId="0" fontId="47" numFmtId="0" xfId="0" applyAlignment="1" applyFont="1">
      <alignment horizontal="center" readingOrder="0" shrinkToFit="0" vertical="center" wrapText="1"/>
    </xf>
    <xf borderId="0" fillId="14" fontId="93" numFmtId="0" xfId="0" applyAlignment="1" applyFont="1">
      <alignment horizontal="center" readingOrder="0" shrinkToFit="0" vertical="center" wrapText="1"/>
    </xf>
    <xf borderId="0" fillId="14" fontId="94" numFmtId="0" xfId="0" applyAlignment="1" applyFont="1">
      <alignment horizontal="center" readingOrder="0" shrinkToFit="0" vertical="center" wrapText="1"/>
    </xf>
    <xf borderId="0" fillId="0" fontId="95" numFmtId="0" xfId="0" applyAlignment="1" applyFont="1">
      <alignment horizontal="center" readingOrder="0" shrinkToFit="0" vertical="center" wrapText="1"/>
    </xf>
    <xf borderId="0" fillId="12" fontId="96" numFmtId="0" xfId="0" applyAlignment="1" applyFont="1">
      <alignment horizontal="center" shrinkToFit="0" vertical="center" wrapText="1"/>
    </xf>
    <xf borderId="0" fillId="12" fontId="97" numFmtId="0" xfId="0" applyAlignment="1" applyFont="1">
      <alignment horizontal="center" readingOrder="0" shrinkToFit="0" vertical="center" wrapText="1"/>
    </xf>
    <xf borderId="0" fillId="12" fontId="98" numFmtId="0" xfId="0" applyAlignment="1" applyFont="1">
      <alignment horizontal="center" readingOrder="0" shrinkToFit="0" vertical="center" wrapText="1"/>
    </xf>
    <xf borderId="0" fillId="2" fontId="99" numFmtId="0" xfId="0" applyAlignment="1" applyFont="1">
      <alignment horizontal="center" readingOrder="0" shrinkToFit="0" vertical="center" wrapText="1"/>
    </xf>
    <xf borderId="0" fillId="0" fontId="100" numFmtId="0" xfId="0" applyAlignment="1" applyFont="1">
      <alignment horizontal="center" readingOrder="0" shrinkToFit="0" vertical="center" wrapText="1"/>
    </xf>
    <xf borderId="0" fillId="0" fontId="101" numFmtId="0" xfId="0" applyAlignment="1" applyFont="1">
      <alignment horizontal="center" readingOrder="0" shrinkToFit="0" vertical="center" wrapText="1"/>
    </xf>
    <xf borderId="0" fillId="12" fontId="102" numFmtId="0" xfId="0" applyAlignment="1" applyFont="1">
      <alignment horizontal="center" readingOrder="0" shrinkToFit="0" vertical="center" wrapText="1"/>
    </xf>
    <xf borderId="0" fillId="0" fontId="103" numFmtId="0" xfId="0" applyAlignment="1" applyFont="1">
      <alignment vertical="center"/>
    </xf>
    <xf borderId="0" fillId="12" fontId="104" numFmtId="0" xfId="0" applyAlignment="1" applyFont="1">
      <alignment horizontal="center" readingOrder="0" shrinkToFit="0" vertical="center" wrapText="1"/>
    </xf>
    <xf borderId="0" fillId="0" fontId="105" numFmtId="0" xfId="0" applyAlignment="1" applyFont="1">
      <alignment horizontal="center" readingOrder="0" shrinkToFit="0" vertical="center" wrapText="1"/>
    </xf>
    <xf borderId="0" fillId="0" fontId="106" numFmtId="0" xfId="0" applyAlignment="1" applyFont="1">
      <alignment horizontal="center" shrinkToFit="0" wrapText="1"/>
    </xf>
    <xf borderId="0" fillId="0" fontId="107" numFmtId="0" xfId="0" applyAlignment="1" applyFont="1">
      <alignment horizontal="center" readingOrder="0" shrinkToFit="0" vertical="center" wrapText="1"/>
    </xf>
    <xf borderId="0" fillId="12" fontId="108" numFmtId="0" xfId="0" applyAlignment="1" applyFont="1">
      <alignment horizontal="center" readingOrder="0" shrinkToFit="0" vertical="center" wrapText="1"/>
    </xf>
    <xf borderId="0" fillId="0" fontId="109" numFmtId="0" xfId="0" applyAlignment="1" applyFont="1">
      <alignment horizontal="center" readingOrder="0" shrinkToFit="0" vertical="center" wrapText="1"/>
    </xf>
    <xf borderId="0" fillId="0" fontId="110" numFmtId="0" xfId="0" applyAlignment="1" applyFont="1">
      <alignment horizontal="center" shrinkToFit="0" vertical="center" wrapText="1"/>
    </xf>
    <xf borderId="0" fillId="11" fontId="111" numFmtId="0" xfId="0" applyAlignment="1" applyFont="1">
      <alignment horizontal="center" readingOrder="0" shrinkToFit="0" vertical="center" wrapText="1"/>
    </xf>
    <xf borderId="0" fillId="2" fontId="112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14" fontId="20" numFmtId="0" xfId="0" applyAlignment="1" applyFont="1">
      <alignment horizontal="center" readingOrder="0" shrinkToFit="0" vertical="center" wrapText="1"/>
    </xf>
    <xf borderId="0" fillId="0" fontId="113" numFmtId="166" xfId="0" applyAlignment="1" applyFont="1" applyNumberFormat="1">
      <alignment horizontal="center" readingOrder="0" shrinkToFit="0" vertical="center" wrapText="1"/>
    </xf>
    <xf borderId="0" fillId="12" fontId="113" numFmtId="166" xfId="0" applyAlignment="1" applyFont="1" applyNumberFormat="1">
      <alignment horizontal="center" shrinkToFit="0" vertical="center" wrapText="1"/>
    </xf>
    <xf borderId="0" fillId="12" fontId="20" numFmtId="166" xfId="0" applyAlignment="1" applyFont="1" applyNumberFormat="1">
      <alignment horizontal="center" readingOrder="0" shrinkToFit="0" vertical="center" wrapText="1"/>
    </xf>
    <xf borderId="0" fillId="2" fontId="20" numFmtId="166" xfId="0" applyAlignment="1" applyFont="1" applyNumberFormat="1">
      <alignment horizontal="center" readingOrder="0" shrinkToFit="0" vertical="center" wrapText="1"/>
    </xf>
    <xf borderId="0" fillId="12" fontId="20" numFmtId="166" xfId="0" applyAlignment="1" applyFont="1" applyNumberFormat="1">
      <alignment horizontal="center" readingOrder="0" shrinkToFit="0" vertical="center" wrapText="1"/>
    </xf>
    <xf borderId="0" fillId="0" fontId="20" numFmtId="166" xfId="0" applyAlignment="1" applyFont="1" applyNumberFormat="1">
      <alignment horizontal="center" readingOrder="0" shrinkToFit="0" vertical="center" wrapText="1"/>
    </xf>
    <xf borderId="0" fillId="11" fontId="113" numFmtId="166" xfId="0" applyAlignment="1" applyFont="1" applyNumberFormat="1">
      <alignment horizontal="center" shrinkToFit="0" wrapText="1"/>
    </xf>
    <xf borderId="0" fillId="0" fontId="113" numFmtId="166" xfId="0" applyAlignment="1" applyFont="1" applyNumberFormat="1">
      <alignment horizontal="center" shrinkToFit="0" wrapText="1"/>
    </xf>
    <xf borderId="0" fillId="0" fontId="113" numFmtId="166" xfId="0" applyAlignment="1" applyFont="1" applyNumberFormat="1">
      <alignment horizontal="center" shrinkToFit="0" vertical="center" wrapText="1"/>
    </xf>
    <xf borderId="0" fillId="11" fontId="20" numFmtId="166" xfId="0" applyAlignment="1" applyFont="1" applyNumberFormat="1">
      <alignment horizontal="center" readingOrder="0" shrinkToFit="0" vertical="center" wrapText="1"/>
    </xf>
    <xf borderId="0" fillId="0" fontId="22" numFmtId="9" xfId="0" applyAlignment="1" applyFont="1" applyNumberFormat="1">
      <alignment horizontal="center" readingOrder="0" shrinkToFit="0" vertical="center" wrapText="1"/>
    </xf>
    <xf borderId="0" fillId="14" fontId="20" numFmtId="0" xfId="0" applyAlignment="1" applyFont="1">
      <alignment horizontal="center" readingOrder="0" shrinkToFit="0" vertical="center" wrapText="1"/>
    </xf>
    <xf borderId="0" fillId="12" fontId="113" numFmtId="0" xfId="0" applyAlignment="1" applyFont="1">
      <alignment horizontal="center" shrinkToFit="0" vertical="center" wrapText="1"/>
    </xf>
    <xf borderId="0" fillId="12" fontId="113" numFmtId="0" xfId="0" applyAlignment="1" applyFont="1">
      <alignment horizontal="center" readingOrder="0" shrinkToFit="0" vertical="center" wrapText="1"/>
    </xf>
    <xf borderId="0" fillId="12" fontId="2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12" fontId="20" numFmtId="0" xfId="0" applyAlignment="1" applyFont="1">
      <alignment horizontal="center" readingOrder="0" shrinkToFit="0" vertical="center" wrapText="1"/>
    </xf>
    <xf borderId="0" fillId="11" fontId="113" numFmtId="0" xfId="0" applyAlignment="1" applyFont="1">
      <alignment horizontal="center" shrinkToFit="0" wrapText="1"/>
    </xf>
    <xf borderId="0" fillId="0" fontId="113" numFmtId="0" xfId="0" applyAlignment="1" applyFont="1">
      <alignment horizontal="center" shrinkToFit="0" wrapText="1"/>
    </xf>
    <xf borderId="0" fillId="0" fontId="113" numFmtId="0" xfId="0" applyAlignment="1" applyFont="1">
      <alignment horizontal="center" shrinkToFit="0" vertical="center" wrapText="1"/>
    </xf>
    <xf borderId="0" fillId="0" fontId="114" numFmtId="0" xfId="0" applyAlignment="1" applyFont="1">
      <alignment horizontal="center" readingOrder="0" shrinkToFit="0" vertical="center" wrapText="1"/>
    </xf>
    <xf borderId="0" fillId="11" fontId="21" numFmtId="164" xfId="0" applyAlignment="1" applyFont="1" applyNumberFormat="1">
      <alignment horizontal="center" readingOrder="0" shrinkToFit="0" vertical="center" wrapText="1"/>
    </xf>
    <xf borderId="0" fillId="0" fontId="21" numFmtId="164" xfId="0" applyAlignment="1" applyFont="1" applyNumberFormat="1">
      <alignment horizontal="center" readingOrder="0" shrinkToFit="0" vertical="center" wrapText="1"/>
    </xf>
    <xf borderId="0" fillId="43" fontId="113" numFmtId="164" xfId="0" applyAlignment="1" applyFill="1" applyFont="1" applyNumberFormat="1">
      <alignment horizontal="center" shrinkToFit="0" vertical="center" wrapText="1"/>
    </xf>
    <xf borderId="0" fillId="44" fontId="113" numFmtId="164" xfId="0" applyAlignment="1" applyFill="1" applyFont="1" applyNumberFormat="1">
      <alignment horizontal="center" shrinkToFit="0" vertical="center" wrapText="1"/>
    </xf>
    <xf borderId="0" fillId="45" fontId="113" numFmtId="164" xfId="0" applyAlignment="1" applyFill="1" applyFont="1" applyNumberFormat="1">
      <alignment horizontal="center" shrinkToFit="0" vertical="center" wrapText="1"/>
    </xf>
    <xf borderId="0" fillId="19" fontId="115" numFmtId="0" xfId="0" applyAlignment="1" applyFont="1">
      <alignment horizontal="center" readingOrder="0" vertical="center"/>
    </xf>
    <xf borderId="0" fillId="46" fontId="113" numFmtId="164" xfId="0" applyAlignment="1" applyFill="1" applyFont="1" applyNumberFormat="1">
      <alignment horizontal="center" shrinkToFit="0" vertical="center" wrapText="1"/>
    </xf>
    <xf borderId="0" fillId="47" fontId="113" numFmtId="164" xfId="0" applyAlignment="1" applyFill="1" applyFont="1" applyNumberFormat="1">
      <alignment horizontal="center" shrinkToFit="0" vertical="center" wrapText="1"/>
    </xf>
    <xf borderId="0" fillId="48" fontId="113" numFmtId="164" xfId="0" applyAlignment="1" applyFill="1" applyFont="1" applyNumberFormat="1">
      <alignment horizontal="center" shrinkToFit="0" vertical="center" wrapText="1"/>
    </xf>
    <xf borderId="0" fillId="49" fontId="113" numFmtId="164" xfId="0" applyAlignment="1" applyFill="1" applyFont="1" applyNumberFormat="1">
      <alignment horizontal="center" shrinkToFit="0" wrapText="1"/>
    </xf>
    <xf borderId="0" fillId="0" fontId="20" numFmtId="0" xfId="0" applyAlignment="1" applyFont="1">
      <alignment horizontal="center" readingOrder="0" vertical="center"/>
    </xf>
    <xf borderId="0" fillId="0" fontId="22" numFmtId="164" xfId="0" applyAlignment="1" applyFont="1" applyNumberFormat="1">
      <alignment horizontal="center" readingOrder="0" shrinkToFit="0" vertical="center" wrapText="1"/>
    </xf>
    <xf borderId="0" fillId="0" fontId="0" numFmtId="165" xfId="0" applyAlignment="1" applyFont="1" applyNumberFormat="1">
      <alignment horizontal="center" readingOrder="0" shrinkToFit="0" vertical="center" wrapText="1"/>
    </xf>
    <xf borderId="0" fillId="0" fontId="61" numFmtId="165" xfId="0" applyAlignment="1" applyFont="1" applyNumberFormat="1">
      <alignment horizontal="center" readingOrder="0" shrinkToFit="0" vertical="center" wrapText="1"/>
    </xf>
    <xf borderId="0" fillId="18" fontId="22" numFmtId="0" xfId="0" applyAlignment="1" applyFont="1">
      <alignment horizontal="center" readingOrder="0" shrinkToFit="0" vertical="center" wrapText="1"/>
    </xf>
    <xf borderId="0" fillId="0" fontId="116" numFmtId="164" xfId="0" applyAlignment="1" applyFont="1" applyNumberFormat="1">
      <alignment horizontal="center" readingOrder="0" shrinkToFit="0" vertical="center" wrapText="1"/>
    </xf>
    <xf borderId="0" fillId="0" fontId="21" numFmtId="0" xfId="0" applyAlignment="1" applyFont="1">
      <alignment horizontal="center" readingOrder="0" vertical="center"/>
    </xf>
    <xf borderId="0" fillId="13" fontId="113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shrinkToFit="0" vertical="center" wrapText="1"/>
    </xf>
    <xf borderId="0" fillId="6" fontId="20" numFmtId="0" xfId="0" applyAlignment="1" applyFont="1">
      <alignment horizontal="center" readingOrder="0" shrinkToFit="0" vertical="center" wrapText="1"/>
    </xf>
    <xf borderId="0" fillId="13" fontId="20" numFmtId="0" xfId="0" applyAlignment="1" applyFont="1">
      <alignment horizontal="center" readingOrder="0" shrinkToFit="0" vertical="center" wrapText="1"/>
    </xf>
    <xf borderId="0" fillId="12" fontId="20" numFmtId="0" xfId="0" applyAlignment="1" applyFont="1">
      <alignment horizontal="center" readingOrder="0" shrinkToFit="0" vertical="center" wrapText="1"/>
    </xf>
    <xf borderId="0" fillId="0" fontId="20" numFmtId="9" xfId="0" applyAlignment="1" applyFont="1" applyNumberFormat="1">
      <alignment horizontal="center" readingOrder="0" shrinkToFit="0" vertical="center" wrapText="1"/>
    </xf>
    <xf borderId="0" fillId="0" fontId="116" numFmtId="9" xfId="0" applyAlignment="1" applyFont="1" applyNumberFormat="1">
      <alignment horizontal="center" readingOrder="0" shrinkToFit="0" vertical="center" wrapText="1"/>
    </xf>
    <xf borderId="0" fillId="2" fontId="20" numFmtId="0" xfId="0" applyAlignment="1" applyFont="1">
      <alignment horizontal="center" readingOrder="0" vertical="center"/>
    </xf>
    <xf borderId="0" fillId="50" fontId="20" numFmtId="0" xfId="0" applyAlignment="1" applyFill="1" applyFont="1">
      <alignment horizontal="center" readingOrder="0" shrinkToFit="0" vertical="center" wrapText="1"/>
    </xf>
    <xf borderId="0" fillId="20" fontId="20" numFmtId="0" xfId="0" applyAlignment="1" applyFont="1">
      <alignment horizontal="center" readingOrder="0" shrinkToFit="0" vertical="center" wrapText="1"/>
    </xf>
    <xf borderId="0" fillId="51" fontId="0" numFmtId="0" xfId="0" applyAlignment="1" applyFill="1" applyFont="1">
      <alignment horizontal="center" readingOrder="0" vertical="center"/>
    </xf>
    <xf borderId="0" fillId="51" fontId="0" numFmtId="164" xfId="0" applyAlignment="1" applyFont="1" applyNumberFormat="1">
      <alignment horizontal="center" readingOrder="0" vertical="center"/>
    </xf>
    <xf borderId="0" fillId="0" fontId="113" numFmtId="0" xfId="0" applyAlignment="1" applyFont="1">
      <alignment horizontal="center" readingOrder="0" vertical="center"/>
    </xf>
    <xf borderId="0" fillId="52" fontId="20" numFmtId="0" xfId="0" applyAlignment="1" applyFill="1" applyFont="1">
      <alignment horizontal="center" readingOrder="0" shrinkToFit="0" vertical="center" wrapText="1"/>
    </xf>
    <xf borderId="0" fillId="53" fontId="20" numFmtId="0" xfId="0" applyAlignment="1" applyFill="1" applyFont="1">
      <alignment horizontal="center" readingOrder="0" shrinkToFit="0" vertical="center" wrapText="1"/>
    </xf>
    <xf borderId="0" fillId="54" fontId="20" numFmtId="0" xfId="0" applyAlignment="1" applyFill="1" applyFont="1">
      <alignment horizontal="center" readingOrder="0" shrinkToFit="0" vertical="center" wrapText="1"/>
    </xf>
    <xf borderId="0" fillId="19" fontId="20" numFmtId="0" xfId="0" applyAlignment="1" applyFont="1">
      <alignment horizontal="center" readingOrder="0" shrinkToFit="0" vertical="center" wrapText="1"/>
    </xf>
    <xf borderId="0" fillId="6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vertical="center"/>
    </xf>
    <xf borderId="0" fillId="0" fontId="18" numFmtId="9" xfId="0" applyAlignment="1" applyFont="1" applyNumberFormat="1">
      <alignment horizontal="center" readingOrder="0" vertical="center"/>
    </xf>
    <xf borderId="0" fillId="0" fontId="21" numFmtId="9" xfId="0" applyAlignment="1" applyFont="1" applyNumberFormat="1">
      <alignment horizontal="center" readingOrder="0" vertical="center"/>
    </xf>
    <xf borderId="0" fillId="18" fontId="113" numFmtId="0" xfId="0" applyAlignment="1" applyFont="1">
      <alignment horizontal="center" vertical="center"/>
    </xf>
    <xf borderId="0" fillId="19" fontId="113" numFmtId="0" xfId="0" applyAlignment="1" applyFont="1">
      <alignment horizontal="center" readingOrder="0" vertical="center"/>
    </xf>
    <xf borderId="0" fillId="0" fontId="117" numFmtId="165" xfId="0" applyAlignment="1" applyFont="1" applyNumberFormat="1">
      <alignment horizontal="center" readingOrder="0" shrinkToFit="0" vertical="center" wrapText="1"/>
    </xf>
    <xf borderId="0" fillId="51" fontId="20" numFmtId="0" xfId="0" applyAlignment="1" applyFont="1">
      <alignment horizontal="center" readingOrder="0" shrinkToFit="0" vertical="center" wrapText="1"/>
    </xf>
    <xf borderId="0" fillId="8" fontId="20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vertical="center"/>
    </xf>
    <xf borderId="0" fillId="55" fontId="20" numFmtId="0" xfId="0" applyAlignment="1" applyFill="1" applyFont="1">
      <alignment horizontal="center" readingOrder="0" shrinkToFit="0" vertical="center" wrapText="1"/>
    </xf>
    <xf borderId="0" fillId="51" fontId="25" numFmtId="0" xfId="0" applyAlignment="1" applyFont="1">
      <alignment horizontal="center" readingOrder="0" vertical="center"/>
    </xf>
    <xf borderId="0" fillId="53" fontId="21" numFmtId="0" xfId="0" applyAlignment="1" applyFont="1">
      <alignment horizontal="center" readingOrder="0" shrinkToFit="0" vertical="center" wrapText="1"/>
    </xf>
    <xf borderId="0" fillId="0" fontId="20" numFmtId="164" xfId="0" applyAlignment="1" applyFont="1" applyNumberFormat="1">
      <alignment horizontal="center" readingOrder="0" shrinkToFit="0" vertical="center" wrapText="1"/>
    </xf>
    <xf borderId="0" fillId="6" fontId="21" numFmtId="0" xfId="0" applyAlignment="1" applyFont="1">
      <alignment horizontal="center" readingOrder="0" shrinkToFit="0" vertical="center" wrapText="1"/>
    </xf>
    <xf borderId="0" fillId="56" fontId="20" numFmtId="0" xfId="0" applyAlignment="1" applyFill="1" applyFont="1">
      <alignment horizontal="center" readingOrder="0" shrinkToFit="0" vertical="center" wrapText="1"/>
    </xf>
    <xf borderId="0" fillId="11" fontId="20" numFmtId="0" xfId="0" applyAlignment="1" applyFont="1">
      <alignment horizontal="center" readingOrder="0" vertical="center"/>
    </xf>
    <xf borderId="0" fillId="0" fontId="116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12" fontId="21" numFmtId="0" xfId="0" applyAlignment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0" fillId="2" fontId="22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114" numFmtId="0" xfId="0" applyAlignment="1" applyFont="1">
      <alignment horizontal="center" readingOrder="0" vertical="center"/>
    </xf>
    <xf borderId="0" fillId="15" fontId="22" numFmtId="0" xfId="0" applyAlignment="1" applyFont="1">
      <alignment horizontal="center" readingOrder="0" shrinkToFit="0" vertical="center" wrapText="1"/>
    </xf>
    <xf borderId="0" fillId="55" fontId="22" numFmtId="0" xfId="0" applyAlignment="1" applyFont="1">
      <alignment horizontal="center" readingOrder="0" shrinkToFit="0" vertical="center" wrapText="1"/>
    </xf>
    <xf borderId="0" fillId="20" fontId="2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F42FF"/>
          <bgColor rgb="FFFF42FF"/>
        </patternFill>
      </fill>
      <border/>
    </dxf>
    <dxf>
      <font/>
      <fill>
        <patternFill patternType="solid">
          <fgColor rgb="FFFFB2FF"/>
          <bgColor rgb="FFFFB2FF"/>
        </patternFill>
      </fill>
      <border/>
    </dxf>
    <dxf>
      <font/>
      <fill>
        <patternFill patternType="solid">
          <fgColor rgb="FFFFD5FF"/>
          <bgColor rgb="FFFFD5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lerk.house.gov/Votes/2023698" TargetMode="External"/><Relationship Id="rId42" Type="http://schemas.openxmlformats.org/officeDocument/2006/relationships/hyperlink" Target="https://clerk.house.gov/Votes/2023680?Page=2" TargetMode="External"/><Relationship Id="rId41" Type="http://schemas.openxmlformats.org/officeDocument/2006/relationships/hyperlink" Target="https://clerk.house.gov/Votes/2023697" TargetMode="External"/><Relationship Id="rId44" Type="http://schemas.openxmlformats.org/officeDocument/2006/relationships/hyperlink" Target="https://clerk.house.gov/Votes/2023669" TargetMode="External"/><Relationship Id="rId43" Type="http://schemas.openxmlformats.org/officeDocument/2006/relationships/hyperlink" Target="https://clerk.house.gov/Votes/2023677" TargetMode="External"/><Relationship Id="rId46" Type="http://schemas.openxmlformats.org/officeDocument/2006/relationships/hyperlink" Target="https://clerk.house.gov/Votes/2023578" TargetMode="External"/><Relationship Id="rId45" Type="http://schemas.openxmlformats.org/officeDocument/2006/relationships/hyperlink" Target="https://clerk.house.gov/Votes/2023622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uscpraction.org/scorecard" TargetMode="External"/><Relationship Id="rId3" Type="http://schemas.openxmlformats.org/officeDocument/2006/relationships/hyperlink" Target="https://www.congress.gov/bill/119th-congress/house-resolution/473/cosponsors" TargetMode="External"/><Relationship Id="rId4" Type="http://schemas.openxmlformats.org/officeDocument/2006/relationships/hyperlink" Target="https://www.congress.gov/bill/119th-congress/house-bill/2411/cosponsors?q=%7B%22search%22%3A%22ocasio-cortez%22%7D&amp;s=10&amp;r=35&amp;overview=closed" TargetMode="External"/><Relationship Id="rId9" Type="http://schemas.openxmlformats.org/officeDocument/2006/relationships/hyperlink" Target="https://clerk.house.gov/Votes/2026278?Page=2" TargetMode="External"/><Relationship Id="rId48" Type="http://schemas.openxmlformats.org/officeDocument/2006/relationships/hyperlink" Target="https://clerk.house.gov/Votes/2023561?Page=2" TargetMode="External"/><Relationship Id="rId47" Type="http://schemas.openxmlformats.org/officeDocument/2006/relationships/hyperlink" Target="https://clerk.house.gov/Votes/2023577" TargetMode="External"/><Relationship Id="rId49" Type="http://schemas.openxmlformats.org/officeDocument/2006/relationships/hyperlink" Target="https://clerk.house.gov/Votes/2023528" TargetMode="External"/><Relationship Id="rId5" Type="http://schemas.openxmlformats.org/officeDocument/2006/relationships/hyperlink" Target="https://www.congress.gov/bill/119th-congress/house-bill/3565/cosponsors?s=2&amp;r=1" TargetMode="External"/><Relationship Id="rId6" Type="http://schemas.openxmlformats.org/officeDocument/2006/relationships/hyperlink" Target="https://www.congress.gov/bill/119th-congress/house-resolution/876/cosponsors?s=1&amp;r=1" TargetMode="External"/><Relationship Id="rId7" Type="http://schemas.openxmlformats.org/officeDocument/2006/relationships/hyperlink" Target="https://www.congress.gov/bill/119th-congress/house-resolution/1289/cosponsors?s=2&amp;r=1&amp;overview=closed" TargetMode="External"/><Relationship Id="rId8" Type="http://schemas.openxmlformats.org/officeDocument/2006/relationships/hyperlink" Target="https://www.congress.gov/bill/119th-congress/house-bill/1229/cosponsors?s=2&amp;r=9&amp;q=%7B%22search%22%3A%22israel%22%7D" TargetMode="External"/><Relationship Id="rId73" Type="http://schemas.openxmlformats.org/officeDocument/2006/relationships/hyperlink" Target="https://x.com/marcrod97/status/1720207795650240657?s=20" TargetMode="External"/><Relationship Id="rId72" Type="http://schemas.openxmlformats.org/officeDocument/2006/relationships/hyperlink" Target="https://mondoweiss.net/2022/08/aipac-says-it-helped-defeat-ny-10-candidate-over-her-bds-stance/" TargetMode="External"/><Relationship Id="rId31" Type="http://schemas.openxmlformats.org/officeDocument/2006/relationships/hyperlink" Target="https://clerk.house.gov/Votes/2024141" TargetMode="External"/><Relationship Id="rId75" Type="http://schemas.openxmlformats.org/officeDocument/2006/relationships/vmlDrawing" Target="../drawings/vmlDrawing1.vml"/><Relationship Id="rId30" Type="http://schemas.openxmlformats.org/officeDocument/2006/relationships/hyperlink" Target="https://projects.propublica.org/represent/votes/118/house/2/142" TargetMode="External"/><Relationship Id="rId74" Type="http://schemas.openxmlformats.org/officeDocument/2006/relationships/drawing" Target="../drawings/drawing2.xml"/><Relationship Id="rId33" Type="http://schemas.openxmlformats.org/officeDocument/2006/relationships/hyperlink" Target="https://clerk.house.gov/Votes/2024128" TargetMode="External"/><Relationship Id="rId32" Type="http://schemas.openxmlformats.org/officeDocument/2006/relationships/hyperlink" Target="https://clerk.house.gov/Votes/2024134" TargetMode="External"/><Relationship Id="rId35" Type="http://schemas.openxmlformats.org/officeDocument/2006/relationships/hyperlink" Target="https://clerk.house.gov/Votes/2024102" TargetMode="External"/><Relationship Id="rId34" Type="http://schemas.openxmlformats.org/officeDocument/2006/relationships/hyperlink" Target="https://clerk.house.gov/Votes/2024121" TargetMode="External"/><Relationship Id="rId71" Type="http://schemas.openxmlformats.org/officeDocument/2006/relationships/hyperlink" Target="https://dmfipac.org/news-updates/press-release/dmfi-pac-endorses-pro-israel-democrat-gabe-amo-in-the-ri-01-special-election/" TargetMode="External"/><Relationship Id="rId70" Type="http://schemas.openxmlformats.org/officeDocument/2006/relationships/hyperlink" Target="https://www.congress.gov/congressional-record/volume-171/issue-64/house-section/article/H1553-2" TargetMode="External"/><Relationship Id="rId37" Type="http://schemas.openxmlformats.org/officeDocument/2006/relationships/hyperlink" Target="https://clerk.house.gov/Votes/202438" TargetMode="External"/><Relationship Id="rId36" Type="http://schemas.openxmlformats.org/officeDocument/2006/relationships/hyperlink" Target="https://clerk.house.gov/Votes/2024044" TargetMode="External"/><Relationship Id="rId39" Type="http://schemas.openxmlformats.org/officeDocument/2006/relationships/hyperlink" Target="https://projects.propublica.org/represent/votes/118/house/1/721" TargetMode="External"/><Relationship Id="rId38" Type="http://schemas.openxmlformats.org/officeDocument/2006/relationships/hyperlink" Target="https://clerk.house.gov/Votes/202428?Page=2" TargetMode="External"/><Relationship Id="rId62" Type="http://schemas.openxmlformats.org/officeDocument/2006/relationships/hyperlink" Target="https://twitter.com/marcrod97/status/1721973757596594241/photo/1" TargetMode="External"/><Relationship Id="rId61" Type="http://schemas.openxmlformats.org/officeDocument/2006/relationships/hyperlink" Target="https://clerk.house.gov/Votes/2011524?Title=israel" TargetMode="External"/><Relationship Id="rId20" Type="http://schemas.openxmlformats.org/officeDocument/2006/relationships/hyperlink" Target="https://clerk.house.gov/Votes/2024500?Page=2" TargetMode="External"/><Relationship Id="rId64" Type="http://schemas.openxmlformats.org/officeDocument/2006/relationships/hyperlink" Target="https://www.jvpaction.org/our-2022-candidates/" TargetMode="External"/><Relationship Id="rId63" Type="http://schemas.openxmlformats.org/officeDocument/2006/relationships/hyperlink" Target="https://jewishinsider.nyc3.digitaloceanspaces.com/wp-content/uploads/2023/10/16193047/BipartisanIsraelHamasLettertoPOTUS-With-Watermark.pdf" TargetMode="External"/><Relationship Id="rId22" Type="http://schemas.openxmlformats.org/officeDocument/2006/relationships/hyperlink" Target="https://clerk.house.gov/Votes/2024476?Page=2" TargetMode="External"/><Relationship Id="rId66" Type="http://schemas.openxmlformats.org/officeDocument/2006/relationships/hyperlink" Target="https://dmfipac.org/candidates/" TargetMode="External"/><Relationship Id="rId21" Type="http://schemas.openxmlformats.org/officeDocument/2006/relationships/hyperlink" Target="https://clerk.house.gov/Votes/2024477?Page=2" TargetMode="External"/><Relationship Id="rId65" Type="http://schemas.openxmlformats.org/officeDocument/2006/relationships/hyperlink" Target="https://jstreetpac.org/candidates/" TargetMode="External"/><Relationship Id="rId24" Type="http://schemas.openxmlformats.org/officeDocument/2006/relationships/hyperlink" Target="https://clerk.house.gov/Votes/2024428?Page=3" TargetMode="External"/><Relationship Id="rId68" Type="http://schemas.openxmlformats.org/officeDocument/2006/relationships/hyperlink" Target="https://www.congress.gov/congressional-record/volume-172/issue-70/house-section/article/H3027-3" TargetMode="External"/><Relationship Id="rId23" Type="http://schemas.openxmlformats.org/officeDocument/2006/relationships/hyperlink" Target="https://clerk.house.gov/Votes/2024458" TargetMode="External"/><Relationship Id="rId67" Type="http://schemas.openxmlformats.org/officeDocument/2006/relationships/hyperlink" Target="https://candidates.aipacpac.org/page/featured/" TargetMode="External"/><Relationship Id="rId60" Type="http://schemas.openxmlformats.org/officeDocument/2006/relationships/hyperlink" Target="https://projects.propublica.org/represent/votes/115/house/1/11" TargetMode="External"/><Relationship Id="rId26" Type="http://schemas.openxmlformats.org/officeDocument/2006/relationships/hyperlink" Target="https://clerk.house.gov/Votes/2024242" TargetMode="External"/><Relationship Id="rId25" Type="http://schemas.openxmlformats.org/officeDocument/2006/relationships/hyperlink" Target="https://clerk.house.gov/Votes/2024313" TargetMode="External"/><Relationship Id="rId69" Type="http://schemas.openxmlformats.org/officeDocument/2006/relationships/hyperlink" Target="https://www.marinij.com/2023/11/06/huffman-disavows-vote-on-hamas-support-after-uproar/" TargetMode="External"/><Relationship Id="rId28" Type="http://schemas.openxmlformats.org/officeDocument/2006/relationships/hyperlink" Target="https://clerk.house.gov/Votes/2024172?Page=2" TargetMode="External"/><Relationship Id="rId27" Type="http://schemas.openxmlformats.org/officeDocument/2006/relationships/hyperlink" Target="https://clerk.house.gov/Votes/2024217" TargetMode="External"/><Relationship Id="rId29" Type="http://schemas.openxmlformats.org/officeDocument/2006/relationships/hyperlink" Target="https://clerk.house.gov/Votes/2024152" TargetMode="External"/><Relationship Id="rId51" Type="http://schemas.openxmlformats.org/officeDocument/2006/relationships/hyperlink" Target="https://clerk.house.gov/evs/2023/roll338.xml" TargetMode="External"/><Relationship Id="rId50" Type="http://schemas.openxmlformats.org/officeDocument/2006/relationships/hyperlink" Target="https://clerk.house.gov/evs/2023/roll491.xml" TargetMode="External"/><Relationship Id="rId53" Type="http://schemas.openxmlformats.org/officeDocument/2006/relationships/hyperlink" Target="https://clerk.house.gov/evs/2023/roll194.xml" TargetMode="External"/><Relationship Id="rId52" Type="http://schemas.openxmlformats.org/officeDocument/2006/relationships/hyperlink" Target="https://clerk.house.gov/evs/2023/roll251.xml" TargetMode="External"/><Relationship Id="rId11" Type="http://schemas.openxmlformats.org/officeDocument/2006/relationships/hyperlink" Target="https://www.google.com/url?q=https://clerk.house.gov/Votes/2026243&amp;sa=D&amp;source=editors&amp;ust=1784161924152087&amp;usg=AOvVaw00VDC0F3LtT2ttuJ_L7QAh" TargetMode="External"/><Relationship Id="rId55" Type="http://schemas.openxmlformats.org/officeDocument/2006/relationships/hyperlink" Target="https://clerk.house.gov/evs/2022/roll065.xml" TargetMode="External"/><Relationship Id="rId10" Type="http://schemas.openxmlformats.org/officeDocument/2006/relationships/hyperlink" Target="https://clerk.house.gov/Votes/2026247?Page=2" TargetMode="External"/><Relationship Id="rId54" Type="http://schemas.openxmlformats.org/officeDocument/2006/relationships/hyperlink" Target="https://clerk.house.gov/Votes/2022516" TargetMode="External"/><Relationship Id="rId13" Type="http://schemas.openxmlformats.org/officeDocument/2006/relationships/hyperlink" Target="https://clerk.house.gov/Votes/202628?Page=2" TargetMode="External"/><Relationship Id="rId57" Type="http://schemas.openxmlformats.org/officeDocument/2006/relationships/hyperlink" Target="https://clerk.house.gov/evs/2021/roll243.xml" TargetMode="External"/><Relationship Id="rId12" Type="http://schemas.openxmlformats.org/officeDocument/2006/relationships/hyperlink" Target="https://clerk.house.gov/Votes/202653?Page=6" TargetMode="External"/><Relationship Id="rId56" Type="http://schemas.openxmlformats.org/officeDocument/2006/relationships/hyperlink" Target="https://clerk.house.gov/evs/2021/roll275.xml" TargetMode="External"/><Relationship Id="rId15" Type="http://schemas.openxmlformats.org/officeDocument/2006/relationships/hyperlink" Target="https://x.com/dylanotes/status/1968809269542752720" TargetMode="External"/><Relationship Id="rId59" Type="http://schemas.openxmlformats.org/officeDocument/2006/relationships/hyperlink" Target="https://clerk.house.gov/Votes/2019497" TargetMode="External"/><Relationship Id="rId14" Type="http://schemas.openxmlformats.org/officeDocument/2006/relationships/hyperlink" Target="https://clerk.house.gov/Votes/2025320?Page=2" TargetMode="External"/><Relationship Id="rId58" Type="http://schemas.openxmlformats.org/officeDocument/2006/relationships/hyperlink" Target="https://clerk.house.gov/Votes/2019652" TargetMode="External"/><Relationship Id="rId17" Type="http://schemas.openxmlformats.org/officeDocument/2006/relationships/hyperlink" Target="https://clerk.house.gov/evs/2025/roll207.xml" TargetMode="External"/><Relationship Id="rId16" Type="http://schemas.openxmlformats.org/officeDocument/2006/relationships/hyperlink" Target="https://x.com/dylanotes/status/1968809262714413116" TargetMode="External"/><Relationship Id="rId19" Type="http://schemas.openxmlformats.org/officeDocument/2006/relationships/hyperlink" Target="https://clerk.house.gov/Votes/20257?Page=2" TargetMode="External"/><Relationship Id="rId18" Type="http://schemas.openxmlformats.org/officeDocument/2006/relationships/hyperlink" Target="https://clerk.house.gov/Votes/2025159?Page=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scpraction.org/scorecard" TargetMode="External"/><Relationship Id="rId2" Type="http://schemas.openxmlformats.org/officeDocument/2006/relationships/hyperlink" Target="https://www.congress.gov/bill/119th-congress/senate-resolution/68/cosponsors?s=9&amp;r=10&amp;q=%7B%22search%22%3A%22israel%22%7D" TargetMode="External"/><Relationship Id="rId3" Type="http://schemas.openxmlformats.org/officeDocument/2006/relationships/hyperlink" Target="https://www.congress.gov/bill/119th-congress/senate-bill/898/cosponsors?q=%7B%22search%22%3A%22israel%22%7D&amp;s=9&amp;r=16&amp;overview=closed" TargetMode="External"/><Relationship Id="rId4" Type="http://schemas.openxmlformats.org/officeDocument/2006/relationships/hyperlink" Target="https://www.congress.gov/bill/119th-congress/senate-bill/554/cosponsors?q=%7B%22search%22%3A%22israel%22%7D&amp;s=2&amp;r=4&amp;overview=closed" TargetMode="External"/><Relationship Id="rId9" Type="http://schemas.openxmlformats.org/officeDocument/2006/relationships/hyperlink" Target="https://www.senate.gov/legislative/LIS/roll_call_votes/vote1191/vote_119_1_00166.htm" TargetMode="External"/><Relationship Id="rId5" Type="http://schemas.openxmlformats.org/officeDocument/2006/relationships/hyperlink" Target="https://www.senate.gov/legislative/LIS/roll_call_votes/vote1192/vote_119_2_00081.htm" TargetMode="External"/><Relationship Id="rId6" Type="http://schemas.openxmlformats.org/officeDocument/2006/relationships/hyperlink" Target="https://www.senate.gov/legislative/LIS/roll_call_votes/vote1192/vote_119_2_00080.htm" TargetMode="External"/><Relationship Id="rId7" Type="http://schemas.openxmlformats.org/officeDocument/2006/relationships/hyperlink" Target="https://www.senate.gov/legislative/LIS/roll_call_votes/vote1191/vote_119_1_00455.htm" TargetMode="External"/><Relationship Id="rId8" Type="http://schemas.openxmlformats.org/officeDocument/2006/relationships/hyperlink" Target="https://www.senate.gov/legislative/roll-call-vote-not-available.htm" TargetMode="External"/><Relationship Id="rId31" Type="http://schemas.openxmlformats.org/officeDocument/2006/relationships/hyperlink" Target="https://x.com/burgessev/status/1755321632871072099?s=20" TargetMode="External"/><Relationship Id="rId30" Type="http://schemas.openxmlformats.org/officeDocument/2006/relationships/hyperlink" Target="https://x.com/JoshKraushaar/status/1950757107604566513" TargetMode="External"/><Relationship Id="rId32" Type="http://schemas.openxmlformats.org/officeDocument/2006/relationships/drawing" Target="../drawings/drawing3.xml"/><Relationship Id="rId20" Type="http://schemas.openxmlformats.org/officeDocument/2006/relationships/hyperlink" Target="https://projects.propublica.org/represent/votes/118/senate/2/8" TargetMode="External"/><Relationship Id="rId22" Type="http://schemas.openxmlformats.org/officeDocument/2006/relationships/hyperlink" Target="https://www.senate.gov/legislative/LIS/roll_call_votes/vote1172/vote_117_2_00396.htm" TargetMode="External"/><Relationship Id="rId21" Type="http://schemas.openxmlformats.org/officeDocument/2006/relationships/hyperlink" Target="https://www.senate.gov/legislative/LIS/roll_call_votes/vote1181/vote_118_1_00343.htm" TargetMode="External"/><Relationship Id="rId24" Type="http://schemas.openxmlformats.org/officeDocument/2006/relationships/hyperlink" Target="https://www.senate.gov/legislative/LIS/roll_call_votes/vote1161/vote_116_1_00016.htm" TargetMode="External"/><Relationship Id="rId23" Type="http://schemas.openxmlformats.org/officeDocument/2006/relationships/hyperlink" Target="https://www.senate.gov/legislative/LIS/roll_call_lists/roll_call_vote_cfm.cfm?congress=117&amp;session=1&amp;vote=00030" TargetMode="External"/><Relationship Id="rId26" Type="http://schemas.openxmlformats.org/officeDocument/2006/relationships/hyperlink" Target="https://x.com/SenatorSlotkin/status/1951056532193611924" TargetMode="External"/><Relationship Id="rId25" Type="http://schemas.openxmlformats.org/officeDocument/2006/relationships/hyperlink" Target="https://x.com/SenatorSlotkin/status/1951056532193611924" TargetMode="External"/><Relationship Id="rId28" Type="http://schemas.openxmlformats.org/officeDocument/2006/relationships/hyperlink" Target="https://x.com/JoshKraushaar/status/1950758288112435413" TargetMode="External"/><Relationship Id="rId27" Type="http://schemas.openxmlformats.org/officeDocument/2006/relationships/hyperlink" Target="https://x.com/JoshKraushaar/status/1950758288112435413" TargetMode="External"/><Relationship Id="rId29" Type="http://schemas.openxmlformats.org/officeDocument/2006/relationships/hyperlink" Target="https://x.com/JoshKraushaar/status/1950757107604566513" TargetMode="External"/><Relationship Id="rId11" Type="http://schemas.openxmlformats.org/officeDocument/2006/relationships/hyperlink" Target="https://www.senate.gov/legislative/LIS/roll_call_votes/vote1182/vote_118_2_00294.htm" TargetMode="External"/><Relationship Id="rId10" Type="http://schemas.openxmlformats.org/officeDocument/2006/relationships/hyperlink" Target="https://www.senate.gov/legislative/LIS/roll_call_votes/vote1191/vote_119_1_00165.htm" TargetMode="External"/><Relationship Id="rId13" Type="http://schemas.openxmlformats.org/officeDocument/2006/relationships/hyperlink" Target="https://x.com/CraigCaplan/status/1859396032611684820" TargetMode="External"/><Relationship Id="rId12" Type="http://schemas.openxmlformats.org/officeDocument/2006/relationships/hyperlink" Target="https://www.senate.gov/legislative/LIS/roll_call_votes/vote1182/vote_118_2_00293.htm" TargetMode="External"/><Relationship Id="rId15" Type="http://schemas.openxmlformats.org/officeDocument/2006/relationships/hyperlink" Target="https://www.senate.gov/legislative/LIS/roll_call_votes/vote1182/vote_118_2_00152.htm" TargetMode="External"/><Relationship Id="rId14" Type="http://schemas.openxmlformats.org/officeDocument/2006/relationships/hyperlink" Target="https://www.senate.gov/legislative/LIS/roll_call_votes/vote1182/vote_118_2_00154.htm" TargetMode="External"/><Relationship Id="rId17" Type="http://schemas.openxmlformats.org/officeDocument/2006/relationships/hyperlink" Target="https://www.senate.gov/legislative/LIS/roll_call_votes/vote1182/vote_118_2_00048.htm" TargetMode="External"/><Relationship Id="rId16" Type="http://schemas.openxmlformats.org/officeDocument/2006/relationships/hyperlink" Target="https://www.senate.gov/legislative/LIS/roll_call_votes/vote1182/vote_118_2_00114.htm" TargetMode="External"/><Relationship Id="rId19" Type="http://schemas.openxmlformats.org/officeDocument/2006/relationships/hyperlink" Target="https://www.senate.gov/legislative/LIS/roll_call_votes/vote1182/vote_118_2_00039.htm" TargetMode="External"/><Relationship Id="rId18" Type="http://schemas.openxmlformats.org/officeDocument/2006/relationships/hyperlink" Target="https://www.senate.gov/legislative/LIS/roll_call_votes/vote1182/vote_118_2_00047.ht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projects.propublica.org/represent/votes/118/house/1/338" TargetMode="External"/><Relationship Id="rId42" Type="http://schemas.openxmlformats.org/officeDocument/2006/relationships/hyperlink" Target="https://clerk.house.gov/evs/2023/roll194.xml" TargetMode="External"/><Relationship Id="rId41" Type="http://schemas.openxmlformats.org/officeDocument/2006/relationships/hyperlink" Target="https://projects.propublica.org/represent/votes/118/house/1/251" TargetMode="External"/><Relationship Id="rId44" Type="http://schemas.openxmlformats.org/officeDocument/2006/relationships/hyperlink" Target="https://clerk.house.gov/evs/2021/roll243.xml" TargetMode="External"/><Relationship Id="rId43" Type="http://schemas.openxmlformats.org/officeDocument/2006/relationships/hyperlink" Target="https://clerk.house.gov/evs/2021/roll275.xml" TargetMode="External"/><Relationship Id="rId46" Type="http://schemas.openxmlformats.org/officeDocument/2006/relationships/hyperlink" Target="https://clerk.house.gov/Votes/2019497" TargetMode="External"/><Relationship Id="rId45" Type="http://schemas.openxmlformats.org/officeDocument/2006/relationships/hyperlink" Target="https://clerk.house.gov/Votes/2019652" TargetMode="External"/><Relationship Id="rId107" Type="http://schemas.openxmlformats.org/officeDocument/2006/relationships/hyperlink" Target="https://x.com/RepRobertGarcia/status/1725660975309996435?s=20" TargetMode="External"/><Relationship Id="rId106" Type="http://schemas.openxmlformats.org/officeDocument/2006/relationships/hyperlink" Target="https://troycarter.house.gov/media/press-releases/congressman-carter-leads-letter-calling-bilateral-ceasefire-middle-east" TargetMode="External"/><Relationship Id="rId105" Type="http://schemas.openxmlformats.org/officeDocument/2006/relationships/hyperlink" Target="https://dankildee.house.gov/media/press-releases/statement-congressman-kildee-continued-release-hostages-israel-gaza" TargetMode="External"/><Relationship Id="rId104" Type="http://schemas.openxmlformats.org/officeDocument/2006/relationships/hyperlink" Target="https://dmfipac.org/news-updates/press-release/dmfi-pac-endorses-pro-israel-democrat-gabe-amo-in-the-ri-01-special-election/" TargetMode="External"/><Relationship Id="rId109" Type="http://schemas.openxmlformats.org/officeDocument/2006/relationships/hyperlink" Target="https://x.com/RepGaramendi/status/1725622533108420692?s=20" TargetMode="External"/><Relationship Id="rId108" Type="http://schemas.openxmlformats.org/officeDocument/2006/relationships/hyperlink" Target="https://troycarter.house.gov/media/press-releases/congressman-carter-leads-letter-calling-bilateral-ceasefire-middle-east" TargetMode="External"/><Relationship Id="rId48" Type="http://schemas.openxmlformats.org/officeDocument/2006/relationships/hyperlink" Target="https://clerk.house.gov/Votes/2011524?Title=israel" TargetMode="External"/><Relationship Id="rId47" Type="http://schemas.openxmlformats.org/officeDocument/2006/relationships/hyperlink" Target="https://projects.propublica.org/represent/votes/115/house/1/11" TargetMode="External"/><Relationship Id="rId49" Type="http://schemas.openxmlformats.org/officeDocument/2006/relationships/hyperlink" Target="https://twitter.com/marcrod97/status/1721973757596594241/photo/1" TargetMode="External"/><Relationship Id="rId103" Type="http://schemas.openxmlformats.org/officeDocument/2006/relationships/hyperlink" Target="https://x.com/maxpcohen/status/1727011893595037739?s=20" TargetMode="External"/><Relationship Id="rId102" Type="http://schemas.openxmlformats.org/officeDocument/2006/relationships/hyperlink" Target="https://x.com/RepCasar/status/1714460658253680972?s=20" TargetMode="External"/><Relationship Id="rId101" Type="http://schemas.openxmlformats.org/officeDocument/2006/relationships/hyperlink" Target="https://x.com/prem_thakker/status/1726977627872018684?s=20" TargetMode="External"/><Relationship Id="rId100" Type="http://schemas.openxmlformats.org/officeDocument/2006/relationships/hyperlink" Target="https://x.com/RepDebDingell/status/1729875143093371119?s=20" TargetMode="External"/><Relationship Id="rId31" Type="http://schemas.openxmlformats.org/officeDocument/2006/relationships/hyperlink" Target="https://clerk.house.gov/Votes/2023680?Page=2" TargetMode="External"/><Relationship Id="rId30" Type="http://schemas.openxmlformats.org/officeDocument/2006/relationships/hyperlink" Target="https://clerk.house.gov/Votes/2023697" TargetMode="External"/><Relationship Id="rId33" Type="http://schemas.openxmlformats.org/officeDocument/2006/relationships/hyperlink" Target="https://projects.propublica.org/represent/votes/118/house/1/669" TargetMode="External"/><Relationship Id="rId32" Type="http://schemas.openxmlformats.org/officeDocument/2006/relationships/hyperlink" Target="https://clerk.house.gov/Votes/2023677" TargetMode="External"/><Relationship Id="rId35" Type="http://schemas.openxmlformats.org/officeDocument/2006/relationships/hyperlink" Target="https://clerk.house.gov/Votes/2023578" TargetMode="External"/><Relationship Id="rId34" Type="http://schemas.openxmlformats.org/officeDocument/2006/relationships/hyperlink" Target="https://clerk.house.gov/Votes/2023622" TargetMode="External"/><Relationship Id="rId37" Type="http://schemas.openxmlformats.org/officeDocument/2006/relationships/hyperlink" Target="https://clerk.house.gov/Votes/2023561?Page=2" TargetMode="External"/><Relationship Id="rId36" Type="http://schemas.openxmlformats.org/officeDocument/2006/relationships/hyperlink" Target="https://clerk.house.gov/Votes/2023577" TargetMode="External"/><Relationship Id="rId39" Type="http://schemas.openxmlformats.org/officeDocument/2006/relationships/hyperlink" Target="https://projects.propublica.org/represent/votes/118/house/1/491" TargetMode="External"/><Relationship Id="rId38" Type="http://schemas.openxmlformats.org/officeDocument/2006/relationships/hyperlink" Target="https://clerk.house.gov/Votes/2023528" TargetMode="External"/><Relationship Id="rId20" Type="http://schemas.openxmlformats.org/officeDocument/2006/relationships/hyperlink" Target="https://projects.propublica.org/represent/votes/118/house/2/141" TargetMode="External"/><Relationship Id="rId22" Type="http://schemas.openxmlformats.org/officeDocument/2006/relationships/hyperlink" Target="https://projects.propublica.org/represent/votes/118/house/2/128" TargetMode="External"/><Relationship Id="rId21" Type="http://schemas.openxmlformats.org/officeDocument/2006/relationships/hyperlink" Target="https://projects.propublica.org/represent/votes/118/house/2/134" TargetMode="External"/><Relationship Id="rId24" Type="http://schemas.openxmlformats.org/officeDocument/2006/relationships/hyperlink" Target="https://clerk.house.gov/Votes/2024102" TargetMode="External"/><Relationship Id="rId23" Type="http://schemas.openxmlformats.org/officeDocument/2006/relationships/hyperlink" Target="https://projects.propublica.org/represent/votes/118/house/2/121" TargetMode="External"/><Relationship Id="rId129" Type="http://schemas.openxmlformats.org/officeDocument/2006/relationships/hyperlink" Target="https://mondoweiss.net/2022/08/aipac-says-it-helped-defeat-ny-10-candidate-over-her-bds-stance/" TargetMode="External"/><Relationship Id="rId128" Type="http://schemas.openxmlformats.org/officeDocument/2006/relationships/hyperlink" Target="https://www.alreporter.com/2023/12/04/sewell-signs-onto-letter-calling-for-ceasefire-in-israel-palestine-war/" TargetMode="External"/><Relationship Id="rId127" Type="http://schemas.openxmlformats.org/officeDocument/2006/relationships/hyperlink" Target="https://twitter.com/RepGabeVasquez/status/1725310638241517595" TargetMode="External"/><Relationship Id="rId126" Type="http://schemas.openxmlformats.org/officeDocument/2006/relationships/hyperlink" Target="https://wexton.house.gov/news/documentsingle.aspx?DocumentID=882" TargetMode="External"/><Relationship Id="rId26" Type="http://schemas.openxmlformats.org/officeDocument/2006/relationships/hyperlink" Target="https://clerk.house.gov/Votes/202438" TargetMode="External"/><Relationship Id="rId121" Type="http://schemas.openxmlformats.org/officeDocument/2006/relationships/hyperlink" Target="https://x.com/IfNotNowOrg/status/1730292781648601166?s=20" TargetMode="External"/><Relationship Id="rId25" Type="http://schemas.openxmlformats.org/officeDocument/2006/relationships/hyperlink" Target="https://clerk.house.gov/Votes/2024044" TargetMode="External"/><Relationship Id="rId120" Type="http://schemas.openxmlformats.org/officeDocument/2006/relationships/hyperlink" Target="https://troycarter.house.gov/media/press-releases/congressman-carter-leads-letter-calling-bilateral-ceasefire-middle-east" TargetMode="External"/><Relationship Id="rId28" Type="http://schemas.openxmlformats.org/officeDocument/2006/relationships/hyperlink" Target="https://projects.propublica.org/represent/votes/118/house/1/721" TargetMode="External"/><Relationship Id="rId27" Type="http://schemas.openxmlformats.org/officeDocument/2006/relationships/hyperlink" Target="https://clerk.house.gov/Votes/202428?Page=2" TargetMode="External"/><Relationship Id="rId125" Type="http://schemas.openxmlformats.org/officeDocument/2006/relationships/hyperlink" Target="https://troycarter.house.gov/media/press-releases/congressman-carter-leads-letter-calling-bilateral-ceasefire-middle-east" TargetMode="External"/><Relationship Id="rId29" Type="http://schemas.openxmlformats.org/officeDocument/2006/relationships/hyperlink" Target="https://clerk.house.gov/Votes/2023698" TargetMode="External"/><Relationship Id="rId124" Type="http://schemas.openxmlformats.org/officeDocument/2006/relationships/hyperlink" Target="https://x.com/birdidotweets/status/1732144853746655739?s=20" TargetMode="External"/><Relationship Id="rId123" Type="http://schemas.openxmlformats.org/officeDocument/2006/relationships/hyperlink" Target="https://x.com/RepKweisiMfume/status/1722370744397492557?s=20" TargetMode="External"/><Relationship Id="rId122" Type="http://schemas.openxmlformats.org/officeDocument/2006/relationships/hyperlink" Target="https://www.kcur.org/news/2023-11-18/kansas-city-democrat-emanuel-cleaver-supports-ceasefire-now-resolution" TargetMode="External"/><Relationship Id="rId95" Type="http://schemas.openxmlformats.org/officeDocument/2006/relationships/hyperlink" Target="https://x.com/AndrewSolender/status/1728836197924188582?s=20" TargetMode="External"/><Relationship Id="rId94" Type="http://schemas.openxmlformats.org/officeDocument/2006/relationships/hyperlink" Target="https://troycarter.house.gov/media/press-releases/congressman-carter-leads-letter-calling-bilateral-ceasefire-middle-east" TargetMode="External"/><Relationship Id="rId97" Type="http://schemas.openxmlformats.org/officeDocument/2006/relationships/hyperlink" Target="https://x.com/RepCardenas/status/1727143226153594944?s=20" TargetMode="External"/><Relationship Id="rId96" Type="http://schemas.openxmlformats.org/officeDocument/2006/relationships/hyperlink" Target="https://x.com/RepLloydDoggett/status/1727447358818959620?s=20" TargetMode="External"/><Relationship Id="rId11" Type="http://schemas.openxmlformats.org/officeDocument/2006/relationships/hyperlink" Target="https://clerk.house.gov/Votes/2024476?Page=2" TargetMode="External"/><Relationship Id="rId99" Type="http://schemas.openxmlformats.org/officeDocument/2006/relationships/hyperlink" Target="https://underwood.house.gov/media/press-releases/november-29-2023-statement-rep-underwood-conflict-between-israel-and-hamas" TargetMode="External"/><Relationship Id="rId10" Type="http://schemas.openxmlformats.org/officeDocument/2006/relationships/hyperlink" Target="https://clerk.house.gov/Votes/2024477?Page=2" TargetMode="External"/><Relationship Id="rId98" Type="http://schemas.openxmlformats.org/officeDocument/2006/relationships/hyperlink" Target="https://twitter.com/RepMarkTakano/status/1733245733032104170" TargetMode="External"/><Relationship Id="rId13" Type="http://schemas.openxmlformats.org/officeDocument/2006/relationships/hyperlink" Target="https://clerk.house.gov/Votes/2024428?Page=3" TargetMode="External"/><Relationship Id="rId12" Type="http://schemas.openxmlformats.org/officeDocument/2006/relationships/hyperlink" Target="https://clerk.house.gov/Votes/2024458" TargetMode="External"/><Relationship Id="rId91" Type="http://schemas.openxmlformats.org/officeDocument/2006/relationships/hyperlink" Target="https://x.com/RepSaraJacobs/status/1725986020879945897?s=20" TargetMode="External"/><Relationship Id="rId90" Type="http://schemas.openxmlformats.org/officeDocument/2006/relationships/hyperlink" Target="https://x.com/RepAlGreen/status/1719811678215319928?s=20" TargetMode="External"/><Relationship Id="rId93" Type="http://schemas.openxmlformats.org/officeDocument/2006/relationships/hyperlink" Target="https://chicagocrusader.com/reps-davis-jackson-call-for-a-ceasefire-and-peace-in-middle-east/" TargetMode="External"/><Relationship Id="rId92" Type="http://schemas.openxmlformats.org/officeDocument/2006/relationships/hyperlink" Target="https://x.com/RoKhanna/status/1726990658861511135?s=20" TargetMode="External"/><Relationship Id="rId118" Type="http://schemas.openxmlformats.org/officeDocument/2006/relationships/hyperlink" Target="https://twitter.com/RepJimmyGomez/status/1727386500470329718?ref_src=twsrc%5Egoogle%7Ctwcamp%5Eserp%7Ctwgr%5Etweet" TargetMode="External"/><Relationship Id="rId117" Type="http://schemas.openxmlformats.org/officeDocument/2006/relationships/hyperlink" Target="https://acrobat.adobe.com/link/track?uri=urn:aaid:scds:US:90f207d1-adee-3f7f-ae4b-96b70a693ed9" TargetMode="External"/><Relationship Id="rId116" Type="http://schemas.openxmlformats.org/officeDocument/2006/relationships/hyperlink" Target="https://x.com/RepTeresaLF/status/1726300312968077677?s=20" TargetMode="External"/><Relationship Id="rId115" Type="http://schemas.openxmlformats.org/officeDocument/2006/relationships/hyperlink" Target="https://www.congress.gov/bill/118th-congress/house-resolution/786/cosponsors" TargetMode="External"/><Relationship Id="rId119" Type="http://schemas.openxmlformats.org/officeDocument/2006/relationships/hyperlink" Target="https://lofgren.house.gov/media/press-releases/rep-lofgren-urges-israel-hamas-all-involved-parties-continue-pursuing-terms" TargetMode="External"/><Relationship Id="rId15" Type="http://schemas.openxmlformats.org/officeDocument/2006/relationships/hyperlink" Target="https://projects.propublica.org/represent/votes/118/house/2/242" TargetMode="External"/><Relationship Id="rId110" Type="http://schemas.openxmlformats.org/officeDocument/2006/relationships/hyperlink" Target="https://www.instagram.com/p/C2QORz2PUN4/?igsh=MWhqZWtpNno2NmJlYw%3D%3D" TargetMode="External"/><Relationship Id="rId14" Type="http://schemas.openxmlformats.org/officeDocument/2006/relationships/hyperlink" Target="https://projects.propublica.org/represent/votes/118/house/2/313" TargetMode="External"/><Relationship Id="rId17" Type="http://schemas.openxmlformats.org/officeDocument/2006/relationships/hyperlink" Target="https://clerk.house.gov/Votes/2024172?Page=2" TargetMode="External"/><Relationship Id="rId16" Type="http://schemas.openxmlformats.org/officeDocument/2006/relationships/hyperlink" Target="https://projects.propublica.org/represent/votes/118/house/2/217" TargetMode="External"/><Relationship Id="rId19" Type="http://schemas.openxmlformats.org/officeDocument/2006/relationships/hyperlink" Target="https://projects.propublica.org/represent/votes/118/house/2/142" TargetMode="External"/><Relationship Id="rId114" Type="http://schemas.openxmlformats.org/officeDocument/2006/relationships/hyperlink" Target="https://www.politico.com/news/2023/12/18/katie-porter-bilateral-ceasefire-israel-hamas-00132368?nname=california-playbook&amp;nid=00000150-384f-da43-aff2-bf7fd35a0000&amp;nrid=82beaf77-8d88-4169-ac6d-ff865d6da3d5&amp;nlid=641189" TargetMode="External"/><Relationship Id="rId18" Type="http://schemas.openxmlformats.org/officeDocument/2006/relationships/hyperlink" Target="https://projects.propublica.org/represent/votes/118/house/2/152" TargetMode="External"/><Relationship Id="rId113" Type="http://schemas.openxmlformats.org/officeDocument/2006/relationships/hyperlink" Target="https://raskin.house.gov/2023/11/statement-of-congressman-jamie-raskin-november-17-2023" TargetMode="External"/><Relationship Id="rId112" Type="http://schemas.openxmlformats.org/officeDocument/2006/relationships/hyperlink" Target="https://twitter.com/RepMcGarvey/status/1736517923001278596/photo/1" TargetMode="External"/><Relationship Id="rId111" Type="http://schemas.openxmlformats.org/officeDocument/2006/relationships/hyperlink" Target="https://x.com/RepStephenLynch/status/1748431600591725036?s=20" TargetMode="External"/><Relationship Id="rId84" Type="http://schemas.openxmlformats.org/officeDocument/2006/relationships/hyperlink" Target="https://x.com/RepDonBeyer/status/1724814531535286717?s=20" TargetMode="External"/><Relationship Id="rId83" Type="http://schemas.openxmlformats.org/officeDocument/2006/relationships/hyperlink" Target="https://x.com/RepCasar/status/1714460658253680972?s=20" TargetMode="External"/><Relationship Id="rId86" Type="http://schemas.openxmlformats.org/officeDocument/2006/relationships/hyperlink" Target="https://x.com/RepJudyChu/status/1726453276978405504?s=20" TargetMode="External"/><Relationship Id="rId85" Type="http://schemas.openxmlformats.org/officeDocument/2006/relationships/hyperlink" Target="https://vtdigger.org/2023/11/16/becca-balint-cease-fire-needed-to-stop-bloodshed-in-israel-hamas-conflict/" TargetMode="External"/><Relationship Id="rId88" Type="http://schemas.openxmlformats.org/officeDocument/2006/relationships/hyperlink" Target="https://x.com/RepHuffman/status/1726347414313836582?s=20" TargetMode="External"/><Relationship Id="rId87" Type="http://schemas.openxmlformats.org/officeDocument/2006/relationships/hyperlink" Target="https://wisconsinexaminer.com/brief/congresswoman-gwen-moore-calls-for-ceasefire-in-gaza/" TargetMode="External"/><Relationship Id="rId89" Type="http://schemas.openxmlformats.org/officeDocument/2006/relationships/hyperlink" Target="https://www.marinij.com/2023/11/06/huffman-disavows-vote-on-hamas-support-after-uproar/" TargetMode="External"/><Relationship Id="rId80" Type="http://schemas.openxmlformats.org/officeDocument/2006/relationships/hyperlink" Target="https://x.com/RepDeSaulnier/status/1725530685656490485?s=20" TargetMode="External"/><Relationship Id="rId82" Type="http://schemas.openxmlformats.org/officeDocument/2006/relationships/hyperlink" Target="https://x.com/chelliepingree/status/1727148610813403283?s=20" TargetMode="External"/><Relationship Id="rId81" Type="http://schemas.openxmlformats.org/officeDocument/2006/relationships/hyperlink" Target="https://blumenauer.house.gov/media-center/press-releases/blumenauer-statement-on-ongoing-israel-hamas-conflict-0" TargetMode="External"/><Relationship Id="rId1" Type="http://schemas.openxmlformats.org/officeDocument/2006/relationships/hyperlink" Target="https://www.jewishvoiceforpeace.org/resource/urgent-tell-congress-to-stop-fueling-violence/" TargetMode="External"/><Relationship Id="rId2" Type="http://schemas.openxmlformats.org/officeDocument/2006/relationships/hyperlink" Target="https://www.congress.gov/bill/118th-congress/house-resolution/786/cosponsors" TargetMode="External"/><Relationship Id="rId3" Type="http://schemas.openxmlformats.org/officeDocument/2006/relationships/hyperlink" Target="https://www.congress.gov/bill/118th-congress/house-bill/3103/cosponsors?s=1&amp;r=9" TargetMode="External"/><Relationship Id="rId4" Type="http://schemas.openxmlformats.org/officeDocument/2006/relationships/hyperlink" Target="https://www.congress.gov/bill/118th-congress/house-bill/9649/cosponsors" TargetMode="External"/><Relationship Id="rId9" Type="http://schemas.openxmlformats.org/officeDocument/2006/relationships/hyperlink" Target="https://clerk.house.gov/Votes/2024500?Page=2" TargetMode="External"/><Relationship Id="rId5" Type="http://schemas.openxmlformats.org/officeDocument/2006/relationships/hyperlink" Target="https://www.congress.gov/bill/118th-congress/house-bill/3477/cosponsors" TargetMode="External"/><Relationship Id="rId6" Type="http://schemas.openxmlformats.org/officeDocument/2006/relationships/hyperlink" Target="https://www.congress.gov/bill/118th-congress/house-resolution/388/cosponsors" TargetMode="External"/><Relationship Id="rId7" Type="http://schemas.openxmlformats.org/officeDocument/2006/relationships/hyperlink" Target="https://www.congress.gov/bill/118th-congress/house-resolution/1231/cosponsors?s=2&amp;r=6&amp;overview=closed" TargetMode="External"/><Relationship Id="rId8" Type="http://schemas.openxmlformats.org/officeDocument/2006/relationships/hyperlink" Target="https://clerk.house.gov/DischargePetition/2024031209?CongressNum=118" TargetMode="External"/><Relationship Id="rId73" Type="http://schemas.openxmlformats.org/officeDocument/2006/relationships/hyperlink" Target="https://www.congress.gov/bill/118th-congress/house-resolution/786/cosponsors" TargetMode="External"/><Relationship Id="rId72" Type="http://schemas.openxmlformats.org/officeDocument/2006/relationships/hyperlink" Target="https://mccollum.house.gov/media/press-releases/mccollum-urges-president-biden-facilitate-ceasefire" TargetMode="External"/><Relationship Id="rId75" Type="http://schemas.openxmlformats.org/officeDocument/2006/relationships/hyperlink" Target="https://www.congress.gov/bill/118th-congress/house-resolution/786/cosponsors" TargetMode="External"/><Relationship Id="rId74" Type="http://schemas.openxmlformats.org/officeDocument/2006/relationships/hyperlink" Target="https://acrobat.adobe.com/link/track?uri=urn:aaid:scds:US:90f207d1-adee-3f7f-ae4b-96b70a693ed9" TargetMode="External"/><Relationship Id="rId77" Type="http://schemas.openxmlformats.org/officeDocument/2006/relationships/hyperlink" Target="https://x.com/repcori/status/1747318926705324142?s=46" TargetMode="External"/><Relationship Id="rId76" Type="http://schemas.openxmlformats.org/officeDocument/2006/relationships/hyperlink" Target="https://www.congress.gov/bill/118th-congress/house-resolution/786/cosponsors" TargetMode="External"/><Relationship Id="rId79" Type="http://schemas.openxmlformats.org/officeDocument/2006/relationships/hyperlink" Target="https://x.com/RepCasar/status/1714460658253680972?s=20" TargetMode="External"/><Relationship Id="rId78" Type="http://schemas.openxmlformats.org/officeDocument/2006/relationships/hyperlink" Target="https://x.com/_waleedshahid/status/1721129171408003419?s=20" TargetMode="External"/><Relationship Id="rId71" Type="http://schemas.openxmlformats.org/officeDocument/2006/relationships/hyperlink" Target="https://acrobat.adobe.com/link/track?uri=urn:aaid:scds:US:90f207d1-adee-3f7f-ae4b-96b70a693ed9" TargetMode="External"/><Relationship Id="rId70" Type="http://schemas.openxmlformats.org/officeDocument/2006/relationships/hyperlink" Target="https://www.congress.gov/bill/118th-congress/house-resolution/786/cosponsors" TargetMode="External"/><Relationship Id="rId137" Type="http://schemas.openxmlformats.org/officeDocument/2006/relationships/drawing" Target="../drawings/drawing6.xml"/><Relationship Id="rId132" Type="http://schemas.openxmlformats.org/officeDocument/2006/relationships/hyperlink" Target="https://x.com/RepRitchie/status/1727363166571757706?s=20" TargetMode="External"/><Relationship Id="rId131" Type="http://schemas.openxmlformats.org/officeDocument/2006/relationships/hyperlink" Target="https://x.com/deanbphillips/status/1725673119631687824?s=20" TargetMode="External"/><Relationship Id="rId130" Type="http://schemas.openxmlformats.org/officeDocument/2006/relationships/hyperlink" Target="https://x.com/IfNotNowOrg/status/1744812051229208853?s=20" TargetMode="External"/><Relationship Id="rId136" Type="http://schemas.openxmlformats.org/officeDocument/2006/relationships/hyperlink" Target="https://x.com/JaredEMoskowitz/status/1718629946879287440?s=20" TargetMode="External"/><Relationship Id="rId135" Type="http://schemas.openxmlformats.org/officeDocument/2006/relationships/hyperlink" Target="https://x.com/RepJoshG/status/1720082061296578984?s=20" TargetMode="External"/><Relationship Id="rId134" Type="http://schemas.openxmlformats.org/officeDocument/2006/relationships/hyperlink" Target="https://x.com/RepDWStweets/status/1727161941691355493?s=20" TargetMode="External"/><Relationship Id="rId133" Type="http://schemas.openxmlformats.org/officeDocument/2006/relationships/hyperlink" Target="https://x.com/marcrod97/status/1720207795650240657?s=20" TargetMode="External"/><Relationship Id="rId62" Type="http://schemas.openxmlformats.org/officeDocument/2006/relationships/hyperlink" Target="https://www.congress.gov/bill/118th-congress/house-resolution/786/cosponsors" TargetMode="External"/><Relationship Id="rId61" Type="http://schemas.openxmlformats.org/officeDocument/2006/relationships/hyperlink" Target="https://www.congress.gov/bill/118th-congress/house-resolution/786/cosponsors" TargetMode="External"/><Relationship Id="rId64" Type="http://schemas.openxmlformats.org/officeDocument/2006/relationships/hyperlink" Target="https://www.congress.gov/bill/118th-congress/house-resolution/786/cosponsors" TargetMode="External"/><Relationship Id="rId63" Type="http://schemas.openxmlformats.org/officeDocument/2006/relationships/hyperlink" Target="https://x.com/JamaalBowmanNY/status/1856417751432343973" TargetMode="External"/><Relationship Id="rId66" Type="http://schemas.openxmlformats.org/officeDocument/2006/relationships/hyperlink" Target="https://www.congress.gov/bill/118th-congress/house-resolution/786/cosponsors" TargetMode="External"/><Relationship Id="rId65" Type="http://schemas.openxmlformats.org/officeDocument/2006/relationships/hyperlink" Target="https://www.congress.gov/bill/118th-congress/house-resolution/786/cosponsors" TargetMode="External"/><Relationship Id="rId68" Type="http://schemas.openxmlformats.org/officeDocument/2006/relationships/hyperlink" Target="https://www.congress.gov/bill/118th-congress/house-resolution/786/cosponsors" TargetMode="External"/><Relationship Id="rId67" Type="http://schemas.openxmlformats.org/officeDocument/2006/relationships/hyperlink" Target="https://www.congress.gov/bill/118th-congress/house-resolution/786/cosponsors" TargetMode="External"/><Relationship Id="rId60" Type="http://schemas.openxmlformats.org/officeDocument/2006/relationships/hyperlink" Target="https://www.congress.gov/bill/118th-congress/house-resolution/786/cosponsors" TargetMode="External"/><Relationship Id="rId69" Type="http://schemas.openxmlformats.org/officeDocument/2006/relationships/hyperlink" Target="https://twitter.com/marcrod97/status/1668759644800716801?s=46&amp;t=E_TsOAiz6jFIEynuXw_I6w" TargetMode="External"/><Relationship Id="rId51" Type="http://schemas.openxmlformats.org/officeDocument/2006/relationships/hyperlink" Target="https://www.jvpaction.org/our-2022-candidates/" TargetMode="External"/><Relationship Id="rId50" Type="http://schemas.openxmlformats.org/officeDocument/2006/relationships/hyperlink" Target="https://jewishinsider.nyc3.digitaloceanspaces.com/wp-content/uploads/2023/10/16193047/BipartisanIsraelHamasLettertoPOTUS-With-Watermark.pdf" TargetMode="External"/><Relationship Id="rId53" Type="http://schemas.openxmlformats.org/officeDocument/2006/relationships/hyperlink" Target="https://dmfipac.org/candidates/" TargetMode="External"/><Relationship Id="rId52" Type="http://schemas.openxmlformats.org/officeDocument/2006/relationships/hyperlink" Target="https://jstreetpac.org/candidates/" TargetMode="External"/><Relationship Id="rId55" Type="http://schemas.openxmlformats.org/officeDocument/2006/relationships/hyperlink" Target="https://www.congress.gov/bill/118th-congress/house-resolution/786/cosponsors" TargetMode="External"/><Relationship Id="rId54" Type="http://schemas.openxmlformats.org/officeDocument/2006/relationships/hyperlink" Target="https://candidates.aipacpac.org/page/featured/" TargetMode="External"/><Relationship Id="rId57" Type="http://schemas.openxmlformats.org/officeDocument/2006/relationships/hyperlink" Target="https://www.congress.gov/bill/118th-congress/house-resolution/786/cosponsors" TargetMode="External"/><Relationship Id="rId56" Type="http://schemas.openxmlformats.org/officeDocument/2006/relationships/hyperlink" Target="https://www.congress.gov/bill/118th-congress/house-resolution/786/cosponsors" TargetMode="External"/><Relationship Id="rId59" Type="http://schemas.openxmlformats.org/officeDocument/2006/relationships/hyperlink" Target="https://www.congress.gov/bill/118th-congress/house-resolution/786/cosponsors" TargetMode="External"/><Relationship Id="rId58" Type="http://schemas.openxmlformats.org/officeDocument/2006/relationships/hyperlink" Target="https://www.congress.gov/bill/118th-congress/house-resolution/786/cosponsors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x.com/burgessev/status/1755321632871072099?s=20" TargetMode="External"/><Relationship Id="rId22" Type="http://schemas.openxmlformats.org/officeDocument/2006/relationships/drawing" Target="../drawings/drawing7.xml"/><Relationship Id="rId21" Type="http://schemas.openxmlformats.org/officeDocument/2006/relationships/hyperlink" Target="https://x.com/CraigCaplan/status/1732535410545328606?s=20" TargetMode="External"/><Relationship Id="rId11" Type="http://schemas.openxmlformats.org/officeDocument/2006/relationships/hyperlink" Target="https://projects.propublica.org/represent/votes/118/senate/2/8" TargetMode="External"/><Relationship Id="rId10" Type="http://schemas.openxmlformats.org/officeDocument/2006/relationships/hyperlink" Target="https://www.senate.gov/legislative/LIS/roll_call_votes/vote1182/vote_118_2_00039.htm" TargetMode="External"/><Relationship Id="rId13" Type="http://schemas.openxmlformats.org/officeDocument/2006/relationships/hyperlink" Target="https://www.senate.gov/legislative/LIS/roll_call_lists/roll_call_vote_cfm.cfm?congress=117&amp;session=1&amp;vote=00030" TargetMode="External"/><Relationship Id="rId12" Type="http://schemas.openxmlformats.org/officeDocument/2006/relationships/hyperlink" Target="https://www.senate.gov/legislative/LIS/roll_call_votes/vote1181/vote_118_1_00332.htm" TargetMode="External"/><Relationship Id="rId15" Type="http://schemas.openxmlformats.org/officeDocument/2006/relationships/hyperlink" Target="https://www.warren.senate.gov/newsroom/press-releases/senator-warren-statement-on-the-cease-fire-agreement-to-release-hostages-and-provide-humanitarian-aid" TargetMode="External"/><Relationship Id="rId14" Type="http://schemas.openxmlformats.org/officeDocument/2006/relationships/hyperlink" Target="https://x.com/SenJeffMerkley/status/1726704028804153647?s=20" TargetMode="External"/><Relationship Id="rId17" Type="http://schemas.openxmlformats.org/officeDocument/2006/relationships/hyperlink" Target="https://x.com/ChrisVanHollen/status/1749230605475180949?s=20" TargetMode="External"/><Relationship Id="rId16" Type="http://schemas.openxmlformats.org/officeDocument/2006/relationships/hyperlink" Target="https://x.com/SenPeterWelch/status/1729592036855103748?s=20" TargetMode="External"/><Relationship Id="rId19" Type="http://schemas.openxmlformats.org/officeDocument/2006/relationships/hyperlink" Target="https://www.baldwin.senate.gov/news/press-releases/senator-baldwin-statement-on-the-ongoing-israel-hamas-war" TargetMode="External"/><Relationship Id="rId18" Type="http://schemas.openxmlformats.org/officeDocument/2006/relationships/hyperlink" Target="https://theintercept.com/2023/11/02/dick-durbin-gaza-ceasefire-aipac/" TargetMode="External"/><Relationship Id="rId1" Type="http://schemas.openxmlformats.org/officeDocument/2006/relationships/hyperlink" Target="https://www.senate.gov/legislative/LIS/roll_call_votes/vote1182/vote_118_2_00294.htm" TargetMode="External"/><Relationship Id="rId2" Type="http://schemas.openxmlformats.org/officeDocument/2006/relationships/hyperlink" Target="https://www.senate.gov/legislative/LIS/roll_call_votes/vote1182/vote_118_2_00293.htm" TargetMode="External"/><Relationship Id="rId3" Type="http://schemas.openxmlformats.org/officeDocument/2006/relationships/hyperlink" Target="https://x.com/CraigCaplan/status/1859396032611684820" TargetMode="External"/><Relationship Id="rId4" Type="http://schemas.openxmlformats.org/officeDocument/2006/relationships/hyperlink" Target="https://www.senate.gov/legislative/LIS/roll_call_votes/vote1182/vote_118_2_00154.htm" TargetMode="External"/><Relationship Id="rId9" Type="http://schemas.openxmlformats.org/officeDocument/2006/relationships/hyperlink" Target="https://www.senate.gov/legislative/LIS/roll_call_votes/vote1182/vote_118_2_00044.htm" TargetMode="External"/><Relationship Id="rId5" Type="http://schemas.openxmlformats.org/officeDocument/2006/relationships/hyperlink" Target="https://www.senate.gov/legislative/LIS/roll_call_votes/vote1182/vote_118_2_00152.htm" TargetMode="External"/><Relationship Id="rId6" Type="http://schemas.openxmlformats.org/officeDocument/2006/relationships/hyperlink" Target="https://www.senate.gov/legislative/LIS/roll_call_votes/vote1182/vote_118_2_00114.htm" TargetMode="External"/><Relationship Id="rId7" Type="http://schemas.openxmlformats.org/officeDocument/2006/relationships/hyperlink" Target="https://www.senate.gov/legislative/LIS/roll_call_votes/vote1182/vote_118_2_00048.htm" TargetMode="External"/><Relationship Id="rId8" Type="http://schemas.openxmlformats.org/officeDocument/2006/relationships/hyperlink" Target="https://www.senate.gov/legislative/LIS/roll_call_votes/vote1182/vote_118_2_00047.htm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mccollum.house.gov/media/statements-record/mccollum-statement-congressional-record-support-bipartisan-resolution" TargetMode="External"/><Relationship Id="rId10" Type="http://schemas.openxmlformats.org/officeDocument/2006/relationships/hyperlink" Target="https://twitter.com/RepAndreCarson/status/1712849608903147983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jayapal.house.gov/2023/10/13/schakowsky-pocan-jayapal-mcgovern-lead-55-members-in-letter-condemning-hamas-attacks-urging-protection-of-innocent-civilian-lives/" TargetMode="External"/><Relationship Id="rId1" Type="http://schemas.openxmlformats.org/officeDocument/2006/relationships/hyperlink" Target="https://twitter.com/repcori/status/1710825310642466999" TargetMode="External"/><Relationship Id="rId2" Type="http://schemas.openxmlformats.org/officeDocument/2006/relationships/hyperlink" Target="https://twitter.com/jacobin/status/1711727231540625650" TargetMode="External"/><Relationship Id="rId3" Type="http://schemas.openxmlformats.org/officeDocument/2006/relationships/hyperlink" Target="https://twitter.com/IlhanMN/status/1711468671770439864" TargetMode="External"/><Relationship Id="rId4" Type="http://schemas.openxmlformats.org/officeDocument/2006/relationships/hyperlink" Target="https://twitter.com/RepBowman/status/1710711916484579524" TargetMode="External"/><Relationship Id="rId9" Type="http://schemas.openxmlformats.org/officeDocument/2006/relationships/hyperlink" Target="https://twitter.com/RepPressley/status/1710724975756202018" TargetMode="External"/><Relationship Id="rId5" Type="http://schemas.openxmlformats.org/officeDocument/2006/relationships/hyperlink" Target="https://twitter.com/RepBowman/status/1711801731124703423" TargetMode="External"/><Relationship Id="rId6" Type="http://schemas.openxmlformats.org/officeDocument/2006/relationships/hyperlink" Target="https://twitter.com/IlhanMN/status/1711468671770439864" TargetMode="External"/><Relationship Id="rId7" Type="http://schemas.openxmlformats.org/officeDocument/2006/relationships/hyperlink" Target="https://twitter.com/rosadelauro/status/1710694861635002439" TargetMode="External"/><Relationship Id="rId8" Type="http://schemas.openxmlformats.org/officeDocument/2006/relationships/hyperlink" Target="https://www.politico.com/news/2023/10/13/progressive-lawmakers-letter-biden-israel-00121463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clerk.house.gov/cgi-bin/vote.asp?year=2020&amp;rollnumber=173" TargetMode="External"/><Relationship Id="rId42" Type="http://schemas.openxmlformats.org/officeDocument/2006/relationships/hyperlink" Target="https://medium.com/@JonathanCohn/fy-2021-ndaa-the-warfare-state-remains-unfortunately-bipartisan-97395fe446f5" TargetMode="External"/><Relationship Id="rId41" Type="http://schemas.openxmlformats.org/officeDocument/2006/relationships/hyperlink" Target="https://medium.com/@JonathanCohn/fy-2021-ndaa-the-warfare-state-remains-unfortunately-bipartisan-97395fe446f5" TargetMode="External"/><Relationship Id="rId44" Type="http://schemas.openxmlformats.org/officeDocument/2006/relationships/hyperlink" Target="https://medium.com/@JonathanCohn/nothing-says-bipartisanship-like-extending-the-patriot-act-together-40efe573eebc" TargetMode="External"/><Relationship Id="rId43" Type="http://schemas.openxmlformats.org/officeDocument/2006/relationships/hyperlink" Target="https://clerk.house.gov/evs/2020/roll149.xml" TargetMode="External"/><Relationship Id="rId46" Type="http://schemas.openxmlformats.org/officeDocument/2006/relationships/hyperlink" Target="https://medium.com/@JonathanCohn/but-how-will-we-pay-for-single-payer-say-the-ds-rs-who-just-voted-for-trumps-space-force-51360e2ad823" TargetMode="External"/><Relationship Id="rId45" Type="http://schemas.openxmlformats.org/officeDocument/2006/relationships/hyperlink" Target="http://clerk.house.gov/evs/2019/roll701.xml" TargetMode="External"/><Relationship Id="rId48" Type="http://schemas.openxmlformats.org/officeDocument/2006/relationships/hyperlink" Target="https://clerk.house.gov/evs/2019/roll483.xml" TargetMode="External"/><Relationship Id="rId47" Type="http://schemas.openxmlformats.org/officeDocument/2006/relationships/hyperlink" Target="https://clerk.house.gov/Votes/2019497" TargetMode="External"/><Relationship Id="rId49" Type="http://schemas.openxmlformats.org/officeDocument/2006/relationships/hyperlink" Target="https://medium.com/@JonathanCohn/the-good-the-bad-and-the-ugly-of-the-fy-2020-ndaa-db7bfa218e87" TargetMode="External"/><Relationship Id="rId31" Type="http://schemas.openxmlformats.org/officeDocument/2006/relationships/hyperlink" Target="https://clerk.house.gov/evs/2021/roll243.xml" TargetMode="External"/><Relationship Id="rId30" Type="http://schemas.openxmlformats.org/officeDocument/2006/relationships/hyperlink" Target="https://clerk.house.gov/evs/2021/roll250.xml" TargetMode="External"/><Relationship Id="rId33" Type="http://schemas.openxmlformats.org/officeDocument/2006/relationships/hyperlink" Target="https://clerk.house.gov/evs/2021/roll156.xml" TargetMode="External"/><Relationship Id="rId32" Type="http://schemas.openxmlformats.org/officeDocument/2006/relationships/hyperlink" Target="https://clerk.house.gov/evs/2021/roll230.xml" TargetMode="External"/><Relationship Id="rId35" Type="http://schemas.openxmlformats.org/officeDocument/2006/relationships/hyperlink" Target="https://clerk.house.gov/evs/2021/roll053.xml" TargetMode="External"/><Relationship Id="rId34" Type="http://schemas.openxmlformats.org/officeDocument/2006/relationships/hyperlink" Target="https://clerk.house.gov/evs/2021/roll142.xml" TargetMode="External"/><Relationship Id="rId37" Type="http://schemas.openxmlformats.org/officeDocument/2006/relationships/hyperlink" Target="https://clerk.house.gov/evs/2020/roll250.xml" TargetMode="External"/><Relationship Id="rId36" Type="http://schemas.openxmlformats.org/officeDocument/2006/relationships/hyperlink" Target="https://clerk.house.gov/evs/2020/roll253.xml" TargetMode="External"/><Relationship Id="rId39" Type="http://schemas.openxmlformats.org/officeDocument/2006/relationships/hyperlink" Target="https://clerk.house.gov/evs/2020/roll206.xml" TargetMode="External"/><Relationship Id="rId38" Type="http://schemas.openxmlformats.org/officeDocument/2006/relationships/hyperlink" Target="https://clerk.house.gov/evs/2020/roll238.xml" TargetMode="External"/><Relationship Id="rId20" Type="http://schemas.openxmlformats.org/officeDocument/2006/relationships/hyperlink" Target="https://clerk.house.gov/evs/2021/roll355.xml" TargetMode="External"/><Relationship Id="rId22" Type="http://schemas.openxmlformats.org/officeDocument/2006/relationships/hyperlink" Target="https://clerk.house.gov/evs/2021/roll293.xml" TargetMode="External"/><Relationship Id="rId21" Type="http://schemas.openxmlformats.org/officeDocument/2006/relationships/hyperlink" Target="https://clerk.house.gov/evs/2021/roll354.xml" TargetMode="External"/><Relationship Id="rId24" Type="http://schemas.openxmlformats.org/officeDocument/2006/relationships/hyperlink" Target="https://clerk.house.gov/evs/2021/roll284.xml" TargetMode="External"/><Relationship Id="rId23" Type="http://schemas.openxmlformats.org/officeDocument/2006/relationships/hyperlink" Target="https://clerk.house.gov/evs/2021/roll285.xml" TargetMode="External"/><Relationship Id="rId26" Type="http://schemas.openxmlformats.org/officeDocument/2006/relationships/hyperlink" Target="https://clerk.house.gov/evs/2021/roll282.xml" TargetMode="External"/><Relationship Id="rId25" Type="http://schemas.openxmlformats.org/officeDocument/2006/relationships/hyperlink" Target="https://clerk.house.gov/evs/2021/roll283.xml" TargetMode="External"/><Relationship Id="rId28" Type="http://schemas.openxmlformats.org/officeDocument/2006/relationships/hyperlink" Target="https://clerk.house.gov/evs/2021/roll276.xml" TargetMode="External"/><Relationship Id="rId27" Type="http://schemas.openxmlformats.org/officeDocument/2006/relationships/hyperlink" Target="https://clerk.house.gov/evs/2021/roll281.xml" TargetMode="External"/><Relationship Id="rId29" Type="http://schemas.openxmlformats.org/officeDocument/2006/relationships/hyperlink" Target="https://clerk.house.gov/evs/2021/roll275.xml" TargetMode="External"/><Relationship Id="rId11" Type="http://schemas.openxmlformats.org/officeDocument/2006/relationships/hyperlink" Target="https://clerk.house.gov/evs/2022/roll380.xml" TargetMode="External"/><Relationship Id="rId10" Type="http://schemas.openxmlformats.org/officeDocument/2006/relationships/hyperlink" Target="https://clerk.house.gov/Votes/2022450?Page=3" TargetMode="External"/><Relationship Id="rId13" Type="http://schemas.openxmlformats.org/officeDocument/2006/relationships/hyperlink" Target="https://clerk.house.gov/evs/2022/roll105.xml" TargetMode="External"/><Relationship Id="rId12" Type="http://schemas.openxmlformats.org/officeDocument/2006/relationships/hyperlink" Target="https://projects.propublica.org/represent/votes/117/house/2/317" TargetMode="External"/><Relationship Id="rId15" Type="http://schemas.openxmlformats.org/officeDocument/2006/relationships/hyperlink" Target="https://clerk.house.gov/evs/2022/roll026.xml" TargetMode="External"/><Relationship Id="rId14" Type="http://schemas.openxmlformats.org/officeDocument/2006/relationships/hyperlink" Target="https://clerk.house.gov/evs/2022/roll065.xml" TargetMode="External"/><Relationship Id="rId17" Type="http://schemas.openxmlformats.org/officeDocument/2006/relationships/hyperlink" Target="https://clerk.house.gov/evs/2021/roll438.xml" TargetMode="External"/><Relationship Id="rId16" Type="http://schemas.openxmlformats.org/officeDocument/2006/relationships/hyperlink" Target="https://clerk.house.gov/evs/2022/roll021.xml" TargetMode="External"/><Relationship Id="rId19" Type="http://schemas.openxmlformats.org/officeDocument/2006/relationships/hyperlink" Target="https://clerk.house.gov/evs/2021/roll369.xml" TargetMode="External"/><Relationship Id="rId18" Type="http://schemas.openxmlformats.org/officeDocument/2006/relationships/hyperlink" Target="https://clerk.house.gov/evs/2021/roll405.xml" TargetMode="External"/><Relationship Id="rId1" Type="http://schemas.openxmlformats.org/officeDocument/2006/relationships/hyperlink" Target="https://www.congress.gov/bill/117th-congress/house-bill/1976/cosponsors?searchResultViewType=expanded" TargetMode="External"/><Relationship Id="rId2" Type="http://schemas.openxmlformats.org/officeDocument/2006/relationships/hyperlink" Target="https://www.congress.gov/bill/117th-congress/house-resolution/332/cosponsors?s=5&amp;r=124&amp;overview=closed&amp;pageSort=alpha" TargetMode="External"/><Relationship Id="rId3" Type="http://schemas.openxmlformats.org/officeDocument/2006/relationships/hyperlink" Target="https://www.congress.gov/bill/117th-congress/house-bill/262/cosponsors" TargetMode="External"/><Relationship Id="rId4" Type="http://schemas.openxmlformats.org/officeDocument/2006/relationships/hyperlink" Target="https://www.congress.gov/bill/117th-congress/house-bill/2730/cosponsors?s=5&amp;r=125&amp;overview=closed&amp;pageSort=alpha" TargetMode="External"/><Relationship Id="rId9" Type="http://schemas.openxmlformats.org/officeDocument/2006/relationships/hyperlink" Target="https://clerk.house.gov/Votes/2022451?Page=3" TargetMode="External"/><Relationship Id="rId5" Type="http://schemas.openxmlformats.org/officeDocument/2006/relationships/hyperlink" Target="https://www.congress.gov/bill/117th-congress/house-bill/2584/cosponsors" TargetMode="External"/><Relationship Id="rId6" Type="http://schemas.openxmlformats.org/officeDocument/2006/relationships/hyperlink" Target="https://www.congress.gov/bill/117th-congress/house-bill/2590/cosponsors?s=5&amp;r=117&amp;overview=closed&amp;pageSort=alpha" TargetMode="External"/><Relationship Id="rId7" Type="http://schemas.openxmlformats.org/officeDocument/2006/relationships/hyperlink" Target="https://clerk.house.gov/Votes/2022516" TargetMode="External"/><Relationship Id="rId8" Type="http://schemas.openxmlformats.org/officeDocument/2006/relationships/hyperlink" Target="https://clerk.house.gov/Votes/2022490?Page=2" TargetMode="External"/><Relationship Id="rId73" Type="http://schemas.openxmlformats.org/officeDocument/2006/relationships/hyperlink" Target="https://medium.com/@JonathanCohn/house-democrats-have-talked-about-the-dangers-of-trump-but-almost-all-vote-to-fund-his-surveillance-6cb187472ff3" TargetMode="External"/><Relationship Id="rId72" Type="http://schemas.openxmlformats.org/officeDocument/2006/relationships/hyperlink" Target="https://medium.com/@JonathanCohn/the-pentagon-tried-to-cover-up-a-report-showing-125b-in-bureaucratic-waste-156984712e10" TargetMode="External"/><Relationship Id="rId75" Type="http://schemas.openxmlformats.org/officeDocument/2006/relationships/hyperlink" Target="https://clerk.house.gov/Votes/2015224" TargetMode="External"/><Relationship Id="rId74" Type="http://schemas.openxmlformats.org/officeDocument/2006/relationships/hyperlink" Target="https://clerk.house.gov/Votes/2016557" TargetMode="External"/><Relationship Id="rId77" Type="http://schemas.openxmlformats.org/officeDocument/2006/relationships/drawing" Target="../drawings/drawing10.xml"/><Relationship Id="rId76" Type="http://schemas.openxmlformats.org/officeDocument/2006/relationships/hyperlink" Target="https://twitter.com/aaronnarraph" TargetMode="External"/><Relationship Id="rId71" Type="http://schemas.openxmlformats.org/officeDocument/2006/relationships/hyperlink" Target="https://medium.com/@JonathanCohn/the-pentagon-cant-pass-an-audit-but-to-congress-there-s-always-more-money-for-war-85f7e2bc82fe" TargetMode="External"/><Relationship Id="rId70" Type="http://schemas.openxmlformats.org/officeDocument/2006/relationships/hyperlink" Target="https://medium.com/@JonathanCohn/as-activists-fight-to-end-mandatory-minimums-the-house-votes-to-expand-them-for-sexting-teens-8b0315b7c700" TargetMode="External"/><Relationship Id="rId62" Type="http://schemas.openxmlformats.org/officeDocument/2006/relationships/hyperlink" Target="https://clerk.house.gov/evs/2018/roll035.xml" TargetMode="External"/><Relationship Id="rId61" Type="http://schemas.openxmlformats.org/officeDocument/2006/relationships/hyperlink" Target="https://jonathancohn.medium.com/without-the-votes-of-these-12-dems-the-house-gops-assault-on-the-ada-would-have-failed-d923b959256c" TargetMode="External"/><Relationship Id="rId64" Type="http://schemas.openxmlformats.org/officeDocument/2006/relationships/hyperlink" Target="https://medium.com/@JonathanCohn/in-display-of-bipartisanship-house-votes-to-weaken-dodd-frank-spend-more-money-on-war-cc151d13193b" TargetMode="External"/><Relationship Id="rId63" Type="http://schemas.openxmlformats.org/officeDocument/2006/relationships/hyperlink" Target="https://clerk.house.gov/evs/2017/roll658.xml" TargetMode="External"/><Relationship Id="rId66" Type="http://schemas.openxmlformats.org/officeDocument/2006/relationships/hyperlink" Target="https://medium.com/@JonathanCohn/only-29-democrats-voted-against-beefing-up-trumps-spying-surveillance-apparatus-dc208a653907?source=---------75------------------" TargetMode="External"/><Relationship Id="rId65" Type="http://schemas.openxmlformats.org/officeDocument/2006/relationships/hyperlink" Target="https://medium.com/@JonathanCohn/in-display-of-bipartisanship-house-votes-to-weaken-dodd-frank-spend-more-money-on-war-cc151d13193b" TargetMode="External"/><Relationship Id="rId68" Type="http://schemas.openxmlformats.org/officeDocument/2006/relationships/hyperlink" Target="https://medium.com/@JonathanCohn/a-1-cut-to-the-bloated-pentagon-budget-is-too-much-for-congress-to-handle-f65547fbc197" TargetMode="External"/><Relationship Id="rId67" Type="http://schemas.openxmlformats.org/officeDocument/2006/relationships/hyperlink" Target="https://medium.com/@JonathanCohn/only-32-house-democrats-voted-against-reauthorizing-trumps-deportation-machine-95c308ba5439" TargetMode="External"/><Relationship Id="rId60" Type="http://schemas.openxmlformats.org/officeDocument/2006/relationships/hyperlink" Target="http://clerk.house.gov/evs/2018/roll091.xml" TargetMode="External"/><Relationship Id="rId69" Type="http://schemas.openxmlformats.org/officeDocument/2006/relationships/hyperlink" Target="https://medium.com/@JonathanCohn/a-1-cut-to-the-bloated-pentagon-budget-is-too-much-for-congress-to-handle-f65547fbc197" TargetMode="External"/><Relationship Id="rId51" Type="http://schemas.openxmlformats.org/officeDocument/2006/relationships/hyperlink" Target="https://medium.com/@JonathanCohn/congress-thinks-the-problem-with-ice-is-that-it-doesnt-have-enough-money-9dca71156d15" TargetMode="External"/><Relationship Id="rId50" Type="http://schemas.openxmlformats.org/officeDocument/2006/relationships/hyperlink" Target="https://medium.com/@JonathanCohn/the-good-the-bad-and-the-ugly-of-the-fy-2020-ndaa-db7bfa218e87" TargetMode="External"/><Relationship Id="rId53" Type="http://schemas.openxmlformats.org/officeDocument/2006/relationships/hyperlink" Target="https://jonathancohn.medium.com/we-have-no-money-for-single-payer-say-republicans-and-democrats-voting-for-latest-tax-cuts-for-e323ee55c8f9" TargetMode="External"/><Relationship Id="rId52" Type="http://schemas.openxmlformats.org/officeDocument/2006/relationships/hyperlink" Target="https://medium.com/@JonathanCohn/the-majority-of-house-democrats-just-voted-to-protect-trumps-surveillance-rather-than-your-civil-d4e2fd9c934b" TargetMode="External"/><Relationship Id="rId55" Type="http://schemas.openxmlformats.org/officeDocument/2006/relationships/hyperlink" Target="https://medium.com/@JonathanCohn/how-will-you-pay-for-single-payer-ask-359-congresspersons-voting-for-717b-defense-bill-ec79725b1ac" TargetMode="External"/><Relationship Id="rId54" Type="http://schemas.openxmlformats.org/officeDocument/2006/relationships/hyperlink" Target="https://medium.com/@JonathanCohn/while-you-werent-paying-attention-the-house-of-representatives-just-voted-to-expand-the-patriot-eddcbdc2f89e" TargetMode="External"/><Relationship Id="rId57" Type="http://schemas.openxmlformats.org/officeDocument/2006/relationships/hyperlink" Target="https://medium.com/@JonathanCohn/only-37-representatives-voted-consistently-against-endless-war-this-week-6fd06623b88a" TargetMode="External"/><Relationship Id="rId56" Type="http://schemas.openxmlformats.org/officeDocument/2006/relationships/hyperlink" Target="https://clerk.house.gov/evs/2018/roll268.xml" TargetMode="External"/><Relationship Id="rId59" Type="http://schemas.openxmlformats.org/officeDocument/2006/relationships/hyperlink" Target="https://medium.com/@JonathanCohn/house-republicans-backed-by-78-democrats-just-voted-to-roll-back-this-central-provision-of-9e641d3a399a" TargetMode="External"/><Relationship Id="rId58" Type="http://schemas.openxmlformats.org/officeDocument/2006/relationships/hyperlink" Target="https://medium.com/@JonathanCohn/house-votes-382-to-35-for-blue-lives-matter-bill-a-dangerous-solution-in-search-of-a-problem-42b5c70c72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G1" s="1" t="s">
        <v>5</v>
      </c>
      <c r="I1" s="1" t="s">
        <v>9</v>
      </c>
      <c r="K1" s="1" t="s">
        <v>10</v>
      </c>
      <c r="Q1" s="1" t="s">
        <v>11</v>
      </c>
      <c r="S1" s="1" t="s">
        <v>12</v>
      </c>
      <c r="T1" s="1" t="s">
        <v>14</v>
      </c>
      <c r="U1" s="1" t="s">
        <v>15</v>
      </c>
      <c r="V1" s="1" t="s">
        <v>16</v>
      </c>
      <c r="X1" s="1" t="s">
        <v>17</v>
      </c>
      <c r="Y1" s="1" t="s">
        <v>18</v>
      </c>
      <c r="Z1" s="1" t="s">
        <v>19</v>
      </c>
      <c r="AA1" s="1" t="s">
        <v>14</v>
      </c>
      <c r="AB1" s="1" t="s">
        <v>15</v>
      </c>
      <c r="AC1" s="1" t="s">
        <v>16</v>
      </c>
      <c r="AE1" s="1" t="s">
        <v>17</v>
      </c>
      <c r="AF1" s="1" t="s">
        <v>18</v>
      </c>
    </row>
    <row r="2">
      <c r="D2" s="1" t="s">
        <v>21</v>
      </c>
      <c r="E2" s="1" t="s">
        <v>14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24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V2" s="1" t="s">
        <v>34</v>
      </c>
      <c r="W2" s="1" t="s">
        <v>35</v>
      </c>
      <c r="AC2" s="1" t="s">
        <v>34</v>
      </c>
      <c r="AD2" s="1" t="s">
        <v>35</v>
      </c>
    </row>
    <row r="3">
      <c r="A3" s="1" t="s">
        <v>36</v>
      </c>
      <c r="B3" s="1" t="s">
        <v>37</v>
      </c>
      <c r="C3" s="1" t="s">
        <v>38</v>
      </c>
      <c r="G3" s="1">
        <v>51.4</v>
      </c>
      <c r="H3" s="1">
        <v>46.9</v>
      </c>
      <c r="I3" s="1">
        <v>48.4</v>
      </c>
      <c r="J3" s="1">
        <v>46.3</v>
      </c>
      <c r="K3" s="1">
        <v>60.8</v>
      </c>
      <c r="L3" s="1">
        <v>16.8</v>
      </c>
      <c r="M3" s="1">
        <v>13.2</v>
      </c>
      <c r="N3" s="1">
        <v>7.0</v>
      </c>
      <c r="O3" s="1">
        <v>2.7</v>
      </c>
      <c r="P3" s="1">
        <v>0.4</v>
      </c>
      <c r="Q3" s="1">
        <v>32.9</v>
      </c>
      <c r="R3" s="1">
        <v>36.5</v>
      </c>
      <c r="S3" s="1">
        <v>42.9</v>
      </c>
    </row>
    <row r="4">
      <c r="A4" s="1" t="s">
        <v>41</v>
      </c>
      <c r="B4" s="1" t="s">
        <v>42</v>
      </c>
      <c r="C4" s="1" t="s">
        <v>43</v>
      </c>
      <c r="D4" s="1" t="s">
        <v>44</v>
      </c>
      <c r="E4" s="1" t="s">
        <v>43</v>
      </c>
      <c r="F4" s="1" t="s">
        <v>45</v>
      </c>
      <c r="G4" s="1">
        <v>65.6</v>
      </c>
      <c r="H4" s="1">
        <v>33.6</v>
      </c>
      <c r="I4" s="1">
        <v>64.1</v>
      </c>
      <c r="J4" s="1">
        <v>33.5</v>
      </c>
      <c r="K4" s="1">
        <v>38.6</v>
      </c>
      <c r="L4" s="1">
        <v>3.7</v>
      </c>
      <c r="M4" s="1">
        <v>55.3</v>
      </c>
      <c r="N4" s="1">
        <v>1.5</v>
      </c>
      <c r="O4" s="1">
        <v>1.3</v>
      </c>
      <c r="P4" s="1">
        <v>0.1</v>
      </c>
      <c r="Q4" s="1">
        <v>22.8</v>
      </c>
      <c r="R4" s="1">
        <v>32.2</v>
      </c>
      <c r="S4" s="1">
        <v>27.3</v>
      </c>
      <c r="T4" s="1" t="s">
        <v>48</v>
      </c>
      <c r="U4" s="1" t="s">
        <v>49</v>
      </c>
      <c r="V4" s="1" t="s">
        <v>51</v>
      </c>
      <c r="W4" s="1" t="s">
        <v>52</v>
      </c>
      <c r="X4" s="1">
        <v>2010.0</v>
      </c>
      <c r="Y4" s="1" t="s">
        <v>28</v>
      </c>
      <c r="Z4" s="1" t="s">
        <v>53</v>
      </c>
    </row>
    <row r="5">
      <c r="A5" s="1" t="s">
        <v>55</v>
      </c>
      <c r="B5" s="1" t="s">
        <v>57</v>
      </c>
      <c r="C5" s="1" t="s">
        <v>43</v>
      </c>
      <c r="D5" s="1" t="s">
        <v>58</v>
      </c>
      <c r="E5" s="1" t="s">
        <v>43</v>
      </c>
      <c r="F5" s="1" t="s">
        <v>45</v>
      </c>
      <c r="G5" s="1">
        <v>74.5</v>
      </c>
      <c r="H5" s="1">
        <v>23.9</v>
      </c>
      <c r="I5" s="1">
        <v>71.4</v>
      </c>
      <c r="J5" s="1">
        <v>21.5</v>
      </c>
      <c r="K5" s="1">
        <v>23.8</v>
      </c>
      <c r="L5" s="1">
        <v>58.2</v>
      </c>
      <c r="M5" s="1">
        <v>11.9</v>
      </c>
      <c r="N5" s="1">
        <v>3.8</v>
      </c>
      <c r="O5" s="1">
        <v>5.1</v>
      </c>
      <c r="P5" s="1">
        <v>0.5</v>
      </c>
      <c r="Q5" s="1">
        <v>16.1</v>
      </c>
      <c r="R5" s="1">
        <v>31.5</v>
      </c>
      <c r="S5" s="1">
        <v>20.5</v>
      </c>
      <c r="T5" s="1" t="s">
        <v>48</v>
      </c>
      <c r="U5" s="1" t="s">
        <v>49</v>
      </c>
      <c r="V5" s="1" t="s">
        <v>64</v>
      </c>
      <c r="W5" s="1" t="s">
        <v>65</v>
      </c>
      <c r="X5" s="1">
        <v>2014.0</v>
      </c>
      <c r="Y5" s="1" t="s">
        <v>66</v>
      </c>
      <c r="Z5" s="1" t="s">
        <v>53</v>
      </c>
    </row>
    <row r="6">
      <c r="A6" s="1" t="s">
        <v>68</v>
      </c>
      <c r="B6" s="1" t="s">
        <v>69</v>
      </c>
      <c r="C6" s="1" t="s">
        <v>43</v>
      </c>
      <c r="D6" s="1" t="s">
        <v>70</v>
      </c>
      <c r="E6" s="1" t="s">
        <v>43</v>
      </c>
      <c r="F6" s="1" t="s">
        <v>45</v>
      </c>
      <c r="G6" s="1">
        <v>54.2</v>
      </c>
      <c r="H6" s="1">
        <v>43.9</v>
      </c>
      <c r="I6" s="1">
        <v>46.5</v>
      </c>
      <c r="J6" s="1">
        <v>44.1</v>
      </c>
      <c r="K6" s="1">
        <v>59.4</v>
      </c>
      <c r="L6" s="1">
        <v>23.1</v>
      </c>
      <c r="M6" s="1">
        <v>6.6</v>
      </c>
      <c r="N6" s="1">
        <v>7.3</v>
      </c>
      <c r="O6" s="1">
        <v>4.3</v>
      </c>
      <c r="P6" s="1">
        <v>0.6</v>
      </c>
      <c r="Q6" s="1">
        <v>35.4</v>
      </c>
      <c r="R6" s="1">
        <v>39.3</v>
      </c>
      <c r="S6" s="1">
        <v>40.7</v>
      </c>
      <c r="T6" s="1" t="s">
        <v>48</v>
      </c>
      <c r="U6" s="1" t="s">
        <v>49</v>
      </c>
      <c r="V6" s="1" t="s">
        <v>73</v>
      </c>
      <c r="W6" s="1" t="s">
        <v>74</v>
      </c>
      <c r="X6" s="1">
        <v>2018.0</v>
      </c>
      <c r="Y6" s="1" t="s">
        <v>75</v>
      </c>
      <c r="Z6" s="1" t="s">
        <v>53</v>
      </c>
    </row>
    <row r="7">
      <c r="A7" s="1" t="s">
        <v>76</v>
      </c>
      <c r="B7" s="1" t="s">
        <v>78</v>
      </c>
      <c r="C7" s="1" t="s">
        <v>43</v>
      </c>
      <c r="D7" s="1" t="s">
        <v>79</v>
      </c>
      <c r="E7" s="1" t="s">
        <v>43</v>
      </c>
      <c r="F7" s="1" t="s">
        <v>45</v>
      </c>
      <c r="G7" s="1">
        <v>65.6</v>
      </c>
      <c r="H7" s="1">
        <v>32.9</v>
      </c>
      <c r="I7" s="1">
        <v>63.4</v>
      </c>
      <c r="J7" s="1">
        <v>29.8</v>
      </c>
      <c r="K7" s="1">
        <v>32.9</v>
      </c>
      <c r="L7" s="1">
        <v>55.5</v>
      </c>
      <c r="M7" s="1">
        <v>4.9</v>
      </c>
      <c r="N7" s="1">
        <v>3.0</v>
      </c>
      <c r="O7" s="1">
        <v>5.8</v>
      </c>
      <c r="P7" s="1">
        <v>0.4</v>
      </c>
      <c r="Q7" s="1">
        <v>19.8</v>
      </c>
      <c r="R7" s="1">
        <v>31.9</v>
      </c>
      <c r="S7" s="1">
        <v>25.6</v>
      </c>
      <c r="T7" s="1" t="s">
        <v>48</v>
      </c>
      <c r="U7" s="1" t="s">
        <v>49</v>
      </c>
      <c r="V7" s="1" t="s">
        <v>81</v>
      </c>
      <c r="W7" s="1" t="s">
        <v>82</v>
      </c>
      <c r="X7" s="1">
        <v>2002.0</v>
      </c>
      <c r="Y7" s="1" t="s">
        <v>83</v>
      </c>
      <c r="Z7" s="1" t="s">
        <v>53</v>
      </c>
    </row>
    <row r="8">
      <c r="A8" s="1" t="s">
        <v>84</v>
      </c>
      <c r="B8" s="1" t="s">
        <v>85</v>
      </c>
      <c r="C8" s="1" t="s">
        <v>43</v>
      </c>
      <c r="D8" s="1" t="s">
        <v>86</v>
      </c>
      <c r="E8" s="1" t="s">
        <v>43</v>
      </c>
      <c r="F8" s="1" t="s">
        <v>45</v>
      </c>
      <c r="G8" s="1">
        <v>73.5</v>
      </c>
      <c r="H8" s="1">
        <v>24.0</v>
      </c>
      <c r="I8" s="1">
        <v>68.9</v>
      </c>
      <c r="J8" s="1">
        <v>23.4</v>
      </c>
      <c r="K8" s="1">
        <v>68.4</v>
      </c>
      <c r="L8" s="1">
        <v>17.9</v>
      </c>
      <c r="M8" s="1">
        <v>2.6</v>
      </c>
      <c r="N8" s="1">
        <v>5.9</v>
      </c>
      <c r="O8" s="1">
        <v>5.4</v>
      </c>
      <c r="P8" s="1">
        <v>0.6</v>
      </c>
      <c r="Q8" s="1">
        <v>41.7</v>
      </c>
      <c r="R8" s="1">
        <v>46.8</v>
      </c>
      <c r="S8" s="1">
        <v>41.5</v>
      </c>
      <c r="T8" s="1" t="s">
        <v>48</v>
      </c>
      <c r="U8" s="1" t="s">
        <v>49</v>
      </c>
      <c r="V8" s="1" t="s">
        <v>88</v>
      </c>
      <c r="W8" s="1" t="s">
        <v>89</v>
      </c>
      <c r="X8" s="1">
        <v>2012.0</v>
      </c>
      <c r="Y8" s="1" t="s">
        <v>75</v>
      </c>
      <c r="Z8" s="1" t="s">
        <v>53</v>
      </c>
    </row>
    <row r="9">
      <c r="A9" s="1" t="s">
        <v>90</v>
      </c>
      <c r="B9" s="1" t="s">
        <v>91</v>
      </c>
      <c r="C9" s="1" t="s">
        <v>43</v>
      </c>
      <c r="D9" s="1" t="s">
        <v>92</v>
      </c>
      <c r="E9" s="1" t="s">
        <v>43</v>
      </c>
      <c r="F9" s="1" t="s">
        <v>45</v>
      </c>
      <c r="G9" s="1">
        <v>67.1</v>
      </c>
      <c r="H9" s="1">
        <v>30.5</v>
      </c>
      <c r="I9" s="1">
        <v>63.7</v>
      </c>
      <c r="J9" s="1">
        <v>29.3</v>
      </c>
      <c r="K9" s="1">
        <v>55.3</v>
      </c>
      <c r="L9" s="1">
        <v>27.5</v>
      </c>
      <c r="M9" s="1">
        <v>4.1</v>
      </c>
      <c r="N9" s="1">
        <v>10.0</v>
      </c>
      <c r="O9" s="1">
        <v>4.0</v>
      </c>
      <c r="P9" s="1">
        <v>0.8</v>
      </c>
      <c r="Q9" s="1">
        <v>34.2</v>
      </c>
      <c r="R9" s="1">
        <v>40.3</v>
      </c>
      <c r="S9" s="1">
        <v>38.9</v>
      </c>
      <c r="T9" s="1" t="s">
        <v>48</v>
      </c>
      <c r="U9" s="1" t="s">
        <v>49</v>
      </c>
      <c r="V9" s="1" t="s">
        <v>95</v>
      </c>
      <c r="W9" s="1" t="s">
        <v>96</v>
      </c>
      <c r="X9" s="1">
        <v>1998.0</v>
      </c>
      <c r="Y9" s="1" t="s">
        <v>75</v>
      </c>
      <c r="Z9" s="1" t="s">
        <v>53</v>
      </c>
    </row>
    <row r="10">
      <c r="A10" s="1" t="s">
        <v>97</v>
      </c>
      <c r="B10" s="1" t="s">
        <v>98</v>
      </c>
      <c r="C10" s="1" t="s">
        <v>43</v>
      </c>
      <c r="D10" s="1" t="s">
        <v>100</v>
      </c>
      <c r="E10" s="1" t="s">
        <v>43</v>
      </c>
      <c r="F10" s="1" t="s">
        <v>45</v>
      </c>
      <c r="G10" s="1">
        <v>57.9</v>
      </c>
      <c r="H10" s="1">
        <v>39.4</v>
      </c>
      <c r="I10" s="1">
        <v>54.8</v>
      </c>
      <c r="J10" s="1">
        <v>38.0</v>
      </c>
      <c r="K10" s="1">
        <v>51.1</v>
      </c>
      <c r="L10" s="1">
        <v>20.3</v>
      </c>
      <c r="M10" s="1">
        <v>11.1</v>
      </c>
      <c r="N10" s="1">
        <v>14.7</v>
      </c>
      <c r="O10" s="1">
        <v>3.8</v>
      </c>
      <c r="P10" s="1">
        <v>1.5</v>
      </c>
      <c r="Q10" s="1">
        <v>28.8</v>
      </c>
      <c r="R10" s="1">
        <v>30.7</v>
      </c>
      <c r="S10" s="1">
        <v>39.9</v>
      </c>
      <c r="T10" s="1" t="s">
        <v>48</v>
      </c>
      <c r="U10" s="1" t="s">
        <v>49</v>
      </c>
      <c r="V10" s="1" t="s">
        <v>103</v>
      </c>
      <c r="W10" s="1" t="s">
        <v>104</v>
      </c>
      <c r="X10" s="1">
        <v>2012.0</v>
      </c>
      <c r="Y10" s="1" t="s">
        <v>105</v>
      </c>
      <c r="Z10" s="1" t="s">
        <v>53</v>
      </c>
    </row>
    <row r="11">
      <c r="A11" s="1" t="s">
        <v>106</v>
      </c>
      <c r="B11" s="1" t="s">
        <v>107</v>
      </c>
      <c r="C11" s="1" t="s">
        <v>43</v>
      </c>
      <c r="D11" s="1" t="s">
        <v>109</v>
      </c>
      <c r="E11" s="1" t="s">
        <v>43</v>
      </c>
      <c r="F11" s="1" t="s">
        <v>45</v>
      </c>
      <c r="G11" s="1">
        <v>67.4</v>
      </c>
      <c r="H11" s="1">
        <v>30.3</v>
      </c>
      <c r="I11" s="1">
        <v>66.3</v>
      </c>
      <c r="J11" s="1">
        <v>27.7</v>
      </c>
      <c r="K11" s="1">
        <v>35.0</v>
      </c>
      <c r="L11" s="1">
        <v>24.1</v>
      </c>
      <c r="M11" s="1">
        <v>12.4</v>
      </c>
      <c r="N11" s="1">
        <v>26.0</v>
      </c>
      <c r="O11" s="1">
        <v>3.5</v>
      </c>
      <c r="P11" s="1">
        <v>2.4</v>
      </c>
      <c r="Q11" s="1">
        <v>31.7</v>
      </c>
      <c r="R11" s="1">
        <v>40.5</v>
      </c>
      <c r="S11" s="1">
        <v>24.6</v>
      </c>
      <c r="T11" s="1" t="s">
        <v>48</v>
      </c>
      <c r="U11" s="1" t="s">
        <v>49</v>
      </c>
      <c r="V11" s="1" t="s">
        <v>110</v>
      </c>
      <c r="W11" s="1" t="s">
        <v>111</v>
      </c>
      <c r="X11" s="1" t="s">
        <v>112</v>
      </c>
      <c r="Y11" s="1" t="s">
        <v>113</v>
      </c>
      <c r="Z11" s="1" t="s">
        <v>53</v>
      </c>
    </row>
    <row r="12">
      <c r="A12" s="1" t="s">
        <v>114</v>
      </c>
      <c r="B12" s="1" t="s">
        <v>115</v>
      </c>
      <c r="C12" s="1" t="s">
        <v>43</v>
      </c>
      <c r="D12" s="1" t="s">
        <v>116</v>
      </c>
      <c r="E12" s="1" t="s">
        <v>43</v>
      </c>
      <c r="F12" s="1" t="s">
        <v>45</v>
      </c>
      <c r="G12" s="1">
        <v>76.0</v>
      </c>
      <c r="H12" s="1">
        <v>22.0</v>
      </c>
      <c r="I12" s="1">
        <v>75.3</v>
      </c>
      <c r="J12" s="1">
        <v>19.4</v>
      </c>
      <c r="K12" s="1">
        <v>26.9</v>
      </c>
      <c r="L12" s="1">
        <v>31.5</v>
      </c>
      <c r="M12" s="1">
        <v>17.7</v>
      </c>
      <c r="N12" s="1">
        <v>22.4</v>
      </c>
      <c r="O12" s="1">
        <v>3.6</v>
      </c>
      <c r="P12" s="1">
        <v>1.6</v>
      </c>
      <c r="Q12" s="1">
        <v>28.6</v>
      </c>
      <c r="R12" s="1">
        <v>37.1</v>
      </c>
      <c r="S12" s="1">
        <v>21.5</v>
      </c>
      <c r="T12" s="1" t="s">
        <v>48</v>
      </c>
      <c r="U12" s="1" t="s">
        <v>49</v>
      </c>
      <c r="V12" s="1" t="s">
        <v>120</v>
      </c>
      <c r="W12" s="1" t="s">
        <v>121</v>
      </c>
      <c r="X12" s="1" t="s">
        <v>123</v>
      </c>
      <c r="Y12" s="1" t="s">
        <v>75</v>
      </c>
      <c r="Z12" s="1" t="s">
        <v>53</v>
      </c>
    </row>
    <row r="13">
      <c r="A13" s="1" t="s">
        <v>124</v>
      </c>
      <c r="B13" s="1" t="s">
        <v>125</v>
      </c>
      <c r="C13" s="1" t="s">
        <v>43</v>
      </c>
      <c r="D13" s="1" t="s">
        <v>126</v>
      </c>
      <c r="E13" s="1" t="s">
        <v>43</v>
      </c>
      <c r="F13" s="1" t="s">
        <v>45</v>
      </c>
      <c r="G13" s="1">
        <v>68.6</v>
      </c>
      <c r="H13" s="1">
        <v>29.3</v>
      </c>
      <c r="I13" s="1">
        <v>65.1</v>
      </c>
      <c r="J13" s="1">
        <v>28.9</v>
      </c>
      <c r="K13" s="1">
        <v>51.3</v>
      </c>
      <c r="L13" s="1">
        <v>16.7</v>
      </c>
      <c r="M13" s="1">
        <v>5.8</v>
      </c>
      <c r="N13" s="1">
        <v>24.5</v>
      </c>
      <c r="O13" s="1">
        <v>2.3</v>
      </c>
      <c r="P13" s="1">
        <v>0.9</v>
      </c>
      <c r="Q13" s="1">
        <v>53.8</v>
      </c>
      <c r="R13" s="1">
        <v>55.6</v>
      </c>
      <c r="S13" s="1">
        <v>26.9</v>
      </c>
      <c r="T13" s="1" t="s">
        <v>48</v>
      </c>
      <c r="U13" s="1" t="s">
        <v>49</v>
      </c>
      <c r="V13" s="1" t="s">
        <v>127</v>
      </c>
      <c r="W13" s="1" t="s">
        <v>129</v>
      </c>
      <c r="X13" s="1">
        <v>2014.0</v>
      </c>
      <c r="Y13" s="1" t="s">
        <v>75</v>
      </c>
      <c r="Z13" s="1" t="s">
        <v>53</v>
      </c>
    </row>
    <row r="14">
      <c r="A14" s="1" t="s">
        <v>131</v>
      </c>
      <c r="B14" s="1" t="s">
        <v>132</v>
      </c>
      <c r="C14" s="1" t="s">
        <v>43</v>
      </c>
      <c r="D14" s="1" t="s">
        <v>133</v>
      </c>
      <c r="E14" s="1" t="s">
        <v>43</v>
      </c>
      <c r="F14" s="1" t="s">
        <v>45</v>
      </c>
      <c r="G14" s="1">
        <v>86.3</v>
      </c>
      <c r="H14" s="1">
        <v>11.7</v>
      </c>
      <c r="I14" s="1">
        <v>86.0</v>
      </c>
      <c r="J14" s="1">
        <v>8.9</v>
      </c>
      <c r="K14" s="1">
        <v>44.6</v>
      </c>
      <c r="L14" s="1">
        <v>13.2</v>
      </c>
      <c r="M14" s="1">
        <v>6.6</v>
      </c>
      <c r="N14" s="1">
        <v>34.2</v>
      </c>
      <c r="O14" s="1">
        <v>1.9</v>
      </c>
      <c r="P14" s="1">
        <v>0.7</v>
      </c>
      <c r="Q14" s="1">
        <v>63.4</v>
      </c>
      <c r="R14" s="1">
        <v>78.3</v>
      </c>
      <c r="S14" s="1">
        <v>10.8</v>
      </c>
      <c r="T14" s="1" t="s">
        <v>48</v>
      </c>
      <c r="U14" s="1" t="s">
        <v>49</v>
      </c>
      <c r="V14" s="1" t="s">
        <v>136</v>
      </c>
      <c r="W14" s="1" t="s">
        <v>137</v>
      </c>
      <c r="X14" s="1" t="s">
        <v>138</v>
      </c>
      <c r="Y14" s="1" t="s">
        <v>75</v>
      </c>
      <c r="Z14" s="1" t="s">
        <v>53</v>
      </c>
    </row>
    <row r="15">
      <c r="A15" s="1" t="s">
        <v>139</v>
      </c>
      <c r="B15" s="1" t="s">
        <v>140</v>
      </c>
      <c r="C15" s="1" t="s">
        <v>43</v>
      </c>
      <c r="D15" s="1" t="s">
        <v>141</v>
      </c>
      <c r="E15" s="1" t="s">
        <v>43</v>
      </c>
      <c r="F15" s="1" t="s">
        <v>45</v>
      </c>
      <c r="G15" s="1">
        <v>89.3</v>
      </c>
      <c r="H15" s="1">
        <v>8.6</v>
      </c>
      <c r="I15" s="1">
        <v>87.6</v>
      </c>
      <c r="J15" s="1">
        <v>6.5</v>
      </c>
      <c r="K15" s="1">
        <v>35.2</v>
      </c>
      <c r="L15" s="1">
        <v>21.2</v>
      </c>
      <c r="M15" s="1">
        <v>18.0</v>
      </c>
      <c r="N15" s="1">
        <v>24.6</v>
      </c>
      <c r="O15" s="1">
        <v>3.1</v>
      </c>
      <c r="P15" s="1">
        <v>0.9</v>
      </c>
      <c r="Q15" s="1">
        <v>51.8</v>
      </c>
      <c r="R15" s="1">
        <v>73.7</v>
      </c>
      <c r="S15" s="1">
        <v>11.0</v>
      </c>
      <c r="T15" s="1" t="s">
        <v>48</v>
      </c>
      <c r="U15" s="1" t="s">
        <v>49</v>
      </c>
      <c r="V15" s="1" t="s">
        <v>143</v>
      </c>
      <c r="W15" s="1" t="s">
        <v>144</v>
      </c>
      <c r="X15" s="1" t="s">
        <v>145</v>
      </c>
      <c r="Y15" s="1" t="s">
        <v>28</v>
      </c>
      <c r="Z15" s="1" t="s">
        <v>53</v>
      </c>
    </row>
    <row r="16">
      <c r="A16" s="1" t="s">
        <v>148</v>
      </c>
      <c r="B16" s="1" t="s">
        <v>149</v>
      </c>
      <c r="C16" s="1" t="s">
        <v>43</v>
      </c>
      <c r="D16" s="1" t="s">
        <v>150</v>
      </c>
      <c r="E16" s="1" t="s">
        <v>43</v>
      </c>
      <c r="F16" s="1" t="s">
        <v>45</v>
      </c>
      <c r="G16" s="1">
        <v>71.7</v>
      </c>
      <c r="H16" s="1">
        <v>26.2</v>
      </c>
      <c r="I16" s="1">
        <v>70.6</v>
      </c>
      <c r="J16" s="1">
        <v>23.5</v>
      </c>
      <c r="K16" s="1">
        <v>28.2</v>
      </c>
      <c r="L16" s="1">
        <v>22.8</v>
      </c>
      <c r="M16" s="1">
        <v>6.6</v>
      </c>
      <c r="N16" s="1">
        <v>40.8</v>
      </c>
      <c r="O16" s="1">
        <v>2.6</v>
      </c>
      <c r="P16" s="1">
        <v>1.9</v>
      </c>
      <c r="Q16" s="1">
        <v>44.0</v>
      </c>
      <c r="R16" s="1">
        <v>44.5</v>
      </c>
      <c r="S16" s="1">
        <v>20.8</v>
      </c>
      <c r="T16" s="1" t="s">
        <v>48</v>
      </c>
      <c r="U16" s="1" t="s">
        <v>49</v>
      </c>
      <c r="V16" s="1" t="s">
        <v>151</v>
      </c>
      <c r="W16" s="1" t="s">
        <v>153</v>
      </c>
      <c r="X16" s="1">
        <v>2012.0</v>
      </c>
      <c r="Y16" s="1" t="s">
        <v>75</v>
      </c>
      <c r="Z16" s="1" t="s">
        <v>53</v>
      </c>
    </row>
    <row r="17">
      <c r="A17" s="1" t="s">
        <v>155</v>
      </c>
      <c r="B17" s="1" t="s">
        <v>157</v>
      </c>
      <c r="C17" s="1" t="s">
        <v>43</v>
      </c>
      <c r="D17" s="1" t="s">
        <v>158</v>
      </c>
      <c r="E17" s="1" t="s">
        <v>43</v>
      </c>
      <c r="F17" s="1" t="s">
        <v>45</v>
      </c>
      <c r="G17" s="1">
        <v>77.7</v>
      </c>
      <c r="H17" s="1">
        <v>20.4</v>
      </c>
      <c r="I17" s="1">
        <v>77.3</v>
      </c>
      <c r="J17" s="1">
        <v>17.9</v>
      </c>
      <c r="K17" s="1">
        <v>30.2</v>
      </c>
      <c r="L17" s="1">
        <v>24.6</v>
      </c>
      <c r="M17" s="1">
        <v>3.7</v>
      </c>
      <c r="N17" s="1">
        <v>39.6</v>
      </c>
      <c r="O17" s="1">
        <v>2.2</v>
      </c>
      <c r="P17" s="1">
        <v>1.8</v>
      </c>
      <c r="Q17" s="1">
        <v>46.7</v>
      </c>
      <c r="R17" s="1">
        <v>59.3</v>
      </c>
      <c r="S17" s="1">
        <v>14.9</v>
      </c>
      <c r="T17" s="1" t="s">
        <v>48</v>
      </c>
      <c r="U17" s="1" t="s">
        <v>159</v>
      </c>
      <c r="V17" s="1" t="s">
        <v>160</v>
      </c>
      <c r="W17" s="1" t="s">
        <v>162</v>
      </c>
      <c r="Y17" s="1" t="s">
        <v>75</v>
      </c>
      <c r="Z17" s="1" t="s">
        <v>53</v>
      </c>
    </row>
    <row r="18">
      <c r="A18" s="1" t="s">
        <v>163</v>
      </c>
      <c r="B18" s="1" t="s">
        <v>164</v>
      </c>
      <c r="C18" s="1" t="s">
        <v>43</v>
      </c>
      <c r="D18" s="1" t="s">
        <v>165</v>
      </c>
      <c r="E18" s="1" t="s">
        <v>43</v>
      </c>
      <c r="F18" s="1" t="s">
        <v>45</v>
      </c>
      <c r="G18" s="1">
        <v>75.4</v>
      </c>
      <c r="H18" s="1">
        <v>22.4</v>
      </c>
      <c r="I18" s="1">
        <v>74.4</v>
      </c>
      <c r="J18" s="1">
        <v>19.6</v>
      </c>
      <c r="K18" s="1">
        <v>46.3</v>
      </c>
      <c r="L18" s="1">
        <v>17.4</v>
      </c>
      <c r="M18" s="1">
        <v>2.8</v>
      </c>
      <c r="N18" s="1">
        <v>32.1</v>
      </c>
      <c r="O18" s="1">
        <v>2.0</v>
      </c>
      <c r="P18" s="1">
        <v>0.7</v>
      </c>
      <c r="Q18" s="1">
        <v>60.1</v>
      </c>
      <c r="R18" s="1">
        <v>68.1</v>
      </c>
      <c r="S18" s="1">
        <v>17.7</v>
      </c>
      <c r="T18" s="1" t="s">
        <v>48</v>
      </c>
      <c r="U18" s="1" t="s">
        <v>49</v>
      </c>
      <c r="V18" s="1" t="s">
        <v>168</v>
      </c>
      <c r="W18" s="1" t="s">
        <v>169</v>
      </c>
      <c r="X18" s="1">
        <v>1992.0</v>
      </c>
      <c r="Y18" s="1" t="s">
        <v>171</v>
      </c>
      <c r="Z18" s="1" t="s">
        <v>53</v>
      </c>
    </row>
    <row r="19">
      <c r="A19" s="1" t="s">
        <v>172</v>
      </c>
      <c r="B19" s="1" t="s">
        <v>173</v>
      </c>
      <c r="C19" s="1" t="s">
        <v>43</v>
      </c>
      <c r="D19" s="1" t="s">
        <v>174</v>
      </c>
      <c r="E19" s="1" t="s">
        <v>43</v>
      </c>
      <c r="F19" s="1" t="s">
        <v>45</v>
      </c>
      <c r="G19" s="1">
        <v>72.7</v>
      </c>
      <c r="H19" s="1">
        <v>25.3</v>
      </c>
      <c r="I19" s="1">
        <v>74.1</v>
      </c>
      <c r="J19" s="1">
        <v>20.2</v>
      </c>
      <c r="K19" s="1">
        <v>22.8</v>
      </c>
      <c r="L19" s="1">
        <v>15.1</v>
      </c>
      <c r="M19" s="1">
        <v>2.7</v>
      </c>
      <c r="N19" s="1">
        <v>58.5</v>
      </c>
      <c r="O19" s="1">
        <v>1.6</v>
      </c>
      <c r="P19" s="1">
        <v>0.8</v>
      </c>
      <c r="Q19" s="1">
        <v>59.8</v>
      </c>
      <c r="R19" s="1">
        <v>56.5</v>
      </c>
      <c r="S19" s="1">
        <v>14.1</v>
      </c>
      <c r="T19" s="1" t="s">
        <v>48</v>
      </c>
      <c r="U19" s="1" t="s">
        <v>49</v>
      </c>
      <c r="V19" s="1" t="s">
        <v>176</v>
      </c>
      <c r="W19" s="1" t="s">
        <v>178</v>
      </c>
      <c r="X19" s="1">
        <v>2016.0</v>
      </c>
      <c r="Y19" s="1" t="s">
        <v>105</v>
      </c>
      <c r="Z19" s="1" t="s">
        <v>53</v>
      </c>
    </row>
    <row r="20">
      <c r="A20" s="1" t="s">
        <v>179</v>
      </c>
      <c r="B20" s="1" t="s">
        <v>181</v>
      </c>
      <c r="C20" s="1" t="s">
        <v>43</v>
      </c>
      <c r="D20" s="1" t="s">
        <v>182</v>
      </c>
      <c r="E20" s="1" t="s">
        <v>43</v>
      </c>
      <c r="F20" s="1" t="s">
        <v>45</v>
      </c>
      <c r="G20" s="1">
        <v>71.0</v>
      </c>
      <c r="H20" s="1">
        <v>26.9</v>
      </c>
      <c r="I20" s="1">
        <v>71.5</v>
      </c>
      <c r="J20" s="1">
        <v>22.7</v>
      </c>
      <c r="K20" s="1">
        <v>21.3</v>
      </c>
      <c r="L20" s="1">
        <v>60.8</v>
      </c>
      <c r="M20" s="1">
        <v>3.0</v>
      </c>
      <c r="N20" s="1">
        <v>14.3</v>
      </c>
      <c r="O20" s="1">
        <v>4.9</v>
      </c>
      <c r="P20" s="1">
        <v>0.7</v>
      </c>
      <c r="Q20" s="1">
        <v>23.1</v>
      </c>
      <c r="R20" s="1">
        <v>39.5</v>
      </c>
      <c r="S20" s="1">
        <v>18.3</v>
      </c>
      <c r="T20" s="1" t="s">
        <v>48</v>
      </c>
      <c r="U20" s="1" t="s">
        <v>49</v>
      </c>
      <c r="V20" s="1" t="s">
        <v>183</v>
      </c>
      <c r="W20" s="1" t="s">
        <v>184</v>
      </c>
      <c r="X20" s="1">
        <v>1994.0</v>
      </c>
      <c r="Y20" s="1" t="s">
        <v>75</v>
      </c>
      <c r="Z20" s="1" t="s">
        <v>53</v>
      </c>
    </row>
    <row r="21">
      <c r="A21" s="1" t="s">
        <v>186</v>
      </c>
      <c r="B21" s="1" t="s">
        <v>187</v>
      </c>
      <c r="C21" s="1" t="s">
        <v>43</v>
      </c>
      <c r="D21" s="1" t="s">
        <v>188</v>
      </c>
      <c r="E21" s="1" t="s">
        <v>43</v>
      </c>
      <c r="F21" s="1" t="s">
        <v>45</v>
      </c>
      <c r="G21" s="1">
        <v>68.7</v>
      </c>
      <c r="H21" s="1">
        <v>29.1</v>
      </c>
      <c r="I21" s="1">
        <v>66.4</v>
      </c>
      <c r="J21" s="1">
        <v>27.0</v>
      </c>
      <c r="K21" s="1">
        <v>51.7</v>
      </c>
      <c r="L21" s="1">
        <v>22.0</v>
      </c>
      <c r="M21" s="1">
        <v>3.2</v>
      </c>
      <c r="N21" s="1">
        <v>20.9</v>
      </c>
      <c r="O21" s="1">
        <v>3.1</v>
      </c>
      <c r="P21" s="1">
        <v>0.8</v>
      </c>
      <c r="Q21" s="1">
        <v>45.2</v>
      </c>
      <c r="R21" s="1">
        <v>50.0</v>
      </c>
      <c r="S21" s="1">
        <v>30.0</v>
      </c>
      <c r="T21" s="1" t="s">
        <v>48</v>
      </c>
      <c r="U21" s="1" t="s">
        <v>49</v>
      </c>
      <c r="V21" s="1" t="s">
        <v>191</v>
      </c>
      <c r="W21" s="1" t="s">
        <v>192</v>
      </c>
      <c r="X21" s="1">
        <v>2016.0</v>
      </c>
      <c r="Y21" s="1" t="s">
        <v>75</v>
      </c>
      <c r="Z21" s="1" t="s">
        <v>53</v>
      </c>
    </row>
    <row r="22">
      <c r="A22" s="1" t="s">
        <v>194</v>
      </c>
      <c r="B22" s="1" t="s">
        <v>195</v>
      </c>
      <c r="C22" s="1" t="s">
        <v>43</v>
      </c>
      <c r="D22" s="1" t="s">
        <v>196</v>
      </c>
      <c r="E22" s="1" t="s">
        <v>43</v>
      </c>
      <c r="F22" s="1" t="s">
        <v>45</v>
      </c>
      <c r="G22" s="1">
        <v>63.3</v>
      </c>
      <c r="H22" s="1">
        <v>34.3</v>
      </c>
      <c r="I22" s="1">
        <v>59.1</v>
      </c>
      <c r="J22" s="1">
        <v>34.0</v>
      </c>
      <c r="K22" s="1">
        <v>54.2</v>
      </c>
      <c r="L22" s="1">
        <v>33.9</v>
      </c>
      <c r="M22" s="1">
        <v>2.6</v>
      </c>
      <c r="N22" s="1">
        <v>7.3</v>
      </c>
      <c r="O22" s="1">
        <v>3.8</v>
      </c>
      <c r="P22" s="1">
        <v>0.5</v>
      </c>
      <c r="Q22" s="1">
        <v>36.8</v>
      </c>
      <c r="R22" s="1">
        <v>47.7</v>
      </c>
      <c r="S22" s="1">
        <v>33.6</v>
      </c>
      <c r="T22" s="1" t="s">
        <v>48</v>
      </c>
      <c r="U22" s="1" t="s">
        <v>49</v>
      </c>
      <c r="V22" s="1" t="s">
        <v>200</v>
      </c>
      <c r="W22" s="1" t="s">
        <v>201</v>
      </c>
      <c r="X22" s="1">
        <v>2016.0</v>
      </c>
      <c r="Y22" s="1" t="s">
        <v>83</v>
      </c>
      <c r="Z22" s="1" t="s">
        <v>53</v>
      </c>
    </row>
    <row r="23">
      <c r="A23" s="1" t="s">
        <v>202</v>
      </c>
      <c r="B23" s="1" t="s">
        <v>203</v>
      </c>
      <c r="C23" s="1" t="s">
        <v>43</v>
      </c>
      <c r="D23" s="1" t="s">
        <v>204</v>
      </c>
      <c r="E23" s="1" t="s">
        <v>43</v>
      </c>
      <c r="F23" s="1" t="s">
        <v>45</v>
      </c>
      <c r="G23" s="1">
        <v>56.7</v>
      </c>
      <c r="H23" s="1">
        <v>41.4</v>
      </c>
      <c r="I23" s="1">
        <v>56.3</v>
      </c>
      <c r="J23" s="1">
        <v>38.9</v>
      </c>
      <c r="K23" s="1">
        <v>28.4</v>
      </c>
      <c r="L23" s="1">
        <v>60.4</v>
      </c>
      <c r="M23" s="1">
        <v>5.6</v>
      </c>
      <c r="N23" s="1">
        <v>4.2</v>
      </c>
      <c r="O23" s="1">
        <v>4.3</v>
      </c>
      <c r="P23" s="1">
        <v>0.4</v>
      </c>
      <c r="Q23" s="1">
        <v>15.9</v>
      </c>
      <c r="R23" s="1">
        <v>24.1</v>
      </c>
      <c r="S23" s="1">
        <v>26.9</v>
      </c>
      <c r="T23" s="1" t="s">
        <v>48</v>
      </c>
      <c r="U23" s="1" t="s">
        <v>49</v>
      </c>
      <c r="V23" s="1" t="s">
        <v>207</v>
      </c>
      <c r="W23" s="1" t="s">
        <v>208</v>
      </c>
      <c r="X23" s="1">
        <v>2012.0</v>
      </c>
      <c r="Y23" s="1" t="s">
        <v>83</v>
      </c>
      <c r="Z23" s="1" t="s">
        <v>53</v>
      </c>
    </row>
    <row r="24">
      <c r="A24" s="1" t="s">
        <v>210</v>
      </c>
      <c r="B24" s="1" t="s">
        <v>212</v>
      </c>
      <c r="C24" s="1" t="s">
        <v>43</v>
      </c>
      <c r="D24" s="1" t="s">
        <v>213</v>
      </c>
      <c r="E24" s="1" t="s">
        <v>43</v>
      </c>
      <c r="F24" s="1" t="s">
        <v>45</v>
      </c>
      <c r="G24" s="1">
        <v>58.9</v>
      </c>
      <c r="H24" s="1">
        <v>39.0</v>
      </c>
      <c r="I24" s="1">
        <v>55.7</v>
      </c>
      <c r="J24" s="1">
        <v>38.4</v>
      </c>
      <c r="K24" s="1">
        <v>46.2</v>
      </c>
      <c r="L24" s="1">
        <v>39.1</v>
      </c>
      <c r="M24" s="1">
        <v>2.7</v>
      </c>
      <c r="N24" s="1">
        <v>10.6</v>
      </c>
      <c r="O24" s="1">
        <v>3.4</v>
      </c>
      <c r="P24" s="1">
        <v>0.5</v>
      </c>
      <c r="Q24" s="1">
        <v>35.4</v>
      </c>
      <c r="R24" s="1">
        <v>46.3</v>
      </c>
      <c r="S24" s="1">
        <v>29.6</v>
      </c>
      <c r="T24" s="1" t="s">
        <v>48</v>
      </c>
      <c r="U24" s="1" t="s">
        <v>49</v>
      </c>
      <c r="V24" s="1" t="s">
        <v>215</v>
      </c>
      <c r="W24" s="1" t="s">
        <v>216</v>
      </c>
      <c r="X24" s="1">
        <v>2012.0</v>
      </c>
      <c r="Y24" s="1" t="s">
        <v>75</v>
      </c>
      <c r="Z24" s="1" t="s">
        <v>53</v>
      </c>
    </row>
    <row r="25">
      <c r="A25" s="1" t="s">
        <v>218</v>
      </c>
      <c r="B25" s="1" t="s">
        <v>219</v>
      </c>
      <c r="C25" s="1" t="s">
        <v>43</v>
      </c>
      <c r="D25" s="1" t="s">
        <v>220</v>
      </c>
      <c r="E25" s="1" t="s">
        <v>43</v>
      </c>
      <c r="F25" s="1" t="s">
        <v>45</v>
      </c>
      <c r="G25" s="1">
        <v>66.1</v>
      </c>
      <c r="H25" s="1">
        <v>31.9</v>
      </c>
      <c r="I25" s="1">
        <v>64.4</v>
      </c>
      <c r="J25" s="1">
        <v>29.9</v>
      </c>
      <c r="K25" s="1">
        <v>28.9</v>
      </c>
      <c r="L25" s="1">
        <v>24.7</v>
      </c>
      <c r="M25" s="1">
        <v>4.8</v>
      </c>
      <c r="N25" s="1">
        <v>41.4</v>
      </c>
      <c r="O25" s="1">
        <v>2.3</v>
      </c>
      <c r="P25" s="1">
        <v>0.4</v>
      </c>
      <c r="Q25" s="1">
        <v>45.4</v>
      </c>
      <c r="R25" s="1">
        <v>56.0</v>
      </c>
      <c r="S25" s="1">
        <v>15.0</v>
      </c>
      <c r="T25" s="1" t="s">
        <v>48</v>
      </c>
      <c r="U25" s="1" t="s">
        <v>49</v>
      </c>
      <c r="V25" s="1" t="s">
        <v>223</v>
      </c>
      <c r="W25" s="1" t="s">
        <v>224</v>
      </c>
      <c r="X25" s="1" t="s">
        <v>123</v>
      </c>
      <c r="Y25" s="1" t="s">
        <v>225</v>
      </c>
      <c r="Z25" s="1" t="s">
        <v>53</v>
      </c>
    </row>
    <row r="26">
      <c r="A26" s="1" t="s">
        <v>226</v>
      </c>
      <c r="B26" s="1" t="s">
        <v>227</v>
      </c>
      <c r="C26" s="1" t="s">
        <v>43</v>
      </c>
      <c r="D26" s="1" t="s">
        <v>228</v>
      </c>
      <c r="E26" s="1" t="s">
        <v>43</v>
      </c>
      <c r="F26" s="1" t="s">
        <v>45</v>
      </c>
      <c r="G26" s="1">
        <v>74.5</v>
      </c>
      <c r="H26" s="1">
        <v>23.2</v>
      </c>
      <c r="I26" s="1">
        <v>77.9</v>
      </c>
      <c r="J26" s="1">
        <v>16.6</v>
      </c>
      <c r="K26" s="1">
        <v>23.6</v>
      </c>
      <c r="L26" s="1">
        <v>61.1</v>
      </c>
      <c r="M26" s="1">
        <v>5.2</v>
      </c>
      <c r="N26" s="1">
        <v>9.8</v>
      </c>
      <c r="O26" s="1">
        <v>3.7</v>
      </c>
      <c r="P26" s="1">
        <v>0.3</v>
      </c>
      <c r="Q26" s="1">
        <v>23.2</v>
      </c>
      <c r="R26" s="1">
        <v>41.1</v>
      </c>
      <c r="S26" s="1">
        <v>17.2</v>
      </c>
      <c r="T26" s="1" t="s">
        <v>48</v>
      </c>
      <c r="U26" s="1" t="s">
        <v>49</v>
      </c>
      <c r="V26" s="1" t="s">
        <v>232</v>
      </c>
      <c r="W26" s="1" t="s">
        <v>233</v>
      </c>
      <c r="X26" s="1">
        <v>2012.0</v>
      </c>
      <c r="Y26" s="1" t="s">
        <v>83</v>
      </c>
      <c r="Z26" s="1" t="s">
        <v>53</v>
      </c>
    </row>
    <row r="27">
      <c r="A27" s="1" t="s">
        <v>235</v>
      </c>
      <c r="B27" s="1" t="s">
        <v>236</v>
      </c>
      <c r="C27" s="1" t="s">
        <v>43</v>
      </c>
      <c r="D27" s="1" t="s">
        <v>237</v>
      </c>
      <c r="E27" s="1" t="s">
        <v>43</v>
      </c>
      <c r="F27" s="1" t="s">
        <v>45</v>
      </c>
      <c r="G27" s="1">
        <v>72.2</v>
      </c>
      <c r="H27" s="1">
        <v>26.0</v>
      </c>
      <c r="I27" s="1">
        <v>73.8</v>
      </c>
      <c r="J27" s="1">
        <v>20.8</v>
      </c>
      <c r="K27" s="1">
        <v>57.1</v>
      </c>
      <c r="L27" s="1">
        <v>21.9</v>
      </c>
      <c r="M27" s="1">
        <v>4.9</v>
      </c>
      <c r="N27" s="1">
        <v>15.1</v>
      </c>
      <c r="O27" s="1">
        <v>2.1</v>
      </c>
      <c r="P27" s="1">
        <v>0.3</v>
      </c>
      <c r="Q27" s="1">
        <v>48.1</v>
      </c>
      <c r="R27" s="1">
        <v>52.9</v>
      </c>
      <c r="S27" s="1">
        <v>28.7</v>
      </c>
      <c r="T27" s="1" t="s">
        <v>48</v>
      </c>
      <c r="U27" s="1" t="s">
        <v>49</v>
      </c>
      <c r="V27" s="1" t="s">
        <v>240</v>
      </c>
      <c r="W27" s="1" t="s">
        <v>241</v>
      </c>
      <c r="X27" s="1">
        <v>2000.0</v>
      </c>
      <c r="Y27" s="1" t="s">
        <v>75</v>
      </c>
      <c r="Z27" s="1" t="s">
        <v>53</v>
      </c>
    </row>
    <row r="28">
      <c r="A28" s="1" t="s">
        <v>242</v>
      </c>
      <c r="B28" s="1" t="s">
        <v>244</v>
      </c>
      <c r="C28" s="1" t="s">
        <v>43</v>
      </c>
      <c r="D28" s="1" t="s">
        <v>246</v>
      </c>
      <c r="E28" s="1" t="s">
        <v>43</v>
      </c>
      <c r="F28" s="1" t="s">
        <v>45</v>
      </c>
      <c r="G28" s="1">
        <v>64.5</v>
      </c>
      <c r="H28" s="1">
        <v>33.4</v>
      </c>
      <c r="I28" s="1">
        <v>65.7</v>
      </c>
      <c r="J28" s="1">
        <v>28.5</v>
      </c>
      <c r="K28" s="1">
        <v>16.7</v>
      </c>
      <c r="L28" s="1">
        <v>57.4</v>
      </c>
      <c r="M28" s="1">
        <v>3.3</v>
      </c>
      <c r="N28" s="1">
        <v>22.5</v>
      </c>
      <c r="O28" s="1">
        <v>3.7</v>
      </c>
      <c r="P28" s="1">
        <v>0.4</v>
      </c>
      <c r="Q28" s="1">
        <v>23.6</v>
      </c>
      <c r="R28" s="1">
        <v>33.9</v>
      </c>
      <c r="S28" s="1">
        <v>13.6</v>
      </c>
      <c r="T28" s="1" t="s">
        <v>48</v>
      </c>
      <c r="U28" s="1" t="s">
        <v>49</v>
      </c>
      <c r="V28" s="1" t="s">
        <v>248</v>
      </c>
      <c r="W28" s="1" t="s">
        <v>249</v>
      </c>
      <c r="X28" s="1">
        <v>1998.0</v>
      </c>
      <c r="Y28" s="1" t="s">
        <v>83</v>
      </c>
      <c r="Z28" s="1" t="s">
        <v>53</v>
      </c>
    </row>
    <row r="29">
      <c r="A29" s="1" t="s">
        <v>252</v>
      </c>
      <c r="B29" s="1" t="s">
        <v>253</v>
      </c>
      <c r="C29" s="1" t="s">
        <v>43</v>
      </c>
      <c r="D29" s="1" t="s">
        <v>254</v>
      </c>
      <c r="E29" s="1" t="s">
        <v>43</v>
      </c>
      <c r="F29" s="1" t="s">
        <v>45</v>
      </c>
      <c r="G29" s="1">
        <v>69.5</v>
      </c>
      <c r="H29" s="1">
        <v>28.7</v>
      </c>
      <c r="I29" s="1">
        <v>70.0</v>
      </c>
      <c r="J29" s="1">
        <v>24.9</v>
      </c>
      <c r="K29" s="1">
        <v>54.8</v>
      </c>
      <c r="L29" s="1">
        <v>23.5</v>
      </c>
      <c r="M29" s="1">
        <v>5.6</v>
      </c>
      <c r="N29" s="1">
        <v>15.1</v>
      </c>
      <c r="O29" s="1">
        <v>2.0</v>
      </c>
      <c r="P29" s="1">
        <v>0.4</v>
      </c>
      <c r="Q29" s="1">
        <v>50.0</v>
      </c>
      <c r="R29" s="1">
        <v>58.4</v>
      </c>
      <c r="S29" s="1">
        <v>25.4</v>
      </c>
      <c r="T29" s="1" t="s">
        <v>48</v>
      </c>
      <c r="U29" s="1" t="s">
        <v>49</v>
      </c>
      <c r="V29" s="1" t="s">
        <v>258</v>
      </c>
      <c r="W29" s="1" t="s">
        <v>259</v>
      </c>
      <c r="X29" s="1">
        <v>1996.0</v>
      </c>
      <c r="Y29" s="1" t="s">
        <v>75</v>
      </c>
      <c r="Z29" s="1" t="s">
        <v>53</v>
      </c>
    </row>
    <row r="30">
      <c r="A30" s="1" t="s">
        <v>261</v>
      </c>
      <c r="B30" s="1" t="s">
        <v>262</v>
      </c>
      <c r="C30" s="1" t="s">
        <v>43</v>
      </c>
      <c r="D30" s="1" t="s">
        <v>263</v>
      </c>
      <c r="E30" s="1" t="s">
        <v>43</v>
      </c>
      <c r="F30" s="1" t="s">
        <v>45</v>
      </c>
      <c r="G30" s="1">
        <v>61.5</v>
      </c>
      <c r="H30" s="1">
        <v>36.2</v>
      </c>
      <c r="I30" s="1">
        <v>62.2</v>
      </c>
      <c r="J30" s="1">
        <v>32.3</v>
      </c>
      <c r="K30" s="1">
        <v>20.1</v>
      </c>
      <c r="L30" s="1">
        <v>58.7</v>
      </c>
      <c r="M30" s="1">
        <v>11.9</v>
      </c>
      <c r="N30" s="1">
        <v>8.9</v>
      </c>
      <c r="O30" s="1">
        <v>3.9</v>
      </c>
      <c r="P30" s="1">
        <v>0.6</v>
      </c>
      <c r="Q30" s="1">
        <v>19.9</v>
      </c>
      <c r="R30" s="1">
        <v>28.3</v>
      </c>
      <c r="S30" s="1">
        <v>18.3</v>
      </c>
      <c r="T30" s="1" t="s">
        <v>48</v>
      </c>
      <c r="U30" s="1" t="s">
        <v>49</v>
      </c>
      <c r="V30" s="1" t="s">
        <v>266</v>
      </c>
      <c r="W30" s="1" t="s">
        <v>268</v>
      </c>
      <c r="X30" s="1">
        <v>2014.0</v>
      </c>
      <c r="Y30" s="1" t="s">
        <v>83</v>
      </c>
      <c r="Z30" s="1" t="s">
        <v>53</v>
      </c>
    </row>
    <row r="31">
      <c r="A31" s="1" t="s">
        <v>270</v>
      </c>
      <c r="B31" s="1" t="s">
        <v>271</v>
      </c>
      <c r="C31" s="1" t="s">
        <v>43</v>
      </c>
      <c r="D31" s="1" t="s">
        <v>272</v>
      </c>
      <c r="E31" s="1" t="s">
        <v>43</v>
      </c>
      <c r="F31" s="1" t="s">
        <v>45</v>
      </c>
      <c r="G31" s="1">
        <v>62.7</v>
      </c>
      <c r="H31" s="1">
        <v>35.1</v>
      </c>
      <c r="I31" s="1">
        <v>64.6</v>
      </c>
      <c r="J31" s="1">
        <v>30.0</v>
      </c>
      <c r="K31" s="1">
        <v>17.0</v>
      </c>
      <c r="L31" s="1">
        <v>61.2</v>
      </c>
      <c r="M31" s="1">
        <v>7.6</v>
      </c>
      <c r="N31" s="1">
        <v>13.9</v>
      </c>
      <c r="O31" s="1">
        <v>3.9</v>
      </c>
      <c r="P31" s="1">
        <v>0.5</v>
      </c>
      <c r="Q31" s="1">
        <v>20.7</v>
      </c>
      <c r="R31" s="1">
        <v>27.8</v>
      </c>
      <c r="S31" s="1">
        <v>16.4</v>
      </c>
      <c r="T31" s="1" t="s">
        <v>48</v>
      </c>
      <c r="U31" s="1" t="s">
        <v>49</v>
      </c>
      <c r="V31" s="1" t="s">
        <v>275</v>
      </c>
      <c r="W31" s="1" t="s">
        <v>276</v>
      </c>
      <c r="X31" s="1">
        <v>2014.0</v>
      </c>
      <c r="Y31" s="1" t="s">
        <v>277</v>
      </c>
      <c r="Z31" s="1" t="s">
        <v>53</v>
      </c>
    </row>
    <row r="32">
      <c r="A32" s="1" t="s">
        <v>280</v>
      </c>
      <c r="B32" s="1" t="s">
        <v>281</v>
      </c>
      <c r="C32" s="1" t="s">
        <v>43</v>
      </c>
      <c r="D32" s="1" t="s">
        <v>282</v>
      </c>
      <c r="E32" s="1" t="s">
        <v>43</v>
      </c>
      <c r="F32" s="1" t="s">
        <v>45</v>
      </c>
      <c r="G32" s="1">
        <v>71.0</v>
      </c>
      <c r="H32" s="1">
        <v>26.9</v>
      </c>
      <c r="I32" s="1">
        <v>69.2</v>
      </c>
      <c r="J32" s="1">
        <v>24.8</v>
      </c>
      <c r="K32" s="1">
        <v>57.5</v>
      </c>
      <c r="L32" s="1">
        <v>15.5</v>
      </c>
      <c r="M32" s="1">
        <v>4.8</v>
      </c>
      <c r="N32" s="1">
        <v>20.5</v>
      </c>
      <c r="O32" s="1">
        <v>1.8</v>
      </c>
      <c r="P32" s="1">
        <v>0.5</v>
      </c>
      <c r="Q32" s="1">
        <v>64.1</v>
      </c>
      <c r="R32" s="1">
        <v>68.1</v>
      </c>
      <c r="S32" s="1">
        <v>19.9</v>
      </c>
      <c r="T32" s="1" t="s">
        <v>48</v>
      </c>
      <c r="U32" s="1" t="s">
        <v>49</v>
      </c>
      <c r="V32" s="1" t="s">
        <v>285</v>
      </c>
      <c r="W32" s="1" t="s">
        <v>286</v>
      </c>
      <c r="X32" s="1">
        <v>2014.0</v>
      </c>
      <c r="Y32" s="1" t="s">
        <v>287</v>
      </c>
      <c r="Z32" s="1" t="s">
        <v>53</v>
      </c>
    </row>
    <row r="33">
      <c r="A33" s="1" t="s">
        <v>288</v>
      </c>
      <c r="B33" s="1" t="s">
        <v>290</v>
      </c>
      <c r="C33" s="1" t="s">
        <v>43</v>
      </c>
      <c r="D33" s="1" t="s">
        <v>292</v>
      </c>
      <c r="E33" s="1" t="s">
        <v>43</v>
      </c>
      <c r="F33" s="1" t="s">
        <v>45</v>
      </c>
      <c r="G33" s="1">
        <v>64.1</v>
      </c>
      <c r="H33" s="1">
        <v>33.9</v>
      </c>
      <c r="I33" s="1">
        <v>65.2</v>
      </c>
      <c r="J33" s="1">
        <v>29.3</v>
      </c>
      <c r="K33" s="1">
        <v>15.1</v>
      </c>
      <c r="L33" s="1">
        <v>58.3</v>
      </c>
      <c r="M33" s="1">
        <v>2.7</v>
      </c>
      <c r="N33" s="1">
        <v>23.8</v>
      </c>
      <c r="O33" s="1">
        <v>3.6</v>
      </c>
      <c r="P33" s="1">
        <v>0.5</v>
      </c>
      <c r="Q33" s="1">
        <v>28.6</v>
      </c>
      <c r="R33" s="1">
        <v>31.7</v>
      </c>
      <c r="S33" s="1">
        <v>13.4</v>
      </c>
      <c r="T33" s="1" t="s">
        <v>48</v>
      </c>
      <c r="U33" s="1" t="s">
        <v>49</v>
      </c>
      <c r="V33" s="1" t="s">
        <v>295</v>
      </c>
      <c r="W33" s="1" t="s">
        <v>296</v>
      </c>
      <c r="X33" s="1">
        <v>2002.0</v>
      </c>
      <c r="Y33" s="1" t="s">
        <v>83</v>
      </c>
      <c r="Z33" s="1" t="s">
        <v>53</v>
      </c>
    </row>
    <row r="34">
      <c r="A34" s="1" t="s">
        <v>297</v>
      </c>
      <c r="B34" s="1" t="s">
        <v>298</v>
      </c>
      <c r="C34" s="1" t="s">
        <v>43</v>
      </c>
      <c r="D34" s="1" t="s">
        <v>300</v>
      </c>
      <c r="E34" s="1" t="s">
        <v>43</v>
      </c>
      <c r="F34" s="1" t="s">
        <v>45</v>
      </c>
      <c r="G34" s="1">
        <v>62.0</v>
      </c>
      <c r="H34" s="1">
        <v>35.8</v>
      </c>
      <c r="I34" s="1">
        <v>61.4</v>
      </c>
      <c r="J34" s="1">
        <v>32.7</v>
      </c>
      <c r="K34" s="1">
        <v>22.4</v>
      </c>
      <c r="L34" s="1">
        <v>58.5</v>
      </c>
      <c r="M34" s="1">
        <v>10.4</v>
      </c>
      <c r="N34" s="1">
        <v>7.9</v>
      </c>
      <c r="O34" s="1">
        <v>3.9</v>
      </c>
      <c r="P34" s="1">
        <v>0.7</v>
      </c>
      <c r="Q34" s="1">
        <v>18.3</v>
      </c>
      <c r="R34" s="1">
        <v>26.3</v>
      </c>
      <c r="S34" s="1">
        <v>20.7</v>
      </c>
      <c r="T34" s="1" t="s">
        <v>48</v>
      </c>
      <c r="U34" s="1" t="s">
        <v>49</v>
      </c>
      <c r="V34" s="1" t="s">
        <v>127</v>
      </c>
      <c r="W34" s="1" t="s">
        <v>303</v>
      </c>
      <c r="X34" s="1">
        <v>2012.0</v>
      </c>
      <c r="Y34" s="1" t="s">
        <v>113</v>
      </c>
      <c r="Z34" s="1" t="s">
        <v>304</v>
      </c>
    </row>
    <row r="35">
      <c r="A35" s="1" t="s">
        <v>305</v>
      </c>
      <c r="B35" s="1" t="s">
        <v>306</v>
      </c>
      <c r="C35" s="1" t="s">
        <v>43</v>
      </c>
      <c r="D35" s="1" t="s">
        <v>308</v>
      </c>
      <c r="E35" s="1" t="s">
        <v>43</v>
      </c>
      <c r="F35" s="1" t="s">
        <v>45</v>
      </c>
      <c r="G35" s="1">
        <v>71.7</v>
      </c>
      <c r="H35" s="1">
        <v>25.9</v>
      </c>
      <c r="I35" s="1">
        <v>72.3</v>
      </c>
      <c r="J35" s="1">
        <v>21.6</v>
      </c>
      <c r="K35" s="1">
        <v>20.7</v>
      </c>
      <c r="L35" s="1">
        <v>61.1</v>
      </c>
      <c r="M35" s="1">
        <v>7.9</v>
      </c>
      <c r="N35" s="1">
        <v>9.8</v>
      </c>
      <c r="O35" s="1">
        <v>4.0</v>
      </c>
      <c r="P35" s="1">
        <v>0.7</v>
      </c>
      <c r="Q35" s="1">
        <v>23.9</v>
      </c>
      <c r="R35" s="1">
        <v>44.2</v>
      </c>
      <c r="S35" s="1">
        <v>15.4</v>
      </c>
      <c r="T35" s="1" t="s">
        <v>48</v>
      </c>
      <c r="U35" s="1" t="s">
        <v>159</v>
      </c>
      <c r="V35" s="1" t="s">
        <v>312</v>
      </c>
      <c r="W35" s="1" t="s">
        <v>313</v>
      </c>
      <c r="Y35" s="1" t="s">
        <v>314</v>
      </c>
      <c r="Z35" s="1" t="s">
        <v>304</v>
      </c>
    </row>
    <row r="36">
      <c r="A36" s="1" t="s">
        <v>315</v>
      </c>
      <c r="B36" s="1" t="s">
        <v>316</v>
      </c>
      <c r="C36" s="1" t="s">
        <v>43</v>
      </c>
      <c r="D36" s="1" t="s">
        <v>317</v>
      </c>
      <c r="E36" s="1" t="s">
        <v>43</v>
      </c>
      <c r="F36" s="1" t="s">
        <v>45</v>
      </c>
      <c r="G36" s="1">
        <v>80.8</v>
      </c>
      <c r="H36" s="1">
        <v>17.0</v>
      </c>
      <c r="I36" s="1">
        <v>84.1</v>
      </c>
      <c r="J36" s="1">
        <v>11.4</v>
      </c>
      <c r="K36" s="1">
        <v>8.0</v>
      </c>
      <c r="L36" s="1">
        <v>54.1</v>
      </c>
      <c r="M36" s="1">
        <v>27.4</v>
      </c>
      <c r="N36" s="1">
        <v>10.6</v>
      </c>
      <c r="O36" s="1">
        <v>3.5</v>
      </c>
      <c r="P36" s="1">
        <v>0.7</v>
      </c>
      <c r="Q36" s="1">
        <v>20.0</v>
      </c>
      <c r="R36" s="1">
        <v>41.5</v>
      </c>
      <c r="S36" s="1">
        <v>6.0</v>
      </c>
      <c r="T36" s="1" t="s">
        <v>48</v>
      </c>
      <c r="U36" s="1" t="s">
        <v>49</v>
      </c>
      <c r="V36" s="1" t="s">
        <v>320</v>
      </c>
      <c r="W36" s="1" t="s">
        <v>321</v>
      </c>
      <c r="X36" s="1">
        <v>1990.0</v>
      </c>
      <c r="Y36" s="1" t="s">
        <v>28</v>
      </c>
      <c r="Z36" s="1" t="s">
        <v>53</v>
      </c>
    </row>
    <row r="37">
      <c r="A37" s="1" t="s">
        <v>324</v>
      </c>
      <c r="B37" s="1" t="s">
        <v>325</v>
      </c>
      <c r="C37" s="1" t="s">
        <v>43</v>
      </c>
      <c r="D37" s="1" t="s">
        <v>326</v>
      </c>
      <c r="E37" s="1" t="s">
        <v>43</v>
      </c>
      <c r="F37" s="1" t="s">
        <v>45</v>
      </c>
      <c r="G37" s="1">
        <v>72.9</v>
      </c>
      <c r="H37" s="1">
        <v>24.7</v>
      </c>
      <c r="I37" s="1">
        <v>75.6</v>
      </c>
      <c r="J37" s="1">
        <v>19.1</v>
      </c>
      <c r="K37" s="1">
        <v>14.4</v>
      </c>
      <c r="L37" s="1">
        <v>57.9</v>
      </c>
      <c r="M37" s="1">
        <v>12.8</v>
      </c>
      <c r="N37" s="1">
        <v>14.2</v>
      </c>
      <c r="O37" s="1">
        <v>3.9</v>
      </c>
      <c r="P37" s="1">
        <v>1.4</v>
      </c>
      <c r="Q37" s="1">
        <v>20.9</v>
      </c>
      <c r="R37" s="1">
        <v>34.1</v>
      </c>
      <c r="S37" s="1">
        <v>12.2</v>
      </c>
      <c r="T37" s="1" t="s">
        <v>48</v>
      </c>
      <c r="U37" s="1" t="s">
        <v>49</v>
      </c>
      <c r="V37" s="1" t="s">
        <v>328</v>
      </c>
      <c r="W37" s="1" t="s">
        <v>329</v>
      </c>
      <c r="X37" s="1">
        <v>2016.0</v>
      </c>
      <c r="Y37" s="1" t="s">
        <v>83</v>
      </c>
      <c r="Z37" s="1" t="s">
        <v>53</v>
      </c>
    </row>
    <row r="38">
      <c r="A38" s="1" t="s">
        <v>330</v>
      </c>
      <c r="B38" s="1" t="s">
        <v>331</v>
      </c>
      <c r="C38" s="1" t="s">
        <v>43</v>
      </c>
      <c r="D38" s="1" t="s">
        <v>333</v>
      </c>
      <c r="E38" s="1" t="s">
        <v>43</v>
      </c>
      <c r="F38" s="1" t="s">
        <v>45</v>
      </c>
      <c r="G38" s="1">
        <v>64.1</v>
      </c>
      <c r="H38" s="1">
        <v>33.7</v>
      </c>
      <c r="I38" s="1">
        <v>66.8</v>
      </c>
      <c r="J38" s="1">
        <v>27.3</v>
      </c>
      <c r="K38" s="1">
        <v>17.2</v>
      </c>
      <c r="L38" s="1">
        <v>61.2</v>
      </c>
      <c r="M38" s="1">
        <v>2.7</v>
      </c>
      <c r="N38" s="1">
        <v>18.3</v>
      </c>
      <c r="O38" s="1">
        <v>4.4</v>
      </c>
      <c r="P38" s="1">
        <v>0.7</v>
      </c>
      <c r="Q38" s="1">
        <v>21.2</v>
      </c>
      <c r="R38" s="1">
        <v>33.0</v>
      </c>
      <c r="S38" s="1">
        <v>16.9</v>
      </c>
      <c r="T38" s="1" t="s">
        <v>48</v>
      </c>
      <c r="U38" s="1" t="s">
        <v>49</v>
      </c>
      <c r="V38" s="1" t="s">
        <v>339</v>
      </c>
      <c r="W38" s="1" t="s">
        <v>341</v>
      </c>
      <c r="X38" s="1">
        <v>2016.0</v>
      </c>
      <c r="Y38" s="1" t="s">
        <v>83</v>
      </c>
      <c r="Z38" s="1" t="s">
        <v>53</v>
      </c>
    </row>
    <row r="39">
      <c r="A39" s="1" t="s">
        <v>343</v>
      </c>
      <c r="B39" s="1" t="s">
        <v>344</v>
      </c>
      <c r="C39" s="1" t="s">
        <v>43</v>
      </c>
      <c r="D39" s="1" t="s">
        <v>345</v>
      </c>
      <c r="E39" s="1" t="s">
        <v>43</v>
      </c>
      <c r="F39" s="1" t="s">
        <v>45</v>
      </c>
      <c r="G39" s="1">
        <v>65.4</v>
      </c>
      <c r="H39" s="1">
        <v>32.2</v>
      </c>
      <c r="I39" s="1">
        <v>60.5</v>
      </c>
      <c r="J39" s="1">
        <v>33.2</v>
      </c>
      <c r="K39" s="1">
        <v>57.9</v>
      </c>
      <c r="L39" s="1">
        <v>19.6</v>
      </c>
      <c r="M39" s="1">
        <v>4.0</v>
      </c>
      <c r="N39" s="1">
        <v>16.8</v>
      </c>
      <c r="O39" s="1">
        <v>2.1</v>
      </c>
      <c r="P39" s="1">
        <v>0.7</v>
      </c>
      <c r="Q39" s="1">
        <v>57.6</v>
      </c>
      <c r="R39" s="1">
        <v>63.2</v>
      </c>
      <c r="S39" s="1">
        <v>24.1</v>
      </c>
      <c r="T39" s="1" t="s">
        <v>48</v>
      </c>
      <c r="U39" s="1" t="s">
        <v>49</v>
      </c>
      <c r="V39" s="1" t="s">
        <v>348</v>
      </c>
      <c r="W39" s="1" t="s">
        <v>349</v>
      </c>
      <c r="X39" s="1">
        <v>2012.0</v>
      </c>
      <c r="Y39" s="1" t="s">
        <v>75</v>
      </c>
      <c r="Z39" s="1" t="s">
        <v>53</v>
      </c>
    </row>
    <row r="40">
      <c r="A40" s="1" t="s">
        <v>351</v>
      </c>
      <c r="B40" s="1" t="s">
        <v>352</v>
      </c>
      <c r="C40" s="1" t="s">
        <v>43</v>
      </c>
      <c r="D40" s="1" t="s">
        <v>353</v>
      </c>
      <c r="E40" s="1" t="s">
        <v>43</v>
      </c>
      <c r="F40" s="1" t="s">
        <v>45</v>
      </c>
      <c r="G40" s="1">
        <v>62.5</v>
      </c>
      <c r="H40" s="1">
        <v>35.2</v>
      </c>
      <c r="I40" s="1">
        <v>58.4</v>
      </c>
      <c r="J40" s="1">
        <v>35.4</v>
      </c>
      <c r="K40" s="1">
        <v>48.6</v>
      </c>
      <c r="L40" s="1">
        <v>22.6</v>
      </c>
      <c r="M40" s="1">
        <v>7.5</v>
      </c>
      <c r="N40" s="1">
        <v>19.9</v>
      </c>
      <c r="O40" s="1">
        <v>2.5</v>
      </c>
      <c r="P40" s="1">
        <v>1.1</v>
      </c>
      <c r="Q40" s="1">
        <v>43.0</v>
      </c>
      <c r="R40" s="1">
        <v>47.6</v>
      </c>
      <c r="S40" s="1">
        <v>29.0</v>
      </c>
      <c r="T40" s="1" t="s">
        <v>48</v>
      </c>
      <c r="U40" s="1" t="s">
        <v>49</v>
      </c>
      <c r="V40" s="1" t="s">
        <v>356</v>
      </c>
      <c r="W40" s="1" t="s">
        <v>357</v>
      </c>
      <c r="X40" s="1">
        <v>2020.0</v>
      </c>
      <c r="Y40" s="1" t="s">
        <v>75</v>
      </c>
      <c r="Z40" s="1" t="s">
        <v>53</v>
      </c>
    </row>
    <row r="41">
      <c r="A41" s="1" t="s">
        <v>358</v>
      </c>
      <c r="B41" s="1" t="s">
        <v>359</v>
      </c>
      <c r="C41" s="1" t="s">
        <v>43</v>
      </c>
      <c r="D41" s="1" t="s">
        <v>360</v>
      </c>
      <c r="E41" s="1" t="s">
        <v>43</v>
      </c>
      <c r="F41" s="1" t="s">
        <v>45</v>
      </c>
      <c r="G41" s="1">
        <v>67.4</v>
      </c>
      <c r="H41" s="1">
        <v>30.5</v>
      </c>
      <c r="I41" s="1">
        <v>70.7</v>
      </c>
      <c r="J41" s="1">
        <v>24.1</v>
      </c>
      <c r="K41" s="1">
        <v>15.3</v>
      </c>
      <c r="L41" s="1">
        <v>57.2</v>
      </c>
      <c r="M41" s="1">
        <v>9.4</v>
      </c>
      <c r="N41" s="1">
        <v>18.3</v>
      </c>
      <c r="O41" s="1">
        <v>3.3</v>
      </c>
      <c r="P41" s="1">
        <v>1.1</v>
      </c>
      <c r="Q41" s="1">
        <v>21.6</v>
      </c>
      <c r="R41" s="1">
        <v>34.0</v>
      </c>
      <c r="S41" s="1">
        <v>13.4</v>
      </c>
      <c r="T41" s="1" t="s">
        <v>48</v>
      </c>
      <c r="U41" s="1" t="s">
        <v>49</v>
      </c>
      <c r="V41" s="1" t="s">
        <v>363</v>
      </c>
      <c r="W41" s="1" t="s">
        <v>364</v>
      </c>
      <c r="X41" s="1">
        <v>2012.0</v>
      </c>
      <c r="Y41" s="1" t="s">
        <v>83</v>
      </c>
      <c r="Z41" s="1" t="s">
        <v>53</v>
      </c>
    </row>
    <row r="42">
      <c r="A42" s="1" t="s">
        <v>366</v>
      </c>
      <c r="B42" s="1" t="s">
        <v>367</v>
      </c>
      <c r="C42" s="1" t="s">
        <v>43</v>
      </c>
      <c r="D42" s="1" t="s">
        <v>368</v>
      </c>
      <c r="E42" s="1" t="s">
        <v>43</v>
      </c>
      <c r="F42" s="1" t="s">
        <v>45</v>
      </c>
      <c r="G42" s="1">
        <v>79.5</v>
      </c>
      <c r="H42" s="1">
        <v>18.2</v>
      </c>
      <c r="I42" s="1">
        <v>73.6</v>
      </c>
      <c r="J42" s="1">
        <v>18.9</v>
      </c>
      <c r="K42" s="1">
        <v>58.8</v>
      </c>
      <c r="L42" s="1">
        <v>24.4</v>
      </c>
      <c r="M42" s="1">
        <v>9.7</v>
      </c>
      <c r="N42" s="1">
        <v>5.2</v>
      </c>
      <c r="O42" s="1">
        <v>3.3</v>
      </c>
      <c r="P42" s="1">
        <v>0.4</v>
      </c>
      <c r="Q42" s="1">
        <v>50.4</v>
      </c>
      <c r="R42" s="1">
        <v>66.1</v>
      </c>
      <c r="S42" s="1">
        <v>21.8</v>
      </c>
      <c r="T42" s="1" t="s">
        <v>48</v>
      </c>
      <c r="U42" s="1" t="s">
        <v>49</v>
      </c>
      <c r="V42" s="1" t="s">
        <v>371</v>
      </c>
      <c r="W42" s="1" t="s">
        <v>372</v>
      </c>
      <c r="X42" s="1">
        <v>1996.0</v>
      </c>
      <c r="Y42" s="1" t="s">
        <v>75</v>
      </c>
      <c r="Z42" s="1" t="s">
        <v>53</v>
      </c>
    </row>
    <row r="43">
      <c r="A43" s="1" t="s">
        <v>373</v>
      </c>
      <c r="B43" s="1" t="s">
        <v>374</v>
      </c>
      <c r="C43" s="1" t="s">
        <v>43</v>
      </c>
      <c r="D43" s="1" t="s">
        <v>375</v>
      </c>
      <c r="E43" s="1" t="s">
        <v>43</v>
      </c>
      <c r="F43" s="1" t="s">
        <v>45</v>
      </c>
      <c r="G43" s="1">
        <v>68.7</v>
      </c>
      <c r="H43" s="1">
        <v>28.8</v>
      </c>
      <c r="I43" s="1">
        <v>60.9</v>
      </c>
      <c r="J43" s="1">
        <v>30.4</v>
      </c>
      <c r="K43" s="1">
        <v>78.7</v>
      </c>
      <c r="L43" s="1">
        <v>12.2</v>
      </c>
      <c r="M43" s="1">
        <v>1.6</v>
      </c>
      <c r="N43" s="1">
        <v>4.8</v>
      </c>
      <c r="O43" s="1">
        <v>2.3</v>
      </c>
      <c r="P43" s="1">
        <v>0.3</v>
      </c>
      <c r="Q43" s="1">
        <v>57.1</v>
      </c>
      <c r="R43" s="1">
        <v>60.7</v>
      </c>
      <c r="S43" s="1">
        <v>33.5</v>
      </c>
      <c r="T43" s="1" t="s">
        <v>48</v>
      </c>
      <c r="U43" s="1" t="s">
        <v>49</v>
      </c>
      <c r="V43" s="1" t="s">
        <v>377</v>
      </c>
      <c r="W43" s="1" t="s">
        <v>378</v>
      </c>
      <c r="X43" s="1">
        <v>2018.0</v>
      </c>
      <c r="Y43" s="1" t="s">
        <v>379</v>
      </c>
      <c r="Z43" s="1" t="s">
        <v>53</v>
      </c>
    </row>
    <row r="44">
      <c r="A44" s="1" t="s">
        <v>380</v>
      </c>
      <c r="B44" s="1" t="s">
        <v>381</v>
      </c>
      <c r="C44" s="1" t="s">
        <v>43</v>
      </c>
      <c r="D44" s="1" t="s">
        <v>382</v>
      </c>
      <c r="E44" s="1" t="s">
        <v>43</v>
      </c>
      <c r="F44" s="1" t="s">
        <v>45</v>
      </c>
      <c r="G44" s="1">
        <v>60.6</v>
      </c>
      <c r="H44" s="1">
        <v>36.8</v>
      </c>
      <c r="I44" s="1">
        <v>52.3</v>
      </c>
      <c r="J44" s="1">
        <v>39.1</v>
      </c>
      <c r="K44" s="1">
        <v>59.8</v>
      </c>
      <c r="L44" s="1">
        <v>19.4</v>
      </c>
      <c r="M44" s="1">
        <v>11.4</v>
      </c>
      <c r="N44" s="1">
        <v>7.3</v>
      </c>
      <c r="O44" s="1">
        <v>3.0</v>
      </c>
      <c r="P44" s="1">
        <v>0.5</v>
      </c>
      <c r="Q44" s="1">
        <v>42.2</v>
      </c>
      <c r="R44" s="1">
        <v>50.4</v>
      </c>
      <c r="S44" s="1">
        <v>34.7</v>
      </c>
      <c r="T44" s="1" t="s">
        <v>48</v>
      </c>
      <c r="U44" s="1" t="s">
        <v>49</v>
      </c>
      <c r="V44" s="1" t="s">
        <v>384</v>
      </c>
      <c r="W44" s="1" t="s">
        <v>386</v>
      </c>
      <c r="X44" s="1">
        <v>2018.0</v>
      </c>
      <c r="Y44" s="1" t="s">
        <v>75</v>
      </c>
      <c r="Z44" s="1" t="s">
        <v>53</v>
      </c>
    </row>
    <row r="45">
      <c r="A45" s="1" t="s">
        <v>387</v>
      </c>
      <c r="B45" s="1" t="s">
        <v>388</v>
      </c>
      <c r="C45" s="1" t="s">
        <v>43</v>
      </c>
      <c r="D45" s="1" t="s">
        <v>389</v>
      </c>
      <c r="E45" s="1" t="s">
        <v>43</v>
      </c>
      <c r="F45" s="1" t="s">
        <v>45</v>
      </c>
      <c r="G45" s="1">
        <v>55.7</v>
      </c>
      <c r="H45" s="1">
        <v>41.5</v>
      </c>
      <c r="I45" s="1">
        <v>47.0</v>
      </c>
      <c r="J45" s="1">
        <v>44.1</v>
      </c>
      <c r="K45" s="1">
        <v>77.4</v>
      </c>
      <c r="L45" s="1">
        <v>13.3</v>
      </c>
      <c r="M45" s="1">
        <v>2.0</v>
      </c>
      <c r="N45" s="1">
        <v>4.1</v>
      </c>
      <c r="O45" s="1">
        <v>3.2</v>
      </c>
      <c r="P45" s="1">
        <v>0.2</v>
      </c>
      <c r="Q45" s="1">
        <v>43.8</v>
      </c>
      <c r="R45" s="1">
        <v>47.4</v>
      </c>
      <c r="S45" s="1">
        <v>43.2</v>
      </c>
      <c r="T45" s="1" t="s">
        <v>48</v>
      </c>
      <c r="U45" s="1" t="s">
        <v>159</v>
      </c>
      <c r="V45" s="1" t="s">
        <v>391</v>
      </c>
      <c r="W45" s="1" t="s">
        <v>392</v>
      </c>
      <c r="Y45" s="1" t="s">
        <v>75</v>
      </c>
      <c r="Z45" s="1" t="s">
        <v>53</v>
      </c>
    </row>
    <row r="46">
      <c r="A46" s="1" t="s">
        <v>393</v>
      </c>
      <c r="B46" s="1" t="s">
        <v>394</v>
      </c>
      <c r="C46" s="1" t="s">
        <v>395</v>
      </c>
      <c r="D46" s="1" t="s">
        <v>396</v>
      </c>
      <c r="E46" s="1" t="s">
        <v>43</v>
      </c>
      <c r="F46" s="1" t="s">
        <v>397</v>
      </c>
      <c r="G46" s="1">
        <v>50.8</v>
      </c>
      <c r="H46" s="1">
        <v>46.3</v>
      </c>
      <c r="I46" s="1">
        <v>44.6</v>
      </c>
      <c r="J46" s="1">
        <v>46.4</v>
      </c>
      <c r="K46" s="1">
        <v>56.1</v>
      </c>
      <c r="L46" s="1">
        <v>34.5</v>
      </c>
      <c r="M46" s="1">
        <v>2.6</v>
      </c>
      <c r="N46" s="1">
        <v>4.3</v>
      </c>
      <c r="O46" s="1">
        <v>4.0</v>
      </c>
      <c r="P46" s="1">
        <v>0.3</v>
      </c>
      <c r="Q46" s="1">
        <v>25.9</v>
      </c>
      <c r="R46" s="1">
        <v>32.7</v>
      </c>
      <c r="S46" s="1">
        <v>43.7</v>
      </c>
      <c r="T46" s="1" t="s">
        <v>48</v>
      </c>
      <c r="U46" s="1" t="s">
        <v>159</v>
      </c>
      <c r="V46" s="1" t="s">
        <v>401</v>
      </c>
      <c r="W46" s="1" t="s">
        <v>402</v>
      </c>
      <c r="Y46" s="1" t="s">
        <v>83</v>
      </c>
      <c r="Z46" s="1" t="s">
        <v>53</v>
      </c>
    </row>
    <row r="47">
      <c r="A47" s="1" t="s">
        <v>404</v>
      </c>
      <c r="B47" s="1" t="s">
        <v>405</v>
      </c>
      <c r="C47" s="1" t="s">
        <v>43</v>
      </c>
      <c r="D47" s="1" t="s">
        <v>406</v>
      </c>
      <c r="E47" s="1" t="s">
        <v>43</v>
      </c>
      <c r="F47" s="1" t="s">
        <v>45</v>
      </c>
      <c r="G47" s="1">
        <v>63.3</v>
      </c>
      <c r="H47" s="1">
        <v>35.2</v>
      </c>
      <c r="I47" s="1">
        <v>59.4</v>
      </c>
      <c r="J47" s="1">
        <v>36.2</v>
      </c>
      <c r="K47" s="1">
        <v>60.9</v>
      </c>
      <c r="L47" s="1">
        <v>15.5</v>
      </c>
      <c r="M47" s="1">
        <v>16.9</v>
      </c>
      <c r="N47" s="1">
        <v>6.2</v>
      </c>
      <c r="O47" s="1">
        <v>1.5</v>
      </c>
      <c r="P47" s="1">
        <v>0.1</v>
      </c>
      <c r="Q47" s="1">
        <v>37.2</v>
      </c>
      <c r="R47" s="1">
        <v>42.3</v>
      </c>
      <c r="S47" s="1">
        <v>38.5</v>
      </c>
      <c r="T47" s="1" t="s">
        <v>48</v>
      </c>
      <c r="U47" s="1" t="s">
        <v>49</v>
      </c>
      <c r="V47" s="1" t="s">
        <v>120</v>
      </c>
      <c r="W47" s="1" t="s">
        <v>409</v>
      </c>
      <c r="X47" s="1">
        <v>1998.0</v>
      </c>
      <c r="Y47" s="1" t="s">
        <v>75</v>
      </c>
      <c r="Z47" s="1" t="s">
        <v>53</v>
      </c>
    </row>
    <row r="48">
      <c r="A48" s="1" t="s">
        <v>411</v>
      </c>
      <c r="B48" s="1" t="s">
        <v>412</v>
      </c>
      <c r="C48" s="1" t="s">
        <v>43</v>
      </c>
      <c r="D48" s="1" t="s">
        <v>413</v>
      </c>
      <c r="E48" s="1" t="s">
        <v>43</v>
      </c>
      <c r="F48" s="1" t="s">
        <v>45</v>
      </c>
      <c r="G48" s="1">
        <v>54.7</v>
      </c>
      <c r="H48" s="1">
        <v>43.3</v>
      </c>
      <c r="I48" s="1">
        <v>48.8</v>
      </c>
      <c r="J48" s="1">
        <v>45.4</v>
      </c>
      <c r="K48" s="1">
        <v>80.6</v>
      </c>
      <c r="L48" s="1">
        <v>7.7</v>
      </c>
      <c r="M48" s="1">
        <v>5.2</v>
      </c>
      <c r="N48" s="1">
        <v>4.4</v>
      </c>
      <c r="O48" s="1">
        <v>2.1</v>
      </c>
      <c r="P48" s="1">
        <v>0.2</v>
      </c>
      <c r="Q48" s="1">
        <v>37.0</v>
      </c>
      <c r="R48" s="1">
        <v>38.4</v>
      </c>
      <c r="S48" s="1">
        <v>52.6</v>
      </c>
      <c r="T48" s="1" t="s">
        <v>48</v>
      </c>
      <c r="U48" s="1" t="s">
        <v>49</v>
      </c>
      <c r="V48" s="1" t="s">
        <v>377</v>
      </c>
      <c r="W48" s="1" t="s">
        <v>414</v>
      </c>
      <c r="X48" s="1">
        <v>2006.0</v>
      </c>
      <c r="Y48" s="1" t="s">
        <v>75</v>
      </c>
      <c r="Z48" s="1" t="s">
        <v>53</v>
      </c>
    </row>
    <row r="49">
      <c r="A49" s="1" t="s">
        <v>416</v>
      </c>
      <c r="B49" s="1" t="s">
        <v>417</v>
      </c>
      <c r="C49" s="1" t="s">
        <v>43</v>
      </c>
      <c r="D49" s="1" t="s">
        <v>418</v>
      </c>
      <c r="E49" s="1" t="s">
        <v>43</v>
      </c>
      <c r="F49" s="1" t="s">
        <v>45</v>
      </c>
      <c r="G49" s="1">
        <v>59.2</v>
      </c>
      <c r="H49" s="1">
        <v>39.5</v>
      </c>
      <c r="I49" s="1">
        <v>55.0</v>
      </c>
      <c r="J49" s="1">
        <v>41.1</v>
      </c>
      <c r="K49" s="1">
        <v>64.7</v>
      </c>
      <c r="L49" s="1">
        <v>14.3</v>
      </c>
      <c r="M49" s="1">
        <v>14.9</v>
      </c>
      <c r="N49" s="1">
        <v>5.3</v>
      </c>
      <c r="O49" s="1">
        <v>1.5</v>
      </c>
      <c r="P49" s="1">
        <v>0.1</v>
      </c>
      <c r="Q49" s="1">
        <v>37.4</v>
      </c>
      <c r="R49" s="1">
        <v>41.7</v>
      </c>
      <c r="S49" s="1">
        <v>40.9</v>
      </c>
      <c r="T49" s="1" t="s">
        <v>48</v>
      </c>
      <c r="U49" s="1" t="s">
        <v>49</v>
      </c>
      <c r="V49" s="1" t="s">
        <v>419</v>
      </c>
      <c r="W49" s="1" t="s">
        <v>420</v>
      </c>
      <c r="X49" s="1">
        <v>1990.0</v>
      </c>
      <c r="Y49" s="1" t="s">
        <v>75</v>
      </c>
      <c r="Z49" s="1" t="s">
        <v>53</v>
      </c>
    </row>
    <row r="50">
      <c r="A50" s="1" t="s">
        <v>422</v>
      </c>
      <c r="B50" s="1" t="s">
        <v>423</v>
      </c>
      <c r="C50" s="1" t="s">
        <v>43</v>
      </c>
      <c r="D50" s="1" t="s">
        <v>424</v>
      </c>
      <c r="E50" s="1" t="s">
        <v>43</v>
      </c>
      <c r="F50" s="1" t="s">
        <v>45</v>
      </c>
      <c r="G50" s="1">
        <v>64.8</v>
      </c>
      <c r="H50" s="1">
        <v>33.8</v>
      </c>
      <c r="I50" s="1">
        <v>60.2</v>
      </c>
      <c r="J50" s="1">
        <v>35.7</v>
      </c>
      <c r="K50" s="1">
        <v>59.5</v>
      </c>
      <c r="L50" s="1">
        <v>19.9</v>
      </c>
      <c r="M50" s="1">
        <v>13.4</v>
      </c>
      <c r="N50" s="1">
        <v>6.2</v>
      </c>
      <c r="O50" s="1">
        <v>1.2</v>
      </c>
      <c r="P50" s="1">
        <v>0.1</v>
      </c>
      <c r="Q50" s="1">
        <v>52.0</v>
      </c>
      <c r="R50" s="1">
        <v>64.1</v>
      </c>
      <c r="S50" s="1">
        <v>24.4</v>
      </c>
      <c r="T50" s="1" t="s">
        <v>48</v>
      </c>
      <c r="U50" s="1" t="s">
        <v>49</v>
      </c>
      <c r="V50" s="1" t="s">
        <v>426</v>
      </c>
      <c r="W50" s="1" t="s">
        <v>427</v>
      </c>
      <c r="X50" s="1">
        <v>2008.0</v>
      </c>
      <c r="Y50" s="1" t="s">
        <v>75</v>
      </c>
      <c r="Z50" s="1" t="s">
        <v>53</v>
      </c>
    </row>
    <row r="51">
      <c r="A51" s="1" t="s">
        <v>428</v>
      </c>
      <c r="B51" s="1" t="s">
        <v>429</v>
      </c>
      <c r="C51" s="1" t="s">
        <v>43</v>
      </c>
      <c r="D51" s="1" t="s">
        <v>430</v>
      </c>
      <c r="E51" s="1" t="s">
        <v>43</v>
      </c>
      <c r="F51" s="1" t="s">
        <v>45</v>
      </c>
      <c r="G51" s="1">
        <v>54.6</v>
      </c>
      <c r="H51" s="1">
        <v>43.9</v>
      </c>
      <c r="I51" s="1">
        <v>49.9</v>
      </c>
      <c r="J51" s="1">
        <v>45.7</v>
      </c>
      <c r="K51" s="1">
        <v>67.4</v>
      </c>
      <c r="L51" s="1">
        <v>18.0</v>
      </c>
      <c r="M51" s="1">
        <v>8.8</v>
      </c>
      <c r="N51" s="1">
        <v>4.2</v>
      </c>
      <c r="O51" s="1">
        <v>1.5</v>
      </c>
      <c r="P51" s="1">
        <v>0.1</v>
      </c>
      <c r="Q51" s="1">
        <v>36.8</v>
      </c>
      <c r="R51" s="1">
        <v>41.6</v>
      </c>
      <c r="S51" s="1">
        <v>43.9</v>
      </c>
      <c r="T51" s="1" t="s">
        <v>48</v>
      </c>
      <c r="U51" s="1" t="s">
        <v>49</v>
      </c>
      <c r="V51" s="1" t="s">
        <v>432</v>
      </c>
      <c r="W51" s="1" t="s">
        <v>433</v>
      </c>
      <c r="X51" s="1">
        <v>2018.0</v>
      </c>
      <c r="Y51" s="1" t="s">
        <v>28</v>
      </c>
      <c r="Z51" s="1" t="s">
        <v>53</v>
      </c>
    </row>
    <row r="52">
      <c r="A52" s="1" t="s">
        <v>434</v>
      </c>
      <c r="B52" s="1" t="s">
        <v>435</v>
      </c>
      <c r="C52" s="1" t="s">
        <v>43</v>
      </c>
      <c r="D52" s="1" t="s">
        <v>436</v>
      </c>
      <c r="E52" s="1" t="s">
        <v>43</v>
      </c>
      <c r="F52" s="1" t="s">
        <v>45</v>
      </c>
      <c r="G52" s="1">
        <v>58.8</v>
      </c>
      <c r="H52" s="1">
        <v>39.8</v>
      </c>
      <c r="I52" s="1">
        <v>53.4</v>
      </c>
      <c r="J52" s="1">
        <v>41.9</v>
      </c>
      <c r="K52" s="1">
        <v>62.4</v>
      </c>
      <c r="L52" s="1">
        <v>8.7</v>
      </c>
      <c r="M52" s="1">
        <v>22.8</v>
      </c>
      <c r="N52" s="1">
        <v>4.8</v>
      </c>
      <c r="O52" s="1">
        <v>2.0</v>
      </c>
      <c r="P52" s="1">
        <v>0.1</v>
      </c>
      <c r="Q52" s="1">
        <v>32.7</v>
      </c>
      <c r="R52" s="1">
        <v>35.2</v>
      </c>
      <c r="S52" s="1">
        <v>44.5</v>
      </c>
      <c r="T52" s="1" t="s">
        <v>48</v>
      </c>
      <c r="U52" s="1" t="s">
        <v>49</v>
      </c>
      <c r="V52" s="1" t="s">
        <v>438</v>
      </c>
      <c r="W52" s="1" t="s">
        <v>439</v>
      </c>
      <c r="X52" s="1">
        <v>2016.0</v>
      </c>
      <c r="Y52" s="1" t="s">
        <v>28</v>
      </c>
      <c r="Z52" s="1" t="s">
        <v>53</v>
      </c>
    </row>
    <row r="53">
      <c r="A53" s="1" t="s">
        <v>440</v>
      </c>
      <c r="B53" s="1" t="s">
        <v>441</v>
      </c>
      <c r="C53" s="1" t="s">
        <v>43</v>
      </c>
      <c r="D53" s="1" t="s">
        <v>443</v>
      </c>
      <c r="E53" s="1" t="s">
        <v>43</v>
      </c>
      <c r="F53" s="1" t="s">
        <v>45</v>
      </c>
      <c r="G53" s="1">
        <v>58.2</v>
      </c>
      <c r="H53" s="1">
        <v>40.8</v>
      </c>
      <c r="I53" s="1">
        <v>61.0</v>
      </c>
      <c r="J53" s="1">
        <v>34.7</v>
      </c>
      <c r="K53" s="1">
        <v>32.3</v>
      </c>
      <c r="L53" s="1">
        <v>50.0</v>
      </c>
      <c r="M53" s="1">
        <v>13.0</v>
      </c>
      <c r="N53" s="1">
        <v>5.2</v>
      </c>
      <c r="O53" s="1">
        <v>1.9</v>
      </c>
      <c r="P53" s="1">
        <v>0.3</v>
      </c>
      <c r="Q53" s="1">
        <v>28.8</v>
      </c>
      <c r="R53" s="1">
        <v>34.7</v>
      </c>
      <c r="S53" s="1">
        <v>24.5</v>
      </c>
      <c r="T53" s="1" t="s">
        <v>48</v>
      </c>
      <c r="U53" s="1" t="s">
        <v>49</v>
      </c>
      <c r="V53" s="1" t="s">
        <v>444</v>
      </c>
      <c r="W53" s="1" t="s">
        <v>445</v>
      </c>
      <c r="X53" s="1">
        <v>2016.0</v>
      </c>
      <c r="Y53" s="1" t="s">
        <v>446</v>
      </c>
      <c r="Z53" s="1" t="s">
        <v>53</v>
      </c>
    </row>
    <row r="54">
      <c r="A54" s="1" t="s">
        <v>447</v>
      </c>
      <c r="B54" s="1" t="s">
        <v>448</v>
      </c>
      <c r="C54" s="1" t="s">
        <v>43</v>
      </c>
      <c r="D54" s="1" t="s">
        <v>449</v>
      </c>
      <c r="E54" s="1" t="s">
        <v>43</v>
      </c>
      <c r="F54" s="1" t="s">
        <v>45</v>
      </c>
      <c r="G54" s="1">
        <v>65.3</v>
      </c>
      <c r="H54" s="1">
        <v>33.5</v>
      </c>
      <c r="I54" s="1">
        <v>63.6</v>
      </c>
      <c r="J54" s="1">
        <v>31.4</v>
      </c>
      <c r="K54" s="1">
        <v>38.5</v>
      </c>
      <c r="L54" s="1">
        <v>28.6</v>
      </c>
      <c r="M54" s="1">
        <v>26.0</v>
      </c>
      <c r="N54" s="1">
        <v>6.1</v>
      </c>
      <c r="O54" s="1">
        <v>1.7</v>
      </c>
      <c r="P54" s="1">
        <v>0.3</v>
      </c>
      <c r="Q54" s="1">
        <v>34.0</v>
      </c>
      <c r="R54" s="1">
        <v>47.0</v>
      </c>
      <c r="S54" s="1">
        <v>23.6</v>
      </c>
      <c r="T54" s="1" t="s">
        <v>48</v>
      </c>
      <c r="U54" s="1" t="s">
        <v>159</v>
      </c>
      <c r="V54" s="1" t="s">
        <v>451</v>
      </c>
      <c r="W54" s="1" t="s">
        <v>452</v>
      </c>
      <c r="Y54" s="1" t="s">
        <v>453</v>
      </c>
      <c r="Z54" s="1" t="s">
        <v>53</v>
      </c>
    </row>
    <row r="55">
      <c r="A55" s="1" t="s">
        <v>454</v>
      </c>
      <c r="B55" s="1" t="s">
        <v>456</v>
      </c>
      <c r="C55" s="1" t="s">
        <v>43</v>
      </c>
      <c r="D55" s="1" t="s">
        <v>457</v>
      </c>
      <c r="E55" s="1" t="s">
        <v>43</v>
      </c>
      <c r="F55" s="1" t="s">
        <v>45</v>
      </c>
      <c r="G55" s="1">
        <v>59.0</v>
      </c>
      <c r="H55" s="1">
        <v>39.8</v>
      </c>
      <c r="I55" s="1">
        <v>58.3</v>
      </c>
      <c r="J55" s="1">
        <v>36.7</v>
      </c>
      <c r="K55" s="1">
        <v>49.4</v>
      </c>
      <c r="L55" s="1">
        <v>26.0</v>
      </c>
      <c r="M55" s="1">
        <v>19.1</v>
      </c>
      <c r="N55" s="1">
        <v>5.0</v>
      </c>
      <c r="O55" s="1">
        <v>1.6</v>
      </c>
      <c r="P55" s="1">
        <v>0.2</v>
      </c>
      <c r="Q55" s="1">
        <v>36.5</v>
      </c>
      <c r="R55" s="1">
        <v>47.1</v>
      </c>
      <c r="S55" s="1">
        <v>29.0</v>
      </c>
      <c r="T55" s="1" t="s">
        <v>48</v>
      </c>
      <c r="U55" s="1" t="s">
        <v>49</v>
      </c>
      <c r="V55" s="1" t="s">
        <v>461</v>
      </c>
      <c r="W55" s="1" t="s">
        <v>462</v>
      </c>
      <c r="X55" s="1">
        <v>2006.0</v>
      </c>
      <c r="Y55" s="1" t="s">
        <v>75</v>
      </c>
      <c r="Z55" s="1" t="s">
        <v>53</v>
      </c>
    </row>
    <row r="56">
      <c r="A56" s="1" t="s">
        <v>463</v>
      </c>
      <c r="B56" s="1" t="s">
        <v>464</v>
      </c>
      <c r="C56" s="1" t="s">
        <v>43</v>
      </c>
      <c r="D56" s="1" t="s">
        <v>465</v>
      </c>
      <c r="E56" s="1" t="s">
        <v>43</v>
      </c>
      <c r="F56" s="1" t="s">
        <v>45</v>
      </c>
      <c r="G56" s="1">
        <v>75.9</v>
      </c>
      <c r="H56" s="1">
        <v>23.5</v>
      </c>
      <c r="I56" s="1">
        <v>77.4</v>
      </c>
      <c r="J56" s="1">
        <v>20.3</v>
      </c>
      <c r="K56" s="1">
        <v>23.5</v>
      </c>
      <c r="L56" s="1">
        <v>23.0</v>
      </c>
      <c r="M56" s="1">
        <v>50.1</v>
      </c>
      <c r="N56" s="1">
        <v>3.4</v>
      </c>
      <c r="O56" s="1">
        <v>1.2</v>
      </c>
      <c r="P56" s="1">
        <v>0.2</v>
      </c>
      <c r="Q56" s="1">
        <v>23.4</v>
      </c>
      <c r="R56" s="1">
        <v>31.5</v>
      </c>
      <c r="S56" s="1">
        <v>19.1</v>
      </c>
      <c r="T56" s="1" t="s">
        <v>48</v>
      </c>
      <c r="U56" s="1" t="s">
        <v>49</v>
      </c>
      <c r="V56" s="1" t="s">
        <v>467</v>
      </c>
      <c r="W56" s="1" t="s">
        <v>468</v>
      </c>
      <c r="X56" s="1" t="s">
        <v>469</v>
      </c>
      <c r="Y56" s="1" t="s">
        <v>470</v>
      </c>
      <c r="Z56" s="1" t="s">
        <v>53</v>
      </c>
    </row>
    <row r="57">
      <c r="A57" s="1" t="s">
        <v>471</v>
      </c>
      <c r="B57" s="1" t="s">
        <v>472</v>
      </c>
      <c r="C57" s="1" t="s">
        <v>43</v>
      </c>
      <c r="D57" s="1" t="s">
        <v>473</v>
      </c>
      <c r="E57" s="1" t="s">
        <v>43</v>
      </c>
      <c r="F57" s="1" t="s">
        <v>45</v>
      </c>
      <c r="G57" s="1">
        <v>58.5</v>
      </c>
      <c r="H57" s="1">
        <v>40.9</v>
      </c>
      <c r="I57" s="1">
        <v>58.7</v>
      </c>
      <c r="J57" s="1">
        <v>38.5</v>
      </c>
      <c r="K57" s="1">
        <v>55.3</v>
      </c>
      <c r="L57" s="1">
        <v>24.7</v>
      </c>
      <c r="M57" s="1">
        <v>15.9</v>
      </c>
      <c r="N57" s="1">
        <v>3.3</v>
      </c>
      <c r="O57" s="1">
        <v>1.5</v>
      </c>
      <c r="P57" s="1">
        <v>0.2</v>
      </c>
      <c r="Q57" s="1">
        <v>34.7</v>
      </c>
      <c r="R57" s="1">
        <v>43.4</v>
      </c>
      <c r="S57" s="1">
        <v>36.1</v>
      </c>
      <c r="T57" s="1" t="s">
        <v>48</v>
      </c>
      <c r="U57" s="1" t="s">
        <v>49</v>
      </c>
      <c r="V57" s="1" t="s">
        <v>476</v>
      </c>
      <c r="W57" s="1" t="s">
        <v>477</v>
      </c>
      <c r="X57" s="1">
        <v>2012.0</v>
      </c>
      <c r="Y57" s="1" t="s">
        <v>75</v>
      </c>
      <c r="Z57" s="1" t="s">
        <v>53</v>
      </c>
    </row>
    <row r="58">
      <c r="A58" s="1" t="s">
        <v>478</v>
      </c>
      <c r="B58" s="1" t="s">
        <v>479</v>
      </c>
      <c r="C58" s="1" t="s">
        <v>43</v>
      </c>
      <c r="D58" s="1" t="s">
        <v>480</v>
      </c>
      <c r="E58" s="1" t="s">
        <v>43</v>
      </c>
      <c r="F58" s="1" t="s">
        <v>45</v>
      </c>
      <c r="G58" s="1">
        <v>56.3</v>
      </c>
      <c r="H58" s="1">
        <v>43.1</v>
      </c>
      <c r="I58" s="1">
        <v>55.7</v>
      </c>
      <c r="J58" s="1">
        <v>41.5</v>
      </c>
      <c r="K58" s="1">
        <v>58.4</v>
      </c>
      <c r="L58" s="1">
        <v>20.5</v>
      </c>
      <c r="M58" s="1">
        <v>13.2</v>
      </c>
      <c r="N58" s="1">
        <v>4.4</v>
      </c>
      <c r="O58" s="1">
        <v>1.1</v>
      </c>
      <c r="P58" s="1">
        <v>0.2</v>
      </c>
      <c r="Q58" s="1">
        <v>42.4</v>
      </c>
      <c r="R58" s="1">
        <v>46.1</v>
      </c>
      <c r="S58" s="1">
        <v>36.1</v>
      </c>
      <c r="T58" s="1" t="s">
        <v>48</v>
      </c>
      <c r="U58" s="1" t="s">
        <v>482</v>
      </c>
      <c r="V58" s="1" t="s">
        <v>88</v>
      </c>
      <c r="W58" s="1" t="s">
        <v>484</v>
      </c>
      <c r="Y58" s="1" t="s">
        <v>75</v>
      </c>
      <c r="Z58" s="1" t="s">
        <v>53</v>
      </c>
    </row>
    <row r="59">
      <c r="A59" s="1" t="s">
        <v>486</v>
      </c>
      <c r="B59" s="1" t="s">
        <v>488</v>
      </c>
      <c r="C59" s="1" t="s">
        <v>43</v>
      </c>
      <c r="D59" s="1" t="s">
        <v>489</v>
      </c>
      <c r="E59" s="1" t="s">
        <v>43</v>
      </c>
      <c r="F59" s="1" t="s">
        <v>45</v>
      </c>
      <c r="G59" s="1">
        <v>74.3</v>
      </c>
      <c r="H59" s="1">
        <v>25.2</v>
      </c>
      <c r="I59" s="1">
        <v>80.6</v>
      </c>
      <c r="J59" s="1">
        <v>17.2</v>
      </c>
      <c r="K59" s="1">
        <v>18.2</v>
      </c>
      <c r="L59" s="1">
        <v>38.5</v>
      </c>
      <c r="M59" s="1">
        <v>42.2</v>
      </c>
      <c r="N59" s="1">
        <v>2.2</v>
      </c>
      <c r="O59" s="1">
        <v>0.9</v>
      </c>
      <c r="P59" s="1">
        <v>0.1</v>
      </c>
      <c r="Q59" s="1">
        <v>27.7</v>
      </c>
      <c r="R59" s="1">
        <v>51.8</v>
      </c>
      <c r="S59" s="1">
        <v>8.9</v>
      </c>
      <c r="T59" s="1" t="s">
        <v>48</v>
      </c>
      <c r="U59" s="1" t="s">
        <v>49</v>
      </c>
      <c r="V59" s="1" t="s">
        <v>492</v>
      </c>
      <c r="W59" s="1" t="s">
        <v>493</v>
      </c>
      <c r="X59" s="1">
        <v>2010.0</v>
      </c>
      <c r="Y59" s="1" t="s">
        <v>28</v>
      </c>
      <c r="Z59" s="1" t="s">
        <v>53</v>
      </c>
    </row>
    <row r="60">
      <c r="A60" s="1" t="s">
        <v>496</v>
      </c>
      <c r="B60" s="1" t="s">
        <v>497</v>
      </c>
      <c r="C60" s="1" t="s">
        <v>43</v>
      </c>
      <c r="D60" s="1" t="s">
        <v>499</v>
      </c>
      <c r="E60" s="1" t="s">
        <v>43</v>
      </c>
      <c r="F60" s="1" t="s">
        <v>45</v>
      </c>
      <c r="G60" s="1">
        <v>59.7</v>
      </c>
      <c r="H60" s="1">
        <v>39.7</v>
      </c>
      <c r="I60" s="1">
        <v>62.7</v>
      </c>
      <c r="J60" s="1">
        <v>34.3</v>
      </c>
      <c r="K60" s="1">
        <v>34.4</v>
      </c>
      <c r="L60" s="1">
        <v>42.3</v>
      </c>
      <c r="M60" s="1">
        <v>17.5</v>
      </c>
      <c r="N60" s="1">
        <v>6.0</v>
      </c>
      <c r="O60" s="1">
        <v>1.3</v>
      </c>
      <c r="P60" s="1">
        <v>0.2</v>
      </c>
      <c r="Q60" s="1">
        <v>37.4</v>
      </c>
      <c r="R60" s="1">
        <v>40.0</v>
      </c>
      <c r="S60" s="1">
        <v>24.3</v>
      </c>
      <c r="T60" s="1" t="s">
        <v>48</v>
      </c>
      <c r="U60" s="1" t="s">
        <v>49</v>
      </c>
      <c r="V60" s="1" t="s">
        <v>503</v>
      </c>
      <c r="W60" s="1" t="s">
        <v>504</v>
      </c>
      <c r="X60" s="1">
        <v>2004.0</v>
      </c>
      <c r="Y60" s="1" t="s">
        <v>75</v>
      </c>
      <c r="Z60" s="1" t="s">
        <v>53</v>
      </c>
    </row>
    <row r="61">
      <c r="A61" s="1" t="s">
        <v>505</v>
      </c>
      <c r="B61" s="1" t="s">
        <v>506</v>
      </c>
      <c r="C61" s="1" t="s">
        <v>43</v>
      </c>
      <c r="D61" s="1" t="s">
        <v>507</v>
      </c>
      <c r="E61" s="1" t="s">
        <v>43</v>
      </c>
      <c r="F61" s="1" t="s">
        <v>45</v>
      </c>
      <c r="G61" s="1">
        <v>54.7</v>
      </c>
      <c r="H61" s="1">
        <v>44.4</v>
      </c>
      <c r="I61" s="1">
        <v>53.6</v>
      </c>
      <c r="J61" s="1">
        <v>44.5</v>
      </c>
      <c r="K61" s="1">
        <v>42.7</v>
      </c>
      <c r="L61" s="1">
        <v>5.1</v>
      </c>
      <c r="M61" s="1">
        <v>49.3</v>
      </c>
      <c r="N61" s="1">
        <v>1.9</v>
      </c>
      <c r="O61" s="1">
        <v>1.5</v>
      </c>
      <c r="P61" s="1">
        <v>0.2</v>
      </c>
      <c r="Q61" s="1">
        <v>19.6</v>
      </c>
      <c r="R61" s="1">
        <v>25.2</v>
      </c>
      <c r="S61" s="1">
        <v>33.4</v>
      </c>
      <c r="T61" s="1" t="s">
        <v>48</v>
      </c>
      <c r="U61" s="1" t="s">
        <v>49</v>
      </c>
      <c r="V61" s="1" t="s">
        <v>510</v>
      </c>
      <c r="W61" s="1" t="s">
        <v>511</v>
      </c>
      <c r="X61" s="1">
        <v>1992.0</v>
      </c>
      <c r="Y61" s="1" t="s">
        <v>28</v>
      </c>
      <c r="Z61" s="1" t="s">
        <v>53</v>
      </c>
    </row>
    <row r="62">
      <c r="A62" s="1" t="s">
        <v>512</v>
      </c>
      <c r="B62" s="1" t="s">
        <v>513</v>
      </c>
      <c r="C62" s="1" t="s">
        <v>43</v>
      </c>
      <c r="D62" s="1" t="s">
        <v>514</v>
      </c>
      <c r="E62" s="1" t="s">
        <v>43</v>
      </c>
      <c r="F62" s="1" t="s">
        <v>45</v>
      </c>
      <c r="G62" s="1">
        <v>78.3</v>
      </c>
      <c r="H62" s="1">
        <v>20.6</v>
      </c>
      <c r="I62" s="1">
        <v>74.7</v>
      </c>
      <c r="J62" s="1">
        <v>22.4</v>
      </c>
      <c r="K62" s="1">
        <v>28.3</v>
      </c>
      <c r="L62" s="1">
        <v>10.1</v>
      </c>
      <c r="M62" s="1">
        <v>54.5</v>
      </c>
      <c r="N62" s="1">
        <v>6.7</v>
      </c>
      <c r="O62" s="1">
        <v>1.7</v>
      </c>
      <c r="P62" s="1">
        <v>0.1</v>
      </c>
      <c r="Q62" s="1">
        <v>40.5</v>
      </c>
      <c r="R62" s="1">
        <v>59.1</v>
      </c>
      <c r="S62" s="1">
        <v>13.4</v>
      </c>
      <c r="T62" s="1" t="s">
        <v>48</v>
      </c>
      <c r="U62" s="1" t="s">
        <v>49</v>
      </c>
      <c r="V62" s="1" t="s">
        <v>516</v>
      </c>
      <c r="W62" s="1" t="s">
        <v>517</v>
      </c>
      <c r="X62" s="1">
        <v>2006.0</v>
      </c>
      <c r="Y62" s="1" t="s">
        <v>28</v>
      </c>
      <c r="Z62" s="1" t="s">
        <v>53</v>
      </c>
    </row>
    <row r="63">
      <c r="A63" s="1" t="s">
        <v>518</v>
      </c>
      <c r="B63" s="1" t="s">
        <v>519</v>
      </c>
      <c r="C63" s="1" t="s">
        <v>43</v>
      </c>
      <c r="D63" s="1" t="s">
        <v>520</v>
      </c>
      <c r="E63" s="1" t="s">
        <v>43</v>
      </c>
      <c r="F63" s="1" t="s">
        <v>45</v>
      </c>
      <c r="G63" s="1">
        <v>82.6</v>
      </c>
      <c r="H63" s="1">
        <v>16.2</v>
      </c>
      <c r="I63" s="1">
        <v>80.7</v>
      </c>
      <c r="J63" s="1">
        <v>15.9</v>
      </c>
      <c r="K63" s="1">
        <v>37.9</v>
      </c>
      <c r="L63" s="1">
        <v>6.7</v>
      </c>
      <c r="M63" s="1">
        <v>49.6</v>
      </c>
      <c r="N63" s="1">
        <v>5.4</v>
      </c>
      <c r="O63" s="1">
        <v>1.3</v>
      </c>
      <c r="P63" s="1">
        <v>0.1</v>
      </c>
      <c r="Q63" s="1">
        <v>50.3</v>
      </c>
      <c r="R63" s="1">
        <v>77.0</v>
      </c>
      <c r="S63" s="1">
        <v>9.1</v>
      </c>
      <c r="T63" s="1" t="s">
        <v>48</v>
      </c>
      <c r="U63" s="1" t="s">
        <v>49</v>
      </c>
      <c r="V63" s="1" t="s">
        <v>523</v>
      </c>
      <c r="W63" s="1" t="s">
        <v>524</v>
      </c>
      <c r="X63" s="1">
        <v>2020.0</v>
      </c>
      <c r="Y63" s="1" t="s">
        <v>28</v>
      </c>
      <c r="Z63" s="1" t="s">
        <v>53</v>
      </c>
    </row>
    <row r="64">
      <c r="A64" s="1" t="s">
        <v>525</v>
      </c>
      <c r="B64" s="1" t="s">
        <v>527</v>
      </c>
      <c r="C64" s="1" t="s">
        <v>43</v>
      </c>
      <c r="D64" s="1" t="s">
        <v>528</v>
      </c>
      <c r="E64" s="1" t="s">
        <v>43</v>
      </c>
      <c r="F64" s="1" t="s">
        <v>45</v>
      </c>
      <c r="G64" s="1">
        <v>62.3</v>
      </c>
      <c r="H64" s="1">
        <v>36.5</v>
      </c>
      <c r="I64" s="1">
        <v>55.1</v>
      </c>
      <c r="J64" s="1">
        <v>41.1</v>
      </c>
      <c r="K64" s="1">
        <v>32.8</v>
      </c>
      <c r="L64" s="1">
        <v>21.3</v>
      </c>
      <c r="M64" s="1">
        <v>29.8</v>
      </c>
      <c r="N64" s="1">
        <v>15.9</v>
      </c>
      <c r="O64" s="1">
        <v>2.1</v>
      </c>
      <c r="P64" s="1">
        <v>0.2</v>
      </c>
      <c r="Q64" s="1">
        <v>39.7</v>
      </c>
      <c r="R64" s="1">
        <v>48.2</v>
      </c>
      <c r="S64" s="1">
        <v>22.6</v>
      </c>
      <c r="T64" s="1" t="s">
        <v>48</v>
      </c>
      <c r="U64" s="1" t="s">
        <v>49</v>
      </c>
      <c r="V64" s="1" t="s">
        <v>534</v>
      </c>
      <c r="W64" s="1" t="s">
        <v>535</v>
      </c>
      <c r="X64" s="1">
        <v>2018.0</v>
      </c>
      <c r="Y64" s="1" t="s">
        <v>28</v>
      </c>
      <c r="Z64" s="1" t="s">
        <v>53</v>
      </c>
    </row>
    <row r="65">
      <c r="A65" s="1" t="s">
        <v>536</v>
      </c>
      <c r="B65" s="1" t="s">
        <v>537</v>
      </c>
      <c r="C65" s="1" t="s">
        <v>43</v>
      </c>
      <c r="D65" s="1" t="s">
        <v>538</v>
      </c>
      <c r="E65" s="1" t="s">
        <v>43</v>
      </c>
      <c r="F65" s="1" t="s">
        <v>45</v>
      </c>
      <c r="G65" s="1">
        <v>79.7</v>
      </c>
      <c r="H65" s="1">
        <v>19.3</v>
      </c>
      <c r="I65" s="1">
        <v>76.2</v>
      </c>
      <c r="J65" s="1">
        <v>21.6</v>
      </c>
      <c r="K65" s="1">
        <v>18.8</v>
      </c>
      <c r="L65" s="1">
        <v>10.5</v>
      </c>
      <c r="M65" s="1">
        <v>66.7</v>
      </c>
      <c r="N65" s="1">
        <v>3.8</v>
      </c>
      <c r="O65" s="1">
        <v>1.7</v>
      </c>
      <c r="P65" s="1">
        <v>0.1</v>
      </c>
      <c r="Q65" s="1">
        <v>28.6</v>
      </c>
      <c r="R65" s="1">
        <v>28.2</v>
      </c>
      <c r="S65" s="1">
        <v>16.7</v>
      </c>
      <c r="T65" s="1" t="s">
        <v>48</v>
      </c>
      <c r="U65" s="1" t="s">
        <v>49</v>
      </c>
      <c r="V65" s="1" t="s">
        <v>541</v>
      </c>
      <c r="W65" s="1" t="s">
        <v>348</v>
      </c>
      <c r="X65" s="1">
        <v>2002.0</v>
      </c>
      <c r="Y65" s="1" t="s">
        <v>28</v>
      </c>
      <c r="Z65" s="1" t="s">
        <v>53</v>
      </c>
    </row>
    <row r="66">
      <c r="A66" s="1" t="s">
        <v>542</v>
      </c>
      <c r="B66" s="1" t="s">
        <v>543</v>
      </c>
      <c r="C66" s="1" t="s">
        <v>43</v>
      </c>
      <c r="D66" s="1" t="s">
        <v>544</v>
      </c>
      <c r="E66" s="1" t="s">
        <v>43</v>
      </c>
      <c r="F66" s="1" t="s">
        <v>45</v>
      </c>
      <c r="G66" s="1">
        <v>63.9</v>
      </c>
      <c r="H66" s="1">
        <v>34.5</v>
      </c>
      <c r="I66" s="1">
        <v>63.1</v>
      </c>
      <c r="J66" s="1">
        <v>30.5</v>
      </c>
      <c r="K66" s="1">
        <v>16.1</v>
      </c>
      <c r="L66" s="1">
        <v>6.6</v>
      </c>
      <c r="M66" s="1">
        <v>3.1</v>
      </c>
      <c r="N66" s="1">
        <v>68.1</v>
      </c>
      <c r="O66" s="1">
        <v>1.9</v>
      </c>
      <c r="P66" s="1">
        <v>17.9</v>
      </c>
      <c r="Q66" s="1">
        <v>36.9</v>
      </c>
      <c r="R66" s="1">
        <v>51.4</v>
      </c>
      <c r="S66" s="1">
        <v>8.6</v>
      </c>
      <c r="T66" s="1" t="s">
        <v>48</v>
      </c>
      <c r="U66" s="1" t="s">
        <v>49</v>
      </c>
      <c r="V66" s="1" t="s">
        <v>548</v>
      </c>
      <c r="W66" s="1" t="s">
        <v>549</v>
      </c>
      <c r="X66" s="1" t="s">
        <v>550</v>
      </c>
      <c r="Y66" s="1" t="s">
        <v>75</v>
      </c>
      <c r="Z66" s="1" t="s">
        <v>53</v>
      </c>
    </row>
    <row r="67">
      <c r="A67" s="1" t="s">
        <v>551</v>
      </c>
      <c r="B67" s="1" t="s">
        <v>552</v>
      </c>
      <c r="C67" s="1" t="s">
        <v>43</v>
      </c>
      <c r="D67" s="1" t="s">
        <v>553</v>
      </c>
      <c r="E67" s="1" t="s">
        <v>43</v>
      </c>
      <c r="F67" s="1" t="s">
        <v>45</v>
      </c>
      <c r="G67" s="1">
        <v>63.6</v>
      </c>
      <c r="H67" s="1">
        <v>34.1</v>
      </c>
      <c r="I67" s="1">
        <v>61.4</v>
      </c>
      <c r="J67" s="1">
        <v>29.6</v>
      </c>
      <c r="K67" s="1">
        <v>31.8</v>
      </c>
      <c r="L67" s="1">
        <v>9.5</v>
      </c>
      <c r="M67" s="1">
        <v>2.4</v>
      </c>
      <c r="N67" s="1">
        <v>43.4</v>
      </c>
      <c r="O67" s="1">
        <v>3.0</v>
      </c>
      <c r="P67" s="1">
        <v>28.0</v>
      </c>
      <c r="Q67" s="1">
        <v>30.1</v>
      </c>
      <c r="R67" s="1">
        <v>43.3</v>
      </c>
      <c r="S67" s="1">
        <v>18.8</v>
      </c>
      <c r="T67" s="1" t="s">
        <v>48</v>
      </c>
      <c r="U67" s="1" t="s">
        <v>159</v>
      </c>
      <c r="V67" s="1" t="s">
        <v>556</v>
      </c>
      <c r="W67" s="1" t="s">
        <v>557</v>
      </c>
      <c r="Y67" s="1" t="s">
        <v>113</v>
      </c>
      <c r="Z67" s="1" t="s">
        <v>53</v>
      </c>
    </row>
    <row r="68">
      <c r="A68" s="1" t="s">
        <v>558</v>
      </c>
      <c r="B68" s="1" t="s">
        <v>559</v>
      </c>
      <c r="C68" s="1" t="s">
        <v>43</v>
      </c>
      <c r="D68" s="1" t="s">
        <v>560</v>
      </c>
      <c r="E68" s="1" t="s">
        <v>43</v>
      </c>
      <c r="F68" s="1" t="s">
        <v>45</v>
      </c>
      <c r="G68" s="1">
        <v>70.5</v>
      </c>
      <c r="H68" s="1">
        <v>28.1</v>
      </c>
      <c r="I68" s="1">
        <v>71.9</v>
      </c>
      <c r="J68" s="1">
        <v>24.0</v>
      </c>
      <c r="K68" s="1">
        <v>37.0</v>
      </c>
      <c r="L68" s="1">
        <v>7.9</v>
      </c>
      <c r="M68" s="1">
        <v>52.0</v>
      </c>
      <c r="N68" s="1">
        <v>2.6</v>
      </c>
      <c r="O68" s="1">
        <v>1.4</v>
      </c>
      <c r="P68" s="1">
        <v>0.1</v>
      </c>
      <c r="Q68" s="1">
        <v>30.3</v>
      </c>
      <c r="R68" s="1">
        <v>37.2</v>
      </c>
      <c r="S68" s="1">
        <v>24.7</v>
      </c>
      <c r="T68" s="1" t="s">
        <v>48</v>
      </c>
      <c r="U68" s="1" t="s">
        <v>159</v>
      </c>
      <c r="V68" s="1" t="s">
        <v>562</v>
      </c>
      <c r="W68" s="1" t="s">
        <v>563</v>
      </c>
      <c r="Y68" s="1" t="s">
        <v>28</v>
      </c>
      <c r="Z68" s="1" t="s">
        <v>53</v>
      </c>
    </row>
    <row r="69">
      <c r="A69" s="1" t="s">
        <v>564</v>
      </c>
      <c r="B69" s="1" t="s">
        <v>565</v>
      </c>
      <c r="C69" s="1" t="s">
        <v>43</v>
      </c>
      <c r="D69" s="1" t="s">
        <v>566</v>
      </c>
      <c r="E69" s="1" t="s">
        <v>43</v>
      </c>
      <c r="F69" s="1" t="s">
        <v>45</v>
      </c>
      <c r="G69" s="1">
        <v>69.3</v>
      </c>
      <c r="H69" s="1">
        <v>29.3</v>
      </c>
      <c r="I69" s="1">
        <v>69.1</v>
      </c>
      <c r="J69" s="1">
        <v>26.8</v>
      </c>
      <c r="K69" s="1">
        <v>36.3</v>
      </c>
      <c r="L69" s="1">
        <v>13.4</v>
      </c>
      <c r="M69" s="1">
        <v>48.4</v>
      </c>
      <c r="N69" s="1">
        <v>1.3</v>
      </c>
      <c r="O69" s="1">
        <v>1.8</v>
      </c>
      <c r="P69" s="1">
        <v>0.1</v>
      </c>
      <c r="Q69" s="1">
        <v>23.0</v>
      </c>
      <c r="R69" s="1">
        <v>22.6</v>
      </c>
      <c r="S69" s="1">
        <v>31.4</v>
      </c>
      <c r="T69" s="1" t="s">
        <v>48</v>
      </c>
      <c r="U69" s="1" t="s">
        <v>49</v>
      </c>
      <c r="V69" s="1" t="s">
        <v>570</v>
      </c>
      <c r="W69" s="1" t="s">
        <v>571</v>
      </c>
      <c r="X69" s="1" t="s">
        <v>572</v>
      </c>
      <c r="Y69" s="1" t="s">
        <v>28</v>
      </c>
      <c r="Z69" s="1" t="s">
        <v>53</v>
      </c>
    </row>
    <row r="70">
      <c r="A70" s="1" t="s">
        <v>574</v>
      </c>
      <c r="B70" s="1" t="s">
        <v>575</v>
      </c>
      <c r="C70" s="1" t="s">
        <v>43</v>
      </c>
      <c r="D70" s="1" t="s">
        <v>577</v>
      </c>
      <c r="E70" s="1" t="s">
        <v>43</v>
      </c>
      <c r="F70" s="1" t="s">
        <v>45</v>
      </c>
      <c r="G70" s="1">
        <v>69.7</v>
      </c>
      <c r="H70" s="1">
        <v>28.3</v>
      </c>
      <c r="I70" s="1">
        <v>69.1</v>
      </c>
      <c r="J70" s="1">
        <v>24.6</v>
      </c>
      <c r="K70" s="1">
        <v>42.8</v>
      </c>
      <c r="L70" s="1">
        <v>43.8</v>
      </c>
      <c r="M70" s="1">
        <v>6.0</v>
      </c>
      <c r="N70" s="1">
        <v>7.3</v>
      </c>
      <c r="O70" s="1">
        <v>3.5</v>
      </c>
      <c r="P70" s="1">
        <v>0.2</v>
      </c>
      <c r="Q70" s="1">
        <v>33.8</v>
      </c>
      <c r="R70" s="1">
        <v>47.8</v>
      </c>
      <c r="S70" s="1">
        <v>26.8</v>
      </c>
      <c r="T70" s="1" t="s">
        <v>48</v>
      </c>
      <c r="U70" s="1" t="s">
        <v>159</v>
      </c>
      <c r="V70" s="1" t="s">
        <v>579</v>
      </c>
      <c r="W70" s="1" t="s">
        <v>580</v>
      </c>
      <c r="Y70" s="1" t="s">
        <v>277</v>
      </c>
      <c r="Z70" s="1" t="s">
        <v>53</v>
      </c>
    </row>
    <row r="71">
      <c r="A71" s="1" t="s">
        <v>581</v>
      </c>
      <c r="B71" s="1" t="s">
        <v>582</v>
      </c>
      <c r="C71" s="1" t="s">
        <v>43</v>
      </c>
      <c r="D71" s="1" t="s">
        <v>583</v>
      </c>
      <c r="E71" s="1" t="s">
        <v>43</v>
      </c>
      <c r="F71" s="1" t="s">
        <v>45</v>
      </c>
      <c r="G71" s="1">
        <v>72.3</v>
      </c>
      <c r="H71" s="1">
        <v>25.9</v>
      </c>
      <c r="I71" s="1">
        <v>72.4</v>
      </c>
      <c r="J71" s="1">
        <v>21.7</v>
      </c>
      <c r="K71" s="1">
        <v>26.2</v>
      </c>
      <c r="L71" s="1">
        <v>63.2</v>
      </c>
      <c r="M71" s="1">
        <v>5.8</v>
      </c>
      <c r="N71" s="1">
        <v>4.7</v>
      </c>
      <c r="O71" s="1">
        <v>4.8</v>
      </c>
      <c r="P71" s="1">
        <v>0.1</v>
      </c>
      <c r="Q71" s="1">
        <v>22.2</v>
      </c>
      <c r="R71" s="1">
        <v>40.7</v>
      </c>
      <c r="S71" s="1">
        <v>20.9</v>
      </c>
      <c r="T71" s="1" t="s">
        <v>48</v>
      </c>
      <c r="U71" s="1" t="s">
        <v>49</v>
      </c>
      <c r="V71" s="1" t="s">
        <v>588</v>
      </c>
      <c r="W71" s="1" t="s">
        <v>589</v>
      </c>
      <c r="X71" s="1">
        <v>2018.0</v>
      </c>
      <c r="Y71" s="1" t="s">
        <v>83</v>
      </c>
      <c r="Z71" s="1" t="s">
        <v>53</v>
      </c>
    </row>
    <row r="72">
      <c r="A72" s="1" t="s">
        <v>590</v>
      </c>
      <c r="B72" s="1" t="s">
        <v>591</v>
      </c>
      <c r="C72" s="1" t="s">
        <v>43</v>
      </c>
      <c r="D72" s="1" t="s">
        <v>593</v>
      </c>
      <c r="E72" s="1" t="s">
        <v>43</v>
      </c>
      <c r="F72" s="1" t="s">
        <v>45</v>
      </c>
      <c r="G72" s="1">
        <v>68.9</v>
      </c>
      <c r="H72" s="1">
        <v>29.3</v>
      </c>
      <c r="I72" s="1">
        <v>65.5</v>
      </c>
      <c r="J72" s="1">
        <v>27.3</v>
      </c>
      <c r="K72" s="1">
        <v>73.3</v>
      </c>
      <c r="L72" s="1">
        <v>10.7</v>
      </c>
      <c r="M72" s="1">
        <v>3.3</v>
      </c>
      <c r="N72" s="1">
        <v>11.8</v>
      </c>
      <c r="O72" s="1">
        <v>1.2</v>
      </c>
      <c r="P72" s="1">
        <v>0.1</v>
      </c>
      <c r="Q72" s="1">
        <v>62.9</v>
      </c>
      <c r="R72" s="1">
        <v>65.8</v>
      </c>
      <c r="S72" s="1">
        <v>26.9</v>
      </c>
      <c r="T72" s="1" t="s">
        <v>48</v>
      </c>
      <c r="U72" s="1" t="s">
        <v>49</v>
      </c>
      <c r="V72" s="1" t="s">
        <v>95</v>
      </c>
      <c r="W72" s="1" t="s">
        <v>595</v>
      </c>
      <c r="X72" s="1">
        <v>2008.0</v>
      </c>
      <c r="Y72" s="1" t="s">
        <v>75</v>
      </c>
      <c r="Z72" s="1" t="s">
        <v>53</v>
      </c>
    </row>
    <row r="73">
      <c r="A73" s="1" t="s">
        <v>597</v>
      </c>
      <c r="B73" s="1" t="s">
        <v>598</v>
      </c>
      <c r="C73" s="1" t="s">
        <v>43</v>
      </c>
      <c r="D73" s="1" t="s">
        <v>599</v>
      </c>
      <c r="E73" s="1" t="s">
        <v>43</v>
      </c>
      <c r="F73" s="1" t="s">
        <v>45</v>
      </c>
      <c r="G73" s="1">
        <v>54.5</v>
      </c>
      <c r="H73" s="1">
        <v>43.6</v>
      </c>
      <c r="I73" s="1">
        <v>50.7</v>
      </c>
      <c r="J73" s="1">
        <v>42.4</v>
      </c>
      <c r="K73" s="1">
        <v>74.6</v>
      </c>
      <c r="L73" s="1">
        <v>11.8</v>
      </c>
      <c r="M73" s="1">
        <v>5.9</v>
      </c>
      <c r="N73" s="1">
        <v>6.5</v>
      </c>
      <c r="O73" s="1">
        <v>1.3</v>
      </c>
      <c r="P73" s="1">
        <v>0.1</v>
      </c>
      <c r="Q73" s="1">
        <v>42.8</v>
      </c>
      <c r="R73" s="1">
        <v>43.3</v>
      </c>
      <c r="S73" s="1">
        <v>44.7</v>
      </c>
      <c r="T73" s="1" t="s">
        <v>48</v>
      </c>
      <c r="U73" s="1" t="s">
        <v>49</v>
      </c>
      <c r="V73" s="1" t="s">
        <v>601</v>
      </c>
      <c r="W73" s="1" t="s">
        <v>602</v>
      </c>
      <c r="X73" s="1">
        <v>2018.0</v>
      </c>
      <c r="Y73" s="1" t="s">
        <v>75</v>
      </c>
      <c r="Z73" s="1" t="s">
        <v>53</v>
      </c>
    </row>
    <row r="74">
      <c r="A74" s="1" t="s">
        <v>603</v>
      </c>
      <c r="B74" s="1" t="s">
        <v>604</v>
      </c>
      <c r="C74" s="1" t="s">
        <v>43</v>
      </c>
      <c r="D74" s="1" t="s">
        <v>605</v>
      </c>
      <c r="E74" s="1" t="s">
        <v>43</v>
      </c>
      <c r="F74" s="1" t="s">
        <v>45</v>
      </c>
      <c r="G74" s="1">
        <v>85.6</v>
      </c>
      <c r="H74" s="1">
        <v>12.8</v>
      </c>
      <c r="I74" s="1">
        <v>85.8</v>
      </c>
      <c r="J74" s="1">
        <v>9.8</v>
      </c>
      <c r="K74" s="1">
        <v>32.7</v>
      </c>
      <c r="L74" s="1">
        <v>13.8</v>
      </c>
      <c r="M74" s="1">
        <v>43.0</v>
      </c>
      <c r="N74" s="1">
        <v>10.2</v>
      </c>
      <c r="O74" s="1">
        <v>1.5</v>
      </c>
      <c r="P74" s="1">
        <v>0.1</v>
      </c>
      <c r="Q74" s="1">
        <v>45.0</v>
      </c>
      <c r="R74" s="1">
        <v>75.6</v>
      </c>
      <c r="S74" s="1">
        <v>8.7</v>
      </c>
      <c r="T74" s="1" t="s">
        <v>48</v>
      </c>
      <c r="U74" s="1" t="s">
        <v>49</v>
      </c>
      <c r="V74" s="1" t="s">
        <v>606</v>
      </c>
      <c r="W74" s="1" t="s">
        <v>607</v>
      </c>
      <c r="X74" s="1">
        <v>1996.0</v>
      </c>
      <c r="Y74" s="1" t="s">
        <v>28</v>
      </c>
      <c r="Z74" s="1" t="s">
        <v>53</v>
      </c>
    </row>
    <row r="75">
      <c r="A75" s="1" t="s">
        <v>608</v>
      </c>
      <c r="B75" s="1" t="s">
        <v>609</v>
      </c>
      <c r="C75" s="1" t="s">
        <v>43</v>
      </c>
      <c r="D75" s="1" t="s">
        <v>610</v>
      </c>
      <c r="E75" s="1" t="s">
        <v>43</v>
      </c>
      <c r="F75" s="1" t="s">
        <v>45</v>
      </c>
      <c r="G75" s="1">
        <v>56.8</v>
      </c>
      <c r="H75" s="1">
        <v>41.4</v>
      </c>
      <c r="I75" s="1">
        <v>54.6</v>
      </c>
      <c r="J75" s="1">
        <v>38.9</v>
      </c>
      <c r="K75" s="1">
        <v>58.4</v>
      </c>
      <c r="L75" s="1">
        <v>20.7</v>
      </c>
      <c r="M75" s="1">
        <v>4.8</v>
      </c>
      <c r="N75" s="1">
        <v>15.2</v>
      </c>
      <c r="O75" s="1">
        <v>2.1</v>
      </c>
      <c r="P75" s="1">
        <v>0.1</v>
      </c>
      <c r="Q75" s="1">
        <v>37.5</v>
      </c>
      <c r="R75" s="1">
        <v>39.0</v>
      </c>
      <c r="S75" s="1">
        <v>41.4</v>
      </c>
      <c r="T75" s="1" t="s">
        <v>48</v>
      </c>
      <c r="U75" s="1" t="s">
        <v>49</v>
      </c>
      <c r="V75" s="1" t="s">
        <v>614</v>
      </c>
      <c r="W75" s="1" t="s">
        <v>615</v>
      </c>
      <c r="X75" s="1">
        <v>2016.0</v>
      </c>
      <c r="Y75" s="1" t="s">
        <v>105</v>
      </c>
      <c r="Z75" s="1" t="s">
        <v>53</v>
      </c>
    </row>
    <row r="76">
      <c r="A76" s="1" t="s">
        <v>616</v>
      </c>
      <c r="B76" s="1" t="s">
        <v>617</v>
      </c>
      <c r="C76" s="1" t="s">
        <v>43</v>
      </c>
      <c r="D76" s="1" t="s">
        <v>618</v>
      </c>
      <c r="E76" s="1" t="s">
        <v>43</v>
      </c>
      <c r="F76" s="1" t="s">
        <v>45</v>
      </c>
      <c r="G76" s="1">
        <v>69.9</v>
      </c>
      <c r="H76" s="1">
        <v>28.4</v>
      </c>
      <c r="I76" s="1">
        <v>68.2</v>
      </c>
      <c r="J76" s="1">
        <v>25.8</v>
      </c>
      <c r="K76" s="1">
        <v>61.6</v>
      </c>
      <c r="L76" s="1">
        <v>11.7</v>
      </c>
      <c r="M76" s="1">
        <v>9.7</v>
      </c>
      <c r="N76" s="1">
        <v>16.0</v>
      </c>
      <c r="O76" s="1">
        <v>1.5</v>
      </c>
      <c r="P76" s="1">
        <v>0.1</v>
      </c>
      <c r="Q76" s="1">
        <v>53.8</v>
      </c>
      <c r="R76" s="1">
        <v>59.1</v>
      </c>
      <c r="S76" s="1">
        <v>28.5</v>
      </c>
      <c r="T76" s="1" t="s">
        <v>48</v>
      </c>
      <c r="U76" s="1" t="s">
        <v>49</v>
      </c>
      <c r="V76" s="1" t="s">
        <v>619</v>
      </c>
      <c r="W76" s="1" t="s">
        <v>620</v>
      </c>
      <c r="X76" s="1">
        <v>1998.0</v>
      </c>
      <c r="Y76" s="1" t="s">
        <v>75</v>
      </c>
      <c r="Z76" s="1" t="s">
        <v>53</v>
      </c>
    </row>
    <row r="77">
      <c r="A77" s="1" t="s">
        <v>621</v>
      </c>
      <c r="B77" s="1" t="s">
        <v>622</v>
      </c>
      <c r="C77" s="1" t="s">
        <v>43</v>
      </c>
      <c r="D77" s="1" t="s">
        <v>623</v>
      </c>
      <c r="E77" s="1" t="s">
        <v>43</v>
      </c>
      <c r="F77" s="1" t="s">
        <v>45</v>
      </c>
      <c r="G77" s="1">
        <v>62.0</v>
      </c>
      <c r="H77" s="1">
        <v>36.1</v>
      </c>
      <c r="I77" s="1">
        <v>57.7</v>
      </c>
      <c r="J77" s="1">
        <v>34.9</v>
      </c>
      <c r="K77" s="1">
        <v>61.6</v>
      </c>
      <c r="L77" s="1">
        <v>21.2</v>
      </c>
      <c r="M77" s="1">
        <v>7.1</v>
      </c>
      <c r="N77" s="1">
        <v>8.7</v>
      </c>
      <c r="O77" s="1">
        <v>2.2</v>
      </c>
      <c r="P77" s="1">
        <v>0.2</v>
      </c>
      <c r="Q77" s="1">
        <v>45.4</v>
      </c>
      <c r="R77" s="1">
        <v>52.7</v>
      </c>
      <c r="S77" s="1">
        <v>33.9</v>
      </c>
      <c r="T77" s="1" t="s">
        <v>48</v>
      </c>
      <c r="U77" s="1" t="s">
        <v>49</v>
      </c>
      <c r="V77" s="1" t="s">
        <v>258</v>
      </c>
      <c r="W77" s="1" t="s">
        <v>624</v>
      </c>
      <c r="X77" s="1">
        <v>2016.0</v>
      </c>
      <c r="Y77" s="1" t="s">
        <v>75</v>
      </c>
      <c r="Z77" s="1" t="s">
        <v>53</v>
      </c>
    </row>
    <row r="78">
      <c r="A78" s="1" t="s">
        <v>625</v>
      </c>
      <c r="B78" s="1" t="s">
        <v>626</v>
      </c>
      <c r="C78" s="1" t="s">
        <v>43</v>
      </c>
      <c r="D78" s="1" t="s">
        <v>627</v>
      </c>
      <c r="E78" s="1" t="s">
        <v>43</v>
      </c>
      <c r="F78" s="1" t="s">
        <v>45</v>
      </c>
      <c r="G78" s="1">
        <v>56.6</v>
      </c>
      <c r="H78" s="1">
        <v>41.3</v>
      </c>
      <c r="I78" s="1">
        <v>51.7</v>
      </c>
      <c r="J78" s="1">
        <v>41.1</v>
      </c>
      <c r="K78" s="1">
        <v>66.6</v>
      </c>
      <c r="L78" s="1">
        <v>16.4</v>
      </c>
      <c r="M78" s="1">
        <v>6.6</v>
      </c>
      <c r="N78" s="1">
        <v>9.0</v>
      </c>
      <c r="O78" s="1">
        <v>1.8</v>
      </c>
      <c r="P78" s="1">
        <v>0.1</v>
      </c>
      <c r="Q78" s="1">
        <v>43.5</v>
      </c>
      <c r="R78" s="1">
        <v>46.8</v>
      </c>
      <c r="S78" s="1">
        <v>39.5</v>
      </c>
      <c r="T78" s="1" t="s">
        <v>48</v>
      </c>
      <c r="U78" s="1" t="s">
        <v>49</v>
      </c>
      <c r="V78" s="1" t="s">
        <v>347</v>
      </c>
      <c r="W78" s="1" t="s">
        <v>628</v>
      </c>
      <c r="X78" s="1" t="s">
        <v>629</v>
      </c>
      <c r="Y78" s="1" t="s">
        <v>75</v>
      </c>
      <c r="Z78" s="1" t="s">
        <v>53</v>
      </c>
    </row>
    <row r="79">
      <c r="A79" s="1" t="s">
        <v>630</v>
      </c>
      <c r="B79" s="1" t="s">
        <v>631</v>
      </c>
      <c r="C79" s="1" t="s">
        <v>632</v>
      </c>
      <c r="D79" s="1" t="s">
        <v>633</v>
      </c>
      <c r="E79" s="1" t="s">
        <v>43</v>
      </c>
      <c r="F79" s="1" t="s">
        <v>397</v>
      </c>
      <c r="G79" s="1">
        <v>54.4</v>
      </c>
      <c r="H79" s="1">
        <v>43.2</v>
      </c>
      <c r="I79" s="1">
        <v>50.6</v>
      </c>
      <c r="J79" s="1">
        <v>42.3</v>
      </c>
      <c r="K79" s="1">
        <v>67.8</v>
      </c>
      <c r="L79" s="1">
        <v>4.3</v>
      </c>
      <c r="M79" s="1">
        <v>20.3</v>
      </c>
      <c r="N79" s="1">
        <v>5.4</v>
      </c>
      <c r="O79" s="1">
        <v>2.1</v>
      </c>
      <c r="P79" s="1">
        <v>0.1</v>
      </c>
      <c r="Q79" s="1">
        <v>30.0</v>
      </c>
      <c r="R79" s="1">
        <v>31.9</v>
      </c>
      <c r="S79" s="1">
        <v>50.6</v>
      </c>
      <c r="T79" s="1" t="s">
        <v>48</v>
      </c>
      <c r="U79" s="1" t="s">
        <v>159</v>
      </c>
      <c r="V79" s="1" t="s">
        <v>634</v>
      </c>
      <c r="W79" s="1" t="s">
        <v>635</v>
      </c>
      <c r="Y79" s="1" t="s">
        <v>75</v>
      </c>
      <c r="Z79" s="1" t="s">
        <v>53</v>
      </c>
    </row>
    <row r="80">
      <c r="A80" s="1" t="s">
        <v>636</v>
      </c>
      <c r="B80" s="1" t="s">
        <v>637</v>
      </c>
      <c r="C80" s="1" t="s">
        <v>43</v>
      </c>
      <c r="D80" s="1" t="s">
        <v>638</v>
      </c>
      <c r="E80" s="1" t="s">
        <v>43</v>
      </c>
      <c r="F80" s="1" t="s">
        <v>45</v>
      </c>
      <c r="G80" s="1">
        <v>54.7</v>
      </c>
      <c r="H80" s="1">
        <v>43.3</v>
      </c>
      <c r="I80" s="1">
        <v>50.7</v>
      </c>
      <c r="J80" s="1">
        <v>42.1</v>
      </c>
      <c r="K80" s="1">
        <v>62.7</v>
      </c>
      <c r="L80" s="1">
        <v>20.1</v>
      </c>
      <c r="M80" s="1">
        <v>10.2</v>
      </c>
      <c r="N80" s="1">
        <v>5.7</v>
      </c>
      <c r="O80" s="1">
        <v>2.2</v>
      </c>
      <c r="P80" s="1">
        <v>0.1</v>
      </c>
      <c r="Q80" s="1">
        <v>31.5</v>
      </c>
      <c r="R80" s="1">
        <v>34.8</v>
      </c>
      <c r="S80" s="1">
        <v>45.5</v>
      </c>
      <c r="T80" s="1" t="s">
        <v>48</v>
      </c>
      <c r="U80" s="1" t="s">
        <v>49</v>
      </c>
      <c r="V80" s="1" t="s">
        <v>639</v>
      </c>
      <c r="W80" s="1" t="s">
        <v>640</v>
      </c>
      <c r="X80" s="1">
        <v>2018.0</v>
      </c>
      <c r="Y80" s="1" t="s">
        <v>28</v>
      </c>
      <c r="Z80" s="1" t="s">
        <v>53</v>
      </c>
    </row>
    <row r="81">
      <c r="A81" s="1" t="s">
        <v>641</v>
      </c>
      <c r="B81" s="1" t="s">
        <v>642</v>
      </c>
      <c r="C81" s="1" t="s">
        <v>43</v>
      </c>
      <c r="D81" s="1" t="s">
        <v>644</v>
      </c>
      <c r="E81" s="1" t="s">
        <v>43</v>
      </c>
      <c r="F81" s="1" t="s">
        <v>45</v>
      </c>
      <c r="G81" s="1">
        <v>52.7</v>
      </c>
      <c r="H81" s="1">
        <v>44.9</v>
      </c>
      <c r="I81" s="1">
        <v>49.6</v>
      </c>
      <c r="J81" s="1">
        <v>42.9</v>
      </c>
      <c r="K81" s="1">
        <v>72.0</v>
      </c>
      <c r="L81" s="1">
        <v>9.4</v>
      </c>
      <c r="M81" s="1">
        <v>14.2</v>
      </c>
      <c r="N81" s="1">
        <v>2.6</v>
      </c>
      <c r="O81" s="1">
        <v>2.0</v>
      </c>
      <c r="P81" s="1">
        <v>0.1</v>
      </c>
      <c r="Q81" s="1">
        <v>23.6</v>
      </c>
      <c r="R81" s="1">
        <v>25.7</v>
      </c>
      <c r="S81" s="1">
        <v>58.3</v>
      </c>
      <c r="T81" s="1" t="s">
        <v>48</v>
      </c>
      <c r="U81" s="1" t="s">
        <v>159</v>
      </c>
      <c r="V81" s="1" t="s">
        <v>151</v>
      </c>
      <c r="W81" s="1" t="s">
        <v>647</v>
      </c>
      <c r="Y81" s="1" t="s">
        <v>75</v>
      </c>
      <c r="Z81" s="1" t="s">
        <v>304</v>
      </c>
    </row>
    <row r="82">
      <c r="A82" s="1" t="s">
        <v>648</v>
      </c>
      <c r="B82" s="1" t="s">
        <v>649</v>
      </c>
      <c r="C82" s="1" t="s">
        <v>43</v>
      </c>
      <c r="D82" s="1" t="s">
        <v>650</v>
      </c>
      <c r="E82" s="1" t="s">
        <v>43</v>
      </c>
      <c r="F82" s="1" t="s">
        <v>45</v>
      </c>
      <c r="G82" s="1">
        <v>53.4</v>
      </c>
      <c r="H82" s="1">
        <v>45.0</v>
      </c>
      <c r="I82" s="1">
        <v>53.0</v>
      </c>
      <c r="J82" s="1">
        <v>41.2</v>
      </c>
      <c r="K82" s="1">
        <v>63.2</v>
      </c>
      <c r="L82" s="1">
        <v>14.3</v>
      </c>
      <c r="M82" s="1">
        <v>18.9</v>
      </c>
      <c r="N82" s="1">
        <v>1.8</v>
      </c>
      <c r="O82" s="1">
        <v>2.1</v>
      </c>
      <c r="P82" s="1">
        <v>0.1</v>
      </c>
      <c r="Q82" s="1">
        <v>24.0</v>
      </c>
      <c r="R82" s="1">
        <v>27.0</v>
      </c>
      <c r="S82" s="1">
        <v>49.4</v>
      </c>
      <c r="T82" s="1" t="s">
        <v>48</v>
      </c>
      <c r="U82" s="1" t="s">
        <v>49</v>
      </c>
      <c r="V82" s="1" t="s">
        <v>652</v>
      </c>
      <c r="W82" s="1" t="s">
        <v>653</v>
      </c>
      <c r="X82" s="1">
        <v>2020.0</v>
      </c>
      <c r="Y82" s="1" t="s">
        <v>75</v>
      </c>
      <c r="Z82" s="1" t="s">
        <v>53</v>
      </c>
    </row>
    <row r="83">
      <c r="A83" s="1" t="s">
        <v>654</v>
      </c>
      <c r="B83" s="1" t="s">
        <v>655</v>
      </c>
      <c r="C83" s="1" t="s">
        <v>43</v>
      </c>
      <c r="D83" s="1" t="s">
        <v>656</v>
      </c>
      <c r="E83" s="1" t="s">
        <v>43</v>
      </c>
      <c r="F83" s="1" t="s">
        <v>45</v>
      </c>
      <c r="G83" s="1">
        <v>70.3</v>
      </c>
      <c r="H83" s="1">
        <v>27.9</v>
      </c>
      <c r="I83" s="1">
        <v>64.7</v>
      </c>
      <c r="J83" s="1">
        <v>29.0</v>
      </c>
      <c r="K83" s="1">
        <v>50.4</v>
      </c>
      <c r="L83" s="1">
        <v>12.2</v>
      </c>
      <c r="M83" s="1">
        <v>33.4</v>
      </c>
      <c r="N83" s="1">
        <v>2.7</v>
      </c>
      <c r="O83" s="1">
        <v>2.0</v>
      </c>
      <c r="P83" s="1">
        <v>0.1</v>
      </c>
      <c r="Q83" s="1">
        <v>33.1</v>
      </c>
      <c r="R83" s="1">
        <v>42.8</v>
      </c>
      <c r="S83" s="1">
        <v>33.3</v>
      </c>
      <c r="T83" s="1" t="s">
        <v>48</v>
      </c>
      <c r="U83" s="1" t="s">
        <v>49</v>
      </c>
      <c r="V83" s="1" t="s">
        <v>657</v>
      </c>
      <c r="W83" s="1" t="s">
        <v>658</v>
      </c>
      <c r="X83" s="1" t="s">
        <v>659</v>
      </c>
      <c r="Y83" s="1" t="s">
        <v>28</v>
      </c>
      <c r="Z83" s="1" t="s">
        <v>53</v>
      </c>
    </row>
    <row r="84">
      <c r="A84" s="1" t="s">
        <v>660</v>
      </c>
      <c r="B84" s="1" t="s">
        <v>661</v>
      </c>
      <c r="C84" s="1" t="s">
        <v>43</v>
      </c>
      <c r="D84" s="1" t="s">
        <v>662</v>
      </c>
      <c r="E84" s="1" t="s">
        <v>43</v>
      </c>
      <c r="F84" s="1" t="s">
        <v>45</v>
      </c>
      <c r="G84" s="1">
        <v>51.2</v>
      </c>
      <c r="H84" s="1">
        <v>46.7</v>
      </c>
      <c r="I84" s="1">
        <v>42.9</v>
      </c>
      <c r="J84" s="1">
        <v>48.2</v>
      </c>
      <c r="K84" s="1">
        <v>77.9</v>
      </c>
      <c r="L84" s="1">
        <v>8.5</v>
      </c>
      <c r="M84" s="1">
        <v>5.4</v>
      </c>
      <c r="N84" s="1">
        <v>5.4</v>
      </c>
      <c r="O84" s="1">
        <v>2.5</v>
      </c>
      <c r="P84" s="1">
        <v>0.1</v>
      </c>
      <c r="Q84" s="1">
        <v>50.6</v>
      </c>
      <c r="R84" s="1">
        <v>52.6</v>
      </c>
      <c r="S84" s="1">
        <v>40.5</v>
      </c>
      <c r="T84" s="1" t="s">
        <v>48</v>
      </c>
      <c r="U84" s="1" t="s">
        <v>49</v>
      </c>
      <c r="V84" s="1" t="s">
        <v>663</v>
      </c>
      <c r="W84" s="1" t="s">
        <v>664</v>
      </c>
      <c r="X84" s="1">
        <v>2018.0</v>
      </c>
      <c r="Y84" s="1" t="s">
        <v>665</v>
      </c>
      <c r="Z84" s="1" t="s">
        <v>666</v>
      </c>
    </row>
    <row r="85">
      <c r="A85" s="1" t="s">
        <v>667</v>
      </c>
      <c r="B85" s="1" t="s">
        <v>668</v>
      </c>
      <c r="C85" s="1" t="s">
        <v>43</v>
      </c>
      <c r="D85" s="1" t="s">
        <v>669</v>
      </c>
      <c r="E85" s="1" t="s">
        <v>43</v>
      </c>
      <c r="F85" s="1" t="s">
        <v>45</v>
      </c>
      <c r="G85" s="1">
        <v>60.2</v>
      </c>
      <c r="H85" s="1">
        <v>37.9</v>
      </c>
      <c r="I85" s="1">
        <v>55.1</v>
      </c>
      <c r="J85" s="1">
        <v>39.7</v>
      </c>
      <c r="K85" s="1">
        <v>65.6</v>
      </c>
      <c r="L85" s="1">
        <v>6.9</v>
      </c>
      <c r="M85" s="1">
        <v>22.0</v>
      </c>
      <c r="N85" s="1">
        <v>3.7</v>
      </c>
      <c r="O85" s="1">
        <v>1.9</v>
      </c>
      <c r="P85" s="1">
        <v>0.2</v>
      </c>
      <c r="Q85" s="1">
        <v>32.8</v>
      </c>
      <c r="R85" s="1">
        <v>36.9</v>
      </c>
      <c r="S85" s="1">
        <v>45.9</v>
      </c>
      <c r="T85" s="1" t="s">
        <v>48</v>
      </c>
      <c r="U85" s="1" t="s">
        <v>159</v>
      </c>
      <c r="V85" s="1" t="s">
        <v>670</v>
      </c>
      <c r="W85" s="1" t="s">
        <v>671</v>
      </c>
      <c r="Y85" s="1" t="s">
        <v>75</v>
      </c>
      <c r="Z85" s="1" t="s">
        <v>53</v>
      </c>
    </row>
    <row r="86">
      <c r="A86" s="1" t="s">
        <v>672</v>
      </c>
      <c r="B86" s="1" t="s">
        <v>673</v>
      </c>
      <c r="C86" s="1" t="s">
        <v>43</v>
      </c>
      <c r="D86" s="1" t="s">
        <v>674</v>
      </c>
      <c r="E86" s="1" t="s">
        <v>43</v>
      </c>
      <c r="F86" s="1" t="s">
        <v>45</v>
      </c>
      <c r="G86" s="1">
        <v>75.4</v>
      </c>
      <c r="H86" s="1">
        <v>22.9</v>
      </c>
      <c r="I86" s="1">
        <v>74.6</v>
      </c>
      <c r="J86" s="1">
        <v>22.2</v>
      </c>
      <c r="K86" s="1">
        <v>29.8</v>
      </c>
      <c r="L86" s="1">
        <v>7.8</v>
      </c>
      <c r="M86" s="1">
        <v>58.6</v>
      </c>
      <c r="N86" s="1">
        <v>3.3</v>
      </c>
      <c r="O86" s="1">
        <v>1.5</v>
      </c>
      <c r="P86" s="1">
        <v>0.1</v>
      </c>
      <c r="Q86" s="1">
        <v>24.8</v>
      </c>
      <c r="R86" s="1">
        <v>37.9</v>
      </c>
      <c r="S86" s="1">
        <v>19.5</v>
      </c>
      <c r="T86" s="1" t="s">
        <v>48</v>
      </c>
      <c r="U86" s="1" t="s">
        <v>49</v>
      </c>
      <c r="V86" s="1" t="s">
        <v>678</v>
      </c>
      <c r="W86" s="1" t="s">
        <v>679</v>
      </c>
      <c r="X86" s="1" t="s">
        <v>469</v>
      </c>
      <c r="Y86" s="1" t="s">
        <v>28</v>
      </c>
      <c r="Z86" s="1" t="s">
        <v>53</v>
      </c>
    </row>
    <row r="87">
      <c r="A87" s="1" t="s">
        <v>680</v>
      </c>
      <c r="B87" s="1" t="s">
        <v>681</v>
      </c>
      <c r="C87" s="1" t="s">
        <v>43</v>
      </c>
      <c r="D87" s="1" t="s">
        <v>682</v>
      </c>
      <c r="E87" s="1" t="s">
        <v>43</v>
      </c>
      <c r="F87" s="1" t="s">
        <v>45</v>
      </c>
      <c r="G87" s="1">
        <v>60.0</v>
      </c>
      <c r="H87" s="1">
        <v>37.2</v>
      </c>
      <c r="I87" s="1">
        <v>53.8</v>
      </c>
      <c r="J87" s="1">
        <v>39.4</v>
      </c>
      <c r="K87" s="1">
        <v>91.0</v>
      </c>
      <c r="L87" s="1">
        <v>1.8</v>
      </c>
      <c r="M87" s="1">
        <v>2.3</v>
      </c>
      <c r="N87" s="1">
        <v>2.1</v>
      </c>
      <c r="O87" s="1">
        <v>1.8</v>
      </c>
      <c r="P87" s="1">
        <v>0.1</v>
      </c>
      <c r="Q87" s="1">
        <v>39.2</v>
      </c>
      <c r="R87" s="1">
        <v>39.5</v>
      </c>
      <c r="S87" s="1">
        <v>57.3</v>
      </c>
      <c r="T87" s="1" t="s">
        <v>48</v>
      </c>
      <c r="U87" s="1" t="s">
        <v>49</v>
      </c>
      <c r="V87" s="1" t="s">
        <v>684</v>
      </c>
      <c r="W87" s="1" t="s">
        <v>685</v>
      </c>
      <c r="X87" s="1">
        <v>2008.0</v>
      </c>
      <c r="Y87" s="1" t="s">
        <v>75</v>
      </c>
      <c r="Z87" s="1" t="s">
        <v>53</v>
      </c>
    </row>
    <row r="88">
      <c r="A88" s="1" t="s">
        <v>686</v>
      </c>
      <c r="B88" s="1" t="s">
        <v>687</v>
      </c>
      <c r="C88" s="1" t="s">
        <v>43</v>
      </c>
      <c r="D88" s="1" t="s">
        <v>688</v>
      </c>
      <c r="E88" s="1" t="s">
        <v>43</v>
      </c>
      <c r="F88" s="1" t="s">
        <v>45</v>
      </c>
      <c r="G88" s="1">
        <v>59.4</v>
      </c>
      <c r="H88" s="1">
        <v>38.6</v>
      </c>
      <c r="I88" s="1">
        <v>52.3</v>
      </c>
      <c r="J88" s="1">
        <v>41.2</v>
      </c>
      <c r="K88" s="1">
        <v>62.4</v>
      </c>
      <c r="L88" s="1">
        <v>5.1</v>
      </c>
      <c r="M88" s="1">
        <v>24.3</v>
      </c>
      <c r="N88" s="1">
        <v>6.9</v>
      </c>
      <c r="O88" s="1">
        <v>1.6</v>
      </c>
      <c r="P88" s="1">
        <v>0.1</v>
      </c>
      <c r="Q88" s="1">
        <v>30.8</v>
      </c>
      <c r="R88" s="1">
        <v>32.2</v>
      </c>
      <c r="S88" s="1">
        <v>46.9</v>
      </c>
      <c r="T88" s="1" t="s">
        <v>48</v>
      </c>
      <c r="U88" s="1" t="s">
        <v>49</v>
      </c>
      <c r="V88" s="1" t="s">
        <v>689</v>
      </c>
      <c r="W88" s="1" t="s">
        <v>690</v>
      </c>
      <c r="X88" s="1">
        <v>2002.0</v>
      </c>
      <c r="Y88" s="1" t="s">
        <v>75</v>
      </c>
      <c r="Z88" s="1" t="s">
        <v>53</v>
      </c>
    </row>
    <row r="89">
      <c r="A89" s="1" t="s">
        <v>691</v>
      </c>
      <c r="B89" s="1" t="s">
        <v>692</v>
      </c>
      <c r="C89" s="1" t="s">
        <v>43</v>
      </c>
      <c r="D89" s="1" t="s">
        <v>693</v>
      </c>
      <c r="E89" s="1" t="s">
        <v>43</v>
      </c>
      <c r="F89" s="1" t="s">
        <v>45</v>
      </c>
      <c r="G89" s="1">
        <v>61.7</v>
      </c>
      <c r="H89" s="1">
        <v>36.2</v>
      </c>
      <c r="I89" s="1">
        <v>53.2</v>
      </c>
      <c r="J89" s="1">
        <v>39.5</v>
      </c>
      <c r="K89" s="1">
        <v>60.6</v>
      </c>
      <c r="L89" s="1">
        <v>7.6</v>
      </c>
      <c r="M89" s="1">
        <v>18.4</v>
      </c>
      <c r="N89" s="1">
        <v>11.9</v>
      </c>
      <c r="O89" s="1">
        <v>1.8</v>
      </c>
      <c r="P89" s="1">
        <v>0.2</v>
      </c>
      <c r="Q89" s="1">
        <v>53.4</v>
      </c>
      <c r="R89" s="1">
        <v>56.3</v>
      </c>
      <c r="S89" s="1">
        <v>29.9</v>
      </c>
      <c r="T89" s="1" t="s">
        <v>48</v>
      </c>
      <c r="U89" s="1" t="s">
        <v>49</v>
      </c>
      <c r="V89" s="1" t="s">
        <v>120</v>
      </c>
      <c r="W89" s="1" t="s">
        <v>694</v>
      </c>
      <c r="X89" s="1">
        <v>2006.0</v>
      </c>
      <c r="Y89" s="1" t="s">
        <v>75</v>
      </c>
      <c r="Z89" s="1" t="s">
        <v>53</v>
      </c>
    </row>
    <row r="90">
      <c r="A90" s="1" t="s">
        <v>695</v>
      </c>
      <c r="B90" s="1" t="s">
        <v>696</v>
      </c>
      <c r="C90" s="1" t="s">
        <v>43</v>
      </c>
      <c r="D90" s="1" t="s">
        <v>698</v>
      </c>
      <c r="E90" s="1" t="s">
        <v>43</v>
      </c>
      <c r="F90" s="1" t="s">
        <v>45</v>
      </c>
      <c r="G90" s="1">
        <v>89.6</v>
      </c>
      <c r="H90" s="1">
        <v>8.7</v>
      </c>
      <c r="I90" s="1">
        <v>89.2</v>
      </c>
      <c r="J90" s="1">
        <v>7.4</v>
      </c>
      <c r="K90" s="1">
        <v>12.3</v>
      </c>
      <c r="L90" s="1">
        <v>22.0</v>
      </c>
      <c r="M90" s="1">
        <v>59.8</v>
      </c>
      <c r="N90" s="1">
        <v>6.4</v>
      </c>
      <c r="O90" s="1">
        <v>2.5</v>
      </c>
      <c r="P90" s="1">
        <v>0.2</v>
      </c>
      <c r="Q90" s="1">
        <v>36.0</v>
      </c>
      <c r="R90" s="1">
        <v>54.9</v>
      </c>
      <c r="S90" s="1">
        <v>7.0</v>
      </c>
      <c r="T90" s="1" t="s">
        <v>48</v>
      </c>
      <c r="U90" s="1" t="s">
        <v>159</v>
      </c>
      <c r="V90" s="1" t="s">
        <v>701</v>
      </c>
      <c r="W90" s="1" t="s">
        <v>702</v>
      </c>
      <c r="Y90" s="1" t="s">
        <v>28</v>
      </c>
      <c r="Z90" s="1" t="s">
        <v>53</v>
      </c>
    </row>
    <row r="91">
      <c r="A91" s="1" t="s">
        <v>704</v>
      </c>
      <c r="B91" s="1" t="s">
        <v>705</v>
      </c>
      <c r="C91" s="1" t="s">
        <v>43</v>
      </c>
      <c r="D91" s="1" t="s">
        <v>706</v>
      </c>
      <c r="E91" s="1" t="s">
        <v>43</v>
      </c>
      <c r="F91" s="1" t="s">
        <v>45</v>
      </c>
      <c r="G91" s="1">
        <v>67.4</v>
      </c>
      <c r="H91" s="1">
        <v>30.9</v>
      </c>
      <c r="I91" s="1">
        <v>59.2</v>
      </c>
      <c r="J91" s="1">
        <v>35.3</v>
      </c>
      <c r="K91" s="1">
        <v>45.7</v>
      </c>
      <c r="L91" s="1">
        <v>6.0</v>
      </c>
      <c r="M91" s="1">
        <v>43.0</v>
      </c>
      <c r="N91" s="1">
        <v>4.2</v>
      </c>
      <c r="O91" s="1">
        <v>2.2</v>
      </c>
      <c r="P91" s="1">
        <v>0.2</v>
      </c>
      <c r="Q91" s="1">
        <v>35.8</v>
      </c>
      <c r="R91" s="1">
        <v>37.5</v>
      </c>
      <c r="S91" s="1">
        <v>31.7</v>
      </c>
      <c r="T91" s="1" t="s">
        <v>48</v>
      </c>
      <c r="U91" s="1" t="s">
        <v>49</v>
      </c>
      <c r="V91" s="1" t="s">
        <v>707</v>
      </c>
      <c r="W91" s="1" t="s">
        <v>708</v>
      </c>
      <c r="X91" s="1" t="s">
        <v>709</v>
      </c>
      <c r="Y91" s="1" t="s">
        <v>75</v>
      </c>
      <c r="Z91" s="1" t="s">
        <v>53</v>
      </c>
    </row>
    <row r="92">
      <c r="A92" s="1" t="s">
        <v>710</v>
      </c>
      <c r="B92" s="1" t="s">
        <v>711</v>
      </c>
      <c r="C92" s="1" t="s">
        <v>43</v>
      </c>
      <c r="D92" s="1" t="s">
        <v>712</v>
      </c>
      <c r="E92" s="1" t="s">
        <v>43</v>
      </c>
      <c r="F92" s="1" t="s">
        <v>45</v>
      </c>
      <c r="G92" s="1">
        <v>53.9</v>
      </c>
      <c r="H92" s="1">
        <v>44.1</v>
      </c>
      <c r="I92" s="1">
        <v>47.4</v>
      </c>
      <c r="J92" s="1">
        <v>46.2</v>
      </c>
      <c r="K92" s="1">
        <v>63.6</v>
      </c>
      <c r="L92" s="1">
        <v>11.6</v>
      </c>
      <c r="M92" s="1">
        <v>13.9</v>
      </c>
      <c r="N92" s="1">
        <v>9.4</v>
      </c>
      <c r="O92" s="1">
        <v>2.0</v>
      </c>
      <c r="P92" s="1">
        <v>0.2</v>
      </c>
      <c r="Q92" s="1">
        <v>44.3</v>
      </c>
      <c r="R92" s="1">
        <v>44.0</v>
      </c>
      <c r="S92" s="1">
        <v>40.3</v>
      </c>
      <c r="T92" s="1" t="s">
        <v>48</v>
      </c>
      <c r="U92" s="1" t="s">
        <v>49</v>
      </c>
      <c r="V92" s="1" t="s">
        <v>541</v>
      </c>
      <c r="W92" s="1" t="s">
        <v>713</v>
      </c>
      <c r="X92" s="1">
        <v>2018.0</v>
      </c>
      <c r="Y92" s="1" t="s">
        <v>75</v>
      </c>
      <c r="Z92" s="1" t="s">
        <v>53</v>
      </c>
    </row>
    <row r="93">
      <c r="A93" s="1" t="s">
        <v>714</v>
      </c>
      <c r="B93" s="1" t="s">
        <v>715</v>
      </c>
      <c r="C93" s="1" t="s">
        <v>43</v>
      </c>
      <c r="D93" s="1" t="s">
        <v>716</v>
      </c>
      <c r="E93" s="1" t="s">
        <v>43</v>
      </c>
      <c r="F93" s="1" t="s">
        <v>45</v>
      </c>
      <c r="G93" s="1">
        <v>81.0</v>
      </c>
      <c r="H93" s="1">
        <v>17.5</v>
      </c>
      <c r="I93" s="1">
        <v>77.7</v>
      </c>
      <c r="J93" s="1">
        <v>17.6</v>
      </c>
      <c r="K93" s="1">
        <v>32.5</v>
      </c>
      <c r="L93" s="1">
        <v>7.2</v>
      </c>
      <c r="M93" s="1">
        <v>54.7</v>
      </c>
      <c r="N93" s="1">
        <v>4.8</v>
      </c>
      <c r="O93" s="1">
        <v>1.8</v>
      </c>
      <c r="P93" s="1">
        <v>0.1</v>
      </c>
      <c r="Q93" s="1">
        <v>38.3</v>
      </c>
      <c r="R93" s="1">
        <v>54.7</v>
      </c>
      <c r="S93" s="1">
        <v>16.1</v>
      </c>
      <c r="T93" s="1" t="s">
        <v>48</v>
      </c>
      <c r="U93" s="1" t="s">
        <v>49</v>
      </c>
      <c r="V93" s="1" t="s">
        <v>718</v>
      </c>
      <c r="W93" s="1" t="s">
        <v>719</v>
      </c>
      <c r="X93" s="1" t="s">
        <v>720</v>
      </c>
      <c r="Y93" s="1" t="s">
        <v>28</v>
      </c>
      <c r="Z93" s="1" t="s">
        <v>53</v>
      </c>
    </row>
    <row r="94">
      <c r="A94" s="1" t="s">
        <v>721</v>
      </c>
      <c r="B94" s="1" t="s">
        <v>722</v>
      </c>
      <c r="C94" s="1" t="s">
        <v>43</v>
      </c>
      <c r="D94" s="1" t="s">
        <v>723</v>
      </c>
      <c r="E94" s="1" t="s">
        <v>43</v>
      </c>
      <c r="F94" s="1" t="s">
        <v>45</v>
      </c>
      <c r="G94" s="1">
        <v>80.5</v>
      </c>
      <c r="H94" s="1">
        <v>17.9</v>
      </c>
      <c r="I94" s="1">
        <v>75.7</v>
      </c>
      <c r="J94" s="1">
        <v>18.4</v>
      </c>
      <c r="K94" s="1">
        <v>46.9</v>
      </c>
      <c r="L94" s="1">
        <v>17.9</v>
      </c>
      <c r="M94" s="1">
        <v>18.2</v>
      </c>
      <c r="N94" s="1">
        <v>16.0</v>
      </c>
      <c r="O94" s="1">
        <v>1.7</v>
      </c>
      <c r="P94" s="1">
        <v>0.2</v>
      </c>
      <c r="Q94" s="1">
        <v>53.3</v>
      </c>
      <c r="R94" s="1">
        <v>57.5</v>
      </c>
      <c r="S94" s="1">
        <v>24.0</v>
      </c>
      <c r="T94" s="1" t="s">
        <v>48</v>
      </c>
      <c r="U94" s="1" t="s">
        <v>49</v>
      </c>
      <c r="V94" s="1" t="s">
        <v>725</v>
      </c>
      <c r="W94" s="1" t="s">
        <v>726</v>
      </c>
      <c r="X94" s="1">
        <v>2016.0</v>
      </c>
      <c r="Y94" s="1" t="s">
        <v>75</v>
      </c>
      <c r="Z94" s="1" t="s">
        <v>53</v>
      </c>
    </row>
    <row r="95">
      <c r="A95" s="1" t="s">
        <v>727</v>
      </c>
      <c r="B95" s="1" t="s">
        <v>728</v>
      </c>
      <c r="C95" s="1" t="s">
        <v>43</v>
      </c>
      <c r="D95" s="1" t="s">
        <v>729</v>
      </c>
      <c r="E95" s="1" t="s">
        <v>43</v>
      </c>
      <c r="F95" s="1" t="s">
        <v>45</v>
      </c>
      <c r="G95" s="1">
        <v>59.8</v>
      </c>
      <c r="H95" s="1">
        <v>38.2</v>
      </c>
      <c r="I95" s="1">
        <v>54.9</v>
      </c>
      <c r="J95" s="1">
        <v>37.4</v>
      </c>
      <c r="K95" s="1">
        <v>73.2</v>
      </c>
      <c r="L95" s="1">
        <v>15.8</v>
      </c>
      <c r="M95" s="1">
        <v>7.3</v>
      </c>
      <c r="N95" s="1">
        <v>2.7</v>
      </c>
      <c r="O95" s="1">
        <v>1.8</v>
      </c>
      <c r="P95" s="1">
        <v>0.2</v>
      </c>
      <c r="Q95" s="1">
        <v>30.1</v>
      </c>
      <c r="R95" s="1">
        <v>33.2</v>
      </c>
      <c r="S95" s="1">
        <v>51.6</v>
      </c>
      <c r="T95" s="1" t="s">
        <v>48</v>
      </c>
      <c r="U95" s="1" t="s">
        <v>49</v>
      </c>
      <c r="V95" s="1" t="s">
        <v>730</v>
      </c>
      <c r="W95" s="1" t="s">
        <v>731</v>
      </c>
      <c r="X95" s="1">
        <v>1988.0</v>
      </c>
      <c r="Y95" s="1" t="s">
        <v>75</v>
      </c>
      <c r="Z95" s="1" t="s">
        <v>53</v>
      </c>
    </row>
    <row r="96">
      <c r="A96" s="1" t="s">
        <v>732</v>
      </c>
      <c r="B96" s="1" t="s">
        <v>733</v>
      </c>
      <c r="C96" s="1" t="s">
        <v>43</v>
      </c>
      <c r="D96" s="1" t="s">
        <v>734</v>
      </c>
      <c r="E96" s="1" t="s">
        <v>43</v>
      </c>
      <c r="F96" s="1" t="s">
        <v>45</v>
      </c>
      <c r="G96" s="1">
        <v>64.3</v>
      </c>
      <c r="H96" s="1">
        <v>33.5</v>
      </c>
      <c r="I96" s="1">
        <v>57.5</v>
      </c>
      <c r="J96" s="1">
        <v>33.9</v>
      </c>
      <c r="K96" s="1">
        <v>73.9</v>
      </c>
      <c r="L96" s="1">
        <v>9.6</v>
      </c>
      <c r="M96" s="1">
        <v>6.5</v>
      </c>
      <c r="N96" s="1">
        <v>7.8</v>
      </c>
      <c r="O96" s="1">
        <v>1.4</v>
      </c>
      <c r="P96" s="1">
        <v>0.1</v>
      </c>
      <c r="Q96" s="1">
        <v>44.0</v>
      </c>
      <c r="R96" s="1">
        <v>45.1</v>
      </c>
      <c r="S96" s="1">
        <v>45.2</v>
      </c>
      <c r="T96" s="1" t="s">
        <v>48</v>
      </c>
      <c r="U96" s="1" t="s">
        <v>49</v>
      </c>
      <c r="V96" s="1" t="s">
        <v>426</v>
      </c>
      <c r="W96" s="1" t="s">
        <v>735</v>
      </c>
      <c r="X96" s="1">
        <v>1996.0</v>
      </c>
      <c r="Y96" s="1" t="s">
        <v>75</v>
      </c>
      <c r="Z96" s="1" t="s">
        <v>53</v>
      </c>
    </row>
    <row r="97">
      <c r="A97" s="1" t="s">
        <v>737</v>
      </c>
      <c r="B97" s="1" t="s">
        <v>739</v>
      </c>
      <c r="C97" s="1" t="s">
        <v>43</v>
      </c>
      <c r="D97" s="1" t="s">
        <v>740</v>
      </c>
      <c r="E97" s="1" t="s">
        <v>43</v>
      </c>
      <c r="F97" s="1" t="s">
        <v>45</v>
      </c>
      <c r="G97" s="1">
        <v>62.7</v>
      </c>
      <c r="H97" s="1">
        <v>35.3</v>
      </c>
      <c r="I97" s="1">
        <v>56.7</v>
      </c>
      <c r="J97" s="1">
        <v>35.4</v>
      </c>
      <c r="K97" s="1">
        <v>64.3</v>
      </c>
      <c r="L97" s="1">
        <v>19.5</v>
      </c>
      <c r="M97" s="1">
        <v>6.3</v>
      </c>
      <c r="N97" s="1">
        <v>8.5</v>
      </c>
      <c r="O97" s="1">
        <v>1.4</v>
      </c>
      <c r="P97" s="1">
        <v>0.2</v>
      </c>
      <c r="Q97" s="1">
        <v>37.3</v>
      </c>
      <c r="R97" s="1">
        <v>41.7</v>
      </c>
      <c r="S97" s="1">
        <v>43.4</v>
      </c>
      <c r="T97" s="1" t="s">
        <v>48</v>
      </c>
      <c r="U97" s="1" t="s">
        <v>49</v>
      </c>
      <c r="V97" s="1" t="s">
        <v>745</v>
      </c>
      <c r="W97" s="1" t="s">
        <v>746</v>
      </c>
      <c r="X97" s="1">
        <v>2018.0</v>
      </c>
      <c r="Y97" s="1" t="s">
        <v>747</v>
      </c>
      <c r="Z97" s="1" t="s">
        <v>53</v>
      </c>
    </row>
    <row r="98">
      <c r="A98" s="1" t="s">
        <v>748</v>
      </c>
      <c r="B98" s="1" t="s">
        <v>749</v>
      </c>
      <c r="C98" s="1" t="s">
        <v>43</v>
      </c>
      <c r="D98" s="1" t="s">
        <v>751</v>
      </c>
      <c r="E98" s="1" t="s">
        <v>43</v>
      </c>
      <c r="F98" s="1" t="s">
        <v>45</v>
      </c>
      <c r="G98" s="1">
        <v>63.3</v>
      </c>
      <c r="H98" s="1">
        <v>34.8</v>
      </c>
      <c r="I98" s="1">
        <v>57.6</v>
      </c>
      <c r="J98" s="1">
        <v>35.0</v>
      </c>
      <c r="K98" s="1">
        <v>80.6</v>
      </c>
      <c r="L98" s="1">
        <v>5.1</v>
      </c>
      <c r="M98" s="1">
        <v>4.6</v>
      </c>
      <c r="N98" s="1">
        <v>7.1</v>
      </c>
      <c r="O98" s="1">
        <v>1.0</v>
      </c>
      <c r="P98" s="1">
        <v>0.1</v>
      </c>
      <c r="Q98" s="1">
        <v>47.8</v>
      </c>
      <c r="R98" s="1">
        <v>47.6</v>
      </c>
      <c r="S98" s="1">
        <v>45.7</v>
      </c>
      <c r="T98" s="1" t="s">
        <v>48</v>
      </c>
      <c r="U98" s="1" t="s">
        <v>49</v>
      </c>
      <c r="V98" s="1" t="s">
        <v>753</v>
      </c>
      <c r="W98" s="1" t="s">
        <v>754</v>
      </c>
      <c r="X98" s="1">
        <v>2020.0</v>
      </c>
      <c r="Y98" s="1" t="s">
        <v>75</v>
      </c>
      <c r="Z98" s="1" t="s">
        <v>53</v>
      </c>
    </row>
    <row r="99">
      <c r="A99" s="1" t="s">
        <v>756</v>
      </c>
      <c r="B99" s="1" t="s">
        <v>758</v>
      </c>
      <c r="C99" s="1" t="s">
        <v>43</v>
      </c>
      <c r="D99" s="1" t="s">
        <v>760</v>
      </c>
      <c r="E99" s="1" t="s">
        <v>43</v>
      </c>
      <c r="F99" s="1" t="s">
        <v>45</v>
      </c>
      <c r="G99" s="1">
        <v>74.8</v>
      </c>
      <c r="H99" s="1">
        <v>23.6</v>
      </c>
      <c r="I99" s="1">
        <v>68.6</v>
      </c>
      <c r="J99" s="1">
        <v>24.9</v>
      </c>
      <c r="K99" s="1">
        <v>66.9</v>
      </c>
      <c r="L99" s="1">
        <v>9.4</v>
      </c>
      <c r="M99" s="1">
        <v>6.3</v>
      </c>
      <c r="N99" s="1">
        <v>13.8</v>
      </c>
      <c r="O99" s="1">
        <v>0.9</v>
      </c>
      <c r="P99" s="1">
        <v>0.1</v>
      </c>
      <c r="Q99" s="1">
        <v>59.1</v>
      </c>
      <c r="R99" s="1">
        <v>61.2</v>
      </c>
      <c r="S99" s="1">
        <v>30.5</v>
      </c>
      <c r="T99" s="1" t="s">
        <v>48</v>
      </c>
      <c r="U99" s="1" t="s">
        <v>49</v>
      </c>
      <c r="V99" s="1" t="s">
        <v>761</v>
      </c>
      <c r="W99" s="1" t="s">
        <v>762</v>
      </c>
      <c r="X99" s="1" t="s">
        <v>572</v>
      </c>
      <c r="Y99" s="1" t="s">
        <v>75</v>
      </c>
      <c r="Z99" s="1" t="s">
        <v>53</v>
      </c>
    </row>
    <row r="100">
      <c r="A100" s="1" t="s">
        <v>763</v>
      </c>
      <c r="B100" s="1" t="s">
        <v>764</v>
      </c>
      <c r="C100" s="1" t="s">
        <v>43</v>
      </c>
      <c r="D100" s="1" t="s">
        <v>765</v>
      </c>
      <c r="E100" s="1" t="s">
        <v>43</v>
      </c>
      <c r="F100" s="1" t="s">
        <v>45</v>
      </c>
      <c r="G100" s="1">
        <v>62.9</v>
      </c>
      <c r="H100" s="1">
        <v>35.3</v>
      </c>
      <c r="I100" s="1">
        <v>55.4</v>
      </c>
      <c r="J100" s="1">
        <v>37.3</v>
      </c>
      <c r="K100" s="1">
        <v>79.6</v>
      </c>
      <c r="L100" s="1">
        <v>9.2</v>
      </c>
      <c r="M100" s="1">
        <v>4.4</v>
      </c>
      <c r="N100" s="1">
        <v>5.3</v>
      </c>
      <c r="O100" s="1">
        <v>1.1</v>
      </c>
      <c r="P100" s="1">
        <v>0.1</v>
      </c>
      <c r="Q100" s="1">
        <v>47.5</v>
      </c>
      <c r="R100" s="1">
        <v>49.7</v>
      </c>
      <c r="S100" s="1">
        <v>43.4</v>
      </c>
      <c r="T100" s="1" t="s">
        <v>48</v>
      </c>
      <c r="U100" s="1" t="s">
        <v>49</v>
      </c>
      <c r="V100" s="1" t="s">
        <v>767</v>
      </c>
      <c r="W100" s="1" t="s">
        <v>768</v>
      </c>
      <c r="X100" s="1">
        <v>2014.0</v>
      </c>
      <c r="Y100" s="1" t="s">
        <v>75</v>
      </c>
      <c r="Z100" s="1" t="s">
        <v>53</v>
      </c>
    </row>
    <row r="101">
      <c r="A101" s="1" t="s">
        <v>772</v>
      </c>
      <c r="B101" s="1" t="s">
        <v>773</v>
      </c>
      <c r="C101" s="1" t="s">
        <v>43</v>
      </c>
      <c r="D101" s="1" t="s">
        <v>774</v>
      </c>
      <c r="E101" s="1" t="s">
        <v>43</v>
      </c>
      <c r="F101" s="1" t="s">
        <v>45</v>
      </c>
      <c r="G101" s="1">
        <v>85.5</v>
      </c>
      <c r="H101" s="1">
        <v>13.1</v>
      </c>
      <c r="I101" s="1">
        <v>83.2</v>
      </c>
      <c r="J101" s="1">
        <v>11.6</v>
      </c>
      <c r="K101" s="1">
        <v>42.2</v>
      </c>
      <c r="L101" s="1">
        <v>19.4</v>
      </c>
      <c r="M101" s="1">
        <v>24.3</v>
      </c>
      <c r="N101" s="1">
        <v>13.8</v>
      </c>
      <c r="O101" s="1">
        <v>1.4</v>
      </c>
      <c r="P101" s="1">
        <v>0.2</v>
      </c>
      <c r="Q101" s="1">
        <v>46.6</v>
      </c>
      <c r="R101" s="1">
        <v>66.6</v>
      </c>
      <c r="S101" s="1">
        <v>17.0</v>
      </c>
      <c r="T101" s="1" t="s">
        <v>48</v>
      </c>
      <c r="U101" s="1" t="s">
        <v>49</v>
      </c>
      <c r="V101" s="1" t="s">
        <v>776</v>
      </c>
      <c r="W101" s="1" t="s">
        <v>777</v>
      </c>
      <c r="X101" s="1">
        <v>2018.0</v>
      </c>
      <c r="Y101" s="1" t="s">
        <v>28</v>
      </c>
      <c r="Z101" s="1" t="s">
        <v>53</v>
      </c>
    </row>
    <row r="102">
      <c r="A102" s="1" t="s">
        <v>778</v>
      </c>
      <c r="B102" s="1" t="s">
        <v>779</v>
      </c>
      <c r="C102" s="1" t="s">
        <v>43</v>
      </c>
      <c r="D102" s="1" t="s">
        <v>780</v>
      </c>
      <c r="E102" s="1" t="s">
        <v>43</v>
      </c>
      <c r="F102" s="1" t="s">
        <v>45</v>
      </c>
      <c r="G102" s="1">
        <v>66.9</v>
      </c>
      <c r="H102" s="1">
        <v>31.4</v>
      </c>
      <c r="I102" s="1">
        <v>60.5</v>
      </c>
      <c r="J102" s="1">
        <v>32.9</v>
      </c>
      <c r="K102" s="1">
        <v>69.1</v>
      </c>
      <c r="L102" s="1">
        <v>6.0</v>
      </c>
      <c r="M102" s="1">
        <v>12.3</v>
      </c>
      <c r="N102" s="1">
        <v>10.2</v>
      </c>
      <c r="O102" s="1">
        <v>0.9</v>
      </c>
      <c r="P102" s="1">
        <v>0.1</v>
      </c>
      <c r="Q102" s="1">
        <v>49.3</v>
      </c>
      <c r="R102" s="1">
        <v>53.0</v>
      </c>
      <c r="S102" s="1">
        <v>36.4</v>
      </c>
      <c r="T102" s="1" t="s">
        <v>48</v>
      </c>
      <c r="U102" s="1" t="s">
        <v>49</v>
      </c>
      <c r="V102" s="1" t="s">
        <v>781</v>
      </c>
      <c r="W102" s="1" t="s">
        <v>782</v>
      </c>
      <c r="X102" s="1" t="s">
        <v>783</v>
      </c>
      <c r="Y102" s="1" t="s">
        <v>75</v>
      </c>
      <c r="Z102" s="1" t="s">
        <v>53</v>
      </c>
    </row>
    <row r="103">
      <c r="A103" s="1" t="s">
        <v>784</v>
      </c>
      <c r="B103" s="1" t="s">
        <v>785</v>
      </c>
      <c r="C103" s="1" t="s">
        <v>43</v>
      </c>
      <c r="D103" s="1" t="s">
        <v>786</v>
      </c>
      <c r="E103" s="1" t="s">
        <v>43</v>
      </c>
      <c r="F103" s="1" t="s">
        <v>45</v>
      </c>
      <c r="G103" s="1">
        <v>58.2</v>
      </c>
      <c r="H103" s="1">
        <v>40.0</v>
      </c>
      <c r="I103" s="1">
        <v>51.4</v>
      </c>
      <c r="J103" s="1">
        <v>41.5</v>
      </c>
      <c r="K103" s="1">
        <v>85.2</v>
      </c>
      <c r="L103" s="1">
        <v>4.8</v>
      </c>
      <c r="M103" s="1">
        <v>4.5</v>
      </c>
      <c r="N103" s="1">
        <v>1.7</v>
      </c>
      <c r="O103" s="1">
        <v>1.3</v>
      </c>
      <c r="P103" s="1">
        <v>0.1</v>
      </c>
      <c r="Q103" s="1">
        <v>39.2</v>
      </c>
      <c r="R103" s="1">
        <v>40.9</v>
      </c>
      <c r="S103" s="1">
        <v>53.9</v>
      </c>
      <c r="T103" s="1" t="s">
        <v>48</v>
      </c>
      <c r="U103" s="1" t="s">
        <v>49</v>
      </c>
      <c r="V103" s="1" t="s">
        <v>347</v>
      </c>
      <c r="W103" s="1" t="s">
        <v>789</v>
      </c>
      <c r="X103" s="1">
        <v>2010.0</v>
      </c>
      <c r="Y103" s="1" t="s">
        <v>75</v>
      </c>
      <c r="Z103" s="1" t="s">
        <v>53</v>
      </c>
    </row>
    <row r="104">
      <c r="A104" s="1" t="s">
        <v>790</v>
      </c>
      <c r="B104" s="1" t="s">
        <v>791</v>
      </c>
      <c r="C104" s="1" t="s">
        <v>632</v>
      </c>
      <c r="D104" s="1" t="s">
        <v>792</v>
      </c>
      <c r="E104" s="1" t="s">
        <v>43</v>
      </c>
      <c r="F104" s="1" t="s">
        <v>397</v>
      </c>
      <c r="G104" s="1">
        <v>53.3</v>
      </c>
      <c r="H104" s="1">
        <v>44.8</v>
      </c>
      <c r="I104" s="1">
        <v>46.7</v>
      </c>
      <c r="J104" s="1">
        <v>46.6</v>
      </c>
      <c r="K104" s="1">
        <v>74.0</v>
      </c>
      <c r="L104" s="1">
        <v>8.8</v>
      </c>
      <c r="M104" s="1">
        <v>11.7</v>
      </c>
      <c r="N104" s="1">
        <v>3.5</v>
      </c>
      <c r="O104" s="1">
        <v>2.1</v>
      </c>
      <c r="P104" s="1">
        <v>0.1</v>
      </c>
      <c r="Q104" s="1">
        <v>35.2</v>
      </c>
      <c r="R104" s="1">
        <v>39.1</v>
      </c>
      <c r="S104" s="1">
        <v>48.5</v>
      </c>
      <c r="T104" s="1" t="s">
        <v>48</v>
      </c>
      <c r="U104" s="1" t="s">
        <v>159</v>
      </c>
      <c r="V104" s="1" t="s">
        <v>793</v>
      </c>
      <c r="W104" s="1" t="s">
        <v>794</v>
      </c>
      <c r="Y104" s="1" t="s">
        <v>75</v>
      </c>
      <c r="Z104" s="1" t="s">
        <v>53</v>
      </c>
    </row>
    <row r="105">
      <c r="A105" s="1" t="s">
        <v>795</v>
      </c>
      <c r="B105" s="1" t="s">
        <v>797</v>
      </c>
      <c r="C105" s="1" t="s">
        <v>43</v>
      </c>
      <c r="D105" s="1" t="s">
        <v>798</v>
      </c>
      <c r="E105" s="1" t="s">
        <v>43</v>
      </c>
      <c r="F105" s="1" t="s">
        <v>45</v>
      </c>
      <c r="G105" s="1">
        <v>62.7</v>
      </c>
      <c r="H105" s="1">
        <v>36.0</v>
      </c>
      <c r="I105" s="1">
        <v>58.0</v>
      </c>
      <c r="J105" s="1">
        <v>37.2</v>
      </c>
      <c r="K105" s="1">
        <v>71.5</v>
      </c>
      <c r="L105" s="1">
        <v>4.3</v>
      </c>
      <c r="M105" s="1">
        <v>10.8</v>
      </c>
      <c r="N105" s="1">
        <v>11.1</v>
      </c>
      <c r="O105" s="1">
        <v>1.8</v>
      </c>
      <c r="P105" s="1">
        <v>0.1</v>
      </c>
      <c r="Q105" s="1">
        <v>49.8</v>
      </c>
      <c r="R105" s="1">
        <v>49.0</v>
      </c>
      <c r="S105" s="1">
        <v>40.0</v>
      </c>
      <c r="T105" s="1" t="s">
        <v>48</v>
      </c>
      <c r="U105" s="1" t="s">
        <v>49</v>
      </c>
      <c r="V105" s="1" t="s">
        <v>503</v>
      </c>
      <c r="W105" s="1" t="s">
        <v>800</v>
      </c>
      <c r="X105" s="1">
        <v>2014.0</v>
      </c>
      <c r="Y105" s="1" t="s">
        <v>75</v>
      </c>
      <c r="Z105" s="1" t="s">
        <v>53</v>
      </c>
    </row>
    <row r="106">
      <c r="A106" s="1" t="s">
        <v>802</v>
      </c>
      <c r="B106" s="1" t="s">
        <v>803</v>
      </c>
      <c r="C106" s="1" t="s">
        <v>43</v>
      </c>
      <c r="D106" s="1" t="s">
        <v>804</v>
      </c>
      <c r="E106" s="1" t="s">
        <v>43</v>
      </c>
      <c r="F106" s="1" t="s">
        <v>45</v>
      </c>
      <c r="G106" s="1">
        <v>49.4</v>
      </c>
      <c r="H106" s="1">
        <v>48.9</v>
      </c>
      <c r="I106" s="1">
        <v>45.1</v>
      </c>
      <c r="J106" s="1">
        <v>48.9</v>
      </c>
      <c r="K106" s="1">
        <v>82.0</v>
      </c>
      <c r="L106" s="1">
        <v>4.8</v>
      </c>
      <c r="M106" s="1">
        <v>6.8</v>
      </c>
      <c r="N106" s="1">
        <v>3.8</v>
      </c>
      <c r="O106" s="1">
        <v>2.2</v>
      </c>
      <c r="P106" s="1">
        <v>0.1</v>
      </c>
      <c r="Q106" s="1">
        <v>34.9</v>
      </c>
      <c r="R106" s="1">
        <v>34.9</v>
      </c>
      <c r="S106" s="1">
        <v>56.3</v>
      </c>
      <c r="T106" s="1" t="s">
        <v>48</v>
      </c>
      <c r="U106" s="1" t="s">
        <v>49</v>
      </c>
      <c r="V106" s="1" t="s">
        <v>805</v>
      </c>
      <c r="W106" s="1" t="s">
        <v>806</v>
      </c>
      <c r="X106" s="1">
        <v>2018.0</v>
      </c>
      <c r="Y106" s="1" t="s">
        <v>75</v>
      </c>
      <c r="Z106" s="1" t="s">
        <v>53</v>
      </c>
    </row>
    <row r="107">
      <c r="A107" s="1" t="s">
        <v>807</v>
      </c>
      <c r="B107" s="1" t="s">
        <v>808</v>
      </c>
      <c r="C107" s="1" t="s">
        <v>43</v>
      </c>
      <c r="D107" s="1" t="s">
        <v>809</v>
      </c>
      <c r="E107" s="1" t="s">
        <v>43</v>
      </c>
      <c r="F107" s="1" t="s">
        <v>45</v>
      </c>
      <c r="G107" s="1">
        <v>50.3</v>
      </c>
      <c r="H107" s="1">
        <v>48.2</v>
      </c>
      <c r="I107" s="1">
        <v>48.0</v>
      </c>
      <c r="J107" s="1">
        <v>46.9</v>
      </c>
      <c r="K107" s="1">
        <v>76.2</v>
      </c>
      <c r="L107" s="1">
        <v>4.4</v>
      </c>
      <c r="M107" s="1">
        <v>15.2</v>
      </c>
      <c r="N107" s="1">
        <v>1.5</v>
      </c>
      <c r="O107" s="1">
        <v>2.3</v>
      </c>
      <c r="P107" s="1">
        <v>0.1</v>
      </c>
      <c r="Q107" s="1">
        <v>22.9</v>
      </c>
      <c r="R107" s="1">
        <v>24.4</v>
      </c>
      <c r="S107" s="1">
        <v>59.5</v>
      </c>
      <c r="T107" s="1" t="s">
        <v>48</v>
      </c>
      <c r="U107" s="1" t="s">
        <v>49</v>
      </c>
      <c r="V107" s="1" t="s">
        <v>811</v>
      </c>
      <c r="W107" s="1" t="s">
        <v>812</v>
      </c>
      <c r="X107" s="1">
        <v>2012.0</v>
      </c>
      <c r="Y107" s="1" t="s">
        <v>75</v>
      </c>
      <c r="Z107" s="1" t="s">
        <v>53</v>
      </c>
    </row>
    <row r="108">
      <c r="A108" s="1" t="s">
        <v>813</v>
      </c>
      <c r="B108" s="1" t="s">
        <v>814</v>
      </c>
      <c r="C108" s="1" t="s">
        <v>43</v>
      </c>
      <c r="D108" s="1" t="s">
        <v>816</v>
      </c>
      <c r="E108" s="1" t="s">
        <v>43</v>
      </c>
      <c r="F108" s="1" t="s">
        <v>45</v>
      </c>
      <c r="G108" s="1">
        <v>59.3</v>
      </c>
      <c r="H108" s="1">
        <v>39.4</v>
      </c>
      <c r="I108" s="1">
        <v>54.5</v>
      </c>
      <c r="J108" s="1">
        <v>40.6</v>
      </c>
      <c r="K108" s="1">
        <v>70.9</v>
      </c>
      <c r="L108" s="1">
        <v>4.5</v>
      </c>
      <c r="M108" s="1">
        <v>13.6</v>
      </c>
      <c r="N108" s="1">
        <v>9.1</v>
      </c>
      <c r="O108" s="1">
        <v>1.5</v>
      </c>
      <c r="P108" s="1">
        <v>0.1</v>
      </c>
      <c r="Q108" s="1">
        <v>47.7</v>
      </c>
      <c r="R108" s="1">
        <v>48.3</v>
      </c>
      <c r="S108" s="1">
        <v>39.2</v>
      </c>
      <c r="T108" s="1" t="s">
        <v>48</v>
      </c>
      <c r="U108" s="1" t="s">
        <v>49</v>
      </c>
      <c r="V108" s="1" t="s">
        <v>817</v>
      </c>
      <c r="W108" s="1" t="s">
        <v>818</v>
      </c>
      <c r="X108" s="1">
        <v>2018.0</v>
      </c>
      <c r="Y108" s="1" t="s">
        <v>75</v>
      </c>
      <c r="Z108" s="1" t="s">
        <v>53</v>
      </c>
    </row>
    <row r="109">
      <c r="A109" s="1" t="s">
        <v>819</v>
      </c>
      <c r="B109" s="1" t="s">
        <v>771</v>
      </c>
      <c r="C109" s="1" t="s">
        <v>43</v>
      </c>
      <c r="D109" s="1" t="s">
        <v>820</v>
      </c>
      <c r="E109" s="1" t="s">
        <v>43</v>
      </c>
      <c r="F109" s="1" t="s">
        <v>45</v>
      </c>
      <c r="G109" s="1">
        <v>73.7</v>
      </c>
      <c r="H109" s="1">
        <v>25.2</v>
      </c>
      <c r="I109" s="1">
        <v>71.8</v>
      </c>
      <c r="J109" s="1">
        <v>24.6</v>
      </c>
      <c r="K109" s="1">
        <v>47.5</v>
      </c>
      <c r="L109" s="1">
        <v>2.9</v>
      </c>
      <c r="M109" s="1">
        <v>45.7</v>
      </c>
      <c r="N109" s="1">
        <v>2.6</v>
      </c>
      <c r="O109" s="1">
        <v>1.6</v>
      </c>
      <c r="P109" s="1">
        <v>0.1</v>
      </c>
      <c r="Q109" s="1">
        <v>25.5</v>
      </c>
      <c r="R109" s="1">
        <v>30.7</v>
      </c>
      <c r="S109" s="1">
        <v>33.2</v>
      </c>
      <c r="T109" s="1" t="s">
        <v>48</v>
      </c>
      <c r="U109" s="1" t="s">
        <v>49</v>
      </c>
      <c r="V109" s="1" t="s">
        <v>769</v>
      </c>
      <c r="W109" s="1" t="s">
        <v>770</v>
      </c>
      <c r="X109" s="1">
        <v>2018.0</v>
      </c>
      <c r="Y109" s="1" t="s">
        <v>823</v>
      </c>
      <c r="Z109" s="1" t="s">
        <v>53</v>
      </c>
    </row>
    <row r="110">
      <c r="A110" s="1" t="s">
        <v>824</v>
      </c>
      <c r="B110" s="1" t="s">
        <v>825</v>
      </c>
      <c r="C110" s="1" t="s">
        <v>43</v>
      </c>
      <c r="D110" s="1" t="s">
        <v>826</v>
      </c>
      <c r="E110" s="1" t="s">
        <v>43</v>
      </c>
      <c r="F110" s="1" t="s">
        <v>45</v>
      </c>
      <c r="G110" s="1">
        <v>74.2</v>
      </c>
      <c r="H110" s="1">
        <v>24.6</v>
      </c>
      <c r="I110" s="1">
        <v>74.1</v>
      </c>
      <c r="J110" s="1">
        <v>22.7</v>
      </c>
      <c r="K110" s="1">
        <v>39.5</v>
      </c>
      <c r="L110" s="1">
        <v>8.8</v>
      </c>
      <c r="M110" s="1">
        <v>46.9</v>
      </c>
      <c r="N110" s="1">
        <v>3.5</v>
      </c>
      <c r="O110" s="1">
        <v>2.1</v>
      </c>
      <c r="P110" s="1">
        <v>0.1</v>
      </c>
      <c r="Q110" s="1">
        <v>20.5</v>
      </c>
      <c r="R110" s="1">
        <v>28.0</v>
      </c>
      <c r="S110" s="1">
        <v>30.4</v>
      </c>
      <c r="T110" s="1" t="s">
        <v>48</v>
      </c>
      <c r="U110" s="1" t="s">
        <v>159</v>
      </c>
      <c r="V110" s="1" t="s">
        <v>827</v>
      </c>
      <c r="W110" s="1" t="s">
        <v>828</v>
      </c>
      <c r="Y110" s="1" t="s">
        <v>105</v>
      </c>
      <c r="Z110" s="1" t="s">
        <v>53</v>
      </c>
    </row>
    <row r="111">
      <c r="A111" s="1" t="s">
        <v>829</v>
      </c>
      <c r="B111" s="1" t="s">
        <v>830</v>
      </c>
      <c r="C111" s="1" t="s">
        <v>43</v>
      </c>
      <c r="D111" s="1" t="s">
        <v>831</v>
      </c>
      <c r="E111" s="1" t="s">
        <v>43</v>
      </c>
      <c r="F111" s="1" t="s">
        <v>45</v>
      </c>
      <c r="G111" s="1">
        <v>52.5</v>
      </c>
      <c r="H111" s="1">
        <v>45.4</v>
      </c>
      <c r="I111" s="1">
        <v>45.0</v>
      </c>
      <c r="J111" s="1">
        <v>46.0</v>
      </c>
      <c r="K111" s="1">
        <v>79.0</v>
      </c>
      <c r="L111" s="1">
        <v>6.4</v>
      </c>
      <c r="M111" s="1">
        <v>6.1</v>
      </c>
      <c r="N111" s="1">
        <v>6.2</v>
      </c>
      <c r="O111" s="1">
        <v>1.8</v>
      </c>
      <c r="P111" s="1">
        <v>0.1</v>
      </c>
      <c r="Q111" s="1">
        <v>40.9</v>
      </c>
      <c r="R111" s="1">
        <v>42.4</v>
      </c>
      <c r="S111" s="1">
        <v>49.4</v>
      </c>
      <c r="T111" s="1" t="s">
        <v>48</v>
      </c>
      <c r="U111" s="1" t="s">
        <v>49</v>
      </c>
      <c r="V111" s="1" t="s">
        <v>833</v>
      </c>
      <c r="W111" s="1" t="s">
        <v>835</v>
      </c>
      <c r="X111" s="1">
        <v>2018.0</v>
      </c>
      <c r="Y111" s="1" t="s">
        <v>75</v>
      </c>
      <c r="Z111" s="1" t="s">
        <v>666</v>
      </c>
    </row>
    <row r="112">
      <c r="A112" s="1" t="s">
        <v>837</v>
      </c>
      <c r="B112" s="1" t="s">
        <v>838</v>
      </c>
      <c r="C112" s="1" t="s">
        <v>43</v>
      </c>
      <c r="D112" s="1" t="s">
        <v>839</v>
      </c>
      <c r="E112" s="1" t="s">
        <v>43</v>
      </c>
      <c r="F112" s="1" t="s">
        <v>45</v>
      </c>
      <c r="G112" s="1">
        <v>59.5</v>
      </c>
      <c r="H112" s="1">
        <v>38.5</v>
      </c>
      <c r="I112" s="1">
        <v>51.1</v>
      </c>
      <c r="J112" s="1">
        <v>40.1</v>
      </c>
      <c r="K112" s="1">
        <v>75.8</v>
      </c>
      <c r="L112" s="1">
        <v>4.3</v>
      </c>
      <c r="M112" s="1">
        <v>9.1</v>
      </c>
      <c r="N112" s="1">
        <v>8.9</v>
      </c>
      <c r="O112" s="1">
        <v>1.5</v>
      </c>
      <c r="P112" s="1">
        <v>0.1</v>
      </c>
      <c r="Q112" s="1">
        <v>49.5</v>
      </c>
      <c r="R112" s="1">
        <v>51.8</v>
      </c>
      <c r="S112" s="1">
        <v>40.3</v>
      </c>
      <c r="T112" s="1" t="s">
        <v>48</v>
      </c>
      <c r="U112" s="1" t="s">
        <v>49</v>
      </c>
      <c r="V112" s="1" t="s">
        <v>841</v>
      </c>
      <c r="W112" s="1" t="s">
        <v>842</v>
      </c>
      <c r="X112" s="1">
        <v>2018.0</v>
      </c>
      <c r="Y112" s="1" t="s">
        <v>75</v>
      </c>
      <c r="Z112" s="1" t="s">
        <v>53</v>
      </c>
    </row>
    <row r="113">
      <c r="A113" s="1" t="s">
        <v>844</v>
      </c>
      <c r="B113" s="1" t="s">
        <v>847</v>
      </c>
      <c r="C113" s="1" t="s">
        <v>43</v>
      </c>
      <c r="D113" s="1" t="s">
        <v>849</v>
      </c>
      <c r="E113" s="1" t="s">
        <v>43</v>
      </c>
      <c r="F113" s="1" t="s">
        <v>45</v>
      </c>
      <c r="G113" s="1">
        <v>67.8</v>
      </c>
      <c r="H113" s="1">
        <v>30.2</v>
      </c>
      <c r="I113" s="1">
        <v>61.1</v>
      </c>
      <c r="J113" s="1">
        <v>30.0</v>
      </c>
      <c r="K113" s="1">
        <v>67.9</v>
      </c>
      <c r="L113" s="1">
        <v>6.2</v>
      </c>
      <c r="M113" s="1">
        <v>11.0</v>
      </c>
      <c r="N113" s="1">
        <v>12.8</v>
      </c>
      <c r="O113" s="1">
        <v>2.1</v>
      </c>
      <c r="P113" s="1">
        <v>0.2</v>
      </c>
      <c r="Q113" s="1">
        <v>44.5</v>
      </c>
      <c r="R113" s="1">
        <v>50.1</v>
      </c>
      <c r="S113" s="1">
        <v>37.5</v>
      </c>
      <c r="T113" s="1" t="s">
        <v>48</v>
      </c>
      <c r="U113" s="1" t="s">
        <v>49</v>
      </c>
      <c r="V113" s="1" t="s">
        <v>852</v>
      </c>
      <c r="W113" s="1" t="s">
        <v>853</v>
      </c>
      <c r="X113" s="1">
        <v>2000.0</v>
      </c>
      <c r="Y113" s="1" t="s">
        <v>75</v>
      </c>
      <c r="Z113" s="1" t="s">
        <v>53</v>
      </c>
    </row>
    <row r="114">
      <c r="A114" s="1" t="s">
        <v>854</v>
      </c>
      <c r="B114" s="1" t="s">
        <v>836</v>
      </c>
      <c r="C114" s="1" t="s">
        <v>43</v>
      </c>
      <c r="D114" s="1" t="s">
        <v>855</v>
      </c>
      <c r="E114" s="1" t="s">
        <v>43</v>
      </c>
      <c r="F114" s="1" t="s">
        <v>45</v>
      </c>
      <c r="G114" s="1">
        <v>80.6</v>
      </c>
      <c r="H114" s="1">
        <v>17.4</v>
      </c>
      <c r="I114" s="1">
        <v>73.3</v>
      </c>
      <c r="J114" s="1">
        <v>18.1</v>
      </c>
      <c r="K114" s="1">
        <v>65.4</v>
      </c>
      <c r="L114" s="1">
        <v>8.6</v>
      </c>
      <c r="M114" s="1">
        <v>16.5</v>
      </c>
      <c r="N114" s="1">
        <v>7.1</v>
      </c>
      <c r="O114" s="1">
        <v>2.8</v>
      </c>
      <c r="P114" s="1">
        <v>0.2</v>
      </c>
      <c r="Q114" s="1">
        <v>47.7</v>
      </c>
      <c r="R114" s="1">
        <v>56.7</v>
      </c>
      <c r="S114" s="1">
        <v>31.6</v>
      </c>
      <c r="T114" s="1" t="s">
        <v>48</v>
      </c>
      <c r="U114" s="1" t="s">
        <v>49</v>
      </c>
      <c r="V114" s="1" t="s">
        <v>832</v>
      </c>
      <c r="W114" s="1" t="s">
        <v>834</v>
      </c>
      <c r="X114" s="1">
        <v>2018.0</v>
      </c>
      <c r="Y114" s="1" t="s">
        <v>856</v>
      </c>
      <c r="Z114" s="1" t="s">
        <v>53</v>
      </c>
    </row>
    <row r="115">
      <c r="A115" s="1" t="s">
        <v>857</v>
      </c>
      <c r="B115" s="1" t="s">
        <v>858</v>
      </c>
      <c r="C115" s="1" t="s">
        <v>43</v>
      </c>
      <c r="D115" s="1" t="s">
        <v>859</v>
      </c>
      <c r="E115" s="1" t="s">
        <v>43</v>
      </c>
      <c r="F115" s="1" t="s">
        <v>45</v>
      </c>
      <c r="G115" s="1">
        <v>62.5</v>
      </c>
      <c r="H115" s="1">
        <v>36.4</v>
      </c>
      <c r="I115" s="1">
        <v>62.3</v>
      </c>
      <c r="J115" s="1">
        <v>36.4</v>
      </c>
      <c r="K115" s="1">
        <v>34.3</v>
      </c>
      <c r="L115" s="1">
        <v>2.1</v>
      </c>
      <c r="M115" s="1">
        <v>62.1</v>
      </c>
      <c r="N115" s="1">
        <v>0.8</v>
      </c>
      <c r="O115" s="1">
        <v>1.1</v>
      </c>
      <c r="P115" s="1">
        <v>0.1</v>
      </c>
      <c r="Q115" s="1">
        <v>19.8</v>
      </c>
      <c r="R115" s="1">
        <v>25.5</v>
      </c>
      <c r="S115" s="1">
        <v>25.5</v>
      </c>
      <c r="T115" s="1" t="s">
        <v>48</v>
      </c>
      <c r="U115" s="1" t="s">
        <v>49</v>
      </c>
      <c r="V115" s="1" t="s">
        <v>860</v>
      </c>
      <c r="W115" s="1" t="s">
        <v>96</v>
      </c>
      <c r="X115" s="1" t="s">
        <v>861</v>
      </c>
      <c r="Y115" s="1" t="s">
        <v>28</v>
      </c>
      <c r="Z115" s="1" t="s">
        <v>53</v>
      </c>
    </row>
    <row r="116">
      <c r="A116" s="1" t="s">
        <v>862</v>
      </c>
      <c r="B116" s="1" t="s">
        <v>863</v>
      </c>
      <c r="C116" s="1" t="s">
        <v>43</v>
      </c>
      <c r="D116" s="1" t="s">
        <v>864</v>
      </c>
      <c r="E116" s="1" t="s">
        <v>43</v>
      </c>
      <c r="F116" s="1" t="s">
        <v>45</v>
      </c>
      <c r="G116" s="1">
        <v>78.4</v>
      </c>
      <c r="H116" s="1">
        <v>20.0</v>
      </c>
      <c r="I116" s="1">
        <v>74.9</v>
      </c>
      <c r="J116" s="1">
        <v>20.9</v>
      </c>
      <c r="K116" s="1">
        <v>44.3</v>
      </c>
      <c r="L116" s="1">
        <v>4.0</v>
      </c>
      <c r="M116" s="1">
        <v>45.4</v>
      </c>
      <c r="N116" s="1">
        <v>4.7</v>
      </c>
      <c r="O116" s="1">
        <v>1.8</v>
      </c>
      <c r="P116" s="1">
        <v>0.1</v>
      </c>
      <c r="Q116" s="1">
        <v>34.5</v>
      </c>
      <c r="R116" s="1">
        <v>47.2</v>
      </c>
      <c r="S116" s="1">
        <v>25.5</v>
      </c>
      <c r="T116" s="1" t="s">
        <v>48</v>
      </c>
      <c r="U116" s="1" t="s">
        <v>49</v>
      </c>
      <c r="V116" s="1" t="s">
        <v>865</v>
      </c>
      <c r="W116" s="1" t="s">
        <v>866</v>
      </c>
      <c r="X116" s="1">
        <v>2020.0</v>
      </c>
      <c r="Y116" s="1" t="s">
        <v>28</v>
      </c>
      <c r="Z116" s="1" t="s">
        <v>53</v>
      </c>
    </row>
    <row r="117">
      <c r="A117" s="1" t="s">
        <v>868</v>
      </c>
      <c r="B117" s="1" t="s">
        <v>869</v>
      </c>
      <c r="C117" s="1" t="s">
        <v>43</v>
      </c>
      <c r="D117" s="1" t="s">
        <v>870</v>
      </c>
      <c r="E117" s="1" t="s">
        <v>43</v>
      </c>
      <c r="F117" s="1" t="s">
        <v>45</v>
      </c>
      <c r="G117" s="1">
        <v>62.2</v>
      </c>
      <c r="H117" s="1">
        <v>35.9</v>
      </c>
      <c r="I117" s="1">
        <v>57.5</v>
      </c>
      <c r="J117" s="1">
        <v>37.1</v>
      </c>
      <c r="K117" s="1">
        <v>61.9</v>
      </c>
      <c r="L117" s="1">
        <v>9.5</v>
      </c>
      <c r="M117" s="1">
        <v>22.4</v>
      </c>
      <c r="N117" s="1">
        <v>3.2</v>
      </c>
      <c r="O117" s="1">
        <v>3.1</v>
      </c>
      <c r="P117" s="1">
        <v>0.4</v>
      </c>
      <c r="Q117" s="1">
        <v>32.2</v>
      </c>
      <c r="R117" s="1">
        <v>37.9</v>
      </c>
      <c r="S117" s="1">
        <v>42.3</v>
      </c>
      <c r="T117" s="1" t="s">
        <v>48</v>
      </c>
      <c r="U117" s="1" t="s">
        <v>49</v>
      </c>
      <c r="V117" s="1" t="s">
        <v>871</v>
      </c>
      <c r="W117" s="1" t="s">
        <v>872</v>
      </c>
      <c r="X117" s="1">
        <v>2004.0</v>
      </c>
      <c r="Y117" s="1" t="s">
        <v>28</v>
      </c>
      <c r="Z117" s="1" t="s">
        <v>53</v>
      </c>
    </row>
    <row r="118">
      <c r="A118" s="1" t="s">
        <v>873</v>
      </c>
      <c r="B118" s="1" t="s">
        <v>874</v>
      </c>
      <c r="C118" s="1" t="s">
        <v>43</v>
      </c>
      <c r="D118" s="1" t="s">
        <v>875</v>
      </c>
      <c r="E118" s="1" t="s">
        <v>43</v>
      </c>
      <c r="F118" s="1" t="s">
        <v>45</v>
      </c>
      <c r="G118" s="1">
        <v>53.2</v>
      </c>
      <c r="H118" s="1">
        <v>44.7</v>
      </c>
      <c r="I118" s="1">
        <v>52.0</v>
      </c>
      <c r="J118" s="1">
        <v>42.0</v>
      </c>
      <c r="K118" s="1">
        <v>43.9</v>
      </c>
      <c r="L118" s="1">
        <v>32.2</v>
      </c>
      <c r="M118" s="1">
        <v>11.7</v>
      </c>
      <c r="N118" s="1">
        <v>10.4</v>
      </c>
      <c r="O118" s="1">
        <v>3.0</v>
      </c>
      <c r="P118" s="1">
        <v>1.4</v>
      </c>
      <c r="Q118" s="1">
        <v>23.2</v>
      </c>
      <c r="R118" s="1">
        <v>29.0</v>
      </c>
      <c r="S118" s="1">
        <v>38.9</v>
      </c>
      <c r="T118" s="1" t="s">
        <v>48</v>
      </c>
      <c r="U118" s="1" t="s">
        <v>49</v>
      </c>
      <c r="V118" s="1" t="s">
        <v>879</v>
      </c>
      <c r="W118" s="1" t="s">
        <v>880</v>
      </c>
      <c r="X118" s="1" t="s">
        <v>881</v>
      </c>
      <c r="Y118" s="1" t="s">
        <v>75</v>
      </c>
      <c r="Z118" s="1" t="s">
        <v>53</v>
      </c>
    </row>
    <row r="119">
      <c r="A119" s="1" t="s">
        <v>882</v>
      </c>
      <c r="B119" s="1" t="s">
        <v>883</v>
      </c>
      <c r="C119" s="1" t="s">
        <v>43</v>
      </c>
      <c r="D119" s="1" t="s">
        <v>884</v>
      </c>
      <c r="E119" s="1" t="s">
        <v>43</v>
      </c>
      <c r="F119" s="1" t="s">
        <v>45</v>
      </c>
      <c r="G119" s="1">
        <v>52.4</v>
      </c>
      <c r="H119" s="1">
        <v>45.7</v>
      </c>
      <c r="I119" s="1">
        <v>50.5</v>
      </c>
      <c r="J119" s="1">
        <v>43.8</v>
      </c>
      <c r="K119" s="1">
        <v>47.1</v>
      </c>
      <c r="L119" s="1">
        <v>18.8</v>
      </c>
      <c r="M119" s="1">
        <v>11.3</v>
      </c>
      <c r="N119" s="1">
        <v>20.8</v>
      </c>
      <c r="O119" s="1">
        <v>2.3</v>
      </c>
      <c r="P119" s="1">
        <v>2.0</v>
      </c>
      <c r="Q119" s="1">
        <v>31.3</v>
      </c>
      <c r="R119" s="1">
        <v>35.2</v>
      </c>
      <c r="S119" s="1">
        <v>35.0</v>
      </c>
      <c r="T119" s="1" t="s">
        <v>48</v>
      </c>
      <c r="U119" s="1" t="s">
        <v>49</v>
      </c>
      <c r="V119" s="1" t="s">
        <v>885</v>
      </c>
      <c r="W119" s="1" t="s">
        <v>144</v>
      </c>
      <c r="X119" s="1">
        <v>2018.0</v>
      </c>
      <c r="Y119" s="1" t="s">
        <v>75</v>
      </c>
      <c r="Z119" s="1" t="s">
        <v>53</v>
      </c>
    </row>
    <row r="120">
      <c r="A120" s="1" t="s">
        <v>886</v>
      </c>
      <c r="B120" s="1" t="s">
        <v>887</v>
      </c>
      <c r="C120" s="1" t="s">
        <v>43</v>
      </c>
      <c r="D120" s="1" t="s">
        <v>888</v>
      </c>
      <c r="E120" s="1" t="s">
        <v>43</v>
      </c>
      <c r="F120" s="1" t="s">
        <v>45</v>
      </c>
      <c r="G120" s="1">
        <v>53.0</v>
      </c>
      <c r="H120" s="1">
        <v>44.8</v>
      </c>
      <c r="I120" s="1">
        <v>52.3</v>
      </c>
      <c r="J120" s="1">
        <v>41.8</v>
      </c>
      <c r="K120" s="1">
        <v>41.6</v>
      </c>
      <c r="L120" s="1">
        <v>30.6</v>
      </c>
      <c r="M120" s="1">
        <v>18.0</v>
      </c>
      <c r="N120" s="1">
        <v>7.9</v>
      </c>
      <c r="O120" s="1">
        <v>3.2</v>
      </c>
      <c r="P120" s="1">
        <v>1.5</v>
      </c>
      <c r="Q120" s="1">
        <v>19.3</v>
      </c>
      <c r="R120" s="1">
        <v>24.3</v>
      </c>
      <c r="S120" s="1">
        <v>37.3</v>
      </c>
      <c r="T120" s="1" t="s">
        <v>48</v>
      </c>
      <c r="U120" s="1" t="s">
        <v>49</v>
      </c>
      <c r="V120" s="1" t="s">
        <v>889</v>
      </c>
      <c r="W120" s="1" t="s">
        <v>890</v>
      </c>
      <c r="X120" s="1" t="s">
        <v>891</v>
      </c>
      <c r="Y120" s="1" t="s">
        <v>892</v>
      </c>
      <c r="Z120" s="1" t="s">
        <v>53</v>
      </c>
    </row>
    <row r="121">
      <c r="A121" s="1" t="s">
        <v>893</v>
      </c>
      <c r="B121" s="1" t="s">
        <v>894</v>
      </c>
      <c r="C121" s="1" t="s">
        <v>43</v>
      </c>
      <c r="D121" s="1" t="s">
        <v>895</v>
      </c>
      <c r="E121" s="1" t="s">
        <v>43</v>
      </c>
      <c r="F121" s="1" t="s">
        <v>45</v>
      </c>
      <c r="G121" s="1">
        <v>52.2</v>
      </c>
      <c r="H121" s="1">
        <v>46.2</v>
      </c>
      <c r="I121" s="1">
        <v>45.9</v>
      </c>
      <c r="J121" s="1">
        <v>47.5</v>
      </c>
      <c r="K121" s="1">
        <v>89.0</v>
      </c>
      <c r="L121" s="1">
        <v>3.5</v>
      </c>
      <c r="M121" s="1">
        <v>2.1</v>
      </c>
      <c r="N121" s="1">
        <v>3.0</v>
      </c>
      <c r="O121" s="1">
        <v>1.6</v>
      </c>
      <c r="P121" s="1">
        <v>0.1</v>
      </c>
      <c r="Q121" s="1">
        <v>38.0</v>
      </c>
      <c r="R121" s="1">
        <v>38.3</v>
      </c>
      <c r="S121" s="1">
        <v>57.3</v>
      </c>
      <c r="T121" s="1" t="s">
        <v>48</v>
      </c>
      <c r="U121" s="1" t="s">
        <v>49</v>
      </c>
      <c r="V121" s="1" t="s">
        <v>643</v>
      </c>
      <c r="W121" s="1" t="s">
        <v>897</v>
      </c>
      <c r="X121" s="1">
        <v>2018.0</v>
      </c>
      <c r="Y121" s="1" t="s">
        <v>75</v>
      </c>
      <c r="Z121" s="1" t="s">
        <v>304</v>
      </c>
    </row>
    <row r="122">
      <c r="A122" s="1" t="s">
        <v>898</v>
      </c>
      <c r="B122" s="1" t="s">
        <v>899</v>
      </c>
      <c r="C122" s="1" t="s">
        <v>43</v>
      </c>
      <c r="D122" s="1" t="s">
        <v>900</v>
      </c>
      <c r="E122" s="1" t="s">
        <v>43</v>
      </c>
      <c r="F122" s="1" t="s">
        <v>45</v>
      </c>
      <c r="G122" s="1">
        <v>53.6</v>
      </c>
      <c r="H122" s="1">
        <v>44.7</v>
      </c>
      <c r="I122" s="1">
        <v>47.8</v>
      </c>
      <c r="J122" s="1">
        <v>45.4</v>
      </c>
      <c r="K122" s="1">
        <v>88.7</v>
      </c>
      <c r="L122" s="1">
        <v>3.6</v>
      </c>
      <c r="M122" s="1">
        <v>1.8</v>
      </c>
      <c r="N122" s="1">
        <v>3.1</v>
      </c>
      <c r="O122" s="1">
        <v>1.8</v>
      </c>
      <c r="P122" s="1">
        <v>0.1</v>
      </c>
      <c r="Q122" s="1">
        <v>37.1</v>
      </c>
      <c r="R122" s="1">
        <v>36.9</v>
      </c>
      <c r="S122" s="1">
        <v>58.6</v>
      </c>
      <c r="T122" s="1" t="s">
        <v>48</v>
      </c>
      <c r="U122" s="1" t="s">
        <v>49</v>
      </c>
      <c r="V122" s="1" t="s">
        <v>902</v>
      </c>
      <c r="W122" s="1" t="s">
        <v>904</v>
      </c>
      <c r="X122" s="1">
        <v>2012.0</v>
      </c>
      <c r="Y122" s="1" t="s">
        <v>75</v>
      </c>
      <c r="Z122" s="1" t="s">
        <v>53</v>
      </c>
    </row>
    <row r="123">
      <c r="A123" s="1" t="s">
        <v>905</v>
      </c>
      <c r="B123" s="1" t="s">
        <v>906</v>
      </c>
      <c r="C123" s="1" t="s">
        <v>43</v>
      </c>
      <c r="D123" s="1" t="s">
        <v>907</v>
      </c>
      <c r="E123" s="1" t="s">
        <v>43</v>
      </c>
      <c r="F123" s="1" t="s">
        <v>45</v>
      </c>
      <c r="G123" s="1">
        <v>61.5</v>
      </c>
      <c r="H123" s="1">
        <v>37.1</v>
      </c>
      <c r="I123" s="1">
        <v>60.0</v>
      </c>
      <c r="J123" s="1">
        <v>36.7</v>
      </c>
      <c r="K123" s="1">
        <v>63.1</v>
      </c>
      <c r="L123" s="1">
        <v>12.6</v>
      </c>
      <c r="M123" s="1">
        <v>17.8</v>
      </c>
      <c r="N123" s="1">
        <v>6.0</v>
      </c>
      <c r="O123" s="1">
        <v>1.6</v>
      </c>
      <c r="P123" s="1">
        <v>0.2</v>
      </c>
      <c r="Q123" s="1">
        <v>32.1</v>
      </c>
      <c r="R123" s="1">
        <v>35.3</v>
      </c>
      <c r="S123" s="1">
        <v>44.1</v>
      </c>
      <c r="T123" s="1" t="s">
        <v>48</v>
      </c>
      <c r="U123" s="1" t="s">
        <v>49</v>
      </c>
      <c r="V123" s="1" t="s">
        <v>911</v>
      </c>
      <c r="W123" s="1" t="s">
        <v>912</v>
      </c>
      <c r="X123" s="1" t="s">
        <v>913</v>
      </c>
      <c r="Y123" s="1" t="s">
        <v>75</v>
      </c>
      <c r="Z123" s="1" t="s">
        <v>53</v>
      </c>
    </row>
    <row r="124">
      <c r="A124" s="1" t="s">
        <v>914</v>
      </c>
      <c r="B124" s="1" t="s">
        <v>915</v>
      </c>
      <c r="C124" s="1" t="s">
        <v>43</v>
      </c>
      <c r="D124" s="1" t="s">
        <v>916</v>
      </c>
      <c r="E124" s="1" t="s">
        <v>43</v>
      </c>
      <c r="F124" s="1" t="s">
        <v>45</v>
      </c>
      <c r="G124" s="1">
        <v>56.3</v>
      </c>
      <c r="H124" s="1">
        <v>42.3</v>
      </c>
      <c r="I124" s="1">
        <v>53.0</v>
      </c>
      <c r="J124" s="1">
        <v>43.5</v>
      </c>
      <c r="K124" s="1">
        <v>65.9</v>
      </c>
      <c r="L124" s="1">
        <v>9.8</v>
      </c>
      <c r="M124" s="1">
        <v>14.2</v>
      </c>
      <c r="N124" s="1">
        <v>9.2</v>
      </c>
      <c r="O124" s="1">
        <v>1.4</v>
      </c>
      <c r="P124" s="1">
        <v>0.1</v>
      </c>
      <c r="Q124" s="1">
        <v>42.8</v>
      </c>
      <c r="R124" s="1">
        <v>44.6</v>
      </c>
      <c r="S124" s="1">
        <v>39.7</v>
      </c>
      <c r="T124" s="1" t="s">
        <v>48</v>
      </c>
      <c r="U124" s="1" t="s">
        <v>49</v>
      </c>
      <c r="V124" s="1" t="s">
        <v>584</v>
      </c>
      <c r="W124" s="1" t="s">
        <v>586</v>
      </c>
      <c r="X124" s="1">
        <v>2018.0</v>
      </c>
      <c r="Y124" s="1" t="s">
        <v>917</v>
      </c>
      <c r="Z124" s="1" t="s">
        <v>53</v>
      </c>
    </row>
    <row r="125">
      <c r="A125" s="1" t="s">
        <v>918</v>
      </c>
      <c r="B125" s="1" t="s">
        <v>919</v>
      </c>
      <c r="C125" s="1" t="s">
        <v>43</v>
      </c>
      <c r="D125" s="1" t="s">
        <v>920</v>
      </c>
      <c r="E125" s="1" t="s">
        <v>43</v>
      </c>
      <c r="F125" s="1" t="s">
        <v>45</v>
      </c>
      <c r="G125" s="1">
        <v>55.6</v>
      </c>
      <c r="H125" s="1">
        <v>43.2</v>
      </c>
      <c r="I125" s="1">
        <v>52.2</v>
      </c>
      <c r="J125" s="1">
        <v>44.5</v>
      </c>
      <c r="K125" s="1">
        <v>61.2</v>
      </c>
      <c r="L125" s="1">
        <v>14.9</v>
      </c>
      <c r="M125" s="1">
        <v>7.0</v>
      </c>
      <c r="N125" s="1">
        <v>16.7</v>
      </c>
      <c r="O125" s="1">
        <v>1.1</v>
      </c>
      <c r="P125" s="1">
        <v>0.1</v>
      </c>
      <c r="Q125" s="1">
        <v>52.3</v>
      </c>
      <c r="R125" s="1">
        <v>52.8</v>
      </c>
      <c r="S125" s="1">
        <v>32.3</v>
      </c>
      <c r="T125" s="1" t="s">
        <v>48</v>
      </c>
      <c r="U125" s="1" t="s">
        <v>49</v>
      </c>
      <c r="V125" s="1" t="s">
        <v>922</v>
      </c>
      <c r="W125" s="1" t="s">
        <v>923</v>
      </c>
      <c r="X125" s="1">
        <v>2016.0</v>
      </c>
      <c r="Y125" s="1" t="s">
        <v>75</v>
      </c>
      <c r="Z125" s="1" t="s">
        <v>53</v>
      </c>
    </row>
    <row r="126">
      <c r="A126" s="1" t="s">
        <v>924</v>
      </c>
      <c r="B126" s="1" t="s">
        <v>925</v>
      </c>
      <c r="C126" s="1" t="s">
        <v>43</v>
      </c>
      <c r="D126" s="1" t="s">
        <v>926</v>
      </c>
      <c r="E126" s="1" t="s">
        <v>43</v>
      </c>
      <c r="F126" s="1" t="s">
        <v>45</v>
      </c>
      <c r="G126" s="1">
        <v>59.0</v>
      </c>
      <c r="H126" s="1">
        <v>39.7</v>
      </c>
      <c r="I126" s="1">
        <v>57.9</v>
      </c>
      <c r="J126" s="1">
        <v>38.9</v>
      </c>
      <c r="K126" s="1">
        <v>45.2</v>
      </c>
      <c r="L126" s="1">
        <v>22.1</v>
      </c>
      <c r="M126" s="1">
        <v>12.7</v>
      </c>
      <c r="N126" s="1">
        <v>19.7</v>
      </c>
      <c r="O126" s="1">
        <v>1.4</v>
      </c>
      <c r="P126" s="1">
        <v>0.1</v>
      </c>
      <c r="Q126" s="1">
        <v>40.2</v>
      </c>
      <c r="R126" s="1">
        <v>41.0</v>
      </c>
      <c r="S126" s="1">
        <v>32.9</v>
      </c>
      <c r="T126" s="1" t="s">
        <v>48</v>
      </c>
      <c r="U126" s="1" t="s">
        <v>49</v>
      </c>
      <c r="V126" s="1" t="s">
        <v>652</v>
      </c>
      <c r="W126" s="1" t="s">
        <v>927</v>
      </c>
      <c r="X126" s="1">
        <v>1988.0</v>
      </c>
      <c r="Y126" s="1" t="s">
        <v>75</v>
      </c>
      <c r="Z126" s="1" t="s">
        <v>53</v>
      </c>
    </row>
    <row r="127">
      <c r="A127" s="1" t="s">
        <v>929</v>
      </c>
      <c r="B127" s="1" t="s">
        <v>931</v>
      </c>
      <c r="C127" s="1" t="s">
        <v>43</v>
      </c>
      <c r="D127" s="1" t="s">
        <v>933</v>
      </c>
      <c r="E127" s="1" t="s">
        <v>43</v>
      </c>
      <c r="F127" s="1" t="s">
        <v>45</v>
      </c>
      <c r="G127" s="1">
        <v>72.1</v>
      </c>
      <c r="H127" s="1">
        <v>26.8</v>
      </c>
      <c r="I127" s="1">
        <v>75.7</v>
      </c>
      <c r="J127" s="1">
        <v>21.4</v>
      </c>
      <c r="K127" s="1">
        <v>26.8</v>
      </c>
      <c r="L127" s="1">
        <v>48.9</v>
      </c>
      <c r="M127" s="1">
        <v>11.2</v>
      </c>
      <c r="N127" s="1">
        <v>13.3</v>
      </c>
      <c r="O127" s="1">
        <v>2.2</v>
      </c>
      <c r="P127" s="1">
        <v>0.2</v>
      </c>
      <c r="Q127" s="1">
        <v>37.0</v>
      </c>
      <c r="R127" s="1">
        <v>55.2</v>
      </c>
      <c r="S127" s="1">
        <v>15.7</v>
      </c>
      <c r="T127" s="1" t="s">
        <v>48</v>
      </c>
      <c r="U127" s="1" t="s">
        <v>159</v>
      </c>
      <c r="V127" s="1" t="s">
        <v>934</v>
      </c>
      <c r="W127" s="1" t="s">
        <v>935</v>
      </c>
      <c r="Y127" s="1" t="s">
        <v>936</v>
      </c>
      <c r="Z127" s="1" t="s">
        <v>53</v>
      </c>
    </row>
    <row r="128">
      <c r="A128" s="1" t="s">
        <v>937</v>
      </c>
      <c r="B128" s="1" t="s">
        <v>938</v>
      </c>
      <c r="C128" s="1" t="s">
        <v>43</v>
      </c>
      <c r="D128" s="1" t="s">
        <v>939</v>
      </c>
      <c r="E128" s="1" t="s">
        <v>43</v>
      </c>
      <c r="F128" s="1" t="s">
        <v>45</v>
      </c>
      <c r="G128" s="1">
        <v>58.9</v>
      </c>
      <c r="H128" s="1">
        <v>40.0</v>
      </c>
      <c r="I128" s="1">
        <v>60.7</v>
      </c>
      <c r="J128" s="1">
        <v>36.7</v>
      </c>
      <c r="K128" s="1">
        <v>40.9</v>
      </c>
      <c r="L128" s="1">
        <v>39.1</v>
      </c>
      <c r="M128" s="1">
        <v>10.9</v>
      </c>
      <c r="N128" s="1">
        <v>10.1</v>
      </c>
      <c r="O128" s="1">
        <v>1.9</v>
      </c>
      <c r="P128" s="1">
        <v>0.2</v>
      </c>
      <c r="Q128" s="1">
        <v>31.8</v>
      </c>
      <c r="R128" s="1">
        <v>38.7</v>
      </c>
      <c r="S128" s="1">
        <v>30.0</v>
      </c>
      <c r="T128" s="1" t="s">
        <v>48</v>
      </c>
      <c r="U128" s="1" t="s">
        <v>49</v>
      </c>
      <c r="V128" s="1" t="s">
        <v>347</v>
      </c>
      <c r="W128" s="1" t="s">
        <v>941</v>
      </c>
      <c r="X128" s="1">
        <v>1996.0</v>
      </c>
      <c r="Y128" s="1" t="s">
        <v>75</v>
      </c>
      <c r="Z128" s="1" t="s">
        <v>53</v>
      </c>
    </row>
    <row r="129">
      <c r="A129" s="1" t="s">
        <v>942</v>
      </c>
      <c r="B129" s="1" t="s">
        <v>943</v>
      </c>
      <c r="C129" s="1" t="s">
        <v>43</v>
      </c>
      <c r="D129" s="1" t="s">
        <v>944</v>
      </c>
      <c r="E129" s="1" t="s">
        <v>43</v>
      </c>
      <c r="F129" s="1" t="s">
        <v>45</v>
      </c>
      <c r="G129" s="1">
        <v>80.6</v>
      </c>
      <c r="H129" s="1">
        <v>18.6</v>
      </c>
      <c r="I129" s="1">
        <v>81.7</v>
      </c>
      <c r="J129" s="1">
        <v>16.3</v>
      </c>
      <c r="K129" s="1">
        <v>20.3</v>
      </c>
      <c r="L129" s="1">
        <v>20.1</v>
      </c>
      <c r="M129" s="1">
        <v>52.7</v>
      </c>
      <c r="N129" s="1">
        <v>7.5</v>
      </c>
      <c r="O129" s="1">
        <v>1.5</v>
      </c>
      <c r="P129" s="1">
        <v>0.2</v>
      </c>
      <c r="Q129" s="1">
        <v>30.2</v>
      </c>
      <c r="R129" s="1">
        <v>47.7</v>
      </c>
      <c r="S129" s="1">
        <v>12.5</v>
      </c>
      <c r="T129" s="1" t="s">
        <v>48</v>
      </c>
      <c r="U129" s="1" t="s">
        <v>49</v>
      </c>
      <c r="V129" s="1" t="s">
        <v>911</v>
      </c>
      <c r="W129" s="1" t="s">
        <v>947</v>
      </c>
      <c r="X129" s="1" t="s">
        <v>948</v>
      </c>
      <c r="Y129" s="1" t="s">
        <v>28</v>
      </c>
      <c r="Z129" s="1" t="s">
        <v>53</v>
      </c>
    </row>
    <row r="130">
      <c r="A130" s="1" t="s">
        <v>950</v>
      </c>
      <c r="B130" s="1" t="s">
        <v>951</v>
      </c>
      <c r="C130" s="1" t="s">
        <v>43</v>
      </c>
      <c r="D130" s="1" t="s">
        <v>952</v>
      </c>
      <c r="E130" s="1" t="s">
        <v>43</v>
      </c>
      <c r="F130" s="1" t="s">
        <v>45</v>
      </c>
      <c r="G130" s="1">
        <v>57.8</v>
      </c>
      <c r="H130" s="1">
        <v>40.9</v>
      </c>
      <c r="I130" s="1">
        <v>53.8</v>
      </c>
      <c r="J130" s="1">
        <v>43.0</v>
      </c>
      <c r="K130" s="1">
        <v>64.0</v>
      </c>
      <c r="L130" s="1">
        <v>15.2</v>
      </c>
      <c r="M130" s="1">
        <v>7.8</v>
      </c>
      <c r="N130" s="1">
        <v>12.4</v>
      </c>
      <c r="O130" s="1">
        <v>1.0</v>
      </c>
      <c r="P130" s="1">
        <v>0.1</v>
      </c>
      <c r="Q130" s="1">
        <v>56.2</v>
      </c>
      <c r="R130" s="1">
        <v>59.1</v>
      </c>
      <c r="S130" s="1">
        <v>29.4</v>
      </c>
      <c r="T130" s="1" t="s">
        <v>48</v>
      </c>
      <c r="U130" s="1" t="s">
        <v>49</v>
      </c>
      <c r="V130" s="1" t="s">
        <v>953</v>
      </c>
      <c r="W130" s="1" t="s">
        <v>955</v>
      </c>
      <c r="X130" s="1">
        <v>2018.0</v>
      </c>
      <c r="Y130" s="1" t="s">
        <v>75</v>
      </c>
      <c r="Z130" s="1" t="s">
        <v>53</v>
      </c>
    </row>
    <row r="131">
      <c r="A131" s="1" t="s">
        <v>957</v>
      </c>
      <c r="B131" s="1" t="s">
        <v>958</v>
      </c>
      <c r="C131" s="1" t="s">
        <v>43</v>
      </c>
      <c r="D131" s="1" t="s">
        <v>959</v>
      </c>
      <c r="E131" s="1" t="s">
        <v>43</v>
      </c>
      <c r="F131" s="1" t="s">
        <v>45</v>
      </c>
      <c r="G131" s="1">
        <v>66.6</v>
      </c>
      <c r="H131" s="1">
        <v>32.1</v>
      </c>
      <c r="I131" s="1">
        <v>64.1</v>
      </c>
      <c r="J131" s="1">
        <v>32.7</v>
      </c>
      <c r="K131" s="1">
        <v>43.5</v>
      </c>
      <c r="L131" s="1">
        <v>19.2</v>
      </c>
      <c r="M131" s="1">
        <v>17.7</v>
      </c>
      <c r="N131" s="1">
        <v>19.5</v>
      </c>
      <c r="O131" s="1">
        <v>1.4</v>
      </c>
      <c r="P131" s="1">
        <v>0.2</v>
      </c>
      <c r="Q131" s="1">
        <v>47.6</v>
      </c>
      <c r="R131" s="1">
        <v>50.5</v>
      </c>
      <c r="S131" s="1">
        <v>26.9</v>
      </c>
      <c r="T131" s="1" t="s">
        <v>48</v>
      </c>
      <c r="U131" s="1" t="s">
        <v>49</v>
      </c>
      <c r="V131" s="1" t="s">
        <v>960</v>
      </c>
      <c r="W131" s="1" t="s">
        <v>961</v>
      </c>
      <c r="X131" s="1">
        <v>2014.0</v>
      </c>
      <c r="Y131" s="1" t="s">
        <v>28</v>
      </c>
      <c r="Z131" s="1" t="s">
        <v>53</v>
      </c>
    </row>
    <row r="132">
      <c r="A132" s="1" t="s">
        <v>962</v>
      </c>
      <c r="B132" s="1" t="s">
        <v>963</v>
      </c>
      <c r="C132" s="1" t="s">
        <v>43</v>
      </c>
      <c r="D132" s="1" t="s">
        <v>964</v>
      </c>
      <c r="E132" s="1" t="s">
        <v>43</v>
      </c>
      <c r="F132" s="1" t="s">
        <v>45</v>
      </c>
      <c r="G132" s="1">
        <v>55.9</v>
      </c>
      <c r="H132" s="1">
        <v>41.5</v>
      </c>
      <c r="I132" s="1">
        <v>47.4</v>
      </c>
      <c r="J132" s="1">
        <v>39.5</v>
      </c>
      <c r="K132" s="1">
        <v>49.4</v>
      </c>
      <c r="L132" s="1">
        <v>37.6</v>
      </c>
      <c r="M132" s="1">
        <v>3.7</v>
      </c>
      <c r="N132" s="1">
        <v>3.9</v>
      </c>
      <c r="O132" s="1">
        <v>7.2</v>
      </c>
      <c r="P132" s="1">
        <v>0.3</v>
      </c>
      <c r="Q132" s="1">
        <v>37.0</v>
      </c>
      <c r="R132" s="1">
        <v>45.8</v>
      </c>
      <c r="S132" s="1">
        <v>28.3</v>
      </c>
      <c r="T132" s="1" t="s">
        <v>48</v>
      </c>
      <c r="U132" s="1" t="s">
        <v>49</v>
      </c>
      <c r="V132" s="1" t="s">
        <v>965</v>
      </c>
      <c r="W132" s="1" t="s">
        <v>966</v>
      </c>
      <c r="X132" s="1" t="s">
        <v>469</v>
      </c>
      <c r="Y132" s="1" t="s">
        <v>75</v>
      </c>
      <c r="Z132" s="1" t="s">
        <v>53</v>
      </c>
    </row>
    <row r="133">
      <c r="A133" s="1" t="s">
        <v>967</v>
      </c>
      <c r="B133" s="1" t="s">
        <v>968</v>
      </c>
      <c r="C133" s="1" t="s">
        <v>632</v>
      </c>
      <c r="D133" s="1" t="s">
        <v>969</v>
      </c>
      <c r="E133" s="1" t="s">
        <v>43</v>
      </c>
      <c r="F133" s="1" t="s">
        <v>397</v>
      </c>
      <c r="G133" s="1">
        <v>51.9</v>
      </c>
      <c r="H133" s="1">
        <v>46.1</v>
      </c>
      <c r="I133" s="1">
        <v>47.6</v>
      </c>
      <c r="J133" s="1">
        <v>41.5</v>
      </c>
      <c r="K133" s="1">
        <v>33.3</v>
      </c>
      <c r="L133" s="1">
        <v>56.1</v>
      </c>
      <c r="M133" s="1">
        <v>2.8</v>
      </c>
      <c r="N133" s="1">
        <v>1.8</v>
      </c>
      <c r="O133" s="1">
        <v>7.9</v>
      </c>
      <c r="P133" s="1">
        <v>0.3</v>
      </c>
      <c r="Q133" s="1">
        <v>21.8</v>
      </c>
      <c r="R133" s="1">
        <v>33.9</v>
      </c>
      <c r="S133" s="1">
        <v>23.9</v>
      </c>
      <c r="T133" s="1" t="s">
        <v>48</v>
      </c>
      <c r="U133" s="1" t="s">
        <v>970</v>
      </c>
      <c r="V133" s="1" t="s">
        <v>971</v>
      </c>
      <c r="W133" s="1" t="s">
        <v>972</v>
      </c>
      <c r="Y133" s="1" t="s">
        <v>83</v>
      </c>
      <c r="Z133" s="1" t="s">
        <v>53</v>
      </c>
    </row>
    <row r="134">
      <c r="A134" s="1" t="s">
        <v>973</v>
      </c>
      <c r="B134" s="1" t="s">
        <v>974</v>
      </c>
      <c r="C134" s="1" t="s">
        <v>43</v>
      </c>
      <c r="D134" s="1" t="s">
        <v>975</v>
      </c>
      <c r="E134" s="1" t="s">
        <v>43</v>
      </c>
      <c r="F134" s="1" t="s">
        <v>45</v>
      </c>
      <c r="G134" s="1">
        <v>54.4</v>
      </c>
      <c r="H134" s="1">
        <v>43.6</v>
      </c>
      <c r="I134" s="1">
        <v>49.9</v>
      </c>
      <c r="J134" s="1">
        <v>39.5</v>
      </c>
      <c r="K134" s="1">
        <v>38.4</v>
      </c>
      <c r="L134" s="1">
        <v>39.7</v>
      </c>
      <c r="M134" s="1">
        <v>2.0</v>
      </c>
      <c r="N134" s="1">
        <v>1.7</v>
      </c>
      <c r="O134" s="1">
        <v>19.5</v>
      </c>
      <c r="P134" s="1">
        <v>0.2</v>
      </c>
      <c r="Q134" s="1">
        <v>24.7</v>
      </c>
      <c r="R134" s="1">
        <v>40.2</v>
      </c>
      <c r="S134" s="1">
        <v>24.5</v>
      </c>
      <c r="T134" s="1" t="s">
        <v>48</v>
      </c>
      <c r="U134" s="1" t="s">
        <v>49</v>
      </c>
      <c r="V134" s="1" t="s">
        <v>977</v>
      </c>
      <c r="W134" s="1" t="s">
        <v>978</v>
      </c>
      <c r="X134" s="1">
        <v>2020.0</v>
      </c>
      <c r="Y134" s="1" t="s">
        <v>979</v>
      </c>
      <c r="Z134" s="1" t="s">
        <v>53</v>
      </c>
    </row>
    <row r="135">
      <c r="A135" s="1" t="s">
        <v>980</v>
      </c>
      <c r="B135" s="1" t="s">
        <v>981</v>
      </c>
      <c r="C135" s="1" t="s">
        <v>43</v>
      </c>
      <c r="D135" s="1" t="s">
        <v>982</v>
      </c>
      <c r="E135" s="1" t="s">
        <v>43</v>
      </c>
      <c r="F135" s="1" t="s">
        <v>45</v>
      </c>
      <c r="G135" s="1">
        <v>80.9</v>
      </c>
      <c r="H135" s="1">
        <v>18.5</v>
      </c>
      <c r="I135" s="1">
        <v>83.6</v>
      </c>
      <c r="J135" s="1">
        <v>14.4</v>
      </c>
      <c r="K135" s="1">
        <v>13.2</v>
      </c>
      <c r="L135" s="1">
        <v>19.6</v>
      </c>
      <c r="M135" s="1">
        <v>47.2</v>
      </c>
      <c r="N135" s="1">
        <v>17.5</v>
      </c>
      <c r="O135" s="1">
        <v>2.8</v>
      </c>
      <c r="P135" s="1">
        <v>0.5</v>
      </c>
      <c r="Q135" s="1">
        <v>27.3</v>
      </c>
      <c r="R135" s="1">
        <v>40.5</v>
      </c>
      <c r="S135" s="1">
        <v>10.2</v>
      </c>
      <c r="T135" s="1" t="s">
        <v>48</v>
      </c>
      <c r="U135" s="1" t="s">
        <v>49</v>
      </c>
      <c r="V135" s="1" t="s">
        <v>983</v>
      </c>
      <c r="W135" s="1" t="s">
        <v>984</v>
      </c>
      <c r="X135" s="1" t="s">
        <v>145</v>
      </c>
      <c r="Y135" s="1" t="s">
        <v>28</v>
      </c>
      <c r="Z135" s="1" t="s">
        <v>53</v>
      </c>
    </row>
    <row r="136">
      <c r="A136" s="1" t="s">
        <v>985</v>
      </c>
      <c r="B136" s="1" t="s">
        <v>986</v>
      </c>
      <c r="C136" s="1" t="s">
        <v>43</v>
      </c>
      <c r="D136" s="1" t="s">
        <v>987</v>
      </c>
      <c r="E136" s="1" t="s">
        <v>43</v>
      </c>
      <c r="F136" s="1" t="s">
        <v>45</v>
      </c>
      <c r="G136" s="1">
        <v>64.7</v>
      </c>
      <c r="H136" s="1">
        <v>34.4</v>
      </c>
      <c r="I136" s="1">
        <v>68.7</v>
      </c>
      <c r="J136" s="1">
        <v>28.1</v>
      </c>
      <c r="K136" s="1">
        <v>25.0</v>
      </c>
      <c r="L136" s="1">
        <v>22.8</v>
      </c>
      <c r="M136" s="1">
        <v>5.2</v>
      </c>
      <c r="N136" s="1">
        <v>47.2</v>
      </c>
      <c r="O136" s="1">
        <v>1.5</v>
      </c>
      <c r="P136" s="1">
        <v>0.2</v>
      </c>
      <c r="Q136" s="1">
        <v>37.0</v>
      </c>
      <c r="R136" s="1">
        <v>47.1</v>
      </c>
      <c r="S136" s="1">
        <v>19.1</v>
      </c>
      <c r="T136" s="1" t="s">
        <v>48</v>
      </c>
      <c r="U136" s="1" t="s">
        <v>49</v>
      </c>
      <c r="V136" s="1" t="s">
        <v>248</v>
      </c>
      <c r="W136" s="1" t="s">
        <v>990</v>
      </c>
      <c r="X136" s="1">
        <v>2012.0</v>
      </c>
      <c r="Y136" s="1" t="s">
        <v>287</v>
      </c>
      <c r="Z136" s="1" t="s">
        <v>53</v>
      </c>
    </row>
    <row r="137">
      <c r="A137" s="1" t="s">
        <v>992</v>
      </c>
      <c r="B137" s="1" t="s">
        <v>993</v>
      </c>
      <c r="C137" s="1" t="s">
        <v>43</v>
      </c>
      <c r="D137" s="1" t="s">
        <v>994</v>
      </c>
      <c r="E137" s="1" t="s">
        <v>43</v>
      </c>
      <c r="F137" s="1" t="s">
        <v>45</v>
      </c>
      <c r="G137" s="1">
        <v>80.8</v>
      </c>
      <c r="H137" s="1">
        <v>18.2</v>
      </c>
      <c r="I137" s="1">
        <v>84.6</v>
      </c>
      <c r="J137" s="1">
        <v>11.9</v>
      </c>
      <c r="K137" s="1">
        <v>37.0</v>
      </c>
      <c r="L137" s="1">
        <v>34.1</v>
      </c>
      <c r="M137" s="1">
        <v>14.8</v>
      </c>
      <c r="N137" s="1">
        <v>15.5</v>
      </c>
      <c r="O137" s="1">
        <v>2.4</v>
      </c>
      <c r="P137" s="1">
        <v>0.3</v>
      </c>
      <c r="Q137" s="1">
        <v>39.9</v>
      </c>
      <c r="R137" s="1">
        <v>58.0</v>
      </c>
      <c r="S137" s="1">
        <v>17.3</v>
      </c>
      <c r="T137" s="1" t="s">
        <v>48</v>
      </c>
      <c r="U137" s="1" t="s">
        <v>49</v>
      </c>
      <c r="V137" s="1" t="s">
        <v>999</v>
      </c>
      <c r="W137" s="1" t="s">
        <v>1000</v>
      </c>
      <c r="X137" s="1">
        <v>1992.0</v>
      </c>
      <c r="Y137" s="1" t="s">
        <v>446</v>
      </c>
      <c r="Z137" s="1" t="s">
        <v>53</v>
      </c>
    </row>
    <row r="138">
      <c r="A138" s="1" t="s">
        <v>1001</v>
      </c>
      <c r="B138" s="1" t="s">
        <v>1002</v>
      </c>
      <c r="C138" s="1" t="s">
        <v>43</v>
      </c>
      <c r="D138" s="1" t="s">
        <v>1003</v>
      </c>
      <c r="E138" s="1" t="s">
        <v>43</v>
      </c>
      <c r="F138" s="1" t="s">
        <v>45</v>
      </c>
      <c r="G138" s="1">
        <v>76.3</v>
      </c>
      <c r="H138" s="1">
        <v>23.1</v>
      </c>
      <c r="I138" s="1">
        <v>79.1</v>
      </c>
      <c r="J138" s="1">
        <v>18.6</v>
      </c>
      <c r="K138" s="1">
        <v>28.8</v>
      </c>
      <c r="L138" s="1">
        <v>15.8</v>
      </c>
      <c r="M138" s="1">
        <v>48.2</v>
      </c>
      <c r="N138" s="1">
        <v>10.0</v>
      </c>
      <c r="O138" s="1">
        <v>1.4</v>
      </c>
      <c r="P138" s="1">
        <v>0.2</v>
      </c>
      <c r="Q138" s="1">
        <v>32.7</v>
      </c>
      <c r="R138" s="1">
        <v>51.5</v>
      </c>
      <c r="S138" s="1">
        <v>14.8</v>
      </c>
      <c r="T138" s="1" t="s">
        <v>48</v>
      </c>
      <c r="U138" s="1" t="s">
        <v>49</v>
      </c>
      <c r="V138" s="1" t="s">
        <v>1004</v>
      </c>
      <c r="W138" s="1" t="s">
        <v>1005</v>
      </c>
      <c r="X138" s="1">
        <v>2012.0</v>
      </c>
      <c r="Y138" s="1" t="s">
        <v>28</v>
      </c>
      <c r="Z138" s="1" t="s">
        <v>53</v>
      </c>
    </row>
    <row r="139">
      <c r="A139" s="1" t="s">
        <v>1006</v>
      </c>
      <c r="B139" s="1" t="s">
        <v>1007</v>
      </c>
      <c r="C139" s="1" t="s">
        <v>43</v>
      </c>
      <c r="D139" s="1" t="s">
        <v>1008</v>
      </c>
      <c r="E139" s="1" t="s">
        <v>43</v>
      </c>
      <c r="F139" s="1" t="s">
        <v>45</v>
      </c>
      <c r="G139" s="1">
        <v>75.4</v>
      </c>
      <c r="H139" s="1">
        <v>23.9</v>
      </c>
      <c r="I139" s="1">
        <v>78.3</v>
      </c>
      <c r="J139" s="1">
        <v>19.0</v>
      </c>
      <c r="K139" s="1">
        <v>30.7</v>
      </c>
      <c r="L139" s="1">
        <v>11.2</v>
      </c>
      <c r="M139" s="1">
        <v>48.7</v>
      </c>
      <c r="N139" s="1">
        <v>10.6</v>
      </c>
      <c r="O139" s="1">
        <v>1.3</v>
      </c>
      <c r="P139" s="1">
        <v>0.2</v>
      </c>
      <c r="Q139" s="1">
        <v>35.2</v>
      </c>
      <c r="R139" s="1">
        <v>52.9</v>
      </c>
      <c r="S139" s="1">
        <v>16.2</v>
      </c>
      <c r="T139" s="1" t="s">
        <v>48</v>
      </c>
      <c r="U139" s="1" t="s">
        <v>49</v>
      </c>
      <c r="V139" s="1" t="s">
        <v>1009</v>
      </c>
      <c r="W139" s="1" t="s">
        <v>1010</v>
      </c>
      <c r="X139" s="1">
        <v>2006.0</v>
      </c>
      <c r="Y139" s="1" t="s">
        <v>1011</v>
      </c>
      <c r="Z139" s="1" t="s">
        <v>53</v>
      </c>
    </row>
    <row r="140">
      <c r="A140" s="1" t="s">
        <v>1012</v>
      </c>
      <c r="B140" s="1" t="s">
        <v>1013</v>
      </c>
      <c r="C140" s="1" t="s">
        <v>43</v>
      </c>
      <c r="D140" s="1" t="s">
        <v>1014</v>
      </c>
      <c r="E140" s="1" t="s">
        <v>43</v>
      </c>
      <c r="F140" s="1" t="s">
        <v>45</v>
      </c>
      <c r="G140" s="1">
        <v>85.1</v>
      </c>
      <c r="H140" s="1">
        <v>13.9</v>
      </c>
      <c r="I140" s="1">
        <v>85.3</v>
      </c>
      <c r="J140" s="1">
        <v>10.8</v>
      </c>
      <c r="K140" s="1">
        <v>49.7</v>
      </c>
      <c r="L140" s="1">
        <v>18.4</v>
      </c>
      <c r="M140" s="1">
        <v>8.3</v>
      </c>
      <c r="N140" s="1">
        <v>23.7</v>
      </c>
      <c r="O140" s="1">
        <v>1.6</v>
      </c>
      <c r="P140" s="1">
        <v>0.3</v>
      </c>
      <c r="Q140" s="1">
        <v>60.0</v>
      </c>
      <c r="R140" s="1">
        <v>81.0</v>
      </c>
      <c r="S140" s="1">
        <v>10.8</v>
      </c>
      <c r="T140" s="1" t="s">
        <v>48</v>
      </c>
      <c r="U140" s="1" t="s">
        <v>159</v>
      </c>
      <c r="V140" s="1" t="s">
        <v>811</v>
      </c>
      <c r="W140" s="1" t="s">
        <v>1015</v>
      </c>
      <c r="Y140" s="1" t="s">
        <v>75</v>
      </c>
      <c r="Z140" s="1" t="s">
        <v>53</v>
      </c>
    </row>
    <row r="141">
      <c r="A141" s="1" t="s">
        <v>1016</v>
      </c>
      <c r="B141" s="1" t="s">
        <v>1017</v>
      </c>
      <c r="C141" s="1" t="s">
        <v>43</v>
      </c>
      <c r="D141" s="1" t="s">
        <v>1018</v>
      </c>
      <c r="E141" s="1" t="s">
        <v>43</v>
      </c>
      <c r="F141" s="1" t="s">
        <v>45</v>
      </c>
      <c r="G141" s="1">
        <v>85.2</v>
      </c>
      <c r="H141" s="1">
        <v>13.8</v>
      </c>
      <c r="I141" s="1">
        <v>83.1</v>
      </c>
      <c r="J141" s="1">
        <v>12.8</v>
      </c>
      <c r="K141" s="1">
        <v>66.1</v>
      </c>
      <c r="L141" s="1">
        <v>10.9</v>
      </c>
      <c r="M141" s="1">
        <v>6.6</v>
      </c>
      <c r="N141" s="1">
        <v>15.8</v>
      </c>
      <c r="O141" s="1">
        <v>0.9</v>
      </c>
      <c r="P141" s="1">
        <v>0.3</v>
      </c>
      <c r="Q141" s="1">
        <v>79.0</v>
      </c>
      <c r="R141" s="1">
        <v>85.0</v>
      </c>
      <c r="S141" s="1">
        <v>11.0</v>
      </c>
      <c r="T141" s="1" t="s">
        <v>48</v>
      </c>
      <c r="U141" s="1" t="s">
        <v>49</v>
      </c>
      <c r="V141" s="1" t="s">
        <v>1019</v>
      </c>
      <c r="W141" s="1" t="s">
        <v>1020</v>
      </c>
      <c r="X141" s="1" t="s">
        <v>1021</v>
      </c>
      <c r="Y141" s="1" t="s">
        <v>75</v>
      </c>
      <c r="Z141" s="1" t="s">
        <v>53</v>
      </c>
    </row>
    <row r="142">
      <c r="A142" s="1" t="s">
        <v>1022</v>
      </c>
      <c r="B142" s="1" t="s">
        <v>1023</v>
      </c>
      <c r="C142" s="1" t="s">
        <v>43</v>
      </c>
      <c r="D142" s="1" t="s">
        <v>1024</v>
      </c>
      <c r="E142" s="1" t="s">
        <v>43</v>
      </c>
      <c r="F142" s="1" t="s">
        <v>45</v>
      </c>
      <c r="G142" s="1">
        <v>88.1</v>
      </c>
      <c r="H142" s="1">
        <v>11.1</v>
      </c>
      <c r="I142" s="1">
        <v>92.0</v>
      </c>
      <c r="J142" s="1">
        <v>5.3</v>
      </c>
      <c r="K142" s="1">
        <v>16.9</v>
      </c>
      <c r="L142" s="1">
        <v>50.4</v>
      </c>
      <c r="M142" s="1">
        <v>33.6</v>
      </c>
      <c r="N142" s="1">
        <v>6.7</v>
      </c>
      <c r="O142" s="1">
        <v>2.9</v>
      </c>
      <c r="P142" s="1">
        <v>0.3</v>
      </c>
      <c r="Q142" s="1">
        <v>33.0</v>
      </c>
      <c r="R142" s="1">
        <v>77.1</v>
      </c>
      <c r="S142" s="1">
        <v>4.4</v>
      </c>
      <c r="T142" s="1" t="s">
        <v>48</v>
      </c>
      <c r="U142" s="1" t="s">
        <v>49</v>
      </c>
      <c r="V142" s="1" t="s">
        <v>1026</v>
      </c>
      <c r="W142" s="1" t="s">
        <v>1027</v>
      </c>
      <c r="X142" s="1">
        <v>2016.0</v>
      </c>
      <c r="Y142" s="1" t="s">
        <v>1029</v>
      </c>
      <c r="Z142" s="1" t="s">
        <v>53</v>
      </c>
    </row>
    <row r="143">
      <c r="A143" s="1" t="s">
        <v>1031</v>
      </c>
      <c r="B143" s="1" t="s">
        <v>997</v>
      </c>
      <c r="C143" s="1" t="s">
        <v>43</v>
      </c>
      <c r="D143" s="1" t="s">
        <v>1032</v>
      </c>
      <c r="E143" s="1" t="s">
        <v>43</v>
      </c>
      <c r="F143" s="1" t="s">
        <v>45</v>
      </c>
      <c r="G143" s="1">
        <v>77.9</v>
      </c>
      <c r="H143" s="1">
        <v>21.3</v>
      </c>
      <c r="I143" s="1">
        <v>81.9</v>
      </c>
      <c r="J143" s="1">
        <v>15.4</v>
      </c>
      <c r="K143" s="1">
        <v>19.6</v>
      </c>
      <c r="L143" s="1">
        <v>49.2</v>
      </c>
      <c r="M143" s="1">
        <v>22.1</v>
      </c>
      <c r="N143" s="1">
        <v>12.7</v>
      </c>
      <c r="O143" s="1">
        <v>3.1</v>
      </c>
      <c r="P143" s="1">
        <v>0.3</v>
      </c>
      <c r="Q143" s="1">
        <v>26.6</v>
      </c>
      <c r="R143" s="1">
        <v>45.9</v>
      </c>
      <c r="S143" s="1">
        <v>12.9</v>
      </c>
      <c r="T143" s="1" t="s">
        <v>48</v>
      </c>
      <c r="U143" s="1" t="s">
        <v>49</v>
      </c>
      <c r="V143" s="1" t="s">
        <v>995</v>
      </c>
      <c r="W143" s="1" t="s">
        <v>996</v>
      </c>
      <c r="X143" s="1">
        <v>2018.0</v>
      </c>
      <c r="Y143" s="1" t="s">
        <v>446</v>
      </c>
      <c r="Z143" s="1" t="s">
        <v>53</v>
      </c>
    </row>
    <row r="144">
      <c r="A144" s="1" t="s">
        <v>1033</v>
      </c>
      <c r="B144" s="1" t="s">
        <v>1034</v>
      </c>
      <c r="C144" s="1" t="s">
        <v>43</v>
      </c>
      <c r="D144" s="1" t="s">
        <v>1035</v>
      </c>
      <c r="E144" s="1" t="s">
        <v>43</v>
      </c>
      <c r="F144" s="1" t="s">
        <v>45</v>
      </c>
      <c r="G144" s="1">
        <v>84.7</v>
      </c>
      <c r="H144" s="1">
        <v>14.7</v>
      </c>
      <c r="I144" s="1">
        <v>89.8</v>
      </c>
      <c r="J144" s="1">
        <v>8.1</v>
      </c>
      <c r="K144" s="1">
        <v>10.3</v>
      </c>
      <c r="L144" s="1">
        <v>53.5</v>
      </c>
      <c r="M144" s="1">
        <v>40.6</v>
      </c>
      <c r="N144" s="1">
        <v>4.2</v>
      </c>
      <c r="O144" s="1">
        <v>2.9</v>
      </c>
      <c r="P144" s="1">
        <v>0.4</v>
      </c>
      <c r="Q144" s="1">
        <v>20.4</v>
      </c>
      <c r="R144" s="1">
        <v>48.6</v>
      </c>
      <c r="S144" s="1">
        <v>6.4</v>
      </c>
      <c r="T144" s="1" t="s">
        <v>48</v>
      </c>
      <c r="U144" s="1" t="s">
        <v>49</v>
      </c>
      <c r="V144" s="1" t="s">
        <v>1036</v>
      </c>
      <c r="W144" s="1" t="s">
        <v>276</v>
      </c>
      <c r="X144" s="1">
        <v>2020.0</v>
      </c>
      <c r="Y144" s="1" t="s">
        <v>1037</v>
      </c>
      <c r="Z144" s="1" t="s">
        <v>304</v>
      </c>
    </row>
    <row r="145">
      <c r="A145" s="1" t="s">
        <v>1038</v>
      </c>
      <c r="B145" s="1" t="s">
        <v>1039</v>
      </c>
      <c r="C145" s="1" t="s">
        <v>43</v>
      </c>
      <c r="D145" s="1" t="s">
        <v>1040</v>
      </c>
      <c r="E145" s="1" t="s">
        <v>43</v>
      </c>
      <c r="F145" s="1" t="s">
        <v>45</v>
      </c>
      <c r="G145" s="1">
        <v>71.4</v>
      </c>
      <c r="H145" s="1">
        <v>27.7</v>
      </c>
      <c r="I145" s="1">
        <v>69.7</v>
      </c>
      <c r="J145" s="1">
        <v>26.7</v>
      </c>
      <c r="K145" s="1">
        <v>41.7</v>
      </c>
      <c r="L145" s="1">
        <v>26.9</v>
      </c>
      <c r="M145" s="1">
        <v>24.9</v>
      </c>
      <c r="N145" s="1">
        <v>7.6</v>
      </c>
      <c r="O145" s="1">
        <v>1.8</v>
      </c>
      <c r="P145" s="1">
        <v>0.2</v>
      </c>
      <c r="Q145" s="1">
        <v>45.4</v>
      </c>
      <c r="R145" s="1">
        <v>59.9</v>
      </c>
      <c r="S145" s="1">
        <v>19.8</v>
      </c>
      <c r="T145" s="1" t="s">
        <v>48</v>
      </c>
      <c r="U145" s="1" t="s">
        <v>49</v>
      </c>
      <c r="V145" s="1" t="s">
        <v>1041</v>
      </c>
      <c r="W145" s="1" t="s">
        <v>1042</v>
      </c>
      <c r="X145" s="1">
        <v>2020.0</v>
      </c>
      <c r="Y145" s="1" t="s">
        <v>28</v>
      </c>
      <c r="Z145" s="1" t="s">
        <v>53</v>
      </c>
    </row>
    <row r="146">
      <c r="A146" s="1" t="s">
        <v>1043</v>
      </c>
      <c r="B146" s="1" t="s">
        <v>1044</v>
      </c>
      <c r="C146" s="1" t="s">
        <v>43</v>
      </c>
      <c r="D146" s="1" t="s">
        <v>1046</v>
      </c>
      <c r="E146" s="1" t="s">
        <v>43</v>
      </c>
      <c r="F146" s="1" t="s">
        <v>45</v>
      </c>
      <c r="G146" s="1">
        <v>53.4</v>
      </c>
      <c r="H146" s="1">
        <v>45.0</v>
      </c>
      <c r="I146" s="1">
        <v>47.9</v>
      </c>
      <c r="J146" s="1">
        <v>47.0</v>
      </c>
      <c r="K146" s="1">
        <v>66.1</v>
      </c>
      <c r="L146" s="1">
        <v>16.2</v>
      </c>
      <c r="M146" s="1">
        <v>12.6</v>
      </c>
      <c r="N146" s="1">
        <v>3.8</v>
      </c>
      <c r="O146" s="1">
        <v>2.0</v>
      </c>
      <c r="P146" s="1">
        <v>0.1</v>
      </c>
      <c r="Q146" s="1">
        <v>33.1</v>
      </c>
      <c r="R146" s="1">
        <v>35.9</v>
      </c>
      <c r="S146" s="1">
        <v>47.1</v>
      </c>
      <c r="T146" s="1" t="s">
        <v>48</v>
      </c>
      <c r="U146" s="1" t="s">
        <v>49</v>
      </c>
      <c r="V146" s="1" t="s">
        <v>1048</v>
      </c>
      <c r="W146" s="1" t="s">
        <v>1049</v>
      </c>
      <c r="X146" s="1" t="s">
        <v>1050</v>
      </c>
      <c r="Y146" s="1" t="s">
        <v>75</v>
      </c>
      <c r="Z146" s="1" t="s">
        <v>53</v>
      </c>
    </row>
    <row r="147">
      <c r="A147" s="1" t="s">
        <v>1051</v>
      </c>
      <c r="B147" s="1" t="s">
        <v>1052</v>
      </c>
      <c r="C147" s="1" t="s">
        <v>43</v>
      </c>
      <c r="D147" s="1" t="s">
        <v>1053</v>
      </c>
      <c r="E147" s="1" t="s">
        <v>43</v>
      </c>
      <c r="F147" s="1" t="s">
        <v>45</v>
      </c>
      <c r="G147" s="1">
        <v>58.6</v>
      </c>
      <c r="H147" s="1">
        <v>39.4</v>
      </c>
      <c r="I147" s="1">
        <v>52.4</v>
      </c>
      <c r="J147" s="1">
        <v>40.6</v>
      </c>
      <c r="K147" s="1">
        <v>75.5</v>
      </c>
      <c r="L147" s="1">
        <v>5.4</v>
      </c>
      <c r="M147" s="1">
        <v>10.4</v>
      </c>
      <c r="N147" s="1">
        <v>6.3</v>
      </c>
      <c r="O147" s="1">
        <v>1.9</v>
      </c>
      <c r="P147" s="1">
        <v>0.2</v>
      </c>
      <c r="Q147" s="1">
        <v>39.7</v>
      </c>
      <c r="R147" s="1">
        <v>41.4</v>
      </c>
      <c r="S147" s="1">
        <v>48.4</v>
      </c>
      <c r="T147" s="1" t="s">
        <v>48</v>
      </c>
      <c r="U147" s="1" t="s">
        <v>49</v>
      </c>
      <c r="V147" s="1" t="s">
        <v>1054</v>
      </c>
      <c r="W147" s="1" t="s">
        <v>1055</v>
      </c>
      <c r="X147" s="1">
        <v>2008.0</v>
      </c>
      <c r="Y147" s="1" t="s">
        <v>75</v>
      </c>
      <c r="Z147" s="1" t="s">
        <v>53</v>
      </c>
    </row>
    <row r="148">
      <c r="A148" s="1" t="s">
        <v>1058</v>
      </c>
      <c r="B148" s="1" t="s">
        <v>1059</v>
      </c>
      <c r="C148" s="1" t="s">
        <v>43</v>
      </c>
      <c r="D148" s="1" t="s">
        <v>1061</v>
      </c>
      <c r="E148" s="1" t="s">
        <v>43</v>
      </c>
      <c r="F148" s="1" t="s">
        <v>45</v>
      </c>
      <c r="G148" s="1">
        <v>58.8</v>
      </c>
      <c r="H148" s="1">
        <v>39.1</v>
      </c>
      <c r="I148" s="1">
        <v>53.6</v>
      </c>
      <c r="J148" s="1">
        <v>39.9</v>
      </c>
      <c r="K148" s="1">
        <v>70.7</v>
      </c>
      <c r="L148" s="1">
        <v>7.9</v>
      </c>
      <c r="M148" s="1">
        <v>15.5</v>
      </c>
      <c r="N148" s="1">
        <v>4.9</v>
      </c>
      <c r="O148" s="1">
        <v>1.5</v>
      </c>
      <c r="P148" s="1">
        <v>0.1</v>
      </c>
      <c r="Q148" s="1">
        <v>38.9</v>
      </c>
      <c r="R148" s="1">
        <v>44.2</v>
      </c>
      <c r="S148" s="1">
        <v>42.3</v>
      </c>
      <c r="T148" s="1" t="s">
        <v>48</v>
      </c>
      <c r="U148" s="1" t="s">
        <v>49</v>
      </c>
      <c r="V148" s="1" t="s">
        <v>377</v>
      </c>
      <c r="W148" s="1" t="s">
        <v>1062</v>
      </c>
      <c r="X148" s="1" t="s">
        <v>1063</v>
      </c>
      <c r="Y148" s="1" t="s">
        <v>75</v>
      </c>
      <c r="Z148" s="1" t="s">
        <v>53</v>
      </c>
    </row>
    <row r="149">
      <c r="A149" s="1" t="s">
        <v>1064</v>
      </c>
      <c r="B149" s="1" t="s">
        <v>1066</v>
      </c>
      <c r="C149" s="1" t="s">
        <v>43</v>
      </c>
      <c r="D149" s="1" t="s">
        <v>1067</v>
      </c>
      <c r="E149" s="1" t="s">
        <v>43</v>
      </c>
      <c r="F149" s="1" t="s">
        <v>45</v>
      </c>
      <c r="G149" s="1">
        <v>60.8</v>
      </c>
      <c r="H149" s="1">
        <v>37.4</v>
      </c>
      <c r="I149" s="1">
        <v>55.5</v>
      </c>
      <c r="J149" s="1">
        <v>39.7</v>
      </c>
      <c r="K149" s="1">
        <v>68.8</v>
      </c>
      <c r="L149" s="1">
        <v>5.9</v>
      </c>
      <c r="M149" s="1">
        <v>18.2</v>
      </c>
      <c r="N149" s="1">
        <v>5.9</v>
      </c>
      <c r="O149" s="1">
        <v>1.7</v>
      </c>
      <c r="P149" s="1">
        <v>0.1</v>
      </c>
      <c r="Q149" s="1">
        <v>33.2</v>
      </c>
      <c r="R149" s="1">
        <v>36.3</v>
      </c>
      <c r="S149" s="1">
        <v>47.8</v>
      </c>
      <c r="T149" s="1" t="s">
        <v>48</v>
      </c>
      <c r="U149" s="1" t="s">
        <v>49</v>
      </c>
      <c r="V149" s="1" t="s">
        <v>1028</v>
      </c>
      <c r="W149" s="1" t="s">
        <v>1068</v>
      </c>
      <c r="X149" s="1">
        <v>2004.0</v>
      </c>
      <c r="Y149" s="1" t="s">
        <v>75</v>
      </c>
      <c r="Z149" s="1" t="s">
        <v>53</v>
      </c>
    </row>
    <row r="150">
      <c r="A150" s="1" t="s">
        <v>1069</v>
      </c>
      <c r="B150" s="1" t="s">
        <v>1070</v>
      </c>
      <c r="C150" s="1" t="s">
        <v>43</v>
      </c>
      <c r="D150" s="1" t="s">
        <v>1071</v>
      </c>
      <c r="E150" s="1" t="s">
        <v>43</v>
      </c>
      <c r="F150" s="1" t="s">
        <v>45</v>
      </c>
      <c r="G150" s="1">
        <v>53.2</v>
      </c>
      <c r="H150" s="1">
        <v>45.9</v>
      </c>
      <c r="I150" s="1">
        <v>53.6</v>
      </c>
      <c r="J150" s="1">
        <v>43.8</v>
      </c>
      <c r="K150" s="1">
        <v>50.1</v>
      </c>
      <c r="L150" s="1">
        <v>5.9</v>
      </c>
      <c r="M150" s="1">
        <v>41.2</v>
      </c>
      <c r="N150" s="1">
        <v>1.3</v>
      </c>
      <c r="O150" s="1">
        <v>2.2</v>
      </c>
      <c r="P150" s="1">
        <v>0.1</v>
      </c>
      <c r="Q150" s="1">
        <v>20.8</v>
      </c>
      <c r="R150" s="1">
        <v>26.9</v>
      </c>
      <c r="S150" s="1">
        <v>38.4</v>
      </c>
      <c r="T150" s="1" t="s">
        <v>48</v>
      </c>
      <c r="U150" s="1" t="s">
        <v>159</v>
      </c>
      <c r="V150" s="1" t="s">
        <v>1072</v>
      </c>
      <c r="W150" s="1" t="s">
        <v>607</v>
      </c>
      <c r="Y150" s="1" t="s">
        <v>28</v>
      </c>
      <c r="Z150" s="1" t="s">
        <v>53</v>
      </c>
    </row>
    <row r="151">
      <c r="A151" s="1" t="s">
        <v>1073</v>
      </c>
      <c r="B151" s="1" t="s">
        <v>1074</v>
      </c>
      <c r="C151" s="1" t="s">
        <v>43</v>
      </c>
      <c r="D151" s="1" t="s">
        <v>1075</v>
      </c>
      <c r="E151" s="1" t="s">
        <v>43</v>
      </c>
      <c r="F151" s="1" t="s">
        <v>45</v>
      </c>
      <c r="G151" s="1">
        <v>63.6</v>
      </c>
      <c r="H151" s="1">
        <v>34.8</v>
      </c>
      <c r="I151" s="1">
        <v>58.2</v>
      </c>
      <c r="J151" s="1">
        <v>36.2</v>
      </c>
      <c r="K151" s="1">
        <v>60.1</v>
      </c>
      <c r="L151" s="1">
        <v>9.3</v>
      </c>
      <c r="M151" s="1">
        <v>18.2</v>
      </c>
      <c r="N151" s="1">
        <v>11.1</v>
      </c>
      <c r="O151" s="1">
        <v>1.7</v>
      </c>
      <c r="P151" s="1">
        <v>0.2</v>
      </c>
      <c r="Q151" s="1">
        <v>57.4</v>
      </c>
      <c r="R151" s="1">
        <v>63.1</v>
      </c>
      <c r="S151" s="1">
        <v>25.3</v>
      </c>
      <c r="T151" s="1" t="s">
        <v>48</v>
      </c>
      <c r="U151" s="1" t="s">
        <v>49</v>
      </c>
      <c r="V151" s="1" t="s">
        <v>1076</v>
      </c>
      <c r="W151" s="1" t="s">
        <v>1077</v>
      </c>
      <c r="X151" s="1">
        <v>2020.0</v>
      </c>
      <c r="Y151" s="1" t="s">
        <v>75</v>
      </c>
      <c r="Z151" s="1" t="s">
        <v>53</v>
      </c>
    </row>
    <row r="152">
      <c r="A152" s="1" t="s">
        <v>1078</v>
      </c>
      <c r="B152" s="1" t="s">
        <v>1079</v>
      </c>
      <c r="C152" s="1" t="s">
        <v>43</v>
      </c>
      <c r="D152" s="1" t="s">
        <v>1080</v>
      </c>
      <c r="E152" s="1" t="s">
        <v>43</v>
      </c>
      <c r="F152" s="1" t="s">
        <v>45</v>
      </c>
      <c r="G152" s="1">
        <v>66.9</v>
      </c>
      <c r="H152" s="1">
        <v>31.9</v>
      </c>
      <c r="I152" s="1">
        <v>65.0</v>
      </c>
      <c r="J152" s="1">
        <v>31.0</v>
      </c>
      <c r="K152" s="1">
        <v>55.6</v>
      </c>
      <c r="L152" s="1">
        <v>10.9</v>
      </c>
      <c r="M152" s="1">
        <v>26.6</v>
      </c>
      <c r="N152" s="1">
        <v>5.4</v>
      </c>
      <c r="O152" s="1">
        <v>2.2</v>
      </c>
      <c r="P152" s="1">
        <v>0.1</v>
      </c>
      <c r="Q152" s="1">
        <v>42.0</v>
      </c>
      <c r="R152" s="1">
        <v>49.3</v>
      </c>
      <c r="S152" s="1">
        <v>31.7</v>
      </c>
      <c r="T152" s="1" t="s">
        <v>48</v>
      </c>
      <c r="U152" s="1" t="s">
        <v>159</v>
      </c>
      <c r="V152" s="1" t="s">
        <v>1082</v>
      </c>
      <c r="W152" s="1" t="s">
        <v>1084</v>
      </c>
      <c r="Y152" s="1" t="s">
        <v>28</v>
      </c>
      <c r="Z152" s="1" t="s">
        <v>53</v>
      </c>
    </row>
    <row r="153">
      <c r="A153" s="1" t="s">
        <v>1085</v>
      </c>
      <c r="B153" s="1" t="s">
        <v>1086</v>
      </c>
      <c r="C153" s="1" t="s">
        <v>43</v>
      </c>
      <c r="D153" s="1" t="s">
        <v>1087</v>
      </c>
      <c r="E153" s="1" t="s">
        <v>43</v>
      </c>
      <c r="F153" s="1" t="s">
        <v>45</v>
      </c>
      <c r="G153" s="1">
        <v>55.6</v>
      </c>
      <c r="H153" s="1">
        <v>43.2</v>
      </c>
      <c r="I153" s="1">
        <v>53.4</v>
      </c>
      <c r="J153" s="1">
        <v>42.9</v>
      </c>
      <c r="K153" s="1">
        <v>54.7</v>
      </c>
      <c r="L153" s="1">
        <v>8.0</v>
      </c>
      <c r="M153" s="1">
        <v>31.7</v>
      </c>
      <c r="N153" s="1">
        <v>4.3</v>
      </c>
      <c r="O153" s="1">
        <v>2.1</v>
      </c>
      <c r="P153" s="1">
        <v>0.1</v>
      </c>
      <c r="Q153" s="1">
        <v>31.8</v>
      </c>
      <c r="R153" s="1">
        <v>36.7</v>
      </c>
      <c r="S153" s="1">
        <v>38.0</v>
      </c>
      <c r="T153" s="1" t="s">
        <v>48</v>
      </c>
      <c r="U153" s="1" t="s">
        <v>49</v>
      </c>
      <c r="V153" s="1" t="s">
        <v>461</v>
      </c>
      <c r="W153" s="1" t="s">
        <v>1089</v>
      </c>
      <c r="X153" s="1">
        <v>2020.0</v>
      </c>
      <c r="Y153" s="1" t="s">
        <v>75</v>
      </c>
      <c r="Z153" s="1" t="s">
        <v>53</v>
      </c>
    </row>
    <row r="154">
      <c r="A154" s="1" t="s">
        <v>1090</v>
      </c>
      <c r="B154" s="1" t="s">
        <v>1091</v>
      </c>
      <c r="C154" s="1" t="s">
        <v>43</v>
      </c>
      <c r="D154" s="1" t="s">
        <v>1092</v>
      </c>
      <c r="E154" s="1" t="s">
        <v>43</v>
      </c>
      <c r="F154" s="1" t="s">
        <v>45</v>
      </c>
      <c r="G154" s="1">
        <v>64.4</v>
      </c>
      <c r="H154" s="1">
        <v>34.2</v>
      </c>
      <c r="I154" s="1">
        <v>60.2</v>
      </c>
      <c r="J154" s="1">
        <v>35.6</v>
      </c>
      <c r="K154" s="1">
        <v>43.7</v>
      </c>
      <c r="L154" s="1">
        <v>13.3</v>
      </c>
      <c r="M154" s="1">
        <v>36.0</v>
      </c>
      <c r="N154" s="1">
        <v>6.1</v>
      </c>
      <c r="O154" s="1">
        <v>2.0</v>
      </c>
      <c r="P154" s="1">
        <v>0.1</v>
      </c>
      <c r="Q154" s="1">
        <v>37.1</v>
      </c>
      <c r="R154" s="1">
        <v>43.7</v>
      </c>
      <c r="S154" s="1">
        <v>28.5</v>
      </c>
      <c r="T154" s="1" t="s">
        <v>48</v>
      </c>
      <c r="U154" s="1" t="s">
        <v>49</v>
      </c>
      <c r="V154" s="1" t="s">
        <v>1093</v>
      </c>
      <c r="W154" s="1" t="s">
        <v>1094</v>
      </c>
      <c r="X154" s="1" t="s">
        <v>913</v>
      </c>
      <c r="Y154" s="1" t="s">
        <v>28</v>
      </c>
      <c r="Z154" s="1" t="s">
        <v>53</v>
      </c>
    </row>
    <row r="155">
      <c r="A155" s="1" t="s">
        <v>1095</v>
      </c>
      <c r="B155" s="1" t="s">
        <v>1096</v>
      </c>
      <c r="C155" s="1" t="s">
        <v>632</v>
      </c>
      <c r="D155" s="1" t="s">
        <v>1097</v>
      </c>
      <c r="E155" s="1" t="s">
        <v>43</v>
      </c>
      <c r="F155" s="1" t="s">
        <v>397</v>
      </c>
      <c r="G155" s="1">
        <v>50.1</v>
      </c>
      <c r="H155" s="1">
        <v>48.4</v>
      </c>
      <c r="I155" s="1">
        <v>46.6</v>
      </c>
      <c r="J155" s="1">
        <v>49.0</v>
      </c>
      <c r="K155" s="1">
        <v>61.8</v>
      </c>
      <c r="L155" s="1">
        <v>11.2</v>
      </c>
      <c r="M155" s="1">
        <v>22.0</v>
      </c>
      <c r="N155" s="1">
        <v>3.3</v>
      </c>
      <c r="O155" s="1">
        <v>2.2</v>
      </c>
      <c r="P155" s="1">
        <v>0.2</v>
      </c>
      <c r="Q155" s="1">
        <v>34.5</v>
      </c>
      <c r="R155" s="1">
        <v>40.1</v>
      </c>
      <c r="S155" s="1">
        <v>40.2</v>
      </c>
      <c r="T155" s="1" t="s">
        <v>48</v>
      </c>
      <c r="U155" s="1" t="s">
        <v>159</v>
      </c>
      <c r="V155" s="1" t="s">
        <v>1098</v>
      </c>
      <c r="W155" s="1" t="s">
        <v>1099</v>
      </c>
      <c r="Y155" s="1" t="s">
        <v>75</v>
      </c>
      <c r="Z155" s="1" t="s">
        <v>53</v>
      </c>
    </row>
    <row r="156">
      <c r="A156" s="1" t="s">
        <v>1100</v>
      </c>
      <c r="B156" s="1" t="s">
        <v>1101</v>
      </c>
      <c r="C156" s="1" t="s">
        <v>395</v>
      </c>
      <c r="D156" s="1" t="s">
        <v>1102</v>
      </c>
      <c r="E156" s="1" t="s">
        <v>43</v>
      </c>
      <c r="F156" s="1" t="s">
        <v>397</v>
      </c>
      <c r="G156" s="1">
        <v>57.5</v>
      </c>
      <c r="H156" s="1">
        <v>41.1</v>
      </c>
      <c r="I156" s="1">
        <v>52.4</v>
      </c>
      <c r="J156" s="1">
        <v>42.6</v>
      </c>
      <c r="K156" s="1">
        <v>60.4</v>
      </c>
      <c r="L156" s="1">
        <v>11.2</v>
      </c>
      <c r="M156" s="1">
        <v>20.7</v>
      </c>
      <c r="N156" s="1">
        <v>6.3</v>
      </c>
      <c r="O156" s="1">
        <v>1.9</v>
      </c>
      <c r="P156" s="1">
        <v>0.1</v>
      </c>
      <c r="Q156" s="1">
        <v>46.0</v>
      </c>
      <c r="R156" s="1">
        <v>53.1</v>
      </c>
      <c r="S156" s="1">
        <v>31.5</v>
      </c>
      <c r="T156" s="1" t="s">
        <v>48</v>
      </c>
      <c r="U156" s="1" t="s">
        <v>159</v>
      </c>
      <c r="V156" s="1" t="s">
        <v>529</v>
      </c>
      <c r="W156" s="1" t="s">
        <v>563</v>
      </c>
      <c r="Y156" s="1" t="s">
        <v>75</v>
      </c>
      <c r="Z156" s="1" t="s">
        <v>53</v>
      </c>
    </row>
    <row r="157">
      <c r="A157" s="1" t="s">
        <v>1103</v>
      </c>
      <c r="B157" s="1" t="s">
        <v>1104</v>
      </c>
      <c r="C157" s="1" t="s">
        <v>632</v>
      </c>
      <c r="D157" s="1" t="s">
        <v>1105</v>
      </c>
      <c r="E157" s="1" t="s">
        <v>43</v>
      </c>
      <c r="F157" s="1" t="s">
        <v>397</v>
      </c>
      <c r="G157" s="1">
        <v>53.5</v>
      </c>
      <c r="H157" s="1">
        <v>45.0</v>
      </c>
      <c r="I157" s="1">
        <v>49.7</v>
      </c>
      <c r="J157" s="1">
        <v>45.7</v>
      </c>
      <c r="K157" s="1">
        <v>70.2</v>
      </c>
      <c r="L157" s="1">
        <v>3.3</v>
      </c>
      <c r="M157" s="1">
        <v>19.7</v>
      </c>
      <c r="N157" s="1">
        <v>5.0</v>
      </c>
      <c r="O157" s="1">
        <v>1.6</v>
      </c>
      <c r="P157" s="1">
        <v>0.1</v>
      </c>
      <c r="Q157" s="1">
        <v>43.6</v>
      </c>
      <c r="R157" s="1">
        <v>48.3</v>
      </c>
      <c r="S157" s="1">
        <v>38.6</v>
      </c>
      <c r="T157" s="1" t="s">
        <v>48</v>
      </c>
      <c r="U157" s="1" t="s">
        <v>970</v>
      </c>
      <c r="V157" s="1" t="s">
        <v>73</v>
      </c>
      <c r="W157" s="1" t="s">
        <v>1107</v>
      </c>
      <c r="Y157" s="1" t="s">
        <v>75</v>
      </c>
      <c r="Z157" s="1" t="s">
        <v>53</v>
      </c>
    </row>
    <row r="158">
      <c r="A158" s="1" t="s">
        <v>1108</v>
      </c>
      <c r="B158" s="1" t="s">
        <v>1109</v>
      </c>
      <c r="C158" s="1" t="s">
        <v>43</v>
      </c>
      <c r="D158" s="1" t="s">
        <v>1110</v>
      </c>
      <c r="E158" s="1" t="s">
        <v>43</v>
      </c>
      <c r="F158" s="1" t="s">
        <v>45</v>
      </c>
      <c r="G158" s="1">
        <v>71.1</v>
      </c>
      <c r="H158" s="1">
        <v>27.4</v>
      </c>
      <c r="I158" s="1">
        <v>66.9</v>
      </c>
      <c r="J158" s="1">
        <v>28.5</v>
      </c>
      <c r="K158" s="1">
        <v>59.5</v>
      </c>
      <c r="L158" s="1">
        <v>5.3</v>
      </c>
      <c r="M158" s="1">
        <v>27.2</v>
      </c>
      <c r="N158" s="1">
        <v>6.5</v>
      </c>
      <c r="O158" s="1">
        <v>1.7</v>
      </c>
      <c r="P158" s="1">
        <v>0.1</v>
      </c>
      <c r="Q158" s="1">
        <v>43.2</v>
      </c>
      <c r="R158" s="1">
        <v>52.6</v>
      </c>
      <c r="S158" s="1">
        <v>30.7</v>
      </c>
      <c r="T158" s="1" t="s">
        <v>48</v>
      </c>
      <c r="U158" s="1" t="s">
        <v>49</v>
      </c>
      <c r="V158" s="1" t="s">
        <v>1111</v>
      </c>
      <c r="W158" s="1" t="s">
        <v>1112</v>
      </c>
      <c r="X158" s="1">
        <v>2012.0</v>
      </c>
      <c r="Y158" s="1" t="s">
        <v>28</v>
      </c>
      <c r="Z158" s="1" t="s">
        <v>53</v>
      </c>
    </row>
    <row r="159">
      <c r="A159" s="1" t="s">
        <v>1113</v>
      </c>
      <c r="B159" s="1" t="s">
        <v>1114</v>
      </c>
      <c r="C159" s="1" t="s">
        <v>43</v>
      </c>
      <c r="D159" s="1" t="s">
        <v>1115</v>
      </c>
      <c r="E159" s="1" t="s">
        <v>43</v>
      </c>
      <c r="F159" s="1" t="s">
        <v>45</v>
      </c>
      <c r="G159" s="1">
        <v>47.7</v>
      </c>
      <c r="H159" s="1">
        <v>50.6</v>
      </c>
      <c r="I159" s="1">
        <v>46.8</v>
      </c>
      <c r="J159" s="1">
        <v>47.7</v>
      </c>
      <c r="K159" s="1">
        <v>77.7</v>
      </c>
      <c r="L159" s="1">
        <v>5.9</v>
      </c>
      <c r="M159" s="1">
        <v>12.6</v>
      </c>
      <c r="N159" s="1">
        <v>1.7</v>
      </c>
      <c r="O159" s="1">
        <v>2.0</v>
      </c>
      <c r="P159" s="1">
        <v>0.1</v>
      </c>
      <c r="Q159" s="1">
        <v>24.9</v>
      </c>
      <c r="R159" s="1">
        <v>26.5</v>
      </c>
      <c r="S159" s="1">
        <v>59.3</v>
      </c>
      <c r="T159" s="1" t="s">
        <v>48</v>
      </c>
      <c r="U159" s="1" t="s">
        <v>49</v>
      </c>
      <c r="V159" s="1" t="s">
        <v>1117</v>
      </c>
      <c r="W159" s="1" t="s">
        <v>1118</v>
      </c>
      <c r="X159" s="1">
        <v>1982.0</v>
      </c>
      <c r="Y159" s="1" t="s">
        <v>75</v>
      </c>
      <c r="Z159" s="1" t="s">
        <v>53</v>
      </c>
    </row>
    <row r="160">
      <c r="A160" s="1" t="s">
        <v>1119</v>
      </c>
      <c r="B160" s="1" t="s">
        <v>1120</v>
      </c>
      <c r="C160" s="1" t="s">
        <v>43</v>
      </c>
      <c r="D160" s="1" t="s">
        <v>1121</v>
      </c>
      <c r="E160" s="1" t="s">
        <v>43</v>
      </c>
      <c r="F160" s="1" t="s">
        <v>45</v>
      </c>
      <c r="G160" s="1">
        <v>78.3</v>
      </c>
      <c r="H160" s="1">
        <v>20.7</v>
      </c>
      <c r="I160" s="1">
        <v>78.9</v>
      </c>
      <c r="J160" s="1">
        <v>18.3</v>
      </c>
      <c r="K160" s="1">
        <v>44.5</v>
      </c>
      <c r="L160" s="1">
        <v>6.9</v>
      </c>
      <c r="M160" s="1">
        <v>44.3</v>
      </c>
      <c r="N160" s="1">
        <v>3.6</v>
      </c>
      <c r="O160" s="1">
        <v>1.5</v>
      </c>
      <c r="P160" s="1">
        <v>0.1</v>
      </c>
      <c r="Q160" s="1">
        <v>29.7</v>
      </c>
      <c r="R160" s="1">
        <v>42.2</v>
      </c>
      <c r="S160" s="1">
        <v>27.5</v>
      </c>
      <c r="T160" s="1" t="s">
        <v>48</v>
      </c>
      <c r="U160" s="1" t="s">
        <v>49</v>
      </c>
      <c r="V160" s="1" t="s">
        <v>1122</v>
      </c>
      <c r="W160" s="1" t="s">
        <v>1123</v>
      </c>
      <c r="X160" s="1" t="s">
        <v>469</v>
      </c>
      <c r="Y160" s="1" t="s">
        <v>28</v>
      </c>
      <c r="Z160" s="1" t="s">
        <v>53</v>
      </c>
    </row>
    <row r="161">
      <c r="A161" s="1" t="s">
        <v>1124</v>
      </c>
      <c r="B161" s="1" t="s">
        <v>1125</v>
      </c>
      <c r="C161" s="1" t="s">
        <v>43</v>
      </c>
      <c r="D161" s="1" t="s">
        <v>1126</v>
      </c>
      <c r="E161" s="1" t="s">
        <v>43</v>
      </c>
      <c r="F161" s="1" t="s">
        <v>45</v>
      </c>
      <c r="G161" s="1">
        <v>50.7</v>
      </c>
      <c r="H161" s="1">
        <v>47.9</v>
      </c>
      <c r="I161" s="1">
        <v>48.9</v>
      </c>
      <c r="J161" s="1">
        <v>46.8</v>
      </c>
      <c r="K161" s="1">
        <v>78.7</v>
      </c>
      <c r="L161" s="1">
        <v>2.2</v>
      </c>
      <c r="M161" s="1">
        <v>13.4</v>
      </c>
      <c r="N161" s="1">
        <v>3.4</v>
      </c>
      <c r="O161" s="1">
        <v>1.9</v>
      </c>
      <c r="P161" s="1">
        <v>0.1</v>
      </c>
      <c r="Q161" s="1">
        <v>30.9</v>
      </c>
      <c r="R161" s="1">
        <v>33.2</v>
      </c>
      <c r="S161" s="1">
        <v>55.3</v>
      </c>
      <c r="T161" s="1" t="s">
        <v>48</v>
      </c>
      <c r="U161" s="1" t="s">
        <v>159</v>
      </c>
      <c r="V161" s="1" t="s">
        <v>1127</v>
      </c>
      <c r="W161" s="1" t="s">
        <v>1128</v>
      </c>
      <c r="Y161" s="1" t="s">
        <v>28</v>
      </c>
      <c r="Z161" s="1" t="s">
        <v>53</v>
      </c>
    </row>
    <row r="162">
      <c r="A162" s="1" t="s">
        <v>1130</v>
      </c>
      <c r="B162" s="1" t="s">
        <v>1131</v>
      </c>
      <c r="C162" s="1" t="s">
        <v>43</v>
      </c>
      <c r="D162" s="1" t="s">
        <v>1133</v>
      </c>
      <c r="E162" s="1" t="s">
        <v>43</v>
      </c>
      <c r="F162" s="1" t="s">
        <v>45</v>
      </c>
      <c r="G162" s="1">
        <v>68.4</v>
      </c>
      <c r="H162" s="1">
        <v>29.1</v>
      </c>
      <c r="I162" s="1">
        <v>60.7</v>
      </c>
      <c r="J162" s="1">
        <v>28.1</v>
      </c>
      <c r="K162" s="1">
        <v>69.0</v>
      </c>
      <c r="L162" s="1">
        <v>12.7</v>
      </c>
      <c r="M162" s="1">
        <v>3.0</v>
      </c>
      <c r="N162" s="1">
        <v>11.5</v>
      </c>
      <c r="O162" s="1">
        <v>3.2</v>
      </c>
      <c r="P162" s="1">
        <v>0.8</v>
      </c>
      <c r="Q162" s="1">
        <v>46.9</v>
      </c>
      <c r="R162" s="1">
        <v>48.2</v>
      </c>
      <c r="S162" s="1">
        <v>40.6</v>
      </c>
      <c r="T162" s="1" t="s">
        <v>48</v>
      </c>
      <c r="U162" s="1" t="s">
        <v>49</v>
      </c>
      <c r="V162" s="1" t="s">
        <v>1134</v>
      </c>
      <c r="W162" s="1" t="s">
        <v>1135</v>
      </c>
      <c r="X162" s="1" t="s">
        <v>948</v>
      </c>
      <c r="Y162" s="1" t="s">
        <v>75</v>
      </c>
      <c r="Z162" s="1" t="s">
        <v>53</v>
      </c>
    </row>
    <row r="163">
      <c r="A163" s="1" t="s">
        <v>1136</v>
      </c>
      <c r="B163" s="1" t="s">
        <v>1137</v>
      </c>
      <c r="C163" s="1" t="s">
        <v>43</v>
      </c>
      <c r="D163" s="1" t="s">
        <v>1138</v>
      </c>
      <c r="E163" s="1" t="s">
        <v>43</v>
      </c>
      <c r="F163" s="1" t="s">
        <v>45</v>
      </c>
      <c r="G163" s="1">
        <v>72.5</v>
      </c>
      <c r="H163" s="1">
        <v>25.2</v>
      </c>
      <c r="I163" s="1">
        <v>66.6</v>
      </c>
      <c r="J163" s="1">
        <v>23.4</v>
      </c>
      <c r="K163" s="1">
        <v>67.9</v>
      </c>
      <c r="L163" s="1">
        <v>12.0</v>
      </c>
      <c r="M163" s="1">
        <v>6.7</v>
      </c>
      <c r="N163" s="1">
        <v>9.4</v>
      </c>
      <c r="O163" s="1">
        <v>3.6</v>
      </c>
      <c r="P163" s="1">
        <v>1.1</v>
      </c>
      <c r="Q163" s="1">
        <v>38.1</v>
      </c>
      <c r="R163" s="1">
        <v>42.4</v>
      </c>
      <c r="S163" s="1">
        <v>44.2</v>
      </c>
      <c r="T163" s="1" t="s">
        <v>48</v>
      </c>
      <c r="U163" s="1" t="s">
        <v>49</v>
      </c>
      <c r="V163" s="1" t="s">
        <v>1139</v>
      </c>
      <c r="W163" s="1" t="s">
        <v>1140</v>
      </c>
      <c r="X163" s="1" t="s">
        <v>1141</v>
      </c>
      <c r="Y163" s="1" t="s">
        <v>75</v>
      </c>
      <c r="Z163" s="1" t="s">
        <v>53</v>
      </c>
    </row>
    <row r="164">
      <c r="A164" s="1" t="s">
        <v>1142</v>
      </c>
      <c r="B164" s="1" t="s">
        <v>1143</v>
      </c>
      <c r="C164" s="1" t="s">
        <v>43</v>
      </c>
      <c r="D164" s="1" t="s">
        <v>1144</v>
      </c>
      <c r="E164" s="1" t="s">
        <v>43</v>
      </c>
      <c r="F164" s="1" t="s">
        <v>45</v>
      </c>
      <c r="G164" s="1">
        <v>55.1</v>
      </c>
      <c r="H164" s="1">
        <v>42.3</v>
      </c>
      <c r="I164" s="1">
        <v>48.5</v>
      </c>
      <c r="J164" s="1">
        <v>40.5</v>
      </c>
      <c r="K164" s="1">
        <v>81.4</v>
      </c>
      <c r="L164" s="1">
        <v>7.3</v>
      </c>
      <c r="M164" s="1">
        <v>1.6</v>
      </c>
      <c r="N164" s="1">
        <v>4.1</v>
      </c>
      <c r="O164" s="1">
        <v>4.6</v>
      </c>
      <c r="P164" s="1">
        <v>0.6</v>
      </c>
      <c r="Q164" s="1">
        <v>30.9</v>
      </c>
      <c r="R164" s="1">
        <v>31.2</v>
      </c>
      <c r="S164" s="1">
        <v>59.9</v>
      </c>
      <c r="T164" s="1" t="s">
        <v>48</v>
      </c>
      <c r="U164" s="1" t="s">
        <v>159</v>
      </c>
      <c r="V164" s="1" t="s">
        <v>1145</v>
      </c>
      <c r="W164" s="1" t="s">
        <v>1146</v>
      </c>
      <c r="Y164" s="1" t="s">
        <v>75</v>
      </c>
      <c r="Z164" s="1" t="s">
        <v>53</v>
      </c>
    </row>
    <row r="165">
      <c r="A165" s="1" t="s">
        <v>1147</v>
      </c>
      <c r="B165" s="1" t="s">
        <v>1148</v>
      </c>
      <c r="C165" s="1" t="s">
        <v>43</v>
      </c>
      <c r="D165" s="1" t="s">
        <v>1149</v>
      </c>
      <c r="E165" s="1" t="s">
        <v>43</v>
      </c>
      <c r="F165" s="1" t="s">
        <v>45</v>
      </c>
      <c r="G165" s="1">
        <v>71.0</v>
      </c>
      <c r="H165" s="1">
        <v>28.3</v>
      </c>
      <c r="I165" s="1">
        <v>73.5</v>
      </c>
      <c r="J165" s="1">
        <v>24.3</v>
      </c>
      <c r="K165" s="1">
        <v>41.3</v>
      </c>
      <c r="L165" s="1">
        <v>22.2</v>
      </c>
      <c r="M165" s="1">
        <v>26.2</v>
      </c>
      <c r="N165" s="1">
        <v>10.6</v>
      </c>
      <c r="O165" s="1">
        <v>1.4</v>
      </c>
      <c r="P165" s="1">
        <v>0.2</v>
      </c>
      <c r="Q165" s="1">
        <v>24.9</v>
      </c>
      <c r="R165" s="1">
        <v>33.5</v>
      </c>
      <c r="S165" s="1">
        <v>30.0</v>
      </c>
      <c r="T165" s="1" t="s">
        <v>48</v>
      </c>
      <c r="U165" s="1" t="s">
        <v>49</v>
      </c>
      <c r="V165" s="1" t="s">
        <v>1152</v>
      </c>
      <c r="W165" s="1" t="s">
        <v>1153</v>
      </c>
      <c r="X165" s="1">
        <v>2014.0</v>
      </c>
      <c r="Y165" s="1" t="s">
        <v>75</v>
      </c>
      <c r="Z165" s="1" t="s">
        <v>53</v>
      </c>
    </row>
    <row r="166">
      <c r="A166" s="1" t="s">
        <v>1154</v>
      </c>
      <c r="B166" s="1" t="s">
        <v>1155</v>
      </c>
      <c r="C166" s="1" t="s">
        <v>43</v>
      </c>
      <c r="D166" s="1" t="s">
        <v>1157</v>
      </c>
      <c r="E166" s="1" t="s">
        <v>43</v>
      </c>
      <c r="F166" s="1" t="s">
        <v>45</v>
      </c>
      <c r="G166" s="1">
        <v>90.2</v>
      </c>
      <c r="H166" s="1">
        <v>9.3</v>
      </c>
      <c r="I166" s="1">
        <v>89.9</v>
      </c>
      <c r="J166" s="1">
        <v>8.0</v>
      </c>
      <c r="K166" s="1">
        <v>35.3</v>
      </c>
      <c r="L166" s="1">
        <v>5.3</v>
      </c>
      <c r="M166" s="1">
        <v>51.0</v>
      </c>
      <c r="N166" s="1">
        <v>8.2</v>
      </c>
      <c r="O166" s="1">
        <v>1.4</v>
      </c>
      <c r="P166" s="1">
        <v>0.2</v>
      </c>
      <c r="Q166" s="1">
        <v>39.0</v>
      </c>
      <c r="R166" s="1">
        <v>65.8</v>
      </c>
      <c r="S166" s="1">
        <v>12.1</v>
      </c>
      <c r="T166" s="1" t="s">
        <v>48</v>
      </c>
      <c r="U166" s="1" t="s">
        <v>49</v>
      </c>
      <c r="V166" s="1" t="s">
        <v>1161</v>
      </c>
      <c r="W166" s="1" t="s">
        <v>1162</v>
      </c>
      <c r="X166" s="1">
        <v>2016.0</v>
      </c>
      <c r="Y166" s="1" t="s">
        <v>28</v>
      </c>
      <c r="Z166" s="1" t="s">
        <v>53</v>
      </c>
    </row>
    <row r="167">
      <c r="A167" s="1" t="s">
        <v>1163</v>
      </c>
      <c r="B167" s="1" t="s">
        <v>1164</v>
      </c>
      <c r="C167" s="1" t="s">
        <v>43</v>
      </c>
      <c r="D167" s="1" t="s">
        <v>1165</v>
      </c>
      <c r="E167" s="1" t="s">
        <v>43</v>
      </c>
      <c r="F167" s="1" t="s">
        <v>45</v>
      </c>
      <c r="G167" s="1">
        <v>58.9</v>
      </c>
      <c r="H167" s="1">
        <v>40.0</v>
      </c>
      <c r="I167" s="1">
        <v>55.0</v>
      </c>
      <c r="J167" s="1">
        <v>41.1</v>
      </c>
      <c r="K167" s="1">
        <v>78.6</v>
      </c>
      <c r="L167" s="1">
        <v>4.8</v>
      </c>
      <c r="M167" s="1">
        <v>9.0</v>
      </c>
      <c r="N167" s="1">
        <v>6.4</v>
      </c>
      <c r="O167" s="1">
        <v>1.0</v>
      </c>
      <c r="P167" s="1">
        <v>0.1</v>
      </c>
      <c r="Q167" s="1">
        <v>46.0</v>
      </c>
      <c r="R167" s="1">
        <v>46.4</v>
      </c>
      <c r="S167" s="1">
        <v>44.8</v>
      </c>
      <c r="T167" s="1" t="s">
        <v>48</v>
      </c>
      <c r="U167" s="1" t="s">
        <v>49</v>
      </c>
      <c r="V167" s="1" t="s">
        <v>1166</v>
      </c>
      <c r="W167" s="1" t="s">
        <v>841</v>
      </c>
      <c r="X167" s="1">
        <v>2018.0</v>
      </c>
      <c r="Y167" s="1" t="s">
        <v>75</v>
      </c>
      <c r="Z167" s="1" t="s">
        <v>53</v>
      </c>
    </row>
    <row r="168">
      <c r="A168" s="1" t="s">
        <v>1167</v>
      </c>
      <c r="B168" s="1" t="s">
        <v>1168</v>
      </c>
      <c r="C168" s="1" t="s">
        <v>43</v>
      </c>
      <c r="D168" s="1" t="s">
        <v>1169</v>
      </c>
      <c r="E168" s="1" t="s">
        <v>43</v>
      </c>
      <c r="F168" s="1" t="s">
        <v>45</v>
      </c>
      <c r="G168" s="1">
        <v>65.7</v>
      </c>
      <c r="H168" s="1">
        <v>33.4</v>
      </c>
      <c r="I168" s="1">
        <v>63.0</v>
      </c>
      <c r="J168" s="1">
        <v>34.0</v>
      </c>
      <c r="K168" s="1">
        <v>61.6</v>
      </c>
      <c r="L168" s="1">
        <v>5.3</v>
      </c>
      <c r="M168" s="1">
        <v>24.7</v>
      </c>
      <c r="N168" s="1">
        <v>7.6</v>
      </c>
      <c r="O168" s="1">
        <v>1.2</v>
      </c>
      <c r="P168" s="1">
        <v>0.1</v>
      </c>
      <c r="Q168" s="1">
        <v>39.6</v>
      </c>
      <c r="R168" s="1">
        <v>45.0</v>
      </c>
      <c r="S168" s="1">
        <v>37.2</v>
      </c>
      <c r="T168" s="1" t="s">
        <v>48</v>
      </c>
      <c r="U168" s="1" t="s">
        <v>49</v>
      </c>
      <c r="V168" s="1" t="s">
        <v>1170</v>
      </c>
      <c r="W168" s="1" t="s">
        <v>1171</v>
      </c>
      <c r="X168" s="1" t="s">
        <v>1063</v>
      </c>
      <c r="Y168" s="1" t="s">
        <v>75</v>
      </c>
      <c r="Z168" s="1" t="s">
        <v>53</v>
      </c>
    </row>
    <row r="169">
      <c r="A169" s="1" t="s">
        <v>1172</v>
      </c>
      <c r="B169" s="1" t="s">
        <v>1173</v>
      </c>
      <c r="C169" s="1" t="s">
        <v>43</v>
      </c>
      <c r="D169" s="1" t="s">
        <v>1174</v>
      </c>
      <c r="E169" s="1" t="s">
        <v>43</v>
      </c>
      <c r="F169" s="1" t="s">
        <v>45</v>
      </c>
      <c r="G169" s="1">
        <v>56.8</v>
      </c>
      <c r="H169" s="1">
        <v>42.0</v>
      </c>
      <c r="I169" s="1">
        <v>52.4</v>
      </c>
      <c r="J169" s="1">
        <v>43.5</v>
      </c>
      <c r="K169" s="1">
        <v>72.7</v>
      </c>
      <c r="L169" s="1">
        <v>14.0</v>
      </c>
      <c r="M169" s="1">
        <v>7.4</v>
      </c>
      <c r="N169" s="1">
        <v>5.3</v>
      </c>
      <c r="O169" s="1">
        <v>1.5</v>
      </c>
      <c r="P169" s="1">
        <v>0.1</v>
      </c>
      <c r="Q169" s="1">
        <v>46.1</v>
      </c>
      <c r="R169" s="1">
        <v>50.2</v>
      </c>
      <c r="S169" s="1">
        <v>39.7</v>
      </c>
      <c r="T169" s="1" t="s">
        <v>48</v>
      </c>
      <c r="U169" s="1" t="s">
        <v>49</v>
      </c>
      <c r="V169" s="1" t="s">
        <v>1175</v>
      </c>
      <c r="W169" s="1" t="s">
        <v>1176</v>
      </c>
      <c r="X169" s="1">
        <v>2018.0</v>
      </c>
      <c r="Y169" s="1" t="s">
        <v>75</v>
      </c>
      <c r="Z169" s="1" t="s">
        <v>53</v>
      </c>
    </row>
    <row r="170">
      <c r="A170" s="1" t="s">
        <v>1177</v>
      </c>
      <c r="B170" s="1" t="s">
        <v>1178</v>
      </c>
      <c r="C170" s="1" t="s">
        <v>43</v>
      </c>
      <c r="D170" s="1" t="s">
        <v>1179</v>
      </c>
      <c r="E170" s="1" t="s">
        <v>43</v>
      </c>
      <c r="F170" s="1" t="s">
        <v>45</v>
      </c>
      <c r="G170" s="1">
        <v>49.7</v>
      </c>
      <c r="H170" s="1">
        <v>49.1</v>
      </c>
      <c r="I170" s="1">
        <v>46.7</v>
      </c>
      <c r="J170" s="1">
        <v>49.5</v>
      </c>
      <c r="K170" s="1">
        <v>72.7</v>
      </c>
      <c r="L170" s="1">
        <v>16.2</v>
      </c>
      <c r="M170" s="1">
        <v>7.3</v>
      </c>
      <c r="N170" s="1">
        <v>3.6</v>
      </c>
      <c r="O170" s="1">
        <v>1.4</v>
      </c>
      <c r="P170" s="1">
        <v>0.1</v>
      </c>
      <c r="Q170" s="1">
        <v>29.8</v>
      </c>
      <c r="R170" s="1">
        <v>32.1</v>
      </c>
      <c r="S170" s="1">
        <v>53.0</v>
      </c>
      <c r="T170" s="1" t="s">
        <v>48</v>
      </c>
      <c r="U170" s="1" t="s">
        <v>49</v>
      </c>
      <c r="V170" s="1" t="s">
        <v>1183</v>
      </c>
      <c r="W170" s="1" t="s">
        <v>1184</v>
      </c>
      <c r="X170" s="1" t="s">
        <v>1063</v>
      </c>
      <c r="Y170" s="1" t="s">
        <v>75</v>
      </c>
      <c r="Z170" s="1" t="s">
        <v>53</v>
      </c>
    </row>
    <row r="171">
      <c r="A171" s="1" t="s">
        <v>1185</v>
      </c>
      <c r="B171" s="1" t="s">
        <v>1186</v>
      </c>
      <c r="C171" s="1" t="s">
        <v>43</v>
      </c>
      <c r="D171" s="1" t="s">
        <v>1187</v>
      </c>
      <c r="E171" s="1" t="s">
        <v>43</v>
      </c>
      <c r="F171" s="1" t="s">
        <v>45</v>
      </c>
      <c r="G171" s="1">
        <v>48.0</v>
      </c>
      <c r="H171" s="1">
        <v>50.9</v>
      </c>
      <c r="I171" s="1">
        <v>44.4</v>
      </c>
      <c r="J171" s="1">
        <v>52.5</v>
      </c>
      <c r="K171" s="1">
        <v>78.2</v>
      </c>
      <c r="L171" s="1">
        <v>10.9</v>
      </c>
      <c r="M171" s="1">
        <v>7.7</v>
      </c>
      <c r="N171" s="1">
        <v>2.4</v>
      </c>
      <c r="O171" s="1">
        <v>1.4</v>
      </c>
      <c r="P171" s="1">
        <v>0.1</v>
      </c>
      <c r="Q171" s="1">
        <v>25.5</v>
      </c>
      <c r="R171" s="1">
        <v>26.5</v>
      </c>
      <c r="S171" s="1">
        <v>61.3</v>
      </c>
      <c r="T171" s="1" t="s">
        <v>48</v>
      </c>
      <c r="U171" s="1" t="s">
        <v>49</v>
      </c>
      <c r="V171" s="1" t="s">
        <v>1188</v>
      </c>
      <c r="W171" s="1" t="s">
        <v>1189</v>
      </c>
      <c r="X171" s="1">
        <v>2012.0</v>
      </c>
      <c r="Y171" s="1" t="s">
        <v>75</v>
      </c>
      <c r="Z171" s="1" t="s">
        <v>53</v>
      </c>
    </row>
    <row r="172">
      <c r="A172" s="1" t="s">
        <v>1190</v>
      </c>
      <c r="B172" s="1" t="s">
        <v>946</v>
      </c>
      <c r="C172" s="1" t="s">
        <v>43</v>
      </c>
      <c r="D172" s="1" t="s">
        <v>1191</v>
      </c>
      <c r="E172" s="1" t="s">
        <v>43</v>
      </c>
      <c r="F172" s="1" t="s">
        <v>45</v>
      </c>
      <c r="G172" s="1">
        <v>59.4</v>
      </c>
      <c r="H172" s="1">
        <v>39.5</v>
      </c>
      <c r="I172" s="1">
        <v>57.1</v>
      </c>
      <c r="J172" s="1">
        <v>39.6</v>
      </c>
      <c r="K172" s="1">
        <v>75.8</v>
      </c>
      <c r="L172" s="1">
        <v>2.4</v>
      </c>
      <c r="M172" s="1">
        <v>15.1</v>
      </c>
      <c r="N172" s="1">
        <v>5.2</v>
      </c>
      <c r="O172" s="1">
        <v>1.2</v>
      </c>
      <c r="P172" s="1">
        <v>0.1</v>
      </c>
      <c r="Q172" s="1">
        <v>38.4</v>
      </c>
      <c r="R172" s="1">
        <v>40.1</v>
      </c>
      <c r="S172" s="1">
        <v>48.2</v>
      </c>
      <c r="T172" s="1" t="s">
        <v>48</v>
      </c>
      <c r="U172" s="1" t="s">
        <v>159</v>
      </c>
      <c r="V172" s="1" t="s">
        <v>945</v>
      </c>
      <c r="W172" s="1" t="s">
        <v>144</v>
      </c>
      <c r="Y172" s="1" t="s">
        <v>28</v>
      </c>
      <c r="Z172" s="1" t="s">
        <v>53</v>
      </c>
    </row>
    <row r="173">
      <c r="A173" s="1" t="s">
        <v>1193</v>
      </c>
      <c r="B173" s="1" t="s">
        <v>1194</v>
      </c>
      <c r="C173" s="1" t="s">
        <v>43</v>
      </c>
      <c r="D173" s="1" t="s">
        <v>1195</v>
      </c>
      <c r="E173" s="1" t="s">
        <v>43</v>
      </c>
      <c r="F173" s="1" t="s">
        <v>45</v>
      </c>
      <c r="G173" s="1">
        <v>52.3</v>
      </c>
      <c r="H173" s="1">
        <v>46.5</v>
      </c>
      <c r="I173" s="1">
        <v>48.7</v>
      </c>
      <c r="J173" s="1">
        <v>47.6</v>
      </c>
      <c r="K173" s="1">
        <v>84.2</v>
      </c>
      <c r="L173" s="1">
        <v>2.0</v>
      </c>
      <c r="M173" s="1">
        <v>8.3</v>
      </c>
      <c r="N173" s="1">
        <v>3.6</v>
      </c>
      <c r="O173" s="1">
        <v>1.2</v>
      </c>
      <c r="P173" s="1">
        <v>0.1</v>
      </c>
      <c r="Q173" s="1">
        <v>42.1</v>
      </c>
      <c r="R173" s="1">
        <v>42.3</v>
      </c>
      <c r="S173" s="1">
        <v>51.3</v>
      </c>
      <c r="T173" s="1" t="s">
        <v>48</v>
      </c>
      <c r="U173" s="1" t="s">
        <v>159</v>
      </c>
      <c r="V173" s="1" t="s">
        <v>643</v>
      </c>
      <c r="W173" s="1" t="s">
        <v>1196</v>
      </c>
      <c r="Y173" s="1" t="s">
        <v>75</v>
      </c>
      <c r="Z173" s="1" t="s">
        <v>53</v>
      </c>
    </row>
    <row r="174">
      <c r="A174" s="1" t="s">
        <v>1219</v>
      </c>
      <c r="B174" s="1" t="s">
        <v>1220</v>
      </c>
      <c r="C174" s="1" t="s">
        <v>43</v>
      </c>
      <c r="D174" s="1" t="s">
        <v>1221</v>
      </c>
      <c r="E174" s="1" t="s">
        <v>43</v>
      </c>
      <c r="F174" s="1" t="s">
        <v>45</v>
      </c>
      <c r="G174" s="1">
        <v>63.8</v>
      </c>
      <c r="H174" s="1">
        <v>34.7</v>
      </c>
      <c r="I174" s="1">
        <v>59.1</v>
      </c>
      <c r="J174" s="1">
        <v>34.4</v>
      </c>
      <c r="K174" s="1">
        <v>67.9</v>
      </c>
      <c r="L174" s="1">
        <v>15.9</v>
      </c>
      <c r="M174" s="1">
        <v>10.2</v>
      </c>
      <c r="N174" s="1">
        <v>4.5</v>
      </c>
      <c r="O174" s="1">
        <v>1.8</v>
      </c>
      <c r="P174" s="1">
        <v>0.2</v>
      </c>
      <c r="Q174" s="1">
        <v>35.5</v>
      </c>
      <c r="R174" s="1">
        <v>39.9</v>
      </c>
      <c r="S174" s="1">
        <v>45.5</v>
      </c>
      <c r="T174" s="1" t="s">
        <v>48</v>
      </c>
      <c r="U174" s="1" t="s">
        <v>49</v>
      </c>
      <c r="V174" s="1" t="s">
        <v>541</v>
      </c>
      <c r="W174" s="1" t="s">
        <v>1222</v>
      </c>
      <c r="X174" s="1">
        <v>2010.0</v>
      </c>
      <c r="Y174" s="1" t="s">
        <v>75</v>
      </c>
      <c r="Z174" s="1" t="s">
        <v>304</v>
      </c>
    </row>
    <row r="175">
      <c r="A175" s="1" t="s">
        <v>1223</v>
      </c>
      <c r="B175" s="1" t="s">
        <v>1224</v>
      </c>
      <c r="C175" s="1" t="s">
        <v>43</v>
      </c>
      <c r="D175" s="1" t="s">
        <v>1225</v>
      </c>
      <c r="E175" s="1" t="s">
        <v>43</v>
      </c>
      <c r="F175" s="1" t="s">
        <v>45</v>
      </c>
      <c r="G175" s="1">
        <v>56.1</v>
      </c>
      <c r="H175" s="1">
        <v>42.4</v>
      </c>
      <c r="I175" s="1">
        <v>50.2</v>
      </c>
      <c r="J175" s="1">
        <v>42.9</v>
      </c>
      <c r="K175" s="1">
        <v>76.8</v>
      </c>
      <c r="L175" s="1">
        <v>12.5</v>
      </c>
      <c r="M175" s="1">
        <v>5.7</v>
      </c>
      <c r="N175" s="1">
        <v>3.8</v>
      </c>
      <c r="O175" s="1">
        <v>1.9</v>
      </c>
      <c r="P175" s="1">
        <v>0.2</v>
      </c>
      <c r="Q175" s="1">
        <v>34.5</v>
      </c>
      <c r="R175" s="1">
        <v>36.9</v>
      </c>
      <c r="S175" s="1">
        <v>52.3</v>
      </c>
      <c r="T175" s="1" t="s">
        <v>48</v>
      </c>
      <c r="U175" s="1" t="s">
        <v>159</v>
      </c>
      <c r="V175" s="1" t="s">
        <v>767</v>
      </c>
      <c r="W175" s="1" t="s">
        <v>1226</v>
      </c>
      <c r="Y175" s="1" t="s">
        <v>1227</v>
      </c>
      <c r="Z175" s="1" t="s">
        <v>53</v>
      </c>
    </row>
    <row r="176">
      <c r="A176" s="1" t="s">
        <v>1228</v>
      </c>
      <c r="B176" s="1" t="s">
        <v>1229</v>
      </c>
      <c r="C176" s="1" t="s">
        <v>43</v>
      </c>
      <c r="D176" s="1" t="s">
        <v>1230</v>
      </c>
      <c r="E176" s="1" t="s">
        <v>43</v>
      </c>
      <c r="F176" s="1" t="s">
        <v>45</v>
      </c>
      <c r="G176" s="1">
        <v>65.3</v>
      </c>
      <c r="H176" s="1">
        <v>33.2</v>
      </c>
      <c r="I176" s="1">
        <v>63.9</v>
      </c>
      <c r="J176" s="1">
        <v>32.3</v>
      </c>
      <c r="K176" s="1">
        <v>44.6</v>
      </c>
      <c r="L176" s="1">
        <v>5.3</v>
      </c>
      <c r="M176" s="1">
        <v>46.9</v>
      </c>
      <c r="N176" s="1">
        <v>2.1</v>
      </c>
      <c r="O176" s="1">
        <v>1.6</v>
      </c>
      <c r="P176" s="1">
        <v>0.2</v>
      </c>
      <c r="Q176" s="1">
        <v>25.8</v>
      </c>
      <c r="R176" s="1">
        <v>36.4</v>
      </c>
      <c r="S176" s="1">
        <v>28.9</v>
      </c>
      <c r="T176" s="1" t="s">
        <v>48</v>
      </c>
      <c r="U176" s="1" t="s">
        <v>49</v>
      </c>
      <c r="V176" s="1" t="s">
        <v>426</v>
      </c>
      <c r="W176" s="1" t="s">
        <v>1233</v>
      </c>
      <c r="X176" s="1">
        <v>1992.0</v>
      </c>
      <c r="Y176" s="1" t="s">
        <v>28</v>
      </c>
      <c r="Z176" s="1" t="s">
        <v>53</v>
      </c>
    </row>
    <row r="177">
      <c r="A177" s="1" t="s">
        <v>1235</v>
      </c>
      <c r="B177" s="1" t="s">
        <v>1236</v>
      </c>
      <c r="C177" s="1" t="s">
        <v>43</v>
      </c>
      <c r="D177" s="1" t="s">
        <v>1237</v>
      </c>
      <c r="E177" s="1" t="s">
        <v>43</v>
      </c>
      <c r="F177" s="1" t="s">
        <v>45</v>
      </c>
      <c r="G177" s="1">
        <v>73.3</v>
      </c>
      <c r="H177" s="1">
        <v>25.1</v>
      </c>
      <c r="I177" s="1">
        <v>71.8</v>
      </c>
      <c r="J177" s="1">
        <v>25.0</v>
      </c>
      <c r="K177" s="1">
        <v>28.5</v>
      </c>
      <c r="L177" s="1">
        <v>7.7</v>
      </c>
      <c r="M177" s="1">
        <v>60.3</v>
      </c>
      <c r="N177" s="1">
        <v>2.6</v>
      </c>
      <c r="O177" s="1">
        <v>1.5</v>
      </c>
      <c r="P177" s="1">
        <v>0.1</v>
      </c>
      <c r="Q177" s="1">
        <v>26.0</v>
      </c>
      <c r="R177" s="1">
        <v>38.9</v>
      </c>
      <c r="S177" s="1">
        <v>19.1</v>
      </c>
      <c r="T177" s="1" t="s">
        <v>48</v>
      </c>
      <c r="U177" s="1" t="s">
        <v>49</v>
      </c>
      <c r="V177" s="1" t="s">
        <v>1238</v>
      </c>
      <c r="W177" s="1" t="s">
        <v>1239</v>
      </c>
      <c r="X177" s="1">
        <v>2006.0</v>
      </c>
      <c r="Y177" s="1" t="s">
        <v>75</v>
      </c>
      <c r="Z177" s="1" t="s">
        <v>53</v>
      </c>
    </row>
    <row r="178">
      <c r="A178" s="1" t="s">
        <v>1241</v>
      </c>
      <c r="B178" s="1" t="s">
        <v>1242</v>
      </c>
      <c r="C178" s="1" t="s">
        <v>43</v>
      </c>
      <c r="D178" s="1" t="s">
        <v>1243</v>
      </c>
      <c r="E178" s="1" t="s">
        <v>43</v>
      </c>
      <c r="F178" s="1" t="s">
        <v>45</v>
      </c>
      <c r="G178" s="1">
        <v>64.2</v>
      </c>
      <c r="H178" s="1">
        <v>34.5</v>
      </c>
      <c r="I178" s="1">
        <v>62.5</v>
      </c>
      <c r="J178" s="1">
        <v>32.6</v>
      </c>
      <c r="K178" s="1">
        <v>30.2</v>
      </c>
      <c r="L178" s="1">
        <v>28.3</v>
      </c>
      <c r="M178" s="1">
        <v>19.6</v>
      </c>
      <c r="N178" s="1">
        <v>21.4</v>
      </c>
      <c r="O178" s="1">
        <v>2.0</v>
      </c>
      <c r="P178" s="1">
        <v>0.2</v>
      </c>
      <c r="Q178" s="1">
        <v>48.3</v>
      </c>
      <c r="R178" s="1">
        <v>68.1</v>
      </c>
      <c r="S178" s="1">
        <v>12.5</v>
      </c>
      <c r="T178" s="1" t="s">
        <v>48</v>
      </c>
      <c r="U178" s="1" t="s">
        <v>49</v>
      </c>
      <c r="V178" s="1" t="s">
        <v>1244</v>
      </c>
      <c r="W178" s="1" t="s">
        <v>1245</v>
      </c>
      <c r="X178" s="1">
        <v>2018.0</v>
      </c>
      <c r="Y178" s="1" t="s">
        <v>75</v>
      </c>
      <c r="Z178" s="1" t="s">
        <v>53</v>
      </c>
    </row>
    <row r="179">
      <c r="A179" s="1" t="s">
        <v>1246</v>
      </c>
      <c r="B179" s="1" t="s">
        <v>1247</v>
      </c>
      <c r="C179" s="1" t="s">
        <v>43</v>
      </c>
      <c r="D179" s="1" t="s">
        <v>1248</v>
      </c>
      <c r="E179" s="1" t="s">
        <v>43</v>
      </c>
      <c r="F179" s="1" t="s">
        <v>45</v>
      </c>
      <c r="G179" s="1">
        <v>76.2</v>
      </c>
      <c r="H179" s="1">
        <v>22.7</v>
      </c>
      <c r="I179" s="1">
        <v>77.0</v>
      </c>
      <c r="J179" s="1">
        <v>19.7</v>
      </c>
      <c r="K179" s="1">
        <v>13.9</v>
      </c>
      <c r="L179" s="1">
        <v>36.4</v>
      </c>
      <c r="M179" s="1">
        <v>38.6</v>
      </c>
      <c r="N179" s="1">
        <v>11.2</v>
      </c>
      <c r="O179" s="1">
        <v>2.2</v>
      </c>
      <c r="P179" s="1">
        <v>0.2</v>
      </c>
      <c r="Q179" s="1">
        <v>30.8</v>
      </c>
      <c r="R179" s="1">
        <v>54.7</v>
      </c>
      <c r="S179" s="1">
        <v>8.6</v>
      </c>
      <c r="T179" s="1" t="s">
        <v>48</v>
      </c>
      <c r="U179" s="1" t="s">
        <v>49</v>
      </c>
      <c r="V179" s="1" t="s">
        <v>1251</v>
      </c>
      <c r="W179" s="1" t="s">
        <v>1252</v>
      </c>
      <c r="X179" s="1">
        <v>2004.0</v>
      </c>
      <c r="Y179" s="1" t="s">
        <v>28</v>
      </c>
      <c r="Z179" s="1" t="s">
        <v>53</v>
      </c>
    </row>
    <row r="180">
      <c r="A180" s="1" t="s">
        <v>1253</v>
      </c>
      <c r="B180" s="1" t="s">
        <v>1254</v>
      </c>
      <c r="C180" s="1" t="s">
        <v>43</v>
      </c>
      <c r="D180" s="1" t="s">
        <v>1255</v>
      </c>
      <c r="E180" s="1" t="s">
        <v>43</v>
      </c>
      <c r="F180" s="1" t="s">
        <v>45</v>
      </c>
      <c r="G180" s="1">
        <v>67.0</v>
      </c>
      <c r="H180" s="1">
        <v>31.5</v>
      </c>
      <c r="I180" s="1">
        <v>68.0</v>
      </c>
      <c r="J180" s="1">
        <v>26.1</v>
      </c>
      <c r="K180" s="1">
        <v>13.0</v>
      </c>
      <c r="L180" s="1">
        <v>80.8</v>
      </c>
      <c r="M180" s="1">
        <v>4.1</v>
      </c>
      <c r="N180" s="1">
        <v>2.1</v>
      </c>
      <c r="O180" s="1">
        <v>2.4</v>
      </c>
      <c r="P180" s="1">
        <v>0.3</v>
      </c>
      <c r="Q180" s="1">
        <v>25.2</v>
      </c>
      <c r="R180" s="1">
        <v>41.9</v>
      </c>
      <c r="S180" s="1">
        <v>9.1</v>
      </c>
      <c r="T180" s="1" t="s">
        <v>48</v>
      </c>
      <c r="U180" s="1" t="s">
        <v>49</v>
      </c>
      <c r="V180" s="1" t="s">
        <v>1257</v>
      </c>
      <c r="W180" s="1" t="s">
        <v>1258</v>
      </c>
      <c r="X180" s="1">
        <v>2018.0</v>
      </c>
      <c r="Y180" s="1" t="s">
        <v>83</v>
      </c>
      <c r="Z180" s="1" t="s">
        <v>53</v>
      </c>
    </row>
    <row r="181">
      <c r="A181" s="1" t="s">
        <v>1259</v>
      </c>
      <c r="B181" s="1" t="s">
        <v>1260</v>
      </c>
      <c r="C181" s="1" t="s">
        <v>43</v>
      </c>
      <c r="D181" s="1" t="s">
        <v>1261</v>
      </c>
      <c r="E181" s="1" t="s">
        <v>43</v>
      </c>
      <c r="F181" s="1" t="s">
        <v>45</v>
      </c>
      <c r="G181" s="1">
        <v>73.6</v>
      </c>
      <c r="H181" s="1">
        <v>25.1</v>
      </c>
      <c r="I181" s="1">
        <v>73.8</v>
      </c>
      <c r="J181" s="1">
        <v>22.2</v>
      </c>
      <c r="K181" s="1">
        <v>19.4</v>
      </c>
      <c r="L181" s="1">
        <v>39.8</v>
      </c>
      <c r="M181" s="1">
        <v>34.4</v>
      </c>
      <c r="N181" s="1">
        <v>6.2</v>
      </c>
      <c r="O181" s="1">
        <v>2.6</v>
      </c>
      <c r="P181" s="1">
        <v>0.3</v>
      </c>
      <c r="Q181" s="1">
        <v>26.0</v>
      </c>
      <c r="R181" s="1">
        <v>53.2</v>
      </c>
      <c r="S181" s="1">
        <v>11.4</v>
      </c>
      <c r="T181" s="1" t="s">
        <v>48</v>
      </c>
      <c r="U181" s="1" t="s">
        <v>49</v>
      </c>
      <c r="V181" s="1" t="s">
        <v>467</v>
      </c>
      <c r="W181" s="1" t="s">
        <v>1263</v>
      </c>
      <c r="X181" s="1">
        <v>1994.0</v>
      </c>
      <c r="Y181" s="1" t="s">
        <v>1011</v>
      </c>
      <c r="Z181" s="1" t="s">
        <v>53</v>
      </c>
    </row>
    <row r="182">
      <c r="A182" s="1" t="s">
        <v>1264</v>
      </c>
      <c r="B182" s="1" t="s">
        <v>1265</v>
      </c>
      <c r="C182" s="1" t="s">
        <v>43</v>
      </c>
      <c r="D182" s="1" t="s">
        <v>1266</v>
      </c>
      <c r="E182" s="1" t="s">
        <v>43</v>
      </c>
      <c r="F182" s="1" t="s">
        <v>45</v>
      </c>
      <c r="G182" s="1">
        <v>65.8</v>
      </c>
      <c r="H182" s="1">
        <v>32.7</v>
      </c>
      <c r="I182" s="1">
        <v>63.0</v>
      </c>
      <c r="J182" s="1">
        <v>31.1</v>
      </c>
      <c r="K182" s="1">
        <v>19.7</v>
      </c>
      <c r="L182" s="1">
        <v>68.2</v>
      </c>
      <c r="M182" s="1">
        <v>7.2</v>
      </c>
      <c r="N182" s="1">
        <v>4.7</v>
      </c>
      <c r="O182" s="1">
        <v>3.0</v>
      </c>
      <c r="P182" s="1">
        <v>0.3</v>
      </c>
      <c r="Q182" s="1">
        <v>23.3</v>
      </c>
      <c r="R182" s="1">
        <v>37.6</v>
      </c>
      <c r="S182" s="1">
        <v>13.8</v>
      </c>
      <c r="T182" s="1" t="s">
        <v>48</v>
      </c>
      <c r="U182" s="1" t="s">
        <v>49</v>
      </c>
      <c r="V182" s="1" t="s">
        <v>1267</v>
      </c>
      <c r="W182" s="1" t="s">
        <v>1268</v>
      </c>
      <c r="X182" s="1">
        <v>2012.0</v>
      </c>
      <c r="Y182" s="1" t="s">
        <v>83</v>
      </c>
      <c r="Z182" s="1" t="s">
        <v>53</v>
      </c>
    </row>
    <row r="183">
      <c r="A183" s="1" t="s">
        <v>1269</v>
      </c>
      <c r="B183" s="1" t="s">
        <v>1270</v>
      </c>
      <c r="C183" s="1" t="s">
        <v>43</v>
      </c>
      <c r="D183" s="1" t="s">
        <v>1271</v>
      </c>
      <c r="E183" s="1" t="s">
        <v>43</v>
      </c>
      <c r="F183" s="1" t="s">
        <v>45</v>
      </c>
      <c r="G183" s="1">
        <v>52.9</v>
      </c>
      <c r="H183" s="1">
        <v>45.9</v>
      </c>
      <c r="I183" s="1">
        <v>57.4</v>
      </c>
      <c r="J183" s="1">
        <v>38.3</v>
      </c>
      <c r="K183" s="1">
        <v>19.3</v>
      </c>
      <c r="L183" s="1">
        <v>72.9</v>
      </c>
      <c r="M183" s="1">
        <v>5.7</v>
      </c>
      <c r="N183" s="1">
        <v>1.6</v>
      </c>
      <c r="O183" s="1">
        <v>2.2</v>
      </c>
      <c r="P183" s="1">
        <v>0.2</v>
      </c>
      <c r="Q183" s="1">
        <v>18.5</v>
      </c>
      <c r="R183" s="1">
        <v>30.5</v>
      </c>
      <c r="S183" s="1">
        <v>16.0</v>
      </c>
      <c r="T183" s="1" t="s">
        <v>48</v>
      </c>
      <c r="U183" s="1" t="s">
        <v>49</v>
      </c>
      <c r="V183" s="1" t="s">
        <v>1272</v>
      </c>
      <c r="W183" s="1" t="s">
        <v>1273</v>
      </c>
      <c r="X183" s="1">
        <v>2004.0</v>
      </c>
      <c r="Y183" s="1" t="s">
        <v>83</v>
      </c>
      <c r="Z183" s="1" t="s">
        <v>53</v>
      </c>
    </row>
    <row r="184">
      <c r="A184" s="1" t="s">
        <v>1274</v>
      </c>
      <c r="B184" s="1" t="s">
        <v>1275</v>
      </c>
      <c r="C184" s="1" t="s">
        <v>43</v>
      </c>
      <c r="D184" s="1" t="s">
        <v>1276</v>
      </c>
      <c r="E184" s="1" t="s">
        <v>43</v>
      </c>
      <c r="F184" s="1" t="s">
        <v>45</v>
      </c>
      <c r="G184" s="1">
        <v>67.8</v>
      </c>
      <c r="H184" s="1">
        <v>31.0</v>
      </c>
      <c r="I184" s="1">
        <v>73.0</v>
      </c>
      <c r="J184" s="1">
        <v>23.4</v>
      </c>
      <c r="K184" s="1">
        <v>10.0</v>
      </c>
      <c r="L184" s="1">
        <v>72.4</v>
      </c>
      <c r="M184" s="1">
        <v>14.6</v>
      </c>
      <c r="N184" s="1">
        <v>3.0</v>
      </c>
      <c r="O184" s="1">
        <v>3.0</v>
      </c>
      <c r="P184" s="1">
        <v>0.2</v>
      </c>
      <c r="Q184" s="1">
        <v>10.9</v>
      </c>
      <c r="R184" s="1">
        <v>24.7</v>
      </c>
      <c r="S184" s="1">
        <v>10.5</v>
      </c>
      <c r="T184" s="1" t="s">
        <v>48</v>
      </c>
      <c r="U184" s="1" t="s">
        <v>49</v>
      </c>
      <c r="V184" s="1" t="s">
        <v>1277</v>
      </c>
      <c r="W184" s="1" t="s">
        <v>313</v>
      </c>
      <c r="X184" s="1">
        <v>2018.0</v>
      </c>
      <c r="Y184" s="1" t="s">
        <v>83</v>
      </c>
      <c r="Z184" s="1" t="s">
        <v>53</v>
      </c>
    </row>
    <row r="185">
      <c r="A185" s="1" t="s">
        <v>1278</v>
      </c>
      <c r="B185" s="1" t="s">
        <v>1279</v>
      </c>
      <c r="C185" s="1" t="s">
        <v>43</v>
      </c>
      <c r="D185" s="1" t="s">
        <v>1282</v>
      </c>
      <c r="E185" s="1" t="s">
        <v>43</v>
      </c>
      <c r="F185" s="1" t="s">
        <v>45</v>
      </c>
      <c r="G185" s="1">
        <v>77.8</v>
      </c>
      <c r="H185" s="1">
        <v>21.0</v>
      </c>
      <c r="I185" s="1">
        <v>76.7</v>
      </c>
      <c r="J185" s="1">
        <v>20.4</v>
      </c>
      <c r="K185" s="1">
        <v>21.4</v>
      </c>
      <c r="L185" s="1">
        <v>32.0</v>
      </c>
      <c r="M185" s="1">
        <v>41.9</v>
      </c>
      <c r="N185" s="1">
        <v>4.1</v>
      </c>
      <c r="O185" s="1">
        <v>2.6</v>
      </c>
      <c r="P185" s="1">
        <v>0.2</v>
      </c>
      <c r="Q185" s="1">
        <v>27.2</v>
      </c>
      <c r="R185" s="1">
        <v>49.2</v>
      </c>
      <c r="S185" s="1">
        <v>13.0</v>
      </c>
      <c r="T185" s="1" t="s">
        <v>48</v>
      </c>
      <c r="U185" s="1" t="s">
        <v>159</v>
      </c>
      <c r="V185" s="1" t="s">
        <v>1284</v>
      </c>
      <c r="W185" s="1" t="s">
        <v>1285</v>
      </c>
      <c r="Y185" s="1" t="s">
        <v>28</v>
      </c>
      <c r="Z185" s="1" t="s">
        <v>53</v>
      </c>
    </row>
    <row r="186">
      <c r="A186" s="1" t="s">
        <v>1286</v>
      </c>
      <c r="B186" s="1" t="s">
        <v>1287</v>
      </c>
      <c r="C186" s="1" t="s">
        <v>43</v>
      </c>
      <c r="D186" s="1" t="s">
        <v>1288</v>
      </c>
      <c r="E186" s="1" t="s">
        <v>43</v>
      </c>
      <c r="F186" s="1" t="s">
        <v>45</v>
      </c>
      <c r="G186" s="1">
        <v>65.7</v>
      </c>
      <c r="H186" s="1">
        <v>32.7</v>
      </c>
      <c r="I186" s="1">
        <v>60.5</v>
      </c>
      <c r="J186" s="1">
        <v>34.4</v>
      </c>
      <c r="K186" s="1">
        <v>36.2</v>
      </c>
      <c r="L186" s="1">
        <v>32.6</v>
      </c>
      <c r="M186" s="1">
        <v>20.3</v>
      </c>
      <c r="N186" s="1">
        <v>9.7</v>
      </c>
      <c r="O186" s="1">
        <v>2.7</v>
      </c>
      <c r="P186" s="1">
        <v>0.2</v>
      </c>
      <c r="Q186" s="1">
        <v>37.1</v>
      </c>
      <c r="R186" s="1">
        <v>54.7</v>
      </c>
      <c r="S186" s="1">
        <v>21.2</v>
      </c>
      <c r="T186" s="1" t="s">
        <v>48</v>
      </c>
      <c r="U186" s="1" t="s">
        <v>49</v>
      </c>
      <c r="V186" s="1" t="s">
        <v>1292</v>
      </c>
      <c r="W186" s="1" t="s">
        <v>1293</v>
      </c>
      <c r="X186" s="1">
        <v>2018.0</v>
      </c>
      <c r="Y186" s="1" t="s">
        <v>28</v>
      </c>
      <c r="Z186" s="1" t="s">
        <v>53</v>
      </c>
    </row>
    <row r="187">
      <c r="A187" s="1" t="s">
        <v>1294</v>
      </c>
      <c r="B187" s="1" t="s">
        <v>1295</v>
      </c>
      <c r="C187" s="1" t="s">
        <v>43</v>
      </c>
      <c r="D187" s="1" t="s">
        <v>1296</v>
      </c>
      <c r="E187" s="1" t="s">
        <v>43</v>
      </c>
      <c r="F187" s="1" t="s">
        <v>45</v>
      </c>
      <c r="G187" s="1">
        <v>74.2</v>
      </c>
      <c r="H187" s="1">
        <v>24.4</v>
      </c>
      <c r="I187" s="1">
        <v>73.9</v>
      </c>
      <c r="J187" s="1">
        <v>22.4</v>
      </c>
      <c r="K187" s="1">
        <v>15.8</v>
      </c>
      <c r="L187" s="1">
        <v>54.5</v>
      </c>
      <c r="M187" s="1">
        <v>20.4</v>
      </c>
      <c r="N187" s="1">
        <v>8.7</v>
      </c>
      <c r="O187" s="1">
        <v>2.7</v>
      </c>
      <c r="P187" s="1">
        <v>0.2</v>
      </c>
      <c r="Q187" s="1">
        <v>20.4</v>
      </c>
      <c r="R187" s="1">
        <v>34.7</v>
      </c>
      <c r="S187" s="1">
        <v>15.7</v>
      </c>
      <c r="T187" s="1" t="s">
        <v>48</v>
      </c>
      <c r="U187" s="1" t="s">
        <v>49</v>
      </c>
      <c r="V187" s="1" t="s">
        <v>1297</v>
      </c>
      <c r="W187" s="1" t="s">
        <v>1298</v>
      </c>
      <c r="X187" s="1">
        <v>2012.0</v>
      </c>
      <c r="Y187" s="1" t="s">
        <v>28</v>
      </c>
      <c r="Z187" s="1" t="s">
        <v>53</v>
      </c>
    </row>
    <row r="188">
      <c r="A188" s="1" t="s">
        <v>1299</v>
      </c>
      <c r="B188" s="1" t="s">
        <v>1300</v>
      </c>
      <c r="C188" s="1" t="s">
        <v>1301</v>
      </c>
      <c r="D188" s="1" t="s">
        <v>1302</v>
      </c>
      <c r="E188" s="1" t="s">
        <v>43</v>
      </c>
      <c r="F188" s="1" t="s">
        <v>45</v>
      </c>
      <c r="G188" s="1">
        <v>57.3</v>
      </c>
      <c r="H188" s="1">
        <v>41.8</v>
      </c>
      <c r="I188" s="1">
        <v>66.1</v>
      </c>
      <c r="J188" s="1">
        <v>29.9</v>
      </c>
      <c r="K188" s="1">
        <v>9.5</v>
      </c>
      <c r="L188" s="1">
        <v>88.5</v>
      </c>
      <c r="M188" s="1">
        <v>0.8</v>
      </c>
      <c r="N188" s="1">
        <v>0.9</v>
      </c>
      <c r="O188" s="1">
        <v>1.5</v>
      </c>
      <c r="P188" s="1">
        <v>0.1</v>
      </c>
      <c r="Q188" s="1">
        <v>17.0</v>
      </c>
      <c r="R188" s="1">
        <v>32.8</v>
      </c>
      <c r="S188" s="1">
        <v>7.9</v>
      </c>
      <c r="T188" s="1" t="s">
        <v>48</v>
      </c>
      <c r="U188" s="1" t="s">
        <v>49</v>
      </c>
      <c r="V188" s="1" t="s">
        <v>1303</v>
      </c>
      <c r="W188" s="1" t="s">
        <v>1304</v>
      </c>
      <c r="X188" s="1">
        <v>2016.0</v>
      </c>
      <c r="Y188" s="1" t="s">
        <v>979</v>
      </c>
      <c r="Z188" s="1" t="s">
        <v>53</v>
      </c>
    </row>
    <row r="189">
      <c r="A189" s="1" t="s">
        <v>1305</v>
      </c>
      <c r="B189" s="1" t="s">
        <v>1210</v>
      </c>
      <c r="C189" s="1" t="s">
        <v>395</v>
      </c>
      <c r="D189" s="1" t="s">
        <v>1306</v>
      </c>
      <c r="E189" s="1" t="s">
        <v>43</v>
      </c>
      <c r="F189" s="1" t="s">
        <v>397</v>
      </c>
      <c r="G189" s="1">
        <v>71.7</v>
      </c>
      <c r="H189" s="1">
        <v>26.5</v>
      </c>
      <c r="I189" s="1">
        <v>68.1</v>
      </c>
      <c r="J189" s="1">
        <v>25.7</v>
      </c>
      <c r="K189" s="1">
        <v>29.8</v>
      </c>
      <c r="L189" s="1">
        <v>51.3</v>
      </c>
      <c r="M189" s="1">
        <v>13.9</v>
      </c>
      <c r="N189" s="1">
        <v>4.6</v>
      </c>
      <c r="O189" s="1">
        <v>3.1</v>
      </c>
      <c r="P189" s="1">
        <v>0.7</v>
      </c>
      <c r="Q189" s="1">
        <v>26.9</v>
      </c>
      <c r="R189" s="1">
        <v>44.0</v>
      </c>
      <c r="S189" s="1">
        <v>18.9</v>
      </c>
      <c r="T189" s="1" t="s">
        <v>48</v>
      </c>
      <c r="U189" s="1" t="s">
        <v>159</v>
      </c>
      <c r="V189" s="1" t="s">
        <v>73</v>
      </c>
      <c r="W189" s="1" t="s">
        <v>1209</v>
      </c>
      <c r="Y189" s="1" t="s">
        <v>83</v>
      </c>
      <c r="Z189" s="1" t="s">
        <v>53</v>
      </c>
    </row>
    <row r="190">
      <c r="A190" s="1" t="s">
        <v>1308</v>
      </c>
      <c r="B190" s="1" t="s">
        <v>1309</v>
      </c>
      <c r="C190" s="1" t="s">
        <v>43</v>
      </c>
      <c r="D190" s="1" t="s">
        <v>1310</v>
      </c>
      <c r="E190" s="1" t="s">
        <v>43</v>
      </c>
      <c r="F190" s="1" t="s">
        <v>45</v>
      </c>
      <c r="G190" s="1">
        <v>75.5</v>
      </c>
      <c r="H190" s="1">
        <v>22.7</v>
      </c>
      <c r="I190" s="1">
        <v>68.8</v>
      </c>
      <c r="J190" s="1">
        <v>23.7</v>
      </c>
      <c r="K190" s="1">
        <v>55.3</v>
      </c>
      <c r="L190" s="1">
        <v>25.1</v>
      </c>
      <c r="M190" s="1">
        <v>6.8</v>
      </c>
      <c r="N190" s="1">
        <v>11.2</v>
      </c>
      <c r="O190" s="1">
        <v>2.6</v>
      </c>
      <c r="P190" s="1">
        <v>0.2</v>
      </c>
      <c r="Q190" s="1">
        <v>57.8</v>
      </c>
      <c r="R190" s="1">
        <v>66.8</v>
      </c>
      <c r="S190" s="1">
        <v>20.9</v>
      </c>
      <c r="T190" s="1" t="s">
        <v>48</v>
      </c>
      <c r="U190" s="1" t="s">
        <v>49</v>
      </c>
      <c r="V190" s="1" t="s">
        <v>1312</v>
      </c>
      <c r="W190" s="1" t="s">
        <v>1313</v>
      </c>
      <c r="X190" s="1">
        <v>1994.0</v>
      </c>
      <c r="Y190" s="1" t="s">
        <v>75</v>
      </c>
      <c r="Z190" s="1" t="s">
        <v>53</v>
      </c>
    </row>
    <row r="191">
      <c r="A191" s="1" t="s">
        <v>1314</v>
      </c>
      <c r="B191" s="1" t="s">
        <v>1315</v>
      </c>
      <c r="C191" s="1" t="s">
        <v>43</v>
      </c>
      <c r="D191" s="1" t="s">
        <v>1316</v>
      </c>
      <c r="E191" s="1" t="s">
        <v>43</v>
      </c>
      <c r="F191" s="1" t="s">
        <v>45</v>
      </c>
      <c r="G191" s="1">
        <v>66.4</v>
      </c>
      <c r="H191" s="1">
        <v>30.8</v>
      </c>
      <c r="I191" s="1">
        <v>56.7</v>
      </c>
      <c r="J191" s="1">
        <v>30.3</v>
      </c>
      <c r="K191" s="1">
        <v>90.4</v>
      </c>
      <c r="L191" s="1">
        <v>2.1</v>
      </c>
      <c r="M191" s="1">
        <v>1.7</v>
      </c>
      <c r="N191" s="1">
        <v>2.2</v>
      </c>
      <c r="O191" s="1">
        <v>2.4</v>
      </c>
      <c r="P191" s="1">
        <v>0.1</v>
      </c>
      <c r="Q191" s="1">
        <v>39.7</v>
      </c>
      <c r="R191" s="1">
        <v>39.6</v>
      </c>
      <c r="S191" s="1">
        <v>57.2</v>
      </c>
      <c r="T191" s="1" t="s">
        <v>48</v>
      </c>
      <c r="U191" s="1" t="s">
        <v>159</v>
      </c>
      <c r="V191" s="1" t="s">
        <v>1317</v>
      </c>
      <c r="W191" s="1" t="s">
        <v>1318</v>
      </c>
      <c r="Y191" s="1" t="s">
        <v>75</v>
      </c>
      <c r="Z191" s="1" t="s">
        <v>666</v>
      </c>
    </row>
    <row r="192">
      <c r="A192" s="1" t="s">
        <v>1320</v>
      </c>
      <c r="B192" s="1" t="s">
        <v>1321</v>
      </c>
      <c r="C192" s="1" t="s">
        <v>43</v>
      </c>
      <c r="D192" s="1" t="s">
        <v>1324</v>
      </c>
      <c r="E192" s="1" t="s">
        <v>43</v>
      </c>
      <c r="F192" s="1" t="s">
        <v>45</v>
      </c>
      <c r="G192" s="1">
        <v>68.3</v>
      </c>
      <c r="H192" s="1">
        <v>30.0</v>
      </c>
      <c r="I192" s="1">
        <v>63.9</v>
      </c>
      <c r="J192" s="1">
        <v>30.7</v>
      </c>
      <c r="K192" s="1">
        <v>42.0</v>
      </c>
      <c r="L192" s="1">
        <v>7.4</v>
      </c>
      <c r="M192" s="1">
        <v>45.4</v>
      </c>
      <c r="N192" s="1">
        <v>4.4</v>
      </c>
      <c r="O192" s="1">
        <v>2.4</v>
      </c>
      <c r="P192" s="1">
        <v>0.4</v>
      </c>
      <c r="Q192" s="1">
        <v>27.2</v>
      </c>
      <c r="R192" s="1">
        <v>32.9</v>
      </c>
      <c r="S192" s="1">
        <v>30.5</v>
      </c>
      <c r="T192" s="1" t="s">
        <v>48</v>
      </c>
      <c r="U192" s="1" t="s">
        <v>49</v>
      </c>
      <c r="V192" s="1" t="s">
        <v>1325</v>
      </c>
      <c r="W192" s="1" t="s">
        <v>348</v>
      </c>
      <c r="X192" s="1">
        <v>1992.0</v>
      </c>
      <c r="Y192" s="1" t="s">
        <v>1326</v>
      </c>
      <c r="Z192" s="1" t="s">
        <v>53</v>
      </c>
    </row>
    <row r="193">
      <c r="A193" s="1" t="s">
        <v>1327</v>
      </c>
      <c r="B193" s="1" t="s">
        <v>1328</v>
      </c>
      <c r="C193" s="1" t="s">
        <v>43</v>
      </c>
      <c r="D193" s="1" t="s">
        <v>1329</v>
      </c>
      <c r="E193" s="1" t="s">
        <v>43</v>
      </c>
      <c r="F193" s="1" t="s">
        <v>45</v>
      </c>
      <c r="G193" s="1">
        <v>67.2</v>
      </c>
      <c r="H193" s="1">
        <v>31.5</v>
      </c>
      <c r="I193" s="1">
        <v>63.3</v>
      </c>
      <c r="J193" s="1">
        <v>32.0</v>
      </c>
      <c r="K193" s="1">
        <v>45.2</v>
      </c>
      <c r="L193" s="1">
        <v>8.3</v>
      </c>
      <c r="M193" s="1">
        <v>42.1</v>
      </c>
      <c r="N193" s="1">
        <v>3.3</v>
      </c>
      <c r="O193" s="1">
        <v>2.0</v>
      </c>
      <c r="P193" s="1">
        <v>0.2</v>
      </c>
      <c r="Q193" s="1">
        <v>29.2</v>
      </c>
      <c r="R193" s="1">
        <v>38.8</v>
      </c>
      <c r="S193" s="1">
        <v>29.2</v>
      </c>
      <c r="T193" s="1" t="s">
        <v>48</v>
      </c>
      <c r="U193" s="1" t="s">
        <v>49</v>
      </c>
      <c r="V193" s="1" t="s">
        <v>911</v>
      </c>
      <c r="W193" s="1" t="s">
        <v>1330</v>
      </c>
      <c r="X193" s="1">
        <v>2016.0</v>
      </c>
      <c r="Y193" s="1" t="s">
        <v>28</v>
      </c>
      <c r="Z193" s="1" t="s">
        <v>53</v>
      </c>
    </row>
    <row r="194">
      <c r="A194" s="1" t="s">
        <v>1331</v>
      </c>
      <c r="B194" s="1" t="s">
        <v>1332</v>
      </c>
      <c r="C194" s="1" t="s">
        <v>43</v>
      </c>
      <c r="D194" s="1" t="s">
        <v>1333</v>
      </c>
      <c r="E194" s="1" t="s">
        <v>43</v>
      </c>
      <c r="F194" s="1" t="s">
        <v>45</v>
      </c>
      <c r="G194" s="1">
        <v>52.6</v>
      </c>
      <c r="H194" s="1">
        <v>45.8</v>
      </c>
      <c r="I194" s="1">
        <v>48.1</v>
      </c>
      <c r="J194" s="1">
        <v>45.9</v>
      </c>
      <c r="K194" s="1">
        <v>54.2</v>
      </c>
      <c r="L194" s="1">
        <v>15.3</v>
      </c>
      <c r="M194" s="1">
        <v>22.4</v>
      </c>
      <c r="N194" s="1">
        <v>6.7</v>
      </c>
      <c r="O194" s="1">
        <v>2.6</v>
      </c>
      <c r="P194" s="1">
        <v>0.3</v>
      </c>
      <c r="Q194" s="1">
        <v>35.4</v>
      </c>
      <c r="R194" s="1">
        <v>38.2</v>
      </c>
      <c r="S194" s="1">
        <v>38.3</v>
      </c>
      <c r="T194" s="1" t="s">
        <v>48</v>
      </c>
      <c r="U194" s="1" t="s">
        <v>49</v>
      </c>
      <c r="V194" s="1" t="s">
        <v>1334</v>
      </c>
      <c r="W194" s="1" t="s">
        <v>1335</v>
      </c>
      <c r="X194" s="1">
        <v>2018.0</v>
      </c>
      <c r="Y194" s="1" t="s">
        <v>75</v>
      </c>
      <c r="Z194" s="1" t="s">
        <v>53</v>
      </c>
    </row>
    <row r="195">
      <c r="A195" s="1" t="s">
        <v>1336</v>
      </c>
      <c r="B195" s="1" t="s">
        <v>1337</v>
      </c>
      <c r="C195" s="1" t="s">
        <v>43</v>
      </c>
      <c r="D195" s="1" t="s">
        <v>1338</v>
      </c>
      <c r="E195" s="1" t="s">
        <v>43</v>
      </c>
      <c r="F195" s="1" t="s">
        <v>45</v>
      </c>
      <c r="G195" s="1">
        <v>77.4</v>
      </c>
      <c r="H195" s="1">
        <v>21.3</v>
      </c>
      <c r="I195" s="1">
        <v>72.3</v>
      </c>
      <c r="J195" s="1">
        <v>20.7</v>
      </c>
      <c r="K195" s="1">
        <v>52.2</v>
      </c>
      <c r="L195" s="1">
        <v>18.4</v>
      </c>
      <c r="M195" s="1">
        <v>14.0</v>
      </c>
      <c r="N195" s="1">
        <v>14.5</v>
      </c>
      <c r="O195" s="1">
        <v>1.9</v>
      </c>
      <c r="P195" s="1">
        <v>0.2</v>
      </c>
      <c r="Q195" s="1">
        <v>63.9</v>
      </c>
      <c r="R195" s="1">
        <v>78.6</v>
      </c>
      <c r="S195" s="1">
        <v>13.4</v>
      </c>
      <c r="T195" s="1" t="s">
        <v>48</v>
      </c>
      <c r="U195" s="1" t="s">
        <v>49</v>
      </c>
      <c r="V195" s="1" t="s">
        <v>1072</v>
      </c>
      <c r="W195" s="1" t="s">
        <v>1340</v>
      </c>
      <c r="X195" s="1">
        <v>2014.0</v>
      </c>
      <c r="Y195" s="1" t="s">
        <v>75</v>
      </c>
      <c r="Z195" s="1" t="s">
        <v>53</v>
      </c>
    </row>
    <row r="196">
      <c r="A196" s="1" t="s">
        <v>1341</v>
      </c>
      <c r="B196" s="1" t="s">
        <v>1342</v>
      </c>
      <c r="C196" s="1" t="s">
        <v>43</v>
      </c>
      <c r="D196" s="1" t="s">
        <v>1343</v>
      </c>
      <c r="E196" s="1" t="s">
        <v>43</v>
      </c>
      <c r="F196" s="1" t="s">
        <v>45</v>
      </c>
      <c r="G196" s="1">
        <v>58.3</v>
      </c>
      <c r="H196" s="1">
        <v>40.2</v>
      </c>
      <c r="I196" s="1">
        <v>50.5</v>
      </c>
      <c r="J196" s="1">
        <v>42.9</v>
      </c>
      <c r="K196" s="1">
        <v>55.8</v>
      </c>
      <c r="L196" s="1">
        <v>16.0</v>
      </c>
      <c r="M196" s="1">
        <v>9.9</v>
      </c>
      <c r="N196" s="1">
        <v>16.9</v>
      </c>
      <c r="O196" s="1">
        <v>1.9</v>
      </c>
      <c r="P196" s="1">
        <v>0.2</v>
      </c>
      <c r="Q196" s="1">
        <v>52.6</v>
      </c>
      <c r="R196" s="1">
        <v>56.5</v>
      </c>
      <c r="S196" s="1">
        <v>28.5</v>
      </c>
      <c r="T196" s="1" t="s">
        <v>48</v>
      </c>
      <c r="U196" s="1" t="s">
        <v>49</v>
      </c>
      <c r="V196" s="1" t="s">
        <v>1345</v>
      </c>
      <c r="W196" s="1" t="s">
        <v>1346</v>
      </c>
      <c r="X196" s="1">
        <v>2018.0</v>
      </c>
      <c r="Y196" s="1" t="s">
        <v>75</v>
      </c>
      <c r="Z196" s="1" t="s">
        <v>53</v>
      </c>
    </row>
    <row r="197">
      <c r="A197" s="1" t="s">
        <v>1347</v>
      </c>
      <c r="B197" s="1" t="s">
        <v>1348</v>
      </c>
      <c r="C197" s="1" t="s">
        <v>43</v>
      </c>
      <c r="D197" s="1" t="s">
        <v>1349</v>
      </c>
      <c r="E197" s="1" t="s">
        <v>43</v>
      </c>
      <c r="F197" s="1" t="s">
        <v>45</v>
      </c>
      <c r="G197" s="1">
        <v>70.0</v>
      </c>
      <c r="H197" s="1">
        <v>28.7</v>
      </c>
      <c r="I197" s="1">
        <v>63.4</v>
      </c>
      <c r="J197" s="1">
        <v>29.5</v>
      </c>
      <c r="K197" s="1">
        <v>51.2</v>
      </c>
      <c r="L197" s="1">
        <v>12.8</v>
      </c>
      <c r="M197" s="1">
        <v>9.4</v>
      </c>
      <c r="N197" s="1">
        <v>25.4</v>
      </c>
      <c r="O197" s="1">
        <v>1.4</v>
      </c>
      <c r="P197" s="1">
        <v>0.2</v>
      </c>
      <c r="Q197" s="1">
        <v>65.4</v>
      </c>
      <c r="R197" s="1">
        <v>73.4</v>
      </c>
      <c r="S197" s="1">
        <v>16.1</v>
      </c>
      <c r="T197" s="1" t="s">
        <v>48</v>
      </c>
      <c r="U197" s="1" t="s">
        <v>49</v>
      </c>
      <c r="V197" s="1" t="s">
        <v>1352</v>
      </c>
      <c r="W197" s="1" t="s">
        <v>1353</v>
      </c>
      <c r="X197" s="1">
        <v>2008.0</v>
      </c>
      <c r="Y197" s="1" t="s">
        <v>75</v>
      </c>
      <c r="Z197" s="1" t="s">
        <v>53</v>
      </c>
    </row>
    <row r="198">
      <c r="A198" s="1" t="s">
        <v>1354</v>
      </c>
      <c r="B198" s="1" t="s">
        <v>1355</v>
      </c>
      <c r="C198" s="1" t="s">
        <v>43</v>
      </c>
      <c r="D198" s="1" t="s">
        <v>1356</v>
      </c>
      <c r="E198" s="1" t="s">
        <v>43</v>
      </c>
      <c r="F198" s="1" t="s">
        <v>45</v>
      </c>
      <c r="G198" s="1">
        <v>64.0</v>
      </c>
      <c r="H198" s="1">
        <v>33.3</v>
      </c>
      <c r="I198" s="1">
        <v>58.9</v>
      </c>
      <c r="J198" s="1">
        <v>33.1</v>
      </c>
      <c r="K198" s="1">
        <v>62.9</v>
      </c>
      <c r="L198" s="1">
        <v>8.5</v>
      </c>
      <c r="M198" s="1">
        <v>3.5</v>
      </c>
      <c r="N198" s="1">
        <v>21.7</v>
      </c>
      <c r="O198" s="1">
        <v>2.4</v>
      </c>
      <c r="P198" s="1">
        <v>0.8</v>
      </c>
      <c r="Q198" s="1">
        <v>48.0</v>
      </c>
      <c r="R198" s="1">
        <v>44.2</v>
      </c>
      <c r="S198" s="1">
        <v>42.5</v>
      </c>
      <c r="T198" s="1" t="s">
        <v>48</v>
      </c>
      <c r="U198" s="1" t="s">
        <v>49</v>
      </c>
      <c r="V198" s="1" t="s">
        <v>1359</v>
      </c>
      <c r="W198" s="1" t="s">
        <v>1360</v>
      </c>
      <c r="X198" s="1" t="s">
        <v>948</v>
      </c>
      <c r="Y198" s="1" t="s">
        <v>75</v>
      </c>
      <c r="Z198" s="1" t="s">
        <v>53</v>
      </c>
    </row>
    <row r="199">
      <c r="A199" s="1" t="s">
        <v>1361</v>
      </c>
      <c r="B199" s="1" t="s">
        <v>1362</v>
      </c>
      <c r="C199" s="1" t="s">
        <v>43</v>
      </c>
      <c r="D199" s="1" t="s">
        <v>1363</v>
      </c>
      <c r="E199" s="1" t="s">
        <v>43</v>
      </c>
      <c r="F199" s="1" t="s">
        <v>45</v>
      </c>
      <c r="G199" s="1">
        <v>60.1</v>
      </c>
      <c r="H199" s="1">
        <v>37.2</v>
      </c>
      <c r="I199" s="1">
        <v>55.0</v>
      </c>
      <c r="J199" s="1">
        <v>37.0</v>
      </c>
      <c r="K199" s="1">
        <v>72.5</v>
      </c>
      <c r="L199" s="1">
        <v>10.1</v>
      </c>
      <c r="M199" s="1">
        <v>3.5</v>
      </c>
      <c r="N199" s="1">
        <v>9.0</v>
      </c>
      <c r="O199" s="1">
        <v>4.1</v>
      </c>
      <c r="P199" s="1">
        <v>0.9</v>
      </c>
      <c r="Q199" s="1">
        <v>32.8</v>
      </c>
      <c r="R199" s="1">
        <v>34.7</v>
      </c>
      <c r="S199" s="1">
        <v>52.4</v>
      </c>
      <c r="T199" s="1" t="s">
        <v>48</v>
      </c>
      <c r="U199" s="1" t="s">
        <v>49</v>
      </c>
      <c r="V199" s="1" t="s">
        <v>1364</v>
      </c>
      <c r="W199" s="1" t="s">
        <v>1365</v>
      </c>
      <c r="X199" s="1">
        <v>2000.0</v>
      </c>
      <c r="Y199" s="1" t="s">
        <v>75</v>
      </c>
      <c r="Z199" s="1" t="s">
        <v>53</v>
      </c>
    </row>
    <row r="200">
      <c r="A200" s="1" t="s">
        <v>1366</v>
      </c>
      <c r="B200" s="1" t="s">
        <v>1367</v>
      </c>
      <c r="C200" s="1" t="s">
        <v>632</v>
      </c>
      <c r="D200" s="1" t="s">
        <v>1368</v>
      </c>
      <c r="E200" s="1" t="s">
        <v>43</v>
      </c>
      <c r="F200" s="1" t="s">
        <v>397</v>
      </c>
      <c r="G200" s="1">
        <v>46.6</v>
      </c>
      <c r="H200" s="1">
        <v>50.8</v>
      </c>
      <c r="I200" s="1">
        <v>42.4</v>
      </c>
      <c r="J200" s="1">
        <v>50.0</v>
      </c>
      <c r="K200" s="1">
        <v>78.4</v>
      </c>
      <c r="L200" s="1">
        <v>8.9</v>
      </c>
      <c r="M200" s="1">
        <v>2.5</v>
      </c>
      <c r="N200" s="1">
        <v>5.1</v>
      </c>
      <c r="O200" s="1">
        <v>3.9</v>
      </c>
      <c r="P200" s="1">
        <v>1.2</v>
      </c>
      <c r="Q200" s="1">
        <v>26.8</v>
      </c>
      <c r="R200" s="1">
        <v>26.9</v>
      </c>
      <c r="S200" s="1">
        <v>62.6</v>
      </c>
      <c r="T200" s="1" t="s">
        <v>48</v>
      </c>
      <c r="U200" s="1" t="s">
        <v>159</v>
      </c>
      <c r="V200" s="1" t="s">
        <v>1369</v>
      </c>
      <c r="W200" s="1" t="s">
        <v>1370</v>
      </c>
      <c r="Y200" s="1" t="s">
        <v>1371</v>
      </c>
      <c r="Z200" s="1" t="s">
        <v>53</v>
      </c>
    </row>
    <row r="201">
      <c r="A201" s="1" t="s">
        <v>1372</v>
      </c>
      <c r="B201" s="1" t="s">
        <v>1373</v>
      </c>
      <c r="C201" s="1" t="s">
        <v>43</v>
      </c>
      <c r="D201" s="1" t="s">
        <v>1374</v>
      </c>
      <c r="E201" s="1" t="s">
        <v>43</v>
      </c>
      <c r="F201" s="1" t="s">
        <v>45</v>
      </c>
      <c r="G201" s="1">
        <v>57.1</v>
      </c>
      <c r="H201" s="1">
        <v>39.9</v>
      </c>
      <c r="I201" s="1">
        <v>51.6</v>
      </c>
      <c r="J201" s="1">
        <v>39.7</v>
      </c>
      <c r="K201" s="1">
        <v>75.2</v>
      </c>
      <c r="L201" s="1">
        <v>7.4</v>
      </c>
      <c r="M201" s="1">
        <v>4.8</v>
      </c>
      <c r="N201" s="1">
        <v>6.6</v>
      </c>
      <c r="O201" s="1">
        <v>4.9</v>
      </c>
      <c r="P201" s="1">
        <v>1.4</v>
      </c>
      <c r="Q201" s="1">
        <v>31.5</v>
      </c>
      <c r="R201" s="1">
        <v>33.4</v>
      </c>
      <c r="S201" s="1">
        <v>53.9</v>
      </c>
      <c r="T201" s="1" t="s">
        <v>48</v>
      </c>
      <c r="U201" s="1" t="s">
        <v>49</v>
      </c>
      <c r="V201" s="1" t="s">
        <v>1376</v>
      </c>
      <c r="W201" s="1" t="s">
        <v>1377</v>
      </c>
      <c r="X201" s="1">
        <v>2012.0</v>
      </c>
      <c r="Y201" s="1" t="s">
        <v>75</v>
      </c>
      <c r="Z201" s="1" t="s">
        <v>53</v>
      </c>
    </row>
    <row r="202">
      <c r="A202" s="1" t="s">
        <v>1378</v>
      </c>
      <c r="B202" s="1" t="s">
        <v>1202</v>
      </c>
      <c r="C202" s="1" t="s">
        <v>43</v>
      </c>
      <c r="D202" s="1" t="s">
        <v>1381</v>
      </c>
      <c r="E202" s="1" t="s">
        <v>43</v>
      </c>
      <c r="F202" s="1" t="s">
        <v>45</v>
      </c>
      <c r="G202" s="1">
        <v>86.8</v>
      </c>
      <c r="H202" s="1">
        <v>11.3</v>
      </c>
      <c r="I202" s="1">
        <v>83.4</v>
      </c>
      <c r="J202" s="1">
        <v>11.0</v>
      </c>
      <c r="K202" s="1">
        <v>64.5</v>
      </c>
      <c r="L202" s="1">
        <v>8.5</v>
      </c>
      <c r="M202" s="1">
        <v>6.0</v>
      </c>
      <c r="N202" s="1">
        <v>18.2</v>
      </c>
      <c r="O202" s="1">
        <v>2.4</v>
      </c>
      <c r="P202" s="1">
        <v>0.8</v>
      </c>
      <c r="Q202" s="1">
        <v>63.2</v>
      </c>
      <c r="R202" s="1">
        <v>66.9</v>
      </c>
      <c r="S202" s="1">
        <v>24.6</v>
      </c>
      <c r="T202" s="1" t="s">
        <v>48</v>
      </c>
      <c r="U202" s="1" t="s">
        <v>49</v>
      </c>
      <c r="V202" s="1" t="s">
        <v>1200</v>
      </c>
      <c r="W202" s="1" t="s">
        <v>1201</v>
      </c>
      <c r="X202" s="1">
        <v>2016.0</v>
      </c>
      <c r="Y202" s="1" t="s">
        <v>105</v>
      </c>
      <c r="Z202" s="1" t="s">
        <v>53</v>
      </c>
    </row>
    <row r="203">
      <c r="A203" s="1" t="s">
        <v>1382</v>
      </c>
      <c r="B203" s="1" t="s">
        <v>1383</v>
      </c>
      <c r="C203" s="1" t="s">
        <v>43</v>
      </c>
      <c r="D203" s="1" t="s">
        <v>1384</v>
      </c>
      <c r="E203" s="1" t="s">
        <v>43</v>
      </c>
      <c r="F203" s="1" t="s">
        <v>45</v>
      </c>
      <c r="G203" s="1">
        <v>52.0</v>
      </c>
      <c r="H203" s="1">
        <v>45.3</v>
      </c>
      <c r="I203" s="1">
        <v>47.7</v>
      </c>
      <c r="J203" s="1">
        <v>44.5</v>
      </c>
      <c r="K203" s="1">
        <v>72.8</v>
      </c>
      <c r="L203" s="1">
        <v>8.8</v>
      </c>
      <c r="M203" s="1">
        <v>2.9</v>
      </c>
      <c r="N203" s="1">
        <v>11.2</v>
      </c>
      <c r="O203" s="1">
        <v>3.2</v>
      </c>
      <c r="P203" s="1">
        <v>1.0</v>
      </c>
      <c r="Q203" s="1">
        <v>38.5</v>
      </c>
      <c r="R203" s="1">
        <v>37.3</v>
      </c>
      <c r="S203" s="1">
        <v>51.6</v>
      </c>
      <c r="T203" s="1" t="s">
        <v>48</v>
      </c>
      <c r="U203" s="1" t="s">
        <v>49</v>
      </c>
      <c r="V203" s="1" t="s">
        <v>586</v>
      </c>
      <c r="W203" s="1" t="s">
        <v>1386</v>
      </c>
      <c r="X203" s="1">
        <v>2018.0</v>
      </c>
      <c r="Y203" s="1" t="s">
        <v>75</v>
      </c>
      <c r="Z203" s="1" t="s">
        <v>53</v>
      </c>
    </row>
    <row r="204">
      <c r="A204" s="1" t="s">
        <v>1387</v>
      </c>
      <c r="B204" s="1" t="s">
        <v>1388</v>
      </c>
      <c r="C204" s="1" t="s">
        <v>43</v>
      </c>
      <c r="D204" s="1" t="s">
        <v>1389</v>
      </c>
      <c r="E204" s="1" t="s">
        <v>43</v>
      </c>
      <c r="F204" s="1" t="s">
        <v>45</v>
      </c>
      <c r="G204" s="1">
        <v>71.5</v>
      </c>
      <c r="H204" s="1">
        <v>26.3</v>
      </c>
      <c r="I204" s="1">
        <v>68.7</v>
      </c>
      <c r="J204" s="1">
        <v>24.9</v>
      </c>
      <c r="K204" s="1">
        <v>44.4</v>
      </c>
      <c r="L204" s="1">
        <v>12.3</v>
      </c>
      <c r="M204" s="1">
        <v>13.3</v>
      </c>
      <c r="N204" s="1">
        <v>26.7</v>
      </c>
      <c r="O204" s="1">
        <v>2.8</v>
      </c>
      <c r="P204" s="1">
        <v>2.2</v>
      </c>
      <c r="Q204" s="1">
        <v>38.6</v>
      </c>
      <c r="R204" s="1">
        <v>44.3</v>
      </c>
      <c r="S204" s="1">
        <v>30.6</v>
      </c>
      <c r="T204" s="1" t="s">
        <v>48</v>
      </c>
      <c r="U204" s="1" t="s">
        <v>49</v>
      </c>
      <c r="V204" s="1" t="s">
        <v>240</v>
      </c>
      <c r="W204" s="1" t="s">
        <v>877</v>
      </c>
      <c r="X204" s="1">
        <v>1996.0</v>
      </c>
      <c r="Y204" s="1" t="s">
        <v>75</v>
      </c>
      <c r="Z204" s="1" t="s">
        <v>53</v>
      </c>
    </row>
    <row r="205">
      <c r="A205" s="1" t="s">
        <v>1390</v>
      </c>
      <c r="B205" s="1" t="s">
        <v>1391</v>
      </c>
      <c r="C205" s="1" t="s">
        <v>43</v>
      </c>
      <c r="D205" s="1" t="s">
        <v>1392</v>
      </c>
      <c r="E205" s="1" t="s">
        <v>43</v>
      </c>
      <c r="F205" s="1" t="s">
        <v>45</v>
      </c>
      <c r="G205" s="1">
        <v>57.3</v>
      </c>
      <c r="H205" s="1">
        <v>39.6</v>
      </c>
      <c r="I205" s="1">
        <v>52.2</v>
      </c>
      <c r="J205" s="1">
        <v>39.1</v>
      </c>
      <c r="K205" s="1">
        <v>64.1</v>
      </c>
      <c r="L205" s="1">
        <v>10.7</v>
      </c>
      <c r="M205" s="1">
        <v>9.1</v>
      </c>
      <c r="N205" s="1">
        <v>10.8</v>
      </c>
      <c r="O205" s="1">
        <v>4.0</v>
      </c>
      <c r="P205" s="1">
        <v>2.7</v>
      </c>
      <c r="Q205" s="1">
        <v>29.7</v>
      </c>
      <c r="R205" s="1">
        <v>32.4</v>
      </c>
      <c r="S205" s="1">
        <v>48.2</v>
      </c>
      <c r="T205" s="1" t="s">
        <v>48</v>
      </c>
      <c r="U205" s="1" t="s">
        <v>49</v>
      </c>
      <c r="V205" s="1" t="s">
        <v>1393</v>
      </c>
      <c r="W205" s="1" t="s">
        <v>1394</v>
      </c>
      <c r="X205" s="1">
        <v>2020.0</v>
      </c>
      <c r="Y205" s="1" t="s">
        <v>1395</v>
      </c>
      <c r="Z205" s="1" t="s">
        <v>53</v>
      </c>
    </row>
    <row r="206">
      <c r="A206" s="1" t="s">
        <v>1396</v>
      </c>
      <c r="B206" s="1" t="s">
        <v>1281</v>
      </c>
      <c r="C206" s="1" t="s">
        <v>43</v>
      </c>
      <c r="D206" s="1" t="s">
        <v>1397</v>
      </c>
      <c r="E206" s="1" t="s">
        <v>43</v>
      </c>
      <c r="F206" s="1" t="s">
        <v>45</v>
      </c>
      <c r="G206" s="1">
        <v>70.2</v>
      </c>
      <c r="H206" s="1">
        <v>28.4</v>
      </c>
      <c r="I206" s="1">
        <v>65.6</v>
      </c>
      <c r="J206" s="1">
        <v>27.9</v>
      </c>
      <c r="K206" s="1">
        <v>82.0</v>
      </c>
      <c r="L206" s="1">
        <v>5.7</v>
      </c>
      <c r="M206" s="1">
        <v>4.7</v>
      </c>
      <c r="N206" s="1">
        <v>5.8</v>
      </c>
      <c r="O206" s="1">
        <v>1.6</v>
      </c>
      <c r="P206" s="1">
        <v>0.1</v>
      </c>
      <c r="Q206" s="1">
        <v>45.2</v>
      </c>
      <c r="R206" s="1">
        <v>45.7</v>
      </c>
      <c r="S206" s="1">
        <v>48.1</v>
      </c>
      <c r="T206" s="1" t="s">
        <v>48</v>
      </c>
      <c r="U206" s="1" t="s">
        <v>49</v>
      </c>
      <c r="V206" s="1" t="s">
        <v>127</v>
      </c>
      <c r="W206" s="1" t="s">
        <v>1280</v>
      </c>
      <c r="X206" s="1">
        <v>2012.0</v>
      </c>
      <c r="Y206" s="1" t="s">
        <v>75</v>
      </c>
      <c r="Z206" s="1" t="s">
        <v>304</v>
      </c>
    </row>
    <row r="207">
      <c r="A207" s="1" t="s">
        <v>1401</v>
      </c>
      <c r="B207" s="1" t="s">
        <v>1402</v>
      </c>
      <c r="C207" s="1" t="s">
        <v>43</v>
      </c>
      <c r="D207" s="1" t="s">
        <v>1403</v>
      </c>
      <c r="E207" s="1" t="s">
        <v>43</v>
      </c>
      <c r="F207" s="1" t="s">
        <v>45</v>
      </c>
      <c r="G207" s="1">
        <v>75.9</v>
      </c>
      <c r="H207" s="1">
        <v>22.8</v>
      </c>
      <c r="I207" s="1">
        <v>72.0</v>
      </c>
      <c r="J207" s="1">
        <v>22.3</v>
      </c>
      <c r="K207" s="1">
        <v>47.1</v>
      </c>
      <c r="L207" s="1">
        <v>15.3</v>
      </c>
      <c r="M207" s="1">
        <v>31.5</v>
      </c>
      <c r="N207" s="1">
        <v>5.2</v>
      </c>
      <c r="O207" s="1">
        <v>2.1</v>
      </c>
      <c r="P207" s="1">
        <v>0.1</v>
      </c>
      <c r="Q207" s="1">
        <v>30.8</v>
      </c>
      <c r="R207" s="1">
        <v>45.1</v>
      </c>
      <c r="S207" s="1">
        <v>28.7</v>
      </c>
      <c r="T207" s="1" t="s">
        <v>48</v>
      </c>
      <c r="U207" s="1" t="s">
        <v>49</v>
      </c>
      <c r="V207" s="1" t="s">
        <v>1404</v>
      </c>
      <c r="W207" s="1" t="s">
        <v>1405</v>
      </c>
      <c r="X207" s="1">
        <v>2004.0</v>
      </c>
      <c r="Y207" s="1" t="s">
        <v>28</v>
      </c>
      <c r="Z207" s="1" t="s">
        <v>53</v>
      </c>
    </row>
    <row r="208">
      <c r="A208" s="1" t="s">
        <v>1406</v>
      </c>
      <c r="B208" s="1" t="s">
        <v>1407</v>
      </c>
      <c r="C208" s="1" t="s">
        <v>632</v>
      </c>
      <c r="D208" s="1" t="s">
        <v>1408</v>
      </c>
      <c r="E208" s="1" t="s">
        <v>632</v>
      </c>
      <c r="F208" s="1" t="s">
        <v>45</v>
      </c>
      <c r="G208" s="1">
        <v>35.3</v>
      </c>
      <c r="H208" s="1">
        <v>63.6</v>
      </c>
      <c r="I208" s="1">
        <v>33.8</v>
      </c>
      <c r="J208" s="1">
        <v>62.9</v>
      </c>
      <c r="K208" s="1">
        <v>66.0</v>
      </c>
      <c r="L208" s="1">
        <v>3.2</v>
      </c>
      <c r="M208" s="1">
        <v>25.6</v>
      </c>
      <c r="N208" s="1">
        <v>1.8</v>
      </c>
      <c r="O208" s="1">
        <v>3.1</v>
      </c>
      <c r="P208" s="1">
        <v>0.1</v>
      </c>
      <c r="Q208" s="1">
        <v>25.6</v>
      </c>
      <c r="R208" s="1">
        <v>29.0</v>
      </c>
      <c r="S208" s="1">
        <v>48.4</v>
      </c>
      <c r="AA208" s="1" t="s">
        <v>1409</v>
      </c>
      <c r="AB208" s="1" t="s">
        <v>49</v>
      </c>
      <c r="AC208" s="1" t="s">
        <v>1019</v>
      </c>
      <c r="AD208" s="1" t="s">
        <v>1410</v>
      </c>
      <c r="AE208" s="1">
        <v>2020.0</v>
      </c>
      <c r="AF208" s="1" t="s">
        <v>75</v>
      </c>
    </row>
    <row r="209">
      <c r="A209" s="1" t="s">
        <v>1411</v>
      </c>
      <c r="B209" s="1" t="s">
        <v>1412</v>
      </c>
      <c r="C209" s="1" t="s">
        <v>632</v>
      </c>
      <c r="D209" s="1" t="s">
        <v>1414</v>
      </c>
      <c r="E209" s="1" t="s">
        <v>632</v>
      </c>
      <c r="F209" s="1" t="s">
        <v>45</v>
      </c>
      <c r="G209" s="1">
        <v>34.8</v>
      </c>
      <c r="H209" s="1">
        <v>64.2</v>
      </c>
      <c r="I209" s="1">
        <v>32.3</v>
      </c>
      <c r="J209" s="1">
        <v>64.8</v>
      </c>
      <c r="K209" s="1">
        <v>62.0</v>
      </c>
      <c r="L209" s="1">
        <v>3.6</v>
      </c>
      <c r="M209" s="1">
        <v>30.1</v>
      </c>
      <c r="N209" s="1">
        <v>2.3</v>
      </c>
      <c r="O209" s="1">
        <v>2.1</v>
      </c>
      <c r="P209" s="1">
        <v>0.1</v>
      </c>
      <c r="Q209" s="1">
        <v>25.3</v>
      </c>
      <c r="R209" s="1">
        <v>27.5</v>
      </c>
      <c r="S209" s="1">
        <v>47.1</v>
      </c>
      <c r="AA209" s="1" t="s">
        <v>1409</v>
      </c>
      <c r="AB209" s="1" t="s">
        <v>49</v>
      </c>
      <c r="AC209" s="1" t="s">
        <v>1415</v>
      </c>
      <c r="AD209" s="1" t="s">
        <v>1405</v>
      </c>
      <c r="AE209" s="1">
        <v>2020.0</v>
      </c>
      <c r="AF209" s="1" t="s">
        <v>75</v>
      </c>
    </row>
    <row r="210">
      <c r="A210" s="1" t="s">
        <v>1416</v>
      </c>
      <c r="B210" s="1" t="s">
        <v>1417</v>
      </c>
      <c r="C210" s="1" t="s">
        <v>632</v>
      </c>
      <c r="D210" s="1" t="s">
        <v>1418</v>
      </c>
      <c r="E210" s="1" t="s">
        <v>632</v>
      </c>
      <c r="F210" s="1" t="s">
        <v>45</v>
      </c>
      <c r="G210" s="1">
        <v>32.5</v>
      </c>
      <c r="H210" s="1">
        <v>66.6</v>
      </c>
      <c r="I210" s="1">
        <v>31.1</v>
      </c>
      <c r="J210" s="1">
        <v>65.7</v>
      </c>
      <c r="K210" s="1">
        <v>67.7</v>
      </c>
      <c r="L210" s="1">
        <v>3.1</v>
      </c>
      <c r="M210" s="1">
        <v>25.0</v>
      </c>
      <c r="N210" s="1">
        <v>2.1</v>
      </c>
      <c r="O210" s="1">
        <v>2.1</v>
      </c>
      <c r="P210" s="1">
        <v>0.1</v>
      </c>
      <c r="Q210" s="1">
        <v>21.1</v>
      </c>
      <c r="R210" s="1">
        <v>22.9</v>
      </c>
      <c r="S210" s="1">
        <v>55.0</v>
      </c>
      <c r="AA210" s="1" t="s">
        <v>1409</v>
      </c>
      <c r="AB210" s="1" t="s">
        <v>49</v>
      </c>
      <c r="AC210" s="1" t="s">
        <v>95</v>
      </c>
      <c r="AD210" s="1" t="s">
        <v>1419</v>
      </c>
      <c r="AE210" s="1">
        <v>2002.0</v>
      </c>
      <c r="AF210" s="1" t="s">
        <v>75</v>
      </c>
    </row>
    <row r="211">
      <c r="A211" s="1" t="s">
        <v>1420</v>
      </c>
      <c r="B211" s="1" t="s">
        <v>1421</v>
      </c>
      <c r="C211" s="1" t="s">
        <v>632</v>
      </c>
      <c r="D211" s="1" t="s">
        <v>1422</v>
      </c>
      <c r="E211" s="1" t="s">
        <v>632</v>
      </c>
      <c r="F211" s="1" t="s">
        <v>45</v>
      </c>
      <c r="G211" s="1">
        <v>18.6</v>
      </c>
      <c r="H211" s="1">
        <v>80.4</v>
      </c>
      <c r="I211" s="1">
        <v>18.0</v>
      </c>
      <c r="J211" s="1">
        <v>79.0</v>
      </c>
      <c r="K211" s="1">
        <v>82.4</v>
      </c>
      <c r="L211" s="1">
        <v>5.7</v>
      </c>
      <c r="M211" s="1">
        <v>7.7</v>
      </c>
      <c r="N211" s="1">
        <v>0.8</v>
      </c>
      <c r="O211" s="1">
        <v>3.5</v>
      </c>
      <c r="P211" s="1">
        <v>0.1</v>
      </c>
      <c r="Q211" s="1">
        <v>17.7</v>
      </c>
      <c r="R211" s="1">
        <v>18.3</v>
      </c>
      <c r="S211" s="1">
        <v>71.6</v>
      </c>
      <c r="AA211" s="1" t="s">
        <v>1409</v>
      </c>
      <c r="AB211" s="1" t="s">
        <v>49</v>
      </c>
      <c r="AC211" s="1" t="s">
        <v>312</v>
      </c>
      <c r="AD211" s="1" t="s">
        <v>1424</v>
      </c>
      <c r="AE211" s="1">
        <v>1996.0</v>
      </c>
      <c r="AF211" s="1" t="s">
        <v>75</v>
      </c>
    </row>
    <row r="212">
      <c r="A212" s="1" t="s">
        <v>1425</v>
      </c>
      <c r="B212" s="1" t="s">
        <v>1426</v>
      </c>
      <c r="C212" s="1" t="s">
        <v>632</v>
      </c>
      <c r="D212" s="1" t="s">
        <v>1427</v>
      </c>
      <c r="E212" s="1" t="s">
        <v>632</v>
      </c>
      <c r="F212" s="1" t="s">
        <v>45</v>
      </c>
      <c r="G212" s="1">
        <v>35.6</v>
      </c>
      <c r="H212" s="1">
        <v>62.7</v>
      </c>
      <c r="I212" s="1">
        <v>30.8</v>
      </c>
      <c r="J212" s="1">
        <v>63.8</v>
      </c>
      <c r="K212" s="1">
        <v>70.9</v>
      </c>
      <c r="L212" s="1">
        <v>5.3</v>
      </c>
      <c r="M212" s="1">
        <v>18.1</v>
      </c>
      <c r="N212" s="1">
        <v>2.5</v>
      </c>
      <c r="O212" s="1">
        <v>3.3</v>
      </c>
      <c r="P212" s="1">
        <v>0.2</v>
      </c>
      <c r="Q212" s="1">
        <v>33.8</v>
      </c>
      <c r="R212" s="1">
        <v>35.1</v>
      </c>
      <c r="S212" s="1">
        <v>49.2</v>
      </c>
      <c r="AA212" s="1" t="s">
        <v>1409</v>
      </c>
      <c r="AB212" s="1" t="s">
        <v>159</v>
      </c>
      <c r="AC212" s="1" t="s">
        <v>1428</v>
      </c>
      <c r="AD212" s="1" t="s">
        <v>1429</v>
      </c>
      <c r="AF212" s="1" t="s">
        <v>75</v>
      </c>
    </row>
    <row r="213">
      <c r="A213" s="1" t="s">
        <v>1430</v>
      </c>
      <c r="B213" s="1" t="s">
        <v>1431</v>
      </c>
      <c r="C213" s="1" t="s">
        <v>632</v>
      </c>
      <c r="D213" s="1" t="s">
        <v>1433</v>
      </c>
      <c r="E213" s="1" t="s">
        <v>632</v>
      </c>
      <c r="F213" s="1" t="s">
        <v>45</v>
      </c>
      <c r="G213" s="1">
        <v>34.4</v>
      </c>
      <c r="H213" s="1">
        <v>64.4</v>
      </c>
      <c r="I213" s="1">
        <v>28.5</v>
      </c>
      <c r="J213" s="1">
        <v>66.8</v>
      </c>
      <c r="K213" s="1">
        <v>71.2</v>
      </c>
      <c r="L213" s="1">
        <v>5.4</v>
      </c>
      <c r="M213" s="1">
        <v>18.9</v>
      </c>
      <c r="N213" s="1">
        <v>2.3</v>
      </c>
      <c r="O213" s="1">
        <v>2.2</v>
      </c>
      <c r="P213" s="1">
        <v>0.1</v>
      </c>
      <c r="Q213" s="1">
        <v>37.4</v>
      </c>
      <c r="R213" s="1">
        <v>40.8</v>
      </c>
      <c r="S213" s="1">
        <v>45.1</v>
      </c>
      <c r="AA213" s="1" t="s">
        <v>1409</v>
      </c>
      <c r="AB213" s="1" t="s">
        <v>49</v>
      </c>
      <c r="AC213" s="1" t="s">
        <v>1434</v>
      </c>
      <c r="AD213" s="1" t="s">
        <v>1435</v>
      </c>
      <c r="AE213" s="1">
        <v>2014.0</v>
      </c>
      <c r="AF213" s="1" t="s">
        <v>75</v>
      </c>
    </row>
    <row r="214">
      <c r="A214" s="1" t="s">
        <v>1436</v>
      </c>
      <c r="B214" s="1" t="s">
        <v>1437</v>
      </c>
      <c r="C214" s="1" t="s">
        <v>43</v>
      </c>
      <c r="D214" s="1" t="s">
        <v>1438</v>
      </c>
      <c r="E214" s="1" t="s">
        <v>632</v>
      </c>
      <c r="F214" s="1" t="s">
        <v>397</v>
      </c>
      <c r="G214" s="1">
        <v>45.3</v>
      </c>
      <c r="H214" s="1">
        <v>53.2</v>
      </c>
      <c r="I214" s="1">
        <v>41.1</v>
      </c>
      <c r="J214" s="1">
        <v>51.2</v>
      </c>
      <c r="K214" s="1">
        <v>60.0</v>
      </c>
      <c r="L214" s="1">
        <v>14.6</v>
      </c>
      <c r="M214" s="1">
        <v>2.7</v>
      </c>
      <c r="N214" s="1">
        <v>2.0</v>
      </c>
      <c r="O214" s="1">
        <v>20.8</v>
      </c>
      <c r="P214" s="1">
        <v>0.3</v>
      </c>
      <c r="Q214" s="1">
        <v>23.3</v>
      </c>
      <c r="R214" s="1">
        <v>30.1</v>
      </c>
      <c r="S214" s="1">
        <v>42.9</v>
      </c>
      <c r="AA214" s="1" t="s">
        <v>1409</v>
      </c>
      <c r="AB214" s="1" t="s">
        <v>970</v>
      </c>
      <c r="AC214" s="1" t="s">
        <v>1439</v>
      </c>
      <c r="AD214" s="1" t="s">
        <v>1440</v>
      </c>
      <c r="AF214" s="1" t="s">
        <v>75</v>
      </c>
    </row>
    <row r="215">
      <c r="A215" s="1" t="s">
        <v>1441</v>
      </c>
      <c r="B215" s="1" t="s">
        <v>1443</v>
      </c>
      <c r="C215" s="1" t="s">
        <v>632</v>
      </c>
      <c r="D215" s="1" t="s">
        <v>1444</v>
      </c>
      <c r="E215" s="1" t="s">
        <v>632</v>
      </c>
      <c r="F215" s="1" t="s">
        <v>45</v>
      </c>
      <c r="G215" s="1">
        <v>41.0</v>
      </c>
      <c r="H215" s="1">
        <v>57.4</v>
      </c>
      <c r="I215" s="1">
        <v>35.3</v>
      </c>
      <c r="J215" s="1">
        <v>56.6</v>
      </c>
      <c r="K215" s="1">
        <v>70.4</v>
      </c>
      <c r="L215" s="1">
        <v>15.4</v>
      </c>
      <c r="M215" s="1">
        <v>4.5</v>
      </c>
      <c r="N215" s="1">
        <v>7.2</v>
      </c>
      <c r="O215" s="1">
        <v>2.6</v>
      </c>
      <c r="P215" s="1">
        <v>0.5</v>
      </c>
      <c r="Q215" s="1">
        <v>37.2</v>
      </c>
      <c r="R215" s="1">
        <v>37.7</v>
      </c>
      <c r="S215" s="1">
        <v>46.9</v>
      </c>
      <c r="AA215" s="1" t="s">
        <v>1409</v>
      </c>
      <c r="AB215" s="1" t="s">
        <v>49</v>
      </c>
      <c r="AC215" s="1" t="s">
        <v>584</v>
      </c>
      <c r="AD215" s="1" t="s">
        <v>1445</v>
      </c>
      <c r="AE215" s="1">
        <v>2016.0</v>
      </c>
      <c r="AF215" s="1" t="s">
        <v>75</v>
      </c>
    </row>
    <row r="216">
      <c r="A216" s="1" t="s">
        <v>1446</v>
      </c>
      <c r="B216" s="1" t="s">
        <v>1447</v>
      </c>
      <c r="C216" s="1" t="s">
        <v>632</v>
      </c>
      <c r="D216" s="1" t="s">
        <v>1448</v>
      </c>
      <c r="E216" s="1" t="s">
        <v>632</v>
      </c>
      <c r="F216" s="1" t="s">
        <v>45</v>
      </c>
      <c r="G216" s="1">
        <v>42.5</v>
      </c>
      <c r="H216" s="1">
        <v>56.1</v>
      </c>
      <c r="I216" s="1">
        <v>37.2</v>
      </c>
      <c r="J216" s="1">
        <v>56.1</v>
      </c>
      <c r="K216" s="1">
        <v>68.6</v>
      </c>
      <c r="L216" s="1">
        <v>18.1</v>
      </c>
      <c r="M216" s="1">
        <v>5.4</v>
      </c>
      <c r="N216" s="1">
        <v>5.3</v>
      </c>
      <c r="O216" s="1">
        <v>3.0</v>
      </c>
      <c r="P216" s="1">
        <v>0.4</v>
      </c>
      <c r="Q216" s="1">
        <v>31.3</v>
      </c>
      <c r="R216" s="1">
        <v>32.5</v>
      </c>
      <c r="S216" s="1">
        <v>50.5</v>
      </c>
      <c r="AA216" s="1" t="s">
        <v>1409</v>
      </c>
      <c r="AB216" s="1" t="s">
        <v>49</v>
      </c>
      <c r="AC216" s="1" t="s">
        <v>503</v>
      </c>
      <c r="AD216" s="1" t="s">
        <v>1449</v>
      </c>
      <c r="AE216" s="1" t="s">
        <v>1063</v>
      </c>
      <c r="AF216" s="1" t="s">
        <v>75</v>
      </c>
    </row>
    <row r="217">
      <c r="A217" s="1" t="s">
        <v>1450</v>
      </c>
      <c r="B217" s="1" t="s">
        <v>1451</v>
      </c>
      <c r="C217" s="1" t="s">
        <v>632</v>
      </c>
      <c r="D217" s="1" t="s">
        <v>1452</v>
      </c>
      <c r="E217" s="1" t="s">
        <v>632</v>
      </c>
      <c r="F217" s="1" t="s">
        <v>45</v>
      </c>
      <c r="G217" s="1">
        <v>36.4</v>
      </c>
      <c r="H217" s="1">
        <v>62.2</v>
      </c>
      <c r="I217" s="1">
        <v>32.3</v>
      </c>
      <c r="J217" s="1">
        <v>61.4</v>
      </c>
      <c r="K217" s="1">
        <v>62.3</v>
      </c>
      <c r="L217" s="1">
        <v>25.8</v>
      </c>
      <c r="M217" s="1">
        <v>5.2</v>
      </c>
      <c r="N217" s="1">
        <v>3.5</v>
      </c>
      <c r="O217" s="1">
        <v>3.7</v>
      </c>
      <c r="P217" s="1">
        <v>0.5</v>
      </c>
      <c r="Q217" s="1">
        <v>19.8</v>
      </c>
      <c r="R217" s="1">
        <v>21.4</v>
      </c>
      <c r="S217" s="1">
        <v>52.7</v>
      </c>
      <c r="AA217" s="1" t="s">
        <v>1409</v>
      </c>
      <c r="AB217" s="1" t="s">
        <v>49</v>
      </c>
      <c r="AC217" s="1" t="s">
        <v>1054</v>
      </c>
      <c r="AD217" s="1" t="s">
        <v>1453</v>
      </c>
      <c r="AE217" s="1">
        <v>2010.0</v>
      </c>
      <c r="AF217" s="1" t="s">
        <v>75</v>
      </c>
    </row>
    <row r="218">
      <c r="A218" s="1" t="s">
        <v>1454</v>
      </c>
      <c r="B218" s="1" t="s">
        <v>1455</v>
      </c>
      <c r="C218" s="1" t="s">
        <v>632</v>
      </c>
      <c r="D218" s="1" t="s">
        <v>1456</v>
      </c>
      <c r="E218" s="1" t="s">
        <v>632</v>
      </c>
      <c r="F218" s="1" t="s">
        <v>45</v>
      </c>
      <c r="G218" s="1">
        <v>28.1</v>
      </c>
      <c r="H218" s="1">
        <v>69.0</v>
      </c>
      <c r="I218" s="1">
        <v>30.1</v>
      </c>
      <c r="J218" s="1">
        <v>65.0</v>
      </c>
      <c r="K218" s="1">
        <v>75.8</v>
      </c>
      <c r="L218" s="1">
        <v>3.1</v>
      </c>
      <c r="M218" s="1">
        <v>16.9</v>
      </c>
      <c r="N218" s="1">
        <v>1.0</v>
      </c>
      <c r="O218" s="1">
        <v>2.8</v>
      </c>
      <c r="P218" s="1">
        <v>0.2</v>
      </c>
      <c r="Q218" s="1">
        <v>17.2</v>
      </c>
      <c r="R218" s="1">
        <v>18.6</v>
      </c>
      <c r="S218" s="1">
        <v>64.4</v>
      </c>
      <c r="AA218" s="1" t="s">
        <v>1409</v>
      </c>
      <c r="AB218" s="1" t="s">
        <v>49</v>
      </c>
      <c r="AC218" s="1" t="s">
        <v>1364</v>
      </c>
      <c r="AD218" s="1" t="s">
        <v>1458</v>
      </c>
      <c r="AE218" s="1">
        <v>2010.0</v>
      </c>
      <c r="AF218" s="1" t="s">
        <v>75</v>
      </c>
    </row>
    <row r="219">
      <c r="A219" s="1" t="s">
        <v>1459</v>
      </c>
      <c r="B219" s="1" t="s">
        <v>1460</v>
      </c>
      <c r="C219" s="1" t="s">
        <v>632</v>
      </c>
      <c r="D219" s="1" t="s">
        <v>1461</v>
      </c>
      <c r="E219" s="1" t="s">
        <v>632</v>
      </c>
      <c r="F219" s="1" t="s">
        <v>45</v>
      </c>
      <c r="G219" s="1">
        <v>42.1</v>
      </c>
      <c r="H219" s="1">
        <v>55.2</v>
      </c>
      <c r="I219" s="1">
        <v>39.5</v>
      </c>
      <c r="J219" s="1">
        <v>54.5</v>
      </c>
      <c r="K219" s="1">
        <v>69.1</v>
      </c>
      <c r="L219" s="1">
        <v>5.1</v>
      </c>
      <c r="M219" s="1">
        <v>20.3</v>
      </c>
      <c r="N219" s="1">
        <v>2.3</v>
      </c>
      <c r="O219" s="1">
        <v>3.0</v>
      </c>
      <c r="P219" s="1">
        <v>0.1</v>
      </c>
      <c r="Q219" s="1">
        <v>31.3</v>
      </c>
      <c r="R219" s="1">
        <v>33.0</v>
      </c>
      <c r="S219" s="1">
        <v>50.4</v>
      </c>
      <c r="AA219" s="1" t="s">
        <v>1409</v>
      </c>
      <c r="AB219" s="1" t="s">
        <v>49</v>
      </c>
      <c r="AC219" s="1" t="s">
        <v>1464</v>
      </c>
      <c r="AD219" s="1" t="s">
        <v>1465</v>
      </c>
      <c r="AE219" s="1">
        <v>2014.0</v>
      </c>
      <c r="AF219" s="1" t="s">
        <v>75</v>
      </c>
    </row>
    <row r="220">
      <c r="A220" s="1" t="s">
        <v>1466</v>
      </c>
      <c r="B220" s="1" t="s">
        <v>1467</v>
      </c>
      <c r="C220" s="1" t="s">
        <v>632</v>
      </c>
      <c r="D220" s="1" t="s">
        <v>1468</v>
      </c>
      <c r="E220" s="1" t="s">
        <v>632</v>
      </c>
      <c r="F220" s="1" t="s">
        <v>45</v>
      </c>
      <c r="G220" s="1">
        <v>36.8</v>
      </c>
      <c r="H220" s="1">
        <v>60.2</v>
      </c>
      <c r="I220" s="1">
        <v>31.8</v>
      </c>
      <c r="J220" s="1">
        <v>60.4</v>
      </c>
      <c r="K220" s="1">
        <v>71.6</v>
      </c>
      <c r="L220" s="1">
        <v>13.9</v>
      </c>
      <c r="M220" s="1">
        <v>3.6</v>
      </c>
      <c r="N220" s="1">
        <v>4.2</v>
      </c>
      <c r="O220" s="1">
        <v>5.6</v>
      </c>
      <c r="P220" s="1">
        <v>1.4</v>
      </c>
      <c r="Q220" s="1">
        <v>29.8</v>
      </c>
      <c r="R220" s="1">
        <v>31.8</v>
      </c>
      <c r="S220" s="1">
        <v>56.4</v>
      </c>
      <c r="AA220" s="1" t="s">
        <v>1409</v>
      </c>
      <c r="AB220" s="1" t="s">
        <v>49</v>
      </c>
      <c r="AC220" s="1" t="s">
        <v>1238</v>
      </c>
      <c r="AD220" s="1" t="s">
        <v>1470</v>
      </c>
      <c r="AE220" s="1">
        <v>2010.0</v>
      </c>
      <c r="AF220" s="1" t="s">
        <v>75</v>
      </c>
    </row>
    <row r="221">
      <c r="A221" s="1" t="s">
        <v>1471</v>
      </c>
      <c r="B221" s="1" t="s">
        <v>1472</v>
      </c>
      <c r="C221" s="1" t="s">
        <v>632</v>
      </c>
      <c r="D221" s="1" t="s">
        <v>1473</v>
      </c>
      <c r="E221" s="1" t="s">
        <v>632</v>
      </c>
      <c r="F221" s="1" t="s">
        <v>45</v>
      </c>
      <c r="G221" s="1">
        <v>31.0</v>
      </c>
      <c r="H221" s="1">
        <v>66.2</v>
      </c>
      <c r="I221" s="1">
        <v>32.5</v>
      </c>
      <c r="J221" s="1">
        <v>62.9</v>
      </c>
      <c r="K221" s="1">
        <v>69.6</v>
      </c>
      <c r="L221" s="1">
        <v>6.0</v>
      </c>
      <c r="M221" s="1">
        <v>19.8</v>
      </c>
      <c r="N221" s="1">
        <v>1.1</v>
      </c>
      <c r="O221" s="1">
        <v>3.3</v>
      </c>
      <c r="P221" s="1">
        <v>0.1</v>
      </c>
      <c r="Q221" s="1">
        <v>17.7</v>
      </c>
      <c r="R221" s="1">
        <v>19.6</v>
      </c>
      <c r="S221" s="1">
        <v>59.8</v>
      </c>
      <c r="AA221" s="1" t="s">
        <v>1409</v>
      </c>
      <c r="AB221" s="1" t="s">
        <v>49</v>
      </c>
      <c r="AC221" s="1" t="s">
        <v>1474</v>
      </c>
      <c r="AD221" s="1" t="s">
        <v>1475</v>
      </c>
      <c r="AE221" s="1">
        <v>2014.0</v>
      </c>
      <c r="AF221" s="1" t="s">
        <v>75</v>
      </c>
    </row>
    <row r="222">
      <c r="A222" s="1" t="s">
        <v>1476</v>
      </c>
      <c r="B222" s="1" t="s">
        <v>1477</v>
      </c>
      <c r="C222" s="1" t="s">
        <v>632</v>
      </c>
      <c r="D222" s="1" t="s">
        <v>1478</v>
      </c>
      <c r="E222" s="1" t="s">
        <v>632</v>
      </c>
      <c r="F222" s="1" t="s">
        <v>45</v>
      </c>
      <c r="G222" s="1">
        <v>39.2</v>
      </c>
      <c r="H222" s="1">
        <v>58.3</v>
      </c>
      <c r="I222" s="1">
        <v>35.6</v>
      </c>
      <c r="J222" s="1">
        <v>57.4</v>
      </c>
      <c r="K222" s="1">
        <v>65.3</v>
      </c>
      <c r="L222" s="1">
        <v>19.5</v>
      </c>
      <c r="M222" s="1">
        <v>2.7</v>
      </c>
      <c r="N222" s="1">
        <v>6.7</v>
      </c>
      <c r="O222" s="1">
        <v>6.0</v>
      </c>
      <c r="P222" s="1">
        <v>0.7</v>
      </c>
      <c r="Q222" s="1">
        <v>21.8</v>
      </c>
      <c r="R222" s="1">
        <v>24.2</v>
      </c>
      <c r="S222" s="1">
        <v>55.8</v>
      </c>
      <c r="AA222" s="1" t="s">
        <v>1409</v>
      </c>
      <c r="AB222" s="1" t="s">
        <v>49</v>
      </c>
      <c r="AC222" s="1" t="s">
        <v>1481</v>
      </c>
      <c r="AD222" s="1" t="s">
        <v>1482</v>
      </c>
      <c r="AE222" s="1">
        <v>2012.0</v>
      </c>
      <c r="AF222" s="1" t="s">
        <v>75</v>
      </c>
    </row>
    <row r="223">
      <c r="A223" s="1" t="s">
        <v>1483</v>
      </c>
      <c r="B223" s="1" t="s">
        <v>1484</v>
      </c>
      <c r="C223" s="1" t="s">
        <v>632</v>
      </c>
      <c r="D223" s="1" t="s">
        <v>1485</v>
      </c>
      <c r="E223" s="1" t="s">
        <v>632</v>
      </c>
      <c r="F223" s="1" t="s">
        <v>45</v>
      </c>
      <c r="G223" s="1">
        <v>42.7</v>
      </c>
      <c r="H223" s="1">
        <v>55.0</v>
      </c>
      <c r="I223" s="1">
        <v>39.3</v>
      </c>
      <c r="J223" s="1">
        <v>54.6</v>
      </c>
      <c r="K223" s="1">
        <v>63.0</v>
      </c>
      <c r="L223" s="1">
        <v>22.3</v>
      </c>
      <c r="M223" s="1">
        <v>3.1</v>
      </c>
      <c r="N223" s="1">
        <v>7.6</v>
      </c>
      <c r="O223" s="1">
        <v>4.4</v>
      </c>
      <c r="P223" s="1">
        <v>0.9</v>
      </c>
      <c r="Q223" s="1">
        <v>28.6</v>
      </c>
      <c r="R223" s="1">
        <v>30.4</v>
      </c>
      <c r="S223" s="1">
        <v>48.7</v>
      </c>
      <c r="AA223" s="1" t="s">
        <v>1409</v>
      </c>
      <c r="AB223" s="1" t="s">
        <v>49</v>
      </c>
      <c r="AC223" s="1" t="s">
        <v>1486</v>
      </c>
      <c r="AD223" s="1" t="s">
        <v>1487</v>
      </c>
      <c r="AE223" s="1">
        <v>2008.0</v>
      </c>
      <c r="AF223" s="1" t="s">
        <v>75</v>
      </c>
    </row>
    <row r="224">
      <c r="A224" s="1" t="s">
        <v>1488</v>
      </c>
      <c r="B224" s="1" t="s">
        <v>1489</v>
      </c>
      <c r="C224" s="1" t="s">
        <v>632</v>
      </c>
      <c r="D224" s="1" t="s">
        <v>1490</v>
      </c>
      <c r="E224" s="1" t="s">
        <v>632</v>
      </c>
      <c r="F224" s="1" t="s">
        <v>45</v>
      </c>
      <c r="G224" s="1">
        <v>36.4</v>
      </c>
      <c r="H224" s="1">
        <v>61.3</v>
      </c>
      <c r="I224" s="1">
        <v>31.8</v>
      </c>
      <c r="J224" s="1">
        <v>62.6</v>
      </c>
      <c r="K224" s="1">
        <v>53.4</v>
      </c>
      <c r="L224" s="1">
        <v>30.1</v>
      </c>
      <c r="M224" s="1">
        <v>4.4</v>
      </c>
      <c r="N224" s="1">
        <v>9.0</v>
      </c>
      <c r="O224" s="1">
        <v>4.5</v>
      </c>
      <c r="P224" s="1">
        <v>0.5</v>
      </c>
      <c r="Q224" s="1">
        <v>27.2</v>
      </c>
      <c r="R224" s="1">
        <v>29.3</v>
      </c>
      <c r="S224" s="1">
        <v>43.2</v>
      </c>
      <c r="AA224" s="1" t="s">
        <v>1409</v>
      </c>
      <c r="AB224" s="1" t="s">
        <v>49</v>
      </c>
      <c r="AC224" s="1" t="s">
        <v>160</v>
      </c>
      <c r="AD224" s="1" t="s">
        <v>1491</v>
      </c>
      <c r="AE224" s="1">
        <v>2006.0</v>
      </c>
      <c r="AF224" s="1" t="s">
        <v>75</v>
      </c>
    </row>
    <row r="225">
      <c r="A225" s="1" t="s">
        <v>1492</v>
      </c>
      <c r="B225" s="1" t="s">
        <v>1493</v>
      </c>
      <c r="C225" s="1" t="s">
        <v>632</v>
      </c>
      <c r="D225" s="1" t="s">
        <v>1494</v>
      </c>
      <c r="E225" s="1" t="s">
        <v>632</v>
      </c>
      <c r="F225" s="1" t="s">
        <v>45</v>
      </c>
      <c r="G225" s="1">
        <v>43.9</v>
      </c>
      <c r="H225" s="1">
        <v>53.7</v>
      </c>
      <c r="I225" s="1">
        <v>39.7</v>
      </c>
      <c r="J225" s="1">
        <v>54.6</v>
      </c>
      <c r="K225" s="1">
        <v>44.1</v>
      </c>
      <c r="L225" s="1">
        <v>37.4</v>
      </c>
      <c r="M225" s="1">
        <v>10.0</v>
      </c>
      <c r="N225" s="1">
        <v>6.2</v>
      </c>
      <c r="O225" s="1">
        <v>4.3</v>
      </c>
      <c r="P225" s="1">
        <v>0.8</v>
      </c>
      <c r="Q225" s="1">
        <v>19.1</v>
      </c>
      <c r="R225" s="1">
        <v>23.1</v>
      </c>
      <c r="S225" s="1">
        <v>38.7</v>
      </c>
      <c r="AA225" s="1" t="s">
        <v>1409</v>
      </c>
      <c r="AB225" s="1" t="s">
        <v>49</v>
      </c>
      <c r="AC225" s="1" t="s">
        <v>1496</v>
      </c>
      <c r="AD225" s="1" t="s">
        <v>1497</v>
      </c>
      <c r="AE225" s="1">
        <v>2020.0</v>
      </c>
      <c r="AF225" s="1" t="s">
        <v>75</v>
      </c>
    </row>
    <row r="226">
      <c r="A226" s="1" t="s">
        <v>1498</v>
      </c>
      <c r="B226" s="1" t="s">
        <v>1499</v>
      </c>
      <c r="C226" s="1" t="s">
        <v>632</v>
      </c>
      <c r="D226" s="1" t="s">
        <v>1500</v>
      </c>
      <c r="E226" s="1" t="s">
        <v>632</v>
      </c>
      <c r="F226" s="1" t="s">
        <v>45</v>
      </c>
      <c r="G226" s="1">
        <v>49.9</v>
      </c>
      <c r="H226" s="1">
        <v>48.0</v>
      </c>
      <c r="I226" s="1">
        <v>45.0</v>
      </c>
      <c r="J226" s="1">
        <v>49.3</v>
      </c>
      <c r="K226" s="1">
        <v>51.6</v>
      </c>
      <c r="L226" s="1">
        <v>22.8</v>
      </c>
      <c r="M226" s="1">
        <v>2.5</v>
      </c>
      <c r="N226" s="1">
        <v>21.7</v>
      </c>
      <c r="O226" s="1">
        <v>2.2</v>
      </c>
      <c r="P226" s="1">
        <v>0.6</v>
      </c>
      <c r="Q226" s="1">
        <v>49.1</v>
      </c>
      <c r="R226" s="1">
        <v>51.2</v>
      </c>
      <c r="S226" s="1">
        <v>28.8</v>
      </c>
      <c r="AA226" s="1" t="s">
        <v>1409</v>
      </c>
      <c r="AB226" s="1" t="s">
        <v>49</v>
      </c>
      <c r="AC226" s="1" t="s">
        <v>1502</v>
      </c>
      <c r="AD226" s="1" t="s">
        <v>586</v>
      </c>
      <c r="AE226" s="1">
        <v>2020.0</v>
      </c>
      <c r="AF226" s="1" t="s">
        <v>917</v>
      </c>
    </row>
    <row r="227">
      <c r="A227" s="1" t="s">
        <v>1503</v>
      </c>
      <c r="B227" s="1" t="s">
        <v>1504</v>
      </c>
      <c r="C227" s="1" t="s">
        <v>632</v>
      </c>
      <c r="D227" s="1" t="s">
        <v>1505</v>
      </c>
      <c r="E227" s="1" t="s">
        <v>632</v>
      </c>
      <c r="F227" s="1" t="s">
        <v>45</v>
      </c>
      <c r="G227" s="1">
        <v>42.7</v>
      </c>
      <c r="H227" s="1">
        <v>55.0</v>
      </c>
      <c r="I227" s="1">
        <v>37.2</v>
      </c>
      <c r="J227" s="1">
        <v>57.1</v>
      </c>
      <c r="K227" s="1">
        <v>57.1</v>
      </c>
      <c r="L227" s="1">
        <v>26.2</v>
      </c>
      <c r="M227" s="1">
        <v>4.4</v>
      </c>
      <c r="N227" s="1">
        <v>9.6</v>
      </c>
      <c r="O227" s="1">
        <v>3.9</v>
      </c>
      <c r="P227" s="1">
        <v>0.9</v>
      </c>
      <c r="Q227" s="1">
        <v>31.0</v>
      </c>
      <c r="R227" s="1">
        <v>35.3</v>
      </c>
      <c r="S227" s="1">
        <v>41.2</v>
      </c>
      <c r="AA227" s="1" t="s">
        <v>1409</v>
      </c>
      <c r="AB227" s="1" t="s">
        <v>49</v>
      </c>
      <c r="AC227" s="1" t="s">
        <v>1507</v>
      </c>
      <c r="AD227" s="1" t="s">
        <v>1508</v>
      </c>
      <c r="AE227" s="1" t="s">
        <v>1509</v>
      </c>
      <c r="AF227" s="1" t="s">
        <v>1510</v>
      </c>
    </row>
    <row r="228">
      <c r="A228" s="1" t="s">
        <v>1511</v>
      </c>
      <c r="B228" s="1" t="s">
        <v>1512</v>
      </c>
      <c r="C228" s="1" t="s">
        <v>632</v>
      </c>
      <c r="D228" s="1" t="s">
        <v>1513</v>
      </c>
      <c r="E228" s="1" t="s">
        <v>632</v>
      </c>
      <c r="F228" s="1" t="s">
        <v>45</v>
      </c>
      <c r="G228" s="1">
        <v>39.5</v>
      </c>
      <c r="H228" s="1">
        <v>58.0</v>
      </c>
      <c r="I228" s="1">
        <v>32.1</v>
      </c>
      <c r="J228" s="1">
        <v>59.6</v>
      </c>
      <c r="K228" s="1">
        <v>78.5</v>
      </c>
      <c r="L228" s="1">
        <v>11.8</v>
      </c>
      <c r="M228" s="1">
        <v>2.5</v>
      </c>
      <c r="N228" s="1">
        <v>4.5</v>
      </c>
      <c r="O228" s="1">
        <v>2.7</v>
      </c>
      <c r="P228" s="1">
        <v>0.3</v>
      </c>
      <c r="Q228" s="1">
        <v>43.7</v>
      </c>
      <c r="R228" s="1">
        <v>46.1</v>
      </c>
      <c r="S228" s="1">
        <v>45.4</v>
      </c>
      <c r="AA228" s="1" t="s">
        <v>1409</v>
      </c>
      <c r="AB228" s="1" t="s">
        <v>49</v>
      </c>
      <c r="AC228" s="1" t="s">
        <v>1514</v>
      </c>
      <c r="AD228" s="1" t="s">
        <v>1515</v>
      </c>
      <c r="AE228" s="1">
        <v>2014.0</v>
      </c>
      <c r="AF228" s="1" t="s">
        <v>75</v>
      </c>
    </row>
    <row r="229">
      <c r="A229" s="1" t="s">
        <v>1516</v>
      </c>
      <c r="B229" s="1" t="s">
        <v>1517</v>
      </c>
      <c r="C229" s="1" t="s">
        <v>632</v>
      </c>
      <c r="D229" s="1" t="s">
        <v>1518</v>
      </c>
      <c r="E229" s="1" t="s">
        <v>632</v>
      </c>
      <c r="F229" s="1" t="s">
        <v>45</v>
      </c>
      <c r="G229" s="1">
        <v>43.1</v>
      </c>
      <c r="H229" s="1">
        <v>53.2</v>
      </c>
      <c r="I229" s="1">
        <v>34.1</v>
      </c>
      <c r="J229" s="1">
        <v>55.9</v>
      </c>
      <c r="K229" s="1">
        <v>69.1</v>
      </c>
      <c r="L229" s="1">
        <v>15.5</v>
      </c>
      <c r="M229" s="1">
        <v>7.7</v>
      </c>
      <c r="N229" s="1">
        <v>4.9</v>
      </c>
      <c r="O229" s="1">
        <v>3.5</v>
      </c>
      <c r="P229" s="1">
        <v>0.8</v>
      </c>
      <c r="Q229" s="1">
        <v>38.9</v>
      </c>
      <c r="R229" s="1">
        <v>43.3</v>
      </c>
      <c r="S229" s="1">
        <v>41.9</v>
      </c>
      <c r="AA229" s="1" t="s">
        <v>1409</v>
      </c>
      <c r="AB229" s="1" t="s">
        <v>49</v>
      </c>
      <c r="AC229" s="1" t="s">
        <v>1481</v>
      </c>
      <c r="AD229" s="1" t="s">
        <v>1520</v>
      </c>
      <c r="AE229" s="1">
        <v>2006.0</v>
      </c>
      <c r="AF229" s="1" t="s">
        <v>75</v>
      </c>
    </row>
    <row r="230">
      <c r="A230" s="1" t="s">
        <v>1521</v>
      </c>
      <c r="B230" s="1" t="s">
        <v>1522</v>
      </c>
      <c r="C230" s="1" t="s">
        <v>632</v>
      </c>
      <c r="D230" s="1" t="s">
        <v>1523</v>
      </c>
      <c r="E230" s="1" t="s">
        <v>632</v>
      </c>
      <c r="F230" s="1" t="s">
        <v>45</v>
      </c>
      <c r="G230" s="1">
        <v>33.0</v>
      </c>
      <c r="H230" s="1">
        <v>65.3</v>
      </c>
      <c r="I230" s="1">
        <v>28.3</v>
      </c>
      <c r="J230" s="1">
        <v>66.2</v>
      </c>
      <c r="K230" s="1">
        <v>72.2</v>
      </c>
      <c r="L230" s="1">
        <v>6.7</v>
      </c>
      <c r="M230" s="1">
        <v>13.5</v>
      </c>
      <c r="N230" s="1">
        <v>4.2</v>
      </c>
      <c r="O230" s="1">
        <v>3.2</v>
      </c>
      <c r="P230" s="1">
        <v>0.4</v>
      </c>
      <c r="Q230" s="1">
        <v>29.0</v>
      </c>
      <c r="R230" s="1">
        <v>31.4</v>
      </c>
      <c r="S230" s="1">
        <v>52.1</v>
      </c>
      <c r="AA230" s="1" t="s">
        <v>1409</v>
      </c>
      <c r="AB230" s="1" t="s">
        <v>49</v>
      </c>
      <c r="AC230" s="1" t="s">
        <v>1188</v>
      </c>
      <c r="AD230" s="1" t="s">
        <v>1524</v>
      </c>
      <c r="AE230" s="1">
        <v>2016.0</v>
      </c>
      <c r="AF230" s="1" t="s">
        <v>75</v>
      </c>
    </row>
    <row r="231">
      <c r="A231" s="1" t="s">
        <v>1525</v>
      </c>
      <c r="B231" s="1" t="s">
        <v>1526</v>
      </c>
      <c r="C231" s="1" t="s">
        <v>1301</v>
      </c>
      <c r="D231" s="1" t="s">
        <v>1528</v>
      </c>
      <c r="E231" s="1" t="s">
        <v>632</v>
      </c>
      <c r="F231" s="1" t="s">
        <v>45</v>
      </c>
      <c r="G231" s="1">
        <v>44.0</v>
      </c>
      <c r="H231" s="1">
        <v>55.0</v>
      </c>
      <c r="I231" s="1">
        <v>41.9</v>
      </c>
      <c r="J231" s="1">
        <v>53.8</v>
      </c>
      <c r="K231" s="1">
        <v>65.5</v>
      </c>
      <c r="L231" s="1">
        <v>6.4</v>
      </c>
      <c r="M231" s="1">
        <v>23.1</v>
      </c>
      <c r="N231" s="1">
        <v>2.8</v>
      </c>
      <c r="O231" s="1">
        <v>2.3</v>
      </c>
      <c r="P231" s="1">
        <v>0.2</v>
      </c>
      <c r="Q231" s="1">
        <v>28.2</v>
      </c>
      <c r="R231" s="1">
        <v>30.7</v>
      </c>
      <c r="S231" s="1">
        <v>47.4</v>
      </c>
      <c r="AA231" s="1" t="s">
        <v>1409</v>
      </c>
      <c r="AB231" s="1" t="s">
        <v>49</v>
      </c>
      <c r="AC231" s="1" t="s">
        <v>731</v>
      </c>
      <c r="AD231" s="1" t="s">
        <v>1532</v>
      </c>
      <c r="AE231" s="1">
        <v>2016.0</v>
      </c>
      <c r="AF231" s="1" t="s">
        <v>75</v>
      </c>
    </row>
    <row r="232">
      <c r="A232" s="1" t="s">
        <v>1533</v>
      </c>
      <c r="B232" s="1" t="s">
        <v>1534</v>
      </c>
      <c r="C232" s="1" t="s">
        <v>632</v>
      </c>
      <c r="D232" s="1" t="s">
        <v>1535</v>
      </c>
      <c r="E232" s="1" t="s">
        <v>632</v>
      </c>
      <c r="F232" s="1" t="s">
        <v>45</v>
      </c>
      <c r="G232" s="1">
        <v>42.4</v>
      </c>
      <c r="H232" s="1">
        <v>56.5</v>
      </c>
      <c r="I232" s="1">
        <v>40.6</v>
      </c>
      <c r="J232" s="1">
        <v>55.3</v>
      </c>
      <c r="K232" s="1">
        <v>67.7</v>
      </c>
      <c r="L232" s="1">
        <v>10.6</v>
      </c>
      <c r="M232" s="1">
        <v>15.9</v>
      </c>
      <c r="N232" s="1">
        <v>3.9</v>
      </c>
      <c r="O232" s="1">
        <v>1.9</v>
      </c>
      <c r="P232" s="1">
        <v>0.2</v>
      </c>
      <c r="Q232" s="1">
        <v>25.9</v>
      </c>
      <c r="R232" s="1">
        <v>26.9</v>
      </c>
      <c r="S232" s="1">
        <v>52.5</v>
      </c>
      <c r="AA232" s="1" t="s">
        <v>1409</v>
      </c>
      <c r="AB232" s="1" t="s">
        <v>49</v>
      </c>
      <c r="AC232" s="1" t="s">
        <v>1536</v>
      </c>
      <c r="AD232" s="1" t="s">
        <v>1537</v>
      </c>
      <c r="AE232" s="1">
        <v>2020.0</v>
      </c>
      <c r="AF232" s="1" t="s">
        <v>75</v>
      </c>
    </row>
    <row r="233">
      <c r="A233" s="1" t="s">
        <v>1538</v>
      </c>
      <c r="B233" s="1" t="s">
        <v>1539</v>
      </c>
      <c r="C233" s="1" t="s">
        <v>1540</v>
      </c>
      <c r="D233" s="1" t="s">
        <v>1541</v>
      </c>
      <c r="E233" s="1" t="s">
        <v>632</v>
      </c>
      <c r="F233" s="1" t="s">
        <v>397</v>
      </c>
      <c r="G233" s="1">
        <v>46.0</v>
      </c>
      <c r="H233" s="1">
        <v>52.7</v>
      </c>
      <c r="I233" s="1">
        <v>42.9</v>
      </c>
      <c r="J233" s="1">
        <v>53.3</v>
      </c>
      <c r="K233" s="1">
        <v>55.3</v>
      </c>
      <c r="L233" s="1">
        <v>7.8</v>
      </c>
      <c r="M233" s="1">
        <v>31.7</v>
      </c>
      <c r="N233" s="1">
        <v>3.6</v>
      </c>
      <c r="O233" s="1">
        <v>2.2</v>
      </c>
      <c r="P233" s="1">
        <v>0.3</v>
      </c>
      <c r="Q233" s="1">
        <v>23.6</v>
      </c>
      <c r="R233" s="1">
        <v>26.1</v>
      </c>
      <c r="S233" s="1">
        <v>43.9</v>
      </c>
      <c r="AA233" s="1" t="s">
        <v>1409</v>
      </c>
      <c r="AB233" s="1" t="s">
        <v>159</v>
      </c>
      <c r="AC233" s="1" t="s">
        <v>1542</v>
      </c>
      <c r="AD233" s="1" t="s">
        <v>1543</v>
      </c>
      <c r="AF233" s="1" t="s">
        <v>75</v>
      </c>
    </row>
    <row r="234">
      <c r="A234" s="1" t="s">
        <v>1544</v>
      </c>
      <c r="B234" s="1" t="s">
        <v>1545</v>
      </c>
      <c r="C234" s="1" t="s">
        <v>632</v>
      </c>
      <c r="D234" s="1" t="s">
        <v>1547</v>
      </c>
      <c r="E234" s="1" t="s">
        <v>632</v>
      </c>
      <c r="F234" s="1" t="s">
        <v>45</v>
      </c>
      <c r="G234" s="1">
        <v>41.5</v>
      </c>
      <c r="H234" s="1">
        <v>57.3</v>
      </c>
      <c r="I234" s="1">
        <v>36.6</v>
      </c>
      <c r="J234" s="1">
        <v>58.5</v>
      </c>
      <c r="K234" s="1">
        <v>67.5</v>
      </c>
      <c r="L234" s="1">
        <v>10.9</v>
      </c>
      <c r="M234" s="1">
        <v>12.8</v>
      </c>
      <c r="N234" s="1">
        <v>7.0</v>
      </c>
      <c r="O234" s="1">
        <v>1.8</v>
      </c>
      <c r="P234" s="1">
        <v>0.3</v>
      </c>
      <c r="Q234" s="1">
        <v>41.6</v>
      </c>
      <c r="R234" s="1">
        <v>43.4</v>
      </c>
      <c r="S234" s="1">
        <v>41.6</v>
      </c>
      <c r="AA234" s="1" t="s">
        <v>1409</v>
      </c>
      <c r="AB234" s="1" t="s">
        <v>49</v>
      </c>
      <c r="AC234" s="1" t="s">
        <v>120</v>
      </c>
      <c r="AD234" s="1" t="s">
        <v>1548</v>
      </c>
      <c r="AE234" s="1">
        <v>2016.0</v>
      </c>
      <c r="AF234" s="1" t="s">
        <v>75</v>
      </c>
    </row>
    <row r="235">
      <c r="A235" s="1" t="s">
        <v>1549</v>
      </c>
      <c r="B235" s="1" t="s">
        <v>1550</v>
      </c>
      <c r="C235" s="1" t="s">
        <v>632</v>
      </c>
      <c r="D235" s="1" t="s">
        <v>1551</v>
      </c>
      <c r="E235" s="1" t="s">
        <v>632</v>
      </c>
      <c r="F235" s="1" t="s">
        <v>45</v>
      </c>
      <c r="G235" s="1">
        <v>37.7</v>
      </c>
      <c r="H235" s="1">
        <v>61.4</v>
      </c>
      <c r="I235" s="1">
        <v>36.5</v>
      </c>
      <c r="J235" s="1">
        <v>59.9</v>
      </c>
      <c r="K235" s="1">
        <v>74.8</v>
      </c>
      <c r="L235" s="1">
        <v>9.8</v>
      </c>
      <c r="M235" s="1">
        <v>11.2</v>
      </c>
      <c r="N235" s="1">
        <v>2.1</v>
      </c>
      <c r="O235" s="1">
        <v>2.1</v>
      </c>
      <c r="P235" s="1">
        <v>0.2</v>
      </c>
      <c r="Q235" s="1">
        <v>22.3</v>
      </c>
      <c r="R235" s="1">
        <v>23.3</v>
      </c>
      <c r="S235" s="1">
        <v>60.1</v>
      </c>
      <c r="AA235" s="1" t="s">
        <v>1409</v>
      </c>
      <c r="AB235" s="1" t="s">
        <v>49</v>
      </c>
      <c r="AC235" s="1" t="s">
        <v>95</v>
      </c>
      <c r="AD235" s="1" t="s">
        <v>1552</v>
      </c>
      <c r="AE235" s="1">
        <v>2018.0</v>
      </c>
      <c r="AF235" s="1" t="s">
        <v>75</v>
      </c>
    </row>
    <row r="236">
      <c r="A236" s="1" t="s">
        <v>1553</v>
      </c>
      <c r="B236" s="1" t="s">
        <v>1554</v>
      </c>
      <c r="C236" s="1" t="s">
        <v>43</v>
      </c>
      <c r="D236" s="1" t="s">
        <v>1555</v>
      </c>
      <c r="E236" s="1" t="s">
        <v>632</v>
      </c>
      <c r="F236" s="1" t="s">
        <v>397</v>
      </c>
      <c r="G236" s="1">
        <v>46.7</v>
      </c>
      <c r="H236" s="1">
        <v>52.2</v>
      </c>
      <c r="I236" s="1">
        <v>43.7</v>
      </c>
      <c r="J236" s="1">
        <v>51.4</v>
      </c>
      <c r="K236" s="1">
        <v>64.6</v>
      </c>
      <c r="L236" s="1">
        <v>19.0</v>
      </c>
      <c r="M236" s="1">
        <v>10.5</v>
      </c>
      <c r="N236" s="1">
        <v>4.7</v>
      </c>
      <c r="O236" s="1">
        <v>2.0</v>
      </c>
      <c r="P236" s="1">
        <v>0.2</v>
      </c>
      <c r="Q236" s="1">
        <v>34.0</v>
      </c>
      <c r="R236" s="1">
        <v>35.4</v>
      </c>
      <c r="S236" s="1">
        <v>44.9</v>
      </c>
      <c r="AA236" s="1" t="s">
        <v>1409</v>
      </c>
      <c r="AB236" s="1" t="s">
        <v>159</v>
      </c>
      <c r="AC236" s="1" t="s">
        <v>1462</v>
      </c>
      <c r="AD236" s="1" t="s">
        <v>1556</v>
      </c>
      <c r="AF236" s="1" t="s">
        <v>75</v>
      </c>
    </row>
    <row r="237">
      <c r="A237" s="1" t="s">
        <v>1557</v>
      </c>
      <c r="B237" s="1" t="s">
        <v>1558</v>
      </c>
      <c r="C237" s="1" t="s">
        <v>632</v>
      </c>
      <c r="D237" s="1" t="s">
        <v>1559</v>
      </c>
      <c r="E237" s="1" t="s">
        <v>632</v>
      </c>
      <c r="F237" s="1" t="s">
        <v>45</v>
      </c>
      <c r="G237" s="1">
        <v>40.6</v>
      </c>
      <c r="H237" s="1">
        <v>58.3</v>
      </c>
      <c r="I237" s="1">
        <v>37.3</v>
      </c>
      <c r="J237" s="1">
        <v>57.9</v>
      </c>
      <c r="K237" s="1">
        <v>74.9</v>
      </c>
      <c r="L237" s="1">
        <v>10.1</v>
      </c>
      <c r="M237" s="1">
        <v>9.7</v>
      </c>
      <c r="N237" s="1">
        <v>3.2</v>
      </c>
      <c r="O237" s="1">
        <v>2.0</v>
      </c>
      <c r="P237" s="1">
        <v>0.2</v>
      </c>
      <c r="Q237" s="1">
        <v>30.8</v>
      </c>
      <c r="R237" s="1">
        <v>32.2</v>
      </c>
      <c r="S237" s="1">
        <v>53.6</v>
      </c>
      <c r="AA237" s="1" t="s">
        <v>1409</v>
      </c>
      <c r="AB237" s="1" t="s">
        <v>49</v>
      </c>
      <c r="AC237" s="1" t="s">
        <v>347</v>
      </c>
      <c r="AD237" s="1" t="s">
        <v>1560</v>
      </c>
      <c r="AE237" s="1">
        <v>2008.0</v>
      </c>
      <c r="AF237" s="1" t="s">
        <v>75</v>
      </c>
    </row>
    <row r="238">
      <c r="A238" s="1" t="s">
        <v>1561</v>
      </c>
      <c r="B238" s="1" t="s">
        <v>1562</v>
      </c>
      <c r="C238" s="1" t="s">
        <v>632</v>
      </c>
      <c r="D238" s="1" t="s">
        <v>1563</v>
      </c>
      <c r="E238" s="1" t="s">
        <v>632</v>
      </c>
      <c r="F238" s="1" t="s">
        <v>45</v>
      </c>
      <c r="G238" s="1">
        <v>44.1</v>
      </c>
      <c r="H238" s="1">
        <v>55.0</v>
      </c>
      <c r="I238" s="1">
        <v>40.7</v>
      </c>
      <c r="J238" s="1">
        <v>55.7</v>
      </c>
      <c r="K238" s="1">
        <v>63.3</v>
      </c>
      <c r="L238" s="1">
        <v>17.1</v>
      </c>
      <c r="M238" s="1">
        <v>12.8</v>
      </c>
      <c r="N238" s="1">
        <v>4.6</v>
      </c>
      <c r="O238" s="1">
        <v>1.8</v>
      </c>
      <c r="P238" s="1">
        <v>0.2</v>
      </c>
      <c r="Q238" s="1">
        <v>31.9</v>
      </c>
      <c r="R238" s="1">
        <v>33.3</v>
      </c>
      <c r="S238" s="1">
        <v>46.2</v>
      </c>
      <c r="AA238" s="1" t="s">
        <v>1409</v>
      </c>
      <c r="AB238" s="1" t="s">
        <v>49</v>
      </c>
      <c r="AC238" s="1" t="s">
        <v>1564</v>
      </c>
      <c r="AD238" s="1" t="s">
        <v>1565</v>
      </c>
      <c r="AE238" s="1">
        <v>2010.0</v>
      </c>
      <c r="AF238" s="1" t="s">
        <v>75</v>
      </c>
    </row>
    <row r="239">
      <c r="A239" s="1" t="s">
        <v>1566</v>
      </c>
      <c r="B239" s="1" t="s">
        <v>1567</v>
      </c>
      <c r="C239" s="1" t="s">
        <v>632</v>
      </c>
      <c r="D239" s="1" t="s">
        <v>1568</v>
      </c>
      <c r="E239" s="1" t="s">
        <v>632</v>
      </c>
      <c r="F239" s="1" t="s">
        <v>45</v>
      </c>
      <c r="G239" s="1">
        <v>35.1</v>
      </c>
      <c r="H239" s="1">
        <v>63.9</v>
      </c>
      <c r="I239" s="1">
        <v>33.7</v>
      </c>
      <c r="J239" s="1">
        <v>62.0</v>
      </c>
      <c r="K239" s="1">
        <v>78.3</v>
      </c>
      <c r="L239" s="1">
        <v>11.7</v>
      </c>
      <c r="M239" s="1">
        <v>5.3</v>
      </c>
      <c r="N239" s="1">
        <v>2.5</v>
      </c>
      <c r="O239" s="1">
        <v>2.1</v>
      </c>
      <c r="P239" s="1">
        <v>0.2</v>
      </c>
      <c r="Q239" s="1">
        <v>21.4</v>
      </c>
      <c r="R239" s="1">
        <v>20.8</v>
      </c>
      <c r="S239" s="1">
        <v>65.3</v>
      </c>
      <c r="AA239" s="1" t="s">
        <v>1409</v>
      </c>
      <c r="AB239" s="1" t="s">
        <v>49</v>
      </c>
      <c r="AC239" s="1" t="s">
        <v>1570</v>
      </c>
      <c r="AD239" s="1" t="s">
        <v>1571</v>
      </c>
      <c r="AE239" s="1">
        <v>2006.0</v>
      </c>
      <c r="AF239" s="1" t="s">
        <v>75</v>
      </c>
    </row>
    <row r="240">
      <c r="A240" s="1" t="s">
        <v>1572</v>
      </c>
      <c r="B240" s="1" t="s">
        <v>1573</v>
      </c>
      <c r="C240" s="1" t="s">
        <v>43</v>
      </c>
      <c r="D240" s="1" t="s">
        <v>1574</v>
      </c>
      <c r="E240" s="1" t="s">
        <v>632</v>
      </c>
      <c r="F240" s="1" t="s">
        <v>397</v>
      </c>
      <c r="G240" s="1">
        <v>46.1</v>
      </c>
      <c r="H240" s="1">
        <v>52.9</v>
      </c>
      <c r="I240" s="1">
        <v>43.7</v>
      </c>
      <c r="J240" s="1">
        <v>51.5</v>
      </c>
      <c r="K240" s="1">
        <v>77.2</v>
      </c>
      <c r="L240" s="1">
        <v>9.6</v>
      </c>
      <c r="M240" s="1">
        <v>7.1</v>
      </c>
      <c r="N240" s="1">
        <v>4.1</v>
      </c>
      <c r="O240" s="1">
        <v>1.8</v>
      </c>
      <c r="P240" s="1">
        <v>0.2</v>
      </c>
      <c r="Q240" s="1">
        <v>31.1</v>
      </c>
      <c r="R240" s="1">
        <v>32.2</v>
      </c>
      <c r="S240" s="1">
        <v>55.5</v>
      </c>
      <c r="AA240" s="1" t="s">
        <v>1409</v>
      </c>
      <c r="AB240" s="1" t="s">
        <v>482</v>
      </c>
      <c r="AC240" s="1" t="s">
        <v>1575</v>
      </c>
      <c r="AD240" s="1" t="s">
        <v>1576</v>
      </c>
      <c r="AF240" s="1" t="s">
        <v>1577</v>
      </c>
    </row>
    <row r="241">
      <c r="A241" s="1" t="s">
        <v>1578</v>
      </c>
      <c r="B241" s="1" t="s">
        <v>1579</v>
      </c>
      <c r="C241" s="1" t="s">
        <v>395</v>
      </c>
      <c r="D241" s="1" t="s">
        <v>1580</v>
      </c>
      <c r="E241" s="1" t="s">
        <v>632</v>
      </c>
      <c r="F241" s="1" t="s">
        <v>397</v>
      </c>
      <c r="G241" s="1">
        <v>47.9</v>
      </c>
      <c r="H241" s="1">
        <v>51.0</v>
      </c>
      <c r="I241" s="1">
        <v>45.7</v>
      </c>
      <c r="J241" s="1">
        <v>49.6</v>
      </c>
      <c r="K241" s="1">
        <v>54.9</v>
      </c>
      <c r="L241" s="1">
        <v>22.7</v>
      </c>
      <c r="M241" s="1">
        <v>15.4</v>
      </c>
      <c r="N241" s="1">
        <v>6.0</v>
      </c>
      <c r="O241" s="1">
        <v>2.1</v>
      </c>
      <c r="P241" s="1">
        <v>0.2</v>
      </c>
      <c r="Q241" s="1">
        <v>30.6</v>
      </c>
      <c r="R241" s="1">
        <v>31.4</v>
      </c>
      <c r="S241" s="1">
        <v>42.5</v>
      </c>
      <c r="AA241" s="1" t="s">
        <v>1409</v>
      </c>
      <c r="AB241" s="1" t="s">
        <v>159</v>
      </c>
      <c r="AC241" s="1" t="s">
        <v>1581</v>
      </c>
      <c r="AD241" s="1" t="s">
        <v>144</v>
      </c>
      <c r="AF241" s="1" t="s">
        <v>75</v>
      </c>
    </row>
    <row r="242">
      <c r="A242" s="1" t="s">
        <v>1582</v>
      </c>
      <c r="B242" s="1" t="s">
        <v>1583</v>
      </c>
      <c r="C242" s="1" t="s">
        <v>632</v>
      </c>
      <c r="D242" s="1" t="s">
        <v>1584</v>
      </c>
      <c r="E242" s="1" t="s">
        <v>632</v>
      </c>
      <c r="F242" s="1" t="s">
        <v>45</v>
      </c>
      <c r="G242" s="1">
        <v>45.1</v>
      </c>
      <c r="H242" s="1">
        <v>54.0</v>
      </c>
      <c r="I242" s="1">
        <v>41.5</v>
      </c>
      <c r="J242" s="1">
        <v>54.0</v>
      </c>
      <c r="K242" s="1">
        <v>64.5</v>
      </c>
      <c r="L242" s="1">
        <v>18.7</v>
      </c>
      <c r="M242" s="1">
        <v>12.0</v>
      </c>
      <c r="N242" s="1">
        <v>3.6</v>
      </c>
      <c r="O242" s="1">
        <v>1.9</v>
      </c>
      <c r="P242" s="1">
        <v>0.2</v>
      </c>
      <c r="Q242" s="1">
        <v>31.4</v>
      </c>
      <c r="R242" s="1">
        <v>33.9</v>
      </c>
      <c r="S242" s="1">
        <v>47.1</v>
      </c>
      <c r="AA242" s="1" t="s">
        <v>1409</v>
      </c>
      <c r="AB242" s="1" t="s">
        <v>49</v>
      </c>
      <c r="AC242" s="1" t="s">
        <v>1586</v>
      </c>
      <c r="AD242" s="1" t="s">
        <v>1587</v>
      </c>
      <c r="AE242" s="1">
        <v>2006.0</v>
      </c>
      <c r="AF242" s="1" t="s">
        <v>75</v>
      </c>
    </row>
    <row r="243">
      <c r="A243" s="1" t="s">
        <v>1588</v>
      </c>
      <c r="B243" s="1" t="s">
        <v>1589</v>
      </c>
      <c r="C243" s="1" t="s">
        <v>632</v>
      </c>
      <c r="D243" s="1" t="s">
        <v>1590</v>
      </c>
      <c r="E243" s="1" t="s">
        <v>632</v>
      </c>
      <c r="F243" s="1" t="s">
        <v>45</v>
      </c>
      <c r="G243" s="1">
        <v>41.6</v>
      </c>
      <c r="H243" s="1">
        <v>57.6</v>
      </c>
      <c r="I243" s="1">
        <v>39.9</v>
      </c>
      <c r="J243" s="1">
        <v>56.4</v>
      </c>
      <c r="K243" s="1">
        <v>79.1</v>
      </c>
      <c r="L243" s="1">
        <v>11.5</v>
      </c>
      <c r="M243" s="1">
        <v>5.6</v>
      </c>
      <c r="N243" s="1">
        <v>2.0</v>
      </c>
      <c r="O243" s="1">
        <v>1.5</v>
      </c>
      <c r="P243" s="1">
        <v>0.1</v>
      </c>
      <c r="Q243" s="1">
        <v>29.7</v>
      </c>
      <c r="R243" s="1">
        <v>31.9</v>
      </c>
      <c r="S243" s="1">
        <v>57.1</v>
      </c>
      <c r="AA243" s="1" t="s">
        <v>1409</v>
      </c>
      <c r="AB243" s="1" t="s">
        <v>49</v>
      </c>
      <c r="AC243" s="1" t="s">
        <v>73</v>
      </c>
      <c r="AD243" s="1" t="s">
        <v>1591</v>
      </c>
      <c r="AE243" s="1">
        <v>2018.0</v>
      </c>
      <c r="AF243" s="1" t="s">
        <v>75</v>
      </c>
    </row>
    <row r="244">
      <c r="A244" s="1" t="s">
        <v>1592</v>
      </c>
      <c r="B244" s="1" t="s">
        <v>1593</v>
      </c>
      <c r="C244" s="1" t="s">
        <v>632</v>
      </c>
      <c r="D244" s="1" t="s">
        <v>1594</v>
      </c>
      <c r="E244" s="1" t="s">
        <v>632</v>
      </c>
      <c r="F244" s="1" t="s">
        <v>45</v>
      </c>
      <c r="G244" s="1">
        <v>38.1</v>
      </c>
      <c r="H244" s="1">
        <v>60.9</v>
      </c>
      <c r="I244" s="1">
        <v>37.4</v>
      </c>
      <c r="J244" s="1">
        <v>58.7</v>
      </c>
      <c r="K244" s="1">
        <v>59.8</v>
      </c>
      <c r="L244" s="1">
        <v>23.7</v>
      </c>
      <c r="M244" s="1">
        <v>13.2</v>
      </c>
      <c r="N244" s="1">
        <v>2.0</v>
      </c>
      <c r="O244" s="1">
        <v>2.1</v>
      </c>
      <c r="P244" s="1">
        <v>0.2</v>
      </c>
      <c r="Q244" s="1">
        <v>17.8</v>
      </c>
      <c r="R244" s="1">
        <v>20.1</v>
      </c>
      <c r="S244" s="1">
        <v>53.1</v>
      </c>
      <c r="AA244" s="1" t="s">
        <v>1409</v>
      </c>
      <c r="AB244" s="1" t="s">
        <v>49</v>
      </c>
      <c r="AC244" s="1" t="s">
        <v>348</v>
      </c>
      <c r="AD244" s="1" t="s">
        <v>1595</v>
      </c>
      <c r="AE244" s="1">
        <v>2020.0</v>
      </c>
      <c r="AF244" s="1" t="s">
        <v>75</v>
      </c>
    </row>
    <row r="245">
      <c r="A245" s="1" t="s">
        <v>1596</v>
      </c>
      <c r="B245" s="1" t="s">
        <v>1597</v>
      </c>
      <c r="C245" s="1" t="s">
        <v>632</v>
      </c>
      <c r="D245" s="1" t="s">
        <v>1598</v>
      </c>
      <c r="E245" s="1" t="s">
        <v>632</v>
      </c>
      <c r="F245" s="1" t="s">
        <v>45</v>
      </c>
      <c r="G245" s="1">
        <v>39.1</v>
      </c>
      <c r="H245" s="1">
        <v>60.2</v>
      </c>
      <c r="I245" s="1">
        <v>36.8</v>
      </c>
      <c r="J245" s="1">
        <v>60.0</v>
      </c>
      <c r="K245" s="1">
        <v>74.1</v>
      </c>
      <c r="L245" s="1">
        <v>16.2</v>
      </c>
      <c r="M245" s="1">
        <v>6.1</v>
      </c>
      <c r="N245" s="1">
        <v>2.2</v>
      </c>
      <c r="O245" s="1">
        <v>1.3</v>
      </c>
      <c r="P245" s="1">
        <v>0.1</v>
      </c>
      <c r="Q245" s="1">
        <v>34.5</v>
      </c>
      <c r="R245" s="1">
        <v>38.6</v>
      </c>
      <c r="S245" s="1">
        <v>49.5</v>
      </c>
      <c r="AA245" s="1" t="s">
        <v>1409</v>
      </c>
      <c r="AB245" s="1" t="s">
        <v>49</v>
      </c>
      <c r="AC245" s="1" t="s">
        <v>1599</v>
      </c>
      <c r="AD245" s="1" t="s">
        <v>1600</v>
      </c>
      <c r="AE245" s="1">
        <v>2020.0</v>
      </c>
      <c r="AF245" s="1" t="s">
        <v>28</v>
      </c>
    </row>
    <row r="246">
      <c r="A246" s="1" t="s">
        <v>1602</v>
      </c>
      <c r="B246" s="1" t="s">
        <v>1603</v>
      </c>
      <c r="C246" s="1" t="s">
        <v>632</v>
      </c>
      <c r="D246" s="1" t="s">
        <v>1604</v>
      </c>
      <c r="E246" s="1" t="s">
        <v>632</v>
      </c>
      <c r="F246" s="1" t="s">
        <v>45</v>
      </c>
      <c r="G246" s="1">
        <v>45.0</v>
      </c>
      <c r="H246" s="1">
        <v>54.4</v>
      </c>
      <c r="I246" s="1">
        <v>43.2</v>
      </c>
      <c r="J246" s="1">
        <v>53.4</v>
      </c>
      <c r="K246" s="1">
        <v>68.1</v>
      </c>
      <c r="L246" s="1">
        <v>15.1</v>
      </c>
      <c r="M246" s="1">
        <v>12.5</v>
      </c>
      <c r="N246" s="1">
        <v>2.8</v>
      </c>
      <c r="O246" s="1">
        <v>1.6</v>
      </c>
      <c r="P246" s="1">
        <v>0.2</v>
      </c>
      <c r="Q246" s="1">
        <v>32.7</v>
      </c>
      <c r="R246" s="1">
        <v>36.1</v>
      </c>
      <c r="S246" s="1">
        <v>47.7</v>
      </c>
      <c r="AA246" s="1" t="s">
        <v>1409</v>
      </c>
      <c r="AB246" s="1" t="s">
        <v>49</v>
      </c>
      <c r="AC246" s="1" t="s">
        <v>1028</v>
      </c>
      <c r="AD246" s="1" t="s">
        <v>1605</v>
      </c>
      <c r="AE246" s="1">
        <v>2016.0</v>
      </c>
      <c r="AF246" s="1" t="s">
        <v>83</v>
      </c>
    </row>
    <row r="247">
      <c r="A247" s="1" t="s">
        <v>1606</v>
      </c>
      <c r="B247" s="1" t="s">
        <v>1607</v>
      </c>
      <c r="C247" s="1" t="s">
        <v>632</v>
      </c>
      <c r="D247" s="1" t="s">
        <v>1608</v>
      </c>
      <c r="E247" s="1" t="s">
        <v>632</v>
      </c>
      <c r="F247" s="1" t="s">
        <v>45</v>
      </c>
      <c r="G247" s="1">
        <v>40.6</v>
      </c>
      <c r="H247" s="1">
        <v>58.9</v>
      </c>
      <c r="I247" s="1">
        <v>50.3</v>
      </c>
      <c r="J247" s="1">
        <v>46.8</v>
      </c>
      <c r="K247" s="1">
        <v>19.7</v>
      </c>
      <c r="L247" s="1">
        <v>73.2</v>
      </c>
      <c r="M247" s="1">
        <v>6.9</v>
      </c>
      <c r="N247" s="1">
        <v>1.5</v>
      </c>
      <c r="O247" s="1">
        <v>0.9</v>
      </c>
      <c r="P247" s="1">
        <v>0.1</v>
      </c>
      <c r="Q247" s="1">
        <v>25.3</v>
      </c>
      <c r="R247" s="1">
        <v>37.8</v>
      </c>
      <c r="S247" s="1">
        <v>15.3</v>
      </c>
      <c r="AA247" s="1" t="s">
        <v>1409</v>
      </c>
      <c r="AB247" s="1" t="s">
        <v>49</v>
      </c>
      <c r="AC247" s="1" t="s">
        <v>1609</v>
      </c>
      <c r="AD247" s="1" t="s">
        <v>1610</v>
      </c>
      <c r="AE247" s="1">
        <v>2002.0</v>
      </c>
      <c r="AF247" s="1" t="s">
        <v>936</v>
      </c>
    </row>
    <row r="248">
      <c r="A248" s="1" t="s">
        <v>1611</v>
      </c>
      <c r="B248" s="1" t="s">
        <v>1612</v>
      </c>
      <c r="C248" s="1" t="s">
        <v>632</v>
      </c>
      <c r="D248" s="1" t="s">
        <v>1613</v>
      </c>
      <c r="E248" s="1" t="s">
        <v>632</v>
      </c>
      <c r="F248" s="1" t="s">
        <v>45</v>
      </c>
      <c r="G248" s="1">
        <v>49.6</v>
      </c>
      <c r="H248" s="1">
        <v>49.9</v>
      </c>
      <c r="I248" s="1">
        <v>56.9</v>
      </c>
      <c r="J248" s="1">
        <v>39.7</v>
      </c>
      <c r="K248" s="1">
        <v>16.9</v>
      </c>
      <c r="L248" s="1">
        <v>74.2</v>
      </c>
      <c r="M248" s="1">
        <v>7.1</v>
      </c>
      <c r="N248" s="1">
        <v>2.6</v>
      </c>
      <c r="O248" s="1">
        <v>0.9</v>
      </c>
      <c r="P248" s="1">
        <v>0.1</v>
      </c>
      <c r="Q248" s="1">
        <v>38.6</v>
      </c>
      <c r="R248" s="1">
        <v>62.7</v>
      </c>
      <c r="S248" s="1">
        <v>7.5</v>
      </c>
      <c r="AA248" s="1" t="s">
        <v>1409</v>
      </c>
      <c r="AB248" s="1" t="s">
        <v>49</v>
      </c>
      <c r="AC248" s="1" t="s">
        <v>1614</v>
      </c>
      <c r="AD248" s="1" t="s">
        <v>1615</v>
      </c>
      <c r="AE248" s="1">
        <v>2020.0</v>
      </c>
      <c r="AF248" s="1" t="s">
        <v>936</v>
      </c>
    </row>
    <row r="249">
      <c r="A249" s="1" t="s">
        <v>1616</v>
      </c>
      <c r="B249" s="1" t="s">
        <v>1617</v>
      </c>
      <c r="C249" s="1" t="s">
        <v>632</v>
      </c>
      <c r="D249" s="1" t="s">
        <v>1618</v>
      </c>
      <c r="E249" s="1" t="s">
        <v>632</v>
      </c>
      <c r="F249" s="1" t="s">
        <v>45</v>
      </c>
      <c r="G249" s="1">
        <v>46.5</v>
      </c>
      <c r="H249" s="1">
        <v>52.9</v>
      </c>
      <c r="I249" s="1">
        <v>56.0</v>
      </c>
      <c r="J249" s="1">
        <v>40.5</v>
      </c>
      <c r="K249" s="1">
        <v>15.2</v>
      </c>
      <c r="L249" s="1">
        <v>73.4</v>
      </c>
      <c r="M249" s="1">
        <v>10.3</v>
      </c>
      <c r="N249" s="1">
        <v>2.2</v>
      </c>
      <c r="O249" s="1">
        <v>1.1</v>
      </c>
      <c r="P249" s="1">
        <v>0.1</v>
      </c>
      <c r="Q249" s="1">
        <v>28.7</v>
      </c>
      <c r="R249" s="1">
        <v>36.6</v>
      </c>
      <c r="S249" s="1">
        <v>12.9</v>
      </c>
      <c r="AA249" s="1" t="s">
        <v>1409</v>
      </c>
      <c r="AB249" s="1" t="s">
        <v>49</v>
      </c>
      <c r="AC249" s="1" t="s">
        <v>1619</v>
      </c>
      <c r="AD249" s="1" t="s">
        <v>1620</v>
      </c>
      <c r="AE249" s="1">
        <v>2020.0</v>
      </c>
      <c r="AF249" s="1" t="s">
        <v>936</v>
      </c>
    </row>
    <row r="250">
      <c r="A250" s="1" t="s">
        <v>1621</v>
      </c>
      <c r="B250" s="1" t="s">
        <v>1623</v>
      </c>
      <c r="C250" s="1" t="s">
        <v>632</v>
      </c>
      <c r="D250" s="1" t="s">
        <v>1624</v>
      </c>
      <c r="E250" s="1" t="s">
        <v>632</v>
      </c>
      <c r="F250" s="1" t="s">
        <v>45</v>
      </c>
      <c r="G250" s="1">
        <v>42.6</v>
      </c>
      <c r="H250" s="1">
        <v>56.0</v>
      </c>
      <c r="I250" s="1">
        <v>40.4</v>
      </c>
      <c r="J250" s="1">
        <v>56.9</v>
      </c>
      <c r="K250" s="1">
        <v>60.4</v>
      </c>
      <c r="L250" s="1">
        <v>6.8</v>
      </c>
      <c r="M250" s="1">
        <v>28.2</v>
      </c>
      <c r="N250" s="1">
        <v>3.0</v>
      </c>
      <c r="O250" s="1">
        <v>2.0</v>
      </c>
      <c r="P250" s="1">
        <v>0.3</v>
      </c>
      <c r="Q250" s="1">
        <v>26.0</v>
      </c>
      <c r="R250" s="1">
        <v>29.7</v>
      </c>
      <c r="S250" s="1">
        <v>44.3</v>
      </c>
      <c r="AA250" s="1" t="s">
        <v>1409</v>
      </c>
      <c r="AB250" s="1" t="s">
        <v>49</v>
      </c>
      <c r="AC250" s="1" t="s">
        <v>1625</v>
      </c>
      <c r="AD250" s="1" t="s">
        <v>679</v>
      </c>
      <c r="AE250" s="1">
        <v>2014.0</v>
      </c>
      <c r="AF250" s="1" t="s">
        <v>75</v>
      </c>
    </row>
    <row r="251">
      <c r="A251" s="1" t="s">
        <v>1626</v>
      </c>
      <c r="B251" s="1" t="s">
        <v>1627</v>
      </c>
      <c r="C251" s="1" t="s">
        <v>632</v>
      </c>
      <c r="D251" s="1" t="s">
        <v>1628</v>
      </c>
      <c r="E251" s="1" t="s">
        <v>632</v>
      </c>
      <c r="F251" s="1" t="s">
        <v>45</v>
      </c>
      <c r="G251" s="1">
        <v>34.4</v>
      </c>
      <c r="H251" s="1">
        <v>64.4</v>
      </c>
      <c r="I251" s="1">
        <v>30.8</v>
      </c>
      <c r="J251" s="1">
        <v>66.3</v>
      </c>
      <c r="K251" s="1">
        <v>66.8</v>
      </c>
      <c r="L251" s="1">
        <v>5.3</v>
      </c>
      <c r="M251" s="1">
        <v>23.3</v>
      </c>
      <c r="N251" s="1">
        <v>2.5</v>
      </c>
      <c r="O251" s="1">
        <v>2.1</v>
      </c>
      <c r="P251" s="1">
        <v>0.1</v>
      </c>
      <c r="Q251" s="1">
        <v>27.4</v>
      </c>
      <c r="R251" s="1">
        <v>28.8</v>
      </c>
      <c r="S251" s="1">
        <v>50.6</v>
      </c>
      <c r="AA251" s="1" t="s">
        <v>1409</v>
      </c>
      <c r="AB251" s="1" t="s">
        <v>49</v>
      </c>
      <c r="AC251" s="1" t="s">
        <v>1629</v>
      </c>
      <c r="AD251" s="1" t="s">
        <v>1630</v>
      </c>
      <c r="AE251" s="1">
        <v>2016.0</v>
      </c>
      <c r="AF251" s="1" t="s">
        <v>75</v>
      </c>
    </row>
    <row r="252">
      <c r="A252" s="1" t="s">
        <v>1631</v>
      </c>
      <c r="B252" s="1" t="s">
        <v>1632</v>
      </c>
      <c r="C252" s="1" t="s">
        <v>43</v>
      </c>
      <c r="D252" s="1" t="s">
        <v>1633</v>
      </c>
      <c r="E252" s="1" t="s">
        <v>632</v>
      </c>
      <c r="F252" s="1" t="s">
        <v>397</v>
      </c>
      <c r="G252" s="1">
        <v>41.8</v>
      </c>
      <c r="H252" s="1">
        <v>56.7</v>
      </c>
      <c r="I252" s="1">
        <v>34.4</v>
      </c>
      <c r="J252" s="1">
        <v>61.0</v>
      </c>
      <c r="K252" s="1">
        <v>66.6</v>
      </c>
      <c r="L252" s="1">
        <v>9.1</v>
      </c>
      <c r="M252" s="1">
        <v>9.9</v>
      </c>
      <c r="N252" s="1">
        <v>12.3</v>
      </c>
      <c r="O252" s="1">
        <v>1.8</v>
      </c>
      <c r="P252" s="1">
        <v>0.1</v>
      </c>
      <c r="Q252" s="1">
        <v>57.3</v>
      </c>
      <c r="R252" s="1">
        <v>57.1</v>
      </c>
      <c r="S252" s="1">
        <v>32.9</v>
      </c>
      <c r="AA252" s="1" t="s">
        <v>1409</v>
      </c>
      <c r="AB252" s="1" t="s">
        <v>159</v>
      </c>
      <c r="AC252" s="1" t="s">
        <v>1636</v>
      </c>
      <c r="AD252" s="1" t="s">
        <v>1638</v>
      </c>
      <c r="AF252" s="1" t="s">
        <v>75</v>
      </c>
    </row>
    <row r="253">
      <c r="A253" s="1" t="s">
        <v>1639</v>
      </c>
      <c r="B253" s="1" t="s">
        <v>1640</v>
      </c>
      <c r="C253" s="1" t="s">
        <v>632</v>
      </c>
      <c r="D253" s="1" t="s">
        <v>1641</v>
      </c>
      <c r="E253" s="1" t="s">
        <v>632</v>
      </c>
      <c r="F253" s="1" t="s">
        <v>45</v>
      </c>
      <c r="G253" s="1">
        <v>35.7</v>
      </c>
      <c r="H253" s="1">
        <v>63.3</v>
      </c>
      <c r="I253" s="1">
        <v>33.6</v>
      </c>
      <c r="J253" s="1">
        <v>64.3</v>
      </c>
      <c r="K253" s="1">
        <v>60.5</v>
      </c>
      <c r="L253" s="1">
        <v>6.1</v>
      </c>
      <c r="M253" s="1">
        <v>30.0</v>
      </c>
      <c r="N253" s="1">
        <v>2.0</v>
      </c>
      <c r="O253" s="1">
        <v>1.6</v>
      </c>
      <c r="P253" s="1">
        <v>0.1</v>
      </c>
      <c r="Q253" s="1">
        <v>21.7</v>
      </c>
      <c r="R253" s="1">
        <v>25.2</v>
      </c>
      <c r="S253" s="1">
        <v>47.4</v>
      </c>
      <c r="AA253" s="1" t="s">
        <v>1409</v>
      </c>
      <c r="AB253" s="1" t="s">
        <v>49</v>
      </c>
      <c r="AC253" s="1" t="s">
        <v>1642</v>
      </c>
      <c r="AD253" s="1" t="s">
        <v>348</v>
      </c>
      <c r="AE253" s="1">
        <v>2010.0</v>
      </c>
      <c r="AF253" s="1" t="s">
        <v>75</v>
      </c>
    </row>
    <row r="254">
      <c r="A254" s="1" t="s">
        <v>1643</v>
      </c>
      <c r="B254" s="1" t="s">
        <v>1644</v>
      </c>
      <c r="C254" s="1" t="s">
        <v>632</v>
      </c>
      <c r="D254" s="1" t="s">
        <v>1645</v>
      </c>
      <c r="E254" s="1" t="s">
        <v>632</v>
      </c>
      <c r="F254" s="1" t="s">
        <v>45</v>
      </c>
      <c r="G254" s="1">
        <v>30.4</v>
      </c>
      <c r="H254" s="1">
        <v>68.3</v>
      </c>
      <c r="I254" s="1">
        <v>25.6</v>
      </c>
      <c r="J254" s="1">
        <v>71.1</v>
      </c>
      <c r="K254" s="1">
        <v>68.3</v>
      </c>
      <c r="L254" s="1">
        <v>12.9</v>
      </c>
      <c r="M254" s="1">
        <v>10.4</v>
      </c>
      <c r="N254" s="1">
        <v>6.5</v>
      </c>
      <c r="O254" s="1">
        <v>2.4</v>
      </c>
      <c r="P254" s="1">
        <v>0.1</v>
      </c>
      <c r="Q254" s="1">
        <v>28.6</v>
      </c>
      <c r="R254" s="1">
        <v>29.8</v>
      </c>
      <c r="S254" s="1">
        <v>54.3</v>
      </c>
      <c r="AA254" s="1" t="s">
        <v>1409</v>
      </c>
      <c r="AB254" s="1" t="s">
        <v>49</v>
      </c>
      <c r="AC254" s="1" t="s">
        <v>1646</v>
      </c>
      <c r="AD254" s="1" t="s">
        <v>1647</v>
      </c>
      <c r="AE254" s="1">
        <v>2020.0</v>
      </c>
      <c r="AF254" s="1" t="s">
        <v>75</v>
      </c>
    </row>
    <row r="255">
      <c r="A255" s="1" t="s">
        <v>1648</v>
      </c>
      <c r="B255" s="1" t="s">
        <v>1649</v>
      </c>
      <c r="C255" s="1" t="s">
        <v>632</v>
      </c>
      <c r="D255" s="1" t="s">
        <v>1650</v>
      </c>
      <c r="E255" s="1" t="s">
        <v>632</v>
      </c>
      <c r="F255" s="1" t="s">
        <v>45</v>
      </c>
      <c r="G255" s="1">
        <v>37.7</v>
      </c>
      <c r="H255" s="1">
        <v>61.1</v>
      </c>
      <c r="I255" s="1">
        <v>34.0</v>
      </c>
      <c r="J255" s="1">
        <v>62.9</v>
      </c>
      <c r="K255" s="1">
        <v>66.2</v>
      </c>
      <c r="L255" s="1">
        <v>6.5</v>
      </c>
      <c r="M255" s="1">
        <v>22.6</v>
      </c>
      <c r="N255" s="1">
        <v>2.8</v>
      </c>
      <c r="O255" s="1">
        <v>2.0</v>
      </c>
      <c r="P255" s="1">
        <v>0.1</v>
      </c>
      <c r="Q255" s="1">
        <v>27.0</v>
      </c>
      <c r="R255" s="1">
        <v>29.6</v>
      </c>
      <c r="S255" s="1">
        <v>49.9</v>
      </c>
      <c r="AA255" s="1" t="s">
        <v>1409</v>
      </c>
      <c r="AB255" s="1" t="s">
        <v>159</v>
      </c>
      <c r="AC255" s="1" t="s">
        <v>95</v>
      </c>
      <c r="AD255" s="1" t="s">
        <v>1651</v>
      </c>
      <c r="AF255" s="1" t="s">
        <v>75</v>
      </c>
    </row>
    <row r="256">
      <c r="A256" s="1" t="s">
        <v>1652</v>
      </c>
      <c r="B256" s="1" t="s">
        <v>1653</v>
      </c>
      <c r="C256" s="1" t="s">
        <v>632</v>
      </c>
      <c r="D256" s="1" t="s">
        <v>1654</v>
      </c>
      <c r="E256" s="1" t="s">
        <v>632</v>
      </c>
      <c r="F256" s="1" t="s">
        <v>45</v>
      </c>
      <c r="G256" s="1">
        <v>41.5</v>
      </c>
      <c r="H256" s="1">
        <v>56.8</v>
      </c>
      <c r="I256" s="1">
        <v>35.5</v>
      </c>
      <c r="J256" s="1">
        <v>60.2</v>
      </c>
      <c r="K256" s="1">
        <v>64.0</v>
      </c>
      <c r="L256" s="1">
        <v>11.2</v>
      </c>
      <c r="M256" s="1">
        <v>17.9</v>
      </c>
      <c r="N256" s="1">
        <v>4.5</v>
      </c>
      <c r="O256" s="1">
        <v>2.3</v>
      </c>
      <c r="P256" s="1">
        <v>0.1</v>
      </c>
      <c r="Q256" s="1">
        <v>40.4</v>
      </c>
      <c r="R256" s="1">
        <v>41.6</v>
      </c>
      <c r="S256" s="1">
        <v>41.5</v>
      </c>
      <c r="AA256" s="1" t="s">
        <v>1409</v>
      </c>
      <c r="AB256" s="1" t="s">
        <v>49</v>
      </c>
      <c r="AC256" s="1" t="s">
        <v>1415</v>
      </c>
      <c r="AD256" s="1" t="s">
        <v>1656</v>
      </c>
      <c r="AE256" s="1">
        <v>2014.0</v>
      </c>
      <c r="AF256" s="1" t="s">
        <v>75</v>
      </c>
    </row>
    <row r="257">
      <c r="A257" s="1" t="s">
        <v>1657</v>
      </c>
      <c r="B257" s="1" t="s">
        <v>1658</v>
      </c>
      <c r="C257" s="1" t="s">
        <v>632</v>
      </c>
      <c r="D257" s="1" t="s">
        <v>1659</v>
      </c>
      <c r="E257" s="1" t="s">
        <v>632</v>
      </c>
      <c r="F257" s="1" t="s">
        <v>45</v>
      </c>
      <c r="G257" s="1">
        <v>44.3</v>
      </c>
      <c r="H257" s="1">
        <v>54.5</v>
      </c>
      <c r="I257" s="1">
        <v>42.2</v>
      </c>
      <c r="J257" s="1">
        <v>55.4</v>
      </c>
      <c r="K257" s="1">
        <v>54.6</v>
      </c>
      <c r="L257" s="1">
        <v>4.9</v>
      </c>
      <c r="M257" s="1">
        <v>36.7</v>
      </c>
      <c r="N257" s="1">
        <v>2.6</v>
      </c>
      <c r="O257" s="1">
        <v>1.7</v>
      </c>
      <c r="P257" s="1">
        <v>0.2</v>
      </c>
      <c r="Q257" s="1">
        <v>22.3</v>
      </c>
      <c r="R257" s="1">
        <v>26.4</v>
      </c>
      <c r="S257" s="1">
        <v>41.9</v>
      </c>
      <c r="AA257" s="1" t="s">
        <v>1409</v>
      </c>
      <c r="AB257" s="1" t="s">
        <v>49</v>
      </c>
      <c r="AC257" s="1" t="s">
        <v>1364</v>
      </c>
      <c r="AD257" s="1" t="s">
        <v>1662</v>
      </c>
      <c r="AE257" s="1">
        <v>2014.0</v>
      </c>
      <c r="AF257" s="1" t="s">
        <v>75</v>
      </c>
    </row>
    <row r="258">
      <c r="A258" s="1" t="s">
        <v>1663</v>
      </c>
      <c r="B258" s="1" t="s">
        <v>1664</v>
      </c>
      <c r="C258" s="1" t="s">
        <v>632</v>
      </c>
      <c r="D258" s="1" t="s">
        <v>1665</v>
      </c>
      <c r="E258" s="1" t="s">
        <v>632</v>
      </c>
      <c r="F258" s="1" t="s">
        <v>45</v>
      </c>
      <c r="G258" s="1">
        <v>30.7</v>
      </c>
      <c r="H258" s="1">
        <v>68.1</v>
      </c>
      <c r="I258" s="1">
        <v>26.9</v>
      </c>
      <c r="J258" s="1">
        <v>70.2</v>
      </c>
      <c r="K258" s="1">
        <v>71.3</v>
      </c>
      <c r="L258" s="1">
        <v>10.6</v>
      </c>
      <c r="M258" s="1">
        <v>14.3</v>
      </c>
      <c r="N258" s="1">
        <v>1.5</v>
      </c>
      <c r="O258" s="1">
        <v>2.8</v>
      </c>
      <c r="P258" s="1">
        <v>0.1</v>
      </c>
      <c r="Q258" s="1">
        <v>20.5</v>
      </c>
      <c r="R258" s="1">
        <v>20.2</v>
      </c>
      <c r="S258" s="1">
        <v>62.4</v>
      </c>
      <c r="AA258" s="1" t="s">
        <v>1409</v>
      </c>
      <c r="AB258" s="1" t="s">
        <v>49</v>
      </c>
      <c r="AC258" s="1" t="s">
        <v>1666</v>
      </c>
      <c r="AD258" s="1" t="s">
        <v>1667</v>
      </c>
      <c r="AE258" s="1">
        <v>2020.0</v>
      </c>
      <c r="AF258" s="1" t="s">
        <v>75</v>
      </c>
    </row>
    <row r="259">
      <c r="A259" s="1" t="s">
        <v>1668</v>
      </c>
      <c r="B259" s="1" t="s">
        <v>1669</v>
      </c>
      <c r="C259" s="1" t="s">
        <v>632</v>
      </c>
      <c r="D259" s="1" t="s">
        <v>1670</v>
      </c>
      <c r="E259" s="1" t="s">
        <v>632</v>
      </c>
      <c r="F259" s="1" t="s">
        <v>45</v>
      </c>
      <c r="G259" s="1">
        <v>29.5</v>
      </c>
      <c r="H259" s="1">
        <v>67.7</v>
      </c>
      <c r="I259" s="1">
        <v>25.0</v>
      </c>
      <c r="J259" s="1">
        <v>64.1</v>
      </c>
      <c r="K259" s="1">
        <v>82.7</v>
      </c>
      <c r="L259" s="1">
        <v>9.9</v>
      </c>
      <c r="M259" s="1">
        <v>0.9</v>
      </c>
      <c r="N259" s="1">
        <v>2.1</v>
      </c>
      <c r="O259" s="1">
        <v>3.6</v>
      </c>
      <c r="P259" s="1">
        <v>0.4</v>
      </c>
      <c r="Q259" s="1">
        <v>27.0</v>
      </c>
      <c r="R259" s="1">
        <v>28.3</v>
      </c>
      <c r="S259" s="1">
        <v>62.9</v>
      </c>
      <c r="AA259" s="1" t="s">
        <v>1409</v>
      </c>
      <c r="AB259" s="1" t="s">
        <v>49</v>
      </c>
      <c r="AC259" s="1" t="s">
        <v>1671</v>
      </c>
      <c r="AD259" s="1" t="s">
        <v>1672</v>
      </c>
      <c r="AE259" s="1">
        <v>2018.0</v>
      </c>
      <c r="AF259" s="1" t="s">
        <v>75</v>
      </c>
    </row>
    <row r="260">
      <c r="A260" s="1" t="s">
        <v>1674</v>
      </c>
      <c r="B260" s="1" t="s">
        <v>1675</v>
      </c>
      <c r="C260" s="1" t="s">
        <v>632</v>
      </c>
      <c r="D260" s="1" t="s">
        <v>1677</v>
      </c>
      <c r="E260" s="1" t="s">
        <v>632</v>
      </c>
      <c r="F260" s="1" t="s">
        <v>45</v>
      </c>
      <c r="G260" s="1">
        <v>36.9</v>
      </c>
      <c r="H260" s="1">
        <v>59.8</v>
      </c>
      <c r="I260" s="1">
        <v>29.9</v>
      </c>
      <c r="J260" s="1">
        <v>54.4</v>
      </c>
      <c r="K260" s="1">
        <v>80.3</v>
      </c>
      <c r="L260" s="1">
        <v>12.2</v>
      </c>
      <c r="M260" s="1">
        <v>1.4</v>
      </c>
      <c r="N260" s="1">
        <v>2.6</v>
      </c>
      <c r="O260" s="1">
        <v>3.0</v>
      </c>
      <c r="P260" s="1">
        <v>0.4</v>
      </c>
      <c r="Q260" s="1">
        <v>30.5</v>
      </c>
      <c r="R260" s="1">
        <v>32.8</v>
      </c>
      <c r="S260" s="1">
        <v>58.1</v>
      </c>
      <c r="AA260" s="1" t="s">
        <v>1409</v>
      </c>
      <c r="AB260" s="1" t="s">
        <v>49</v>
      </c>
      <c r="AC260" s="1" t="s">
        <v>95</v>
      </c>
      <c r="AD260" s="1" t="s">
        <v>1679</v>
      </c>
      <c r="AE260" s="1">
        <v>1998.0</v>
      </c>
      <c r="AF260" s="1" t="s">
        <v>75</v>
      </c>
    </row>
    <row r="261">
      <c r="A261" s="1" t="s">
        <v>1680</v>
      </c>
      <c r="B261" s="1" t="s">
        <v>1681</v>
      </c>
      <c r="C261" s="1" t="s">
        <v>632</v>
      </c>
      <c r="D261" s="1" t="s">
        <v>1682</v>
      </c>
      <c r="E261" s="1" t="s">
        <v>632</v>
      </c>
      <c r="F261" s="1" t="s">
        <v>45</v>
      </c>
      <c r="G261" s="1">
        <v>27.7</v>
      </c>
      <c r="H261" s="1">
        <v>70.5</v>
      </c>
      <c r="I261" s="1">
        <v>26.0</v>
      </c>
      <c r="J261" s="1">
        <v>68.5</v>
      </c>
      <c r="K261" s="1">
        <v>88.0</v>
      </c>
      <c r="L261" s="1">
        <v>2.4</v>
      </c>
      <c r="M261" s="1">
        <v>5.6</v>
      </c>
      <c r="N261" s="1">
        <v>1.4</v>
      </c>
      <c r="O261" s="1">
        <v>2.0</v>
      </c>
      <c r="P261" s="1">
        <v>0.1</v>
      </c>
      <c r="Q261" s="1">
        <v>22.8</v>
      </c>
      <c r="R261" s="1">
        <v>23.0</v>
      </c>
      <c r="S261" s="1">
        <v>69.7</v>
      </c>
      <c r="AA261" s="1" t="s">
        <v>1409</v>
      </c>
      <c r="AB261" s="1" t="s">
        <v>49</v>
      </c>
      <c r="AC261" s="1" t="s">
        <v>95</v>
      </c>
      <c r="AD261" s="1" t="s">
        <v>1683</v>
      </c>
      <c r="AE261" s="1">
        <v>2014.0</v>
      </c>
      <c r="AF261" s="1" t="s">
        <v>75</v>
      </c>
    </row>
    <row r="262">
      <c r="A262" s="1" t="s">
        <v>1684</v>
      </c>
      <c r="B262" s="1" t="s">
        <v>1685</v>
      </c>
      <c r="C262" s="1" t="s">
        <v>632</v>
      </c>
      <c r="D262" s="1" t="s">
        <v>1686</v>
      </c>
      <c r="E262" s="1" t="s">
        <v>632</v>
      </c>
      <c r="F262" s="1" t="s">
        <v>45</v>
      </c>
      <c r="G262" s="1">
        <v>29.6</v>
      </c>
      <c r="H262" s="1">
        <v>68.3</v>
      </c>
      <c r="I262" s="1">
        <v>27.7</v>
      </c>
      <c r="J262" s="1">
        <v>66.0</v>
      </c>
      <c r="K262" s="1">
        <v>90.8</v>
      </c>
      <c r="L262" s="1">
        <v>2.4</v>
      </c>
      <c r="M262" s="1">
        <v>3.4</v>
      </c>
      <c r="N262" s="1">
        <v>1.0</v>
      </c>
      <c r="O262" s="1">
        <v>1.8</v>
      </c>
      <c r="P262" s="1">
        <v>0.1</v>
      </c>
      <c r="Q262" s="1">
        <v>24.2</v>
      </c>
      <c r="R262" s="1">
        <v>24.3</v>
      </c>
      <c r="S262" s="1">
        <v>70.8</v>
      </c>
      <c r="AA262" s="1" t="s">
        <v>1409</v>
      </c>
      <c r="AB262" s="1" t="s">
        <v>49</v>
      </c>
      <c r="AC262" s="1" t="s">
        <v>1689</v>
      </c>
      <c r="AD262" s="1" t="s">
        <v>1691</v>
      </c>
      <c r="AE262" s="1">
        <v>2020.0</v>
      </c>
      <c r="AF262" s="1" t="s">
        <v>75</v>
      </c>
    </row>
    <row r="263">
      <c r="A263" s="1" t="s">
        <v>1692</v>
      </c>
      <c r="B263" s="1" t="s">
        <v>1693</v>
      </c>
      <c r="C263" s="1" t="s">
        <v>632</v>
      </c>
      <c r="D263" s="1" t="s">
        <v>1694</v>
      </c>
      <c r="E263" s="1" t="s">
        <v>632</v>
      </c>
      <c r="F263" s="1" t="s">
        <v>45</v>
      </c>
      <c r="G263" s="1">
        <v>38.1</v>
      </c>
      <c r="H263" s="1">
        <v>59.6</v>
      </c>
      <c r="I263" s="1">
        <v>34.3</v>
      </c>
      <c r="J263" s="1">
        <v>58.0</v>
      </c>
      <c r="K263" s="1">
        <v>87.3</v>
      </c>
      <c r="L263" s="1">
        <v>5.3</v>
      </c>
      <c r="M263" s="1">
        <v>2.7</v>
      </c>
      <c r="N263" s="1">
        <v>2.5</v>
      </c>
      <c r="O263" s="1">
        <v>1.8</v>
      </c>
      <c r="P263" s="1">
        <v>0.1</v>
      </c>
      <c r="Q263" s="1">
        <v>29.2</v>
      </c>
      <c r="R263" s="1">
        <v>29.0</v>
      </c>
      <c r="S263" s="1">
        <v>65.3</v>
      </c>
      <c r="AA263" s="1" t="s">
        <v>1409</v>
      </c>
      <c r="AB263" s="1" t="s">
        <v>49</v>
      </c>
      <c r="AC263" s="1" t="s">
        <v>1695</v>
      </c>
      <c r="AD263" s="1" t="s">
        <v>1696</v>
      </c>
      <c r="AE263" s="1" t="s">
        <v>1697</v>
      </c>
      <c r="AF263" s="1" t="s">
        <v>1510</v>
      </c>
    </row>
    <row r="264">
      <c r="A264" s="1" t="s">
        <v>1698</v>
      </c>
      <c r="B264" s="1" t="s">
        <v>1699</v>
      </c>
      <c r="C264" s="1" t="s">
        <v>632</v>
      </c>
      <c r="D264" s="1" t="s">
        <v>1700</v>
      </c>
      <c r="E264" s="1" t="s">
        <v>632</v>
      </c>
      <c r="F264" s="1" t="s">
        <v>45</v>
      </c>
      <c r="G264" s="1">
        <v>37.8</v>
      </c>
      <c r="H264" s="1">
        <v>60.4</v>
      </c>
      <c r="I264" s="1">
        <v>34.3</v>
      </c>
      <c r="J264" s="1">
        <v>59.4</v>
      </c>
      <c r="K264" s="1">
        <v>79.3</v>
      </c>
      <c r="L264" s="1">
        <v>9.2</v>
      </c>
      <c r="M264" s="1">
        <v>7.2</v>
      </c>
      <c r="N264" s="1">
        <v>1.9</v>
      </c>
      <c r="O264" s="1">
        <v>2.2</v>
      </c>
      <c r="P264" s="1">
        <v>0.1</v>
      </c>
      <c r="Q264" s="1">
        <v>23.0</v>
      </c>
      <c r="R264" s="1">
        <v>24.0</v>
      </c>
      <c r="S264" s="1">
        <v>65.2</v>
      </c>
      <c r="AA264" s="1" t="s">
        <v>1409</v>
      </c>
      <c r="AB264" s="1" t="s">
        <v>482</v>
      </c>
      <c r="AC264" s="1" t="s">
        <v>1701</v>
      </c>
      <c r="AD264" s="1" t="s">
        <v>1702</v>
      </c>
      <c r="AF264" s="1" t="s">
        <v>75</v>
      </c>
    </row>
    <row r="265">
      <c r="A265" s="1" t="s">
        <v>1703</v>
      </c>
      <c r="B265" s="1" t="s">
        <v>1704</v>
      </c>
      <c r="C265" s="1" t="s">
        <v>632</v>
      </c>
      <c r="D265" s="1" t="s">
        <v>1705</v>
      </c>
      <c r="E265" s="1" t="s">
        <v>632</v>
      </c>
      <c r="F265" s="1" t="s">
        <v>45</v>
      </c>
      <c r="G265" s="1">
        <v>34.0</v>
      </c>
      <c r="H265" s="1">
        <v>63.9</v>
      </c>
      <c r="I265" s="1">
        <v>29.9</v>
      </c>
      <c r="J265" s="1">
        <v>64.0</v>
      </c>
      <c r="K265" s="1">
        <v>83.1</v>
      </c>
      <c r="L265" s="1">
        <v>5.5</v>
      </c>
      <c r="M265" s="1">
        <v>6.6</v>
      </c>
      <c r="N265" s="1">
        <v>2.7</v>
      </c>
      <c r="O265" s="1">
        <v>1.9</v>
      </c>
      <c r="P265" s="1">
        <v>0.1</v>
      </c>
      <c r="Q265" s="1">
        <v>23.5</v>
      </c>
      <c r="R265" s="1">
        <v>24.4</v>
      </c>
      <c r="S265" s="1">
        <v>66.5</v>
      </c>
      <c r="AA265" s="1" t="s">
        <v>1409</v>
      </c>
      <c r="AB265" s="1" t="s">
        <v>49</v>
      </c>
      <c r="AC265" s="1" t="s">
        <v>426</v>
      </c>
      <c r="AD265" s="1" t="s">
        <v>1706</v>
      </c>
      <c r="AE265" s="1">
        <v>2016.0</v>
      </c>
      <c r="AF265" s="1" t="s">
        <v>75</v>
      </c>
    </row>
    <row r="266">
      <c r="A266" s="1" t="s">
        <v>1708</v>
      </c>
      <c r="B266" s="1" t="s">
        <v>1709</v>
      </c>
      <c r="C266" s="1" t="s">
        <v>632</v>
      </c>
      <c r="D266" s="1" t="s">
        <v>1710</v>
      </c>
      <c r="E266" s="1" t="s">
        <v>632</v>
      </c>
      <c r="F266" s="1" t="s">
        <v>45</v>
      </c>
      <c r="G266" s="1">
        <v>34.3</v>
      </c>
      <c r="H266" s="1">
        <v>63.4</v>
      </c>
      <c r="I266" s="1">
        <v>29.6</v>
      </c>
      <c r="J266" s="1">
        <v>63.6</v>
      </c>
      <c r="K266" s="1">
        <v>83.4</v>
      </c>
      <c r="L266" s="1">
        <v>5.9</v>
      </c>
      <c r="M266" s="1">
        <v>4.0</v>
      </c>
      <c r="N266" s="1">
        <v>4.3</v>
      </c>
      <c r="O266" s="1">
        <v>1.9</v>
      </c>
      <c r="P266" s="1">
        <v>0.6</v>
      </c>
      <c r="Q266" s="1">
        <v>30.1</v>
      </c>
      <c r="R266" s="1">
        <v>30.0</v>
      </c>
      <c r="S266" s="1">
        <v>63.3</v>
      </c>
      <c r="AA266" s="1" t="s">
        <v>1409</v>
      </c>
      <c r="AB266" s="1" t="s">
        <v>49</v>
      </c>
      <c r="AC266" s="1" t="s">
        <v>426</v>
      </c>
      <c r="AD266" s="1" t="s">
        <v>1712</v>
      </c>
      <c r="AE266" s="1">
        <v>2018.0</v>
      </c>
      <c r="AF266" s="1" t="s">
        <v>75</v>
      </c>
    </row>
    <row r="267">
      <c r="A267" s="1" t="s">
        <v>1713</v>
      </c>
      <c r="B267" s="1" t="s">
        <v>1714</v>
      </c>
      <c r="C267" s="1" t="s">
        <v>632</v>
      </c>
      <c r="D267" s="1" t="s">
        <v>1715</v>
      </c>
      <c r="E267" s="1" t="s">
        <v>632</v>
      </c>
      <c r="F267" s="1" t="s">
        <v>45</v>
      </c>
      <c r="G267" s="1">
        <v>41.0</v>
      </c>
      <c r="H267" s="1">
        <v>57.0</v>
      </c>
      <c r="I267" s="1">
        <v>34.9</v>
      </c>
      <c r="J267" s="1">
        <v>58.3</v>
      </c>
      <c r="K267" s="1">
        <v>83.4</v>
      </c>
      <c r="L267" s="1">
        <v>3.8</v>
      </c>
      <c r="M267" s="1">
        <v>6.6</v>
      </c>
      <c r="N267" s="1">
        <v>3.9</v>
      </c>
      <c r="O267" s="1">
        <v>1.8</v>
      </c>
      <c r="P267" s="1">
        <v>0.1</v>
      </c>
      <c r="Q267" s="1">
        <v>37.9</v>
      </c>
      <c r="R267" s="1">
        <v>37.8</v>
      </c>
      <c r="S267" s="1">
        <v>54.9</v>
      </c>
      <c r="AA267" s="1" t="s">
        <v>1409</v>
      </c>
      <c r="AB267" s="1" t="s">
        <v>49</v>
      </c>
      <c r="AC267" s="1" t="s">
        <v>1718</v>
      </c>
      <c r="AD267" s="1" t="s">
        <v>1719</v>
      </c>
      <c r="AE267" s="1">
        <v>2020.0</v>
      </c>
      <c r="AF267" s="1" t="s">
        <v>1720</v>
      </c>
    </row>
    <row r="268">
      <c r="A268" s="1" t="s">
        <v>1721</v>
      </c>
      <c r="B268" s="1" t="s">
        <v>1722</v>
      </c>
      <c r="C268" s="1" t="s">
        <v>632</v>
      </c>
      <c r="D268" s="1" t="s">
        <v>1723</v>
      </c>
      <c r="E268" s="1" t="s">
        <v>632</v>
      </c>
      <c r="F268" s="1" t="s">
        <v>45</v>
      </c>
      <c r="G268" s="1">
        <v>33.0</v>
      </c>
      <c r="H268" s="1">
        <v>64.9</v>
      </c>
      <c r="I268" s="1">
        <v>28.2</v>
      </c>
      <c r="J268" s="1">
        <v>65.3</v>
      </c>
      <c r="K268" s="1">
        <v>84.0</v>
      </c>
      <c r="L268" s="1">
        <v>4.2</v>
      </c>
      <c r="M268" s="1">
        <v>4.5</v>
      </c>
      <c r="N268" s="1">
        <v>5.1</v>
      </c>
      <c r="O268" s="1">
        <v>1.9</v>
      </c>
      <c r="P268" s="1">
        <v>0.1</v>
      </c>
      <c r="Q268" s="1">
        <v>27.0</v>
      </c>
      <c r="R268" s="1">
        <v>26.4</v>
      </c>
      <c r="S268" s="1">
        <v>66.9</v>
      </c>
      <c r="AA268" s="1" t="s">
        <v>1409</v>
      </c>
      <c r="AB268" s="1" t="s">
        <v>49</v>
      </c>
      <c r="AC268" s="1" t="s">
        <v>73</v>
      </c>
      <c r="AD268" s="1" t="s">
        <v>1725</v>
      </c>
      <c r="AE268" s="1">
        <v>2018.0</v>
      </c>
      <c r="AF268" s="1" t="s">
        <v>75</v>
      </c>
    </row>
    <row r="269">
      <c r="A269" s="1" t="s">
        <v>1726</v>
      </c>
      <c r="B269" s="1" t="s">
        <v>1727</v>
      </c>
      <c r="C269" s="1" t="s">
        <v>632</v>
      </c>
      <c r="D269" s="1" t="s">
        <v>1728</v>
      </c>
      <c r="E269" s="1" t="s">
        <v>632</v>
      </c>
      <c r="F269" s="1" t="s">
        <v>45</v>
      </c>
      <c r="G269" s="1">
        <v>32.7</v>
      </c>
      <c r="H269" s="1">
        <v>65.5</v>
      </c>
      <c r="I269" s="1">
        <v>30.2</v>
      </c>
      <c r="J269" s="1">
        <v>64.3</v>
      </c>
      <c r="K269" s="1">
        <v>89.2</v>
      </c>
      <c r="L269" s="1">
        <v>2.5</v>
      </c>
      <c r="M269" s="1">
        <v>4.6</v>
      </c>
      <c r="N269" s="1">
        <v>1.3</v>
      </c>
      <c r="O269" s="1">
        <v>1.8</v>
      </c>
      <c r="P269" s="1">
        <v>0.2</v>
      </c>
      <c r="Q269" s="1">
        <v>21.5</v>
      </c>
      <c r="R269" s="1">
        <v>21.6</v>
      </c>
      <c r="S269" s="1">
        <v>72.6</v>
      </c>
      <c r="AA269" s="1" t="s">
        <v>1409</v>
      </c>
      <c r="AB269" s="1" t="s">
        <v>49</v>
      </c>
      <c r="AC269" s="1" t="s">
        <v>1729</v>
      </c>
      <c r="AD269" s="1" t="s">
        <v>1730</v>
      </c>
      <c r="AE269" s="1">
        <v>2010.0</v>
      </c>
      <c r="AF269" s="1" t="s">
        <v>75</v>
      </c>
    </row>
    <row r="270">
      <c r="A270" s="1" t="s">
        <v>1731</v>
      </c>
      <c r="B270" s="1" t="s">
        <v>1732</v>
      </c>
      <c r="C270" s="1" t="s">
        <v>632</v>
      </c>
      <c r="D270" s="1" t="s">
        <v>1733</v>
      </c>
      <c r="E270" s="1" t="s">
        <v>632</v>
      </c>
      <c r="F270" s="1" t="s">
        <v>45</v>
      </c>
      <c r="G270" s="1">
        <v>35.4</v>
      </c>
      <c r="H270" s="1">
        <v>62.7</v>
      </c>
      <c r="I270" s="1">
        <v>33.1</v>
      </c>
      <c r="J270" s="1">
        <v>61.4</v>
      </c>
      <c r="K270" s="1">
        <v>88.5</v>
      </c>
      <c r="L270" s="1">
        <v>3.3</v>
      </c>
      <c r="M270" s="1">
        <v>3.4</v>
      </c>
      <c r="N270" s="1">
        <v>2.3</v>
      </c>
      <c r="O270" s="1">
        <v>2.1</v>
      </c>
      <c r="P270" s="1">
        <v>0.1</v>
      </c>
      <c r="Q270" s="1">
        <v>24.8</v>
      </c>
      <c r="R270" s="1">
        <v>24.3</v>
      </c>
      <c r="S270" s="1">
        <v>70.4</v>
      </c>
      <c r="AA270" s="1" t="s">
        <v>1409</v>
      </c>
      <c r="AB270" s="1" t="s">
        <v>159</v>
      </c>
      <c r="AC270" s="1" t="s">
        <v>1734</v>
      </c>
      <c r="AD270" s="1" t="s">
        <v>1735</v>
      </c>
      <c r="AF270" s="1" t="s">
        <v>75</v>
      </c>
    </row>
    <row r="271">
      <c r="A271" s="1" t="s">
        <v>1736</v>
      </c>
      <c r="B271" s="1" t="s">
        <v>1737</v>
      </c>
      <c r="C271" s="1" t="s">
        <v>632</v>
      </c>
      <c r="D271" s="1" t="s">
        <v>1738</v>
      </c>
      <c r="E271" s="1" t="s">
        <v>632</v>
      </c>
      <c r="F271" s="1" t="s">
        <v>45</v>
      </c>
      <c r="G271" s="1">
        <v>47.6</v>
      </c>
      <c r="H271" s="1">
        <v>50.5</v>
      </c>
      <c r="I271" s="1">
        <v>44.8</v>
      </c>
      <c r="J271" s="1">
        <v>47.9</v>
      </c>
      <c r="K271" s="1">
        <v>85.8</v>
      </c>
      <c r="L271" s="1">
        <v>4.7</v>
      </c>
      <c r="M271" s="1">
        <v>4.7</v>
      </c>
      <c r="N271" s="1">
        <v>2.7</v>
      </c>
      <c r="O271" s="1">
        <v>1.6</v>
      </c>
      <c r="P271" s="1">
        <v>0.1</v>
      </c>
      <c r="Q271" s="1">
        <v>30.2</v>
      </c>
      <c r="R271" s="1">
        <v>30.5</v>
      </c>
      <c r="S271" s="1">
        <v>62.7</v>
      </c>
      <c r="AA271" s="1" t="s">
        <v>1409</v>
      </c>
      <c r="AB271" s="1" t="s">
        <v>49</v>
      </c>
      <c r="AC271" s="1" t="s">
        <v>1739</v>
      </c>
      <c r="AD271" s="1" t="s">
        <v>1740</v>
      </c>
      <c r="AE271" s="1">
        <v>2020.0</v>
      </c>
      <c r="AF271" s="1" t="s">
        <v>75</v>
      </c>
    </row>
    <row r="272">
      <c r="A272" s="1" t="s">
        <v>1741</v>
      </c>
      <c r="B272" s="1" t="s">
        <v>1742</v>
      </c>
      <c r="C272" s="1" t="s">
        <v>632</v>
      </c>
      <c r="D272" s="1" t="s">
        <v>1743</v>
      </c>
      <c r="E272" s="1" t="s">
        <v>632</v>
      </c>
      <c r="F272" s="1" t="s">
        <v>45</v>
      </c>
      <c r="G272" s="1">
        <v>46.9</v>
      </c>
      <c r="H272" s="1">
        <v>51.3</v>
      </c>
      <c r="I272" s="1">
        <v>44.1</v>
      </c>
      <c r="J272" s="1">
        <v>48.7</v>
      </c>
      <c r="K272" s="1">
        <v>88.4</v>
      </c>
      <c r="L272" s="1">
        <v>3.0</v>
      </c>
      <c r="M272" s="1">
        <v>4.8</v>
      </c>
      <c r="N272" s="1">
        <v>1.8</v>
      </c>
      <c r="O272" s="1">
        <v>1.5</v>
      </c>
      <c r="P272" s="1">
        <v>0.3</v>
      </c>
      <c r="Q272" s="1">
        <v>27.7</v>
      </c>
      <c r="R272" s="1">
        <v>28.0</v>
      </c>
      <c r="S272" s="1">
        <v>66.6</v>
      </c>
      <c r="AA272" s="1" t="s">
        <v>1409</v>
      </c>
      <c r="AB272" s="1" t="s">
        <v>49</v>
      </c>
      <c r="AC272" s="1" t="s">
        <v>1744</v>
      </c>
      <c r="AD272" s="1" t="s">
        <v>1745</v>
      </c>
      <c r="AE272" s="1">
        <v>2020.0</v>
      </c>
      <c r="AF272" s="1" t="s">
        <v>75</v>
      </c>
    </row>
    <row r="273">
      <c r="A273" s="1" t="s">
        <v>1746</v>
      </c>
      <c r="B273" s="1" t="s">
        <v>1747</v>
      </c>
      <c r="C273" s="1" t="s">
        <v>43</v>
      </c>
      <c r="D273" s="1" t="s">
        <v>1748</v>
      </c>
      <c r="E273" s="1" t="s">
        <v>632</v>
      </c>
      <c r="F273" s="1" t="s">
        <v>397</v>
      </c>
      <c r="G273" s="1">
        <v>48.9</v>
      </c>
      <c r="H273" s="1">
        <v>49.3</v>
      </c>
      <c r="I273" s="1">
        <v>44.8</v>
      </c>
      <c r="J273" s="1">
        <v>47.8</v>
      </c>
      <c r="K273" s="1">
        <v>82.1</v>
      </c>
      <c r="L273" s="1">
        <v>6.6</v>
      </c>
      <c r="M273" s="1">
        <v>5.2</v>
      </c>
      <c r="N273" s="1">
        <v>4.2</v>
      </c>
      <c r="O273" s="1">
        <v>1.6</v>
      </c>
      <c r="P273" s="1">
        <v>0.2</v>
      </c>
      <c r="Q273" s="1">
        <v>34.3</v>
      </c>
      <c r="R273" s="1">
        <v>35.9</v>
      </c>
      <c r="S273" s="1">
        <v>56.7</v>
      </c>
      <c r="AA273" s="1" t="s">
        <v>1409</v>
      </c>
      <c r="AB273" s="1" t="s">
        <v>970</v>
      </c>
      <c r="AC273" s="1" t="s">
        <v>1749</v>
      </c>
      <c r="AD273" s="1" t="s">
        <v>1750</v>
      </c>
      <c r="AF273" s="1" t="s">
        <v>75</v>
      </c>
    </row>
    <row r="274">
      <c r="A274" s="1" t="s">
        <v>1751</v>
      </c>
      <c r="B274" s="1" t="s">
        <v>1752</v>
      </c>
      <c r="C274" s="1" t="s">
        <v>632</v>
      </c>
      <c r="D274" s="1" t="s">
        <v>1753</v>
      </c>
      <c r="E274" s="1" t="s">
        <v>632</v>
      </c>
      <c r="F274" s="1" t="s">
        <v>45</v>
      </c>
      <c r="G274" s="1">
        <v>36.2</v>
      </c>
      <c r="H274" s="1">
        <v>62.2</v>
      </c>
      <c r="I274" s="1">
        <v>33.2</v>
      </c>
      <c r="J274" s="1">
        <v>60.2</v>
      </c>
      <c r="K274" s="1">
        <v>85.5</v>
      </c>
      <c r="L274" s="1">
        <v>7.6</v>
      </c>
      <c r="M274" s="1">
        <v>2.4</v>
      </c>
      <c r="N274" s="1">
        <v>2.5</v>
      </c>
      <c r="O274" s="1">
        <v>1.7</v>
      </c>
      <c r="P274" s="1">
        <v>0.5</v>
      </c>
      <c r="Q274" s="1">
        <v>25.1</v>
      </c>
      <c r="R274" s="1">
        <v>26.0</v>
      </c>
      <c r="S274" s="1">
        <v>67.5</v>
      </c>
      <c r="AA274" s="1" t="s">
        <v>1409</v>
      </c>
      <c r="AB274" s="1" t="s">
        <v>49</v>
      </c>
      <c r="AC274" s="1" t="s">
        <v>1755</v>
      </c>
      <c r="AD274" s="1" t="s">
        <v>1756</v>
      </c>
      <c r="AE274" s="1">
        <v>2020.0</v>
      </c>
      <c r="AF274" s="1" t="s">
        <v>75</v>
      </c>
    </row>
    <row r="275">
      <c r="A275" s="1" t="s">
        <v>1757</v>
      </c>
      <c r="B275" s="1" t="s">
        <v>1758</v>
      </c>
      <c r="C275" s="1" t="s">
        <v>632</v>
      </c>
      <c r="D275" s="1" t="s">
        <v>1759</v>
      </c>
      <c r="E275" s="1" t="s">
        <v>632</v>
      </c>
      <c r="F275" s="1" t="s">
        <v>45</v>
      </c>
      <c r="G275" s="1">
        <v>34.1</v>
      </c>
      <c r="H275" s="1">
        <v>63.7</v>
      </c>
      <c r="I275" s="1">
        <v>29.6</v>
      </c>
      <c r="J275" s="1">
        <v>63.5</v>
      </c>
      <c r="K275" s="1">
        <v>77.7</v>
      </c>
      <c r="L275" s="1">
        <v>13.1</v>
      </c>
      <c r="M275" s="1">
        <v>3.7</v>
      </c>
      <c r="N275" s="1">
        <v>2.5</v>
      </c>
      <c r="O275" s="1">
        <v>3.2</v>
      </c>
      <c r="P275" s="1">
        <v>0.2</v>
      </c>
      <c r="Q275" s="1">
        <v>28.9</v>
      </c>
      <c r="R275" s="1">
        <v>31.1</v>
      </c>
      <c r="S275" s="1">
        <v>58.2</v>
      </c>
      <c r="AA275" s="1" t="s">
        <v>1409</v>
      </c>
      <c r="AB275" s="1" t="s">
        <v>49</v>
      </c>
      <c r="AC275" s="1" t="s">
        <v>1760</v>
      </c>
      <c r="AD275" s="1" t="s">
        <v>1761</v>
      </c>
      <c r="AE275" s="1">
        <v>2020.0</v>
      </c>
      <c r="AF275" s="1" t="s">
        <v>75</v>
      </c>
    </row>
    <row r="276">
      <c r="A276" s="1" t="s">
        <v>1762</v>
      </c>
      <c r="B276" s="1" t="s">
        <v>1763</v>
      </c>
      <c r="C276" s="1" t="s">
        <v>632</v>
      </c>
      <c r="D276" s="1" t="s">
        <v>1764</v>
      </c>
      <c r="E276" s="1" t="s">
        <v>632</v>
      </c>
      <c r="F276" s="1" t="s">
        <v>45</v>
      </c>
      <c r="G276" s="1">
        <v>40.7</v>
      </c>
      <c r="H276" s="1">
        <v>57.0</v>
      </c>
      <c r="I276" s="1">
        <v>36.9</v>
      </c>
      <c r="J276" s="1">
        <v>55.6</v>
      </c>
      <c r="K276" s="1">
        <v>73.3</v>
      </c>
      <c r="L276" s="1">
        <v>10.6</v>
      </c>
      <c r="M276" s="1">
        <v>9.9</v>
      </c>
      <c r="N276" s="1">
        <v>2.2</v>
      </c>
      <c r="O276" s="1">
        <v>4.1</v>
      </c>
      <c r="P276" s="1">
        <v>0.3</v>
      </c>
      <c r="Q276" s="1">
        <v>25.9</v>
      </c>
      <c r="R276" s="1">
        <v>28.9</v>
      </c>
      <c r="S276" s="1">
        <v>56.3</v>
      </c>
      <c r="AA276" s="1" t="s">
        <v>1409</v>
      </c>
      <c r="AB276" s="1" t="s">
        <v>49</v>
      </c>
      <c r="AC276" s="1" t="s">
        <v>753</v>
      </c>
      <c r="AD276" s="1" t="s">
        <v>1765</v>
      </c>
      <c r="AE276" s="1">
        <v>2020.0</v>
      </c>
      <c r="AF276" s="1" t="s">
        <v>75</v>
      </c>
    </row>
    <row r="277">
      <c r="A277" s="1" t="s">
        <v>1766</v>
      </c>
      <c r="B277" s="1" t="s">
        <v>1767</v>
      </c>
      <c r="C277" s="1" t="s">
        <v>632</v>
      </c>
      <c r="D277" s="1" t="s">
        <v>1768</v>
      </c>
      <c r="E277" s="1" t="s">
        <v>632</v>
      </c>
      <c r="F277" s="1" t="s">
        <v>45</v>
      </c>
      <c r="G277" s="1">
        <v>38.0</v>
      </c>
      <c r="H277" s="1">
        <v>59.7</v>
      </c>
      <c r="I277" s="1">
        <v>32.3</v>
      </c>
      <c r="J277" s="1">
        <v>59.2</v>
      </c>
      <c r="K277" s="1">
        <v>73.3</v>
      </c>
      <c r="L277" s="1">
        <v>11.1</v>
      </c>
      <c r="M277" s="1">
        <v>7.7</v>
      </c>
      <c r="N277" s="1">
        <v>4.1</v>
      </c>
      <c r="O277" s="1">
        <v>4.1</v>
      </c>
      <c r="P277" s="1">
        <v>0.2</v>
      </c>
      <c r="Q277" s="1">
        <v>30.0</v>
      </c>
      <c r="R277" s="1">
        <v>32.4</v>
      </c>
      <c r="S277" s="1">
        <v>53.9</v>
      </c>
      <c r="AA277" s="1" t="s">
        <v>1409</v>
      </c>
      <c r="AB277" s="1" t="s">
        <v>49</v>
      </c>
      <c r="AC277" s="1" t="s">
        <v>1231</v>
      </c>
      <c r="AD277" s="1" t="s">
        <v>1771</v>
      </c>
      <c r="AE277" s="1" t="s">
        <v>1772</v>
      </c>
      <c r="AF277" s="1" t="s">
        <v>75</v>
      </c>
    </row>
    <row r="278">
      <c r="A278" s="1" t="s">
        <v>1773</v>
      </c>
      <c r="B278" s="1" t="s">
        <v>1774</v>
      </c>
      <c r="C278" s="1" t="s">
        <v>632</v>
      </c>
      <c r="D278" s="1" t="s">
        <v>1775</v>
      </c>
      <c r="E278" s="1" t="s">
        <v>632</v>
      </c>
      <c r="F278" s="1" t="s">
        <v>45</v>
      </c>
      <c r="G278" s="1">
        <v>27.9</v>
      </c>
      <c r="H278" s="1">
        <v>70.6</v>
      </c>
      <c r="I278" s="1">
        <v>25.9</v>
      </c>
      <c r="J278" s="1">
        <v>70.2</v>
      </c>
      <c r="K278" s="1">
        <v>85.8</v>
      </c>
      <c r="L278" s="1">
        <v>3.0</v>
      </c>
      <c r="M278" s="1">
        <v>7.9</v>
      </c>
      <c r="N278" s="1">
        <v>1.0</v>
      </c>
      <c r="O278" s="1">
        <v>2.0</v>
      </c>
      <c r="P278" s="1">
        <v>0.1</v>
      </c>
      <c r="Q278" s="1">
        <v>19.6</v>
      </c>
      <c r="R278" s="1">
        <v>19.8</v>
      </c>
      <c r="S278" s="1">
        <v>71.3</v>
      </c>
      <c r="AA278" s="1" t="s">
        <v>1409</v>
      </c>
      <c r="AB278" s="1" t="s">
        <v>49</v>
      </c>
      <c r="AC278" s="1" t="s">
        <v>1776</v>
      </c>
      <c r="AD278" s="1" t="s">
        <v>1777</v>
      </c>
      <c r="AE278" s="1">
        <v>2016.0</v>
      </c>
      <c r="AF278" s="1" t="s">
        <v>75</v>
      </c>
    </row>
    <row r="279">
      <c r="A279" s="1" t="s">
        <v>1778</v>
      </c>
      <c r="B279" s="1" t="s">
        <v>1779</v>
      </c>
      <c r="C279" s="1" t="s">
        <v>632</v>
      </c>
      <c r="D279" s="1" t="s">
        <v>1780</v>
      </c>
      <c r="E279" s="1" t="s">
        <v>632</v>
      </c>
      <c r="F279" s="1" t="s">
        <v>45</v>
      </c>
      <c r="G279" s="1">
        <v>30.8</v>
      </c>
      <c r="H279" s="1">
        <v>67.5</v>
      </c>
      <c r="I279" s="1">
        <v>27.7</v>
      </c>
      <c r="J279" s="1">
        <v>67.6</v>
      </c>
      <c r="K279" s="1">
        <v>85.7</v>
      </c>
      <c r="L279" s="1">
        <v>3.3</v>
      </c>
      <c r="M279" s="1">
        <v>6.3</v>
      </c>
      <c r="N279" s="1">
        <v>2.3</v>
      </c>
      <c r="O279" s="1">
        <v>2.1</v>
      </c>
      <c r="P279" s="1">
        <v>0.2</v>
      </c>
      <c r="Q279" s="1">
        <v>22.0</v>
      </c>
      <c r="R279" s="1">
        <v>21.7</v>
      </c>
      <c r="S279" s="1">
        <v>70.5</v>
      </c>
      <c r="AA279" s="1" t="s">
        <v>1409</v>
      </c>
      <c r="AB279" s="1" t="s">
        <v>49</v>
      </c>
      <c r="AC279" s="1" t="s">
        <v>1781</v>
      </c>
      <c r="AD279" s="1" t="s">
        <v>1782</v>
      </c>
      <c r="AE279" s="1">
        <v>2008.0</v>
      </c>
      <c r="AF279" s="1" t="s">
        <v>75</v>
      </c>
    </row>
    <row r="280">
      <c r="A280" s="1" t="s">
        <v>1783</v>
      </c>
      <c r="B280" s="1" t="s">
        <v>1784</v>
      </c>
      <c r="C280" s="1" t="s">
        <v>632</v>
      </c>
      <c r="D280" s="1" t="s">
        <v>1785</v>
      </c>
      <c r="E280" s="1" t="s">
        <v>632</v>
      </c>
      <c r="F280" s="1" t="s">
        <v>45</v>
      </c>
      <c r="G280" s="1">
        <v>32.8</v>
      </c>
      <c r="H280" s="1">
        <v>65.4</v>
      </c>
      <c r="I280" s="1">
        <v>28.9</v>
      </c>
      <c r="J280" s="1">
        <v>65.6</v>
      </c>
      <c r="K280" s="1">
        <v>88.6</v>
      </c>
      <c r="L280" s="1">
        <v>3.4</v>
      </c>
      <c r="M280" s="1">
        <v>4.0</v>
      </c>
      <c r="N280" s="1">
        <v>1.5</v>
      </c>
      <c r="O280" s="1">
        <v>2.1</v>
      </c>
      <c r="P280" s="1">
        <v>0.2</v>
      </c>
      <c r="Q280" s="1">
        <v>28.5</v>
      </c>
      <c r="R280" s="1">
        <v>28.8</v>
      </c>
      <c r="S280" s="1">
        <v>66.2</v>
      </c>
      <c r="AA280" s="1" t="s">
        <v>1409</v>
      </c>
      <c r="AB280" s="1" t="s">
        <v>49</v>
      </c>
      <c r="AC280" s="1" t="s">
        <v>1786</v>
      </c>
      <c r="AD280" s="1" t="s">
        <v>1787</v>
      </c>
      <c r="AE280" s="1" t="s">
        <v>948</v>
      </c>
      <c r="AF280" s="1" t="s">
        <v>75</v>
      </c>
    </row>
    <row r="281">
      <c r="A281" s="1" t="s">
        <v>1788</v>
      </c>
      <c r="B281" s="1" t="s">
        <v>1789</v>
      </c>
      <c r="C281" s="1" t="s">
        <v>632</v>
      </c>
      <c r="D281" s="1" t="s">
        <v>1790</v>
      </c>
      <c r="E281" s="1" t="s">
        <v>632</v>
      </c>
      <c r="F281" s="1" t="s">
        <v>45</v>
      </c>
      <c r="G281" s="1">
        <v>19.7</v>
      </c>
      <c r="H281" s="1">
        <v>79.1</v>
      </c>
      <c r="I281" s="1">
        <v>18.5</v>
      </c>
      <c r="J281" s="1">
        <v>78.5</v>
      </c>
      <c r="K281" s="1">
        <v>94.1</v>
      </c>
      <c r="L281" s="1">
        <v>1.3</v>
      </c>
      <c r="M281" s="1">
        <v>2.0</v>
      </c>
      <c r="N281" s="1">
        <v>0.5</v>
      </c>
      <c r="O281" s="1">
        <v>1.8</v>
      </c>
      <c r="P281" s="1">
        <v>0.1</v>
      </c>
      <c r="Q281" s="1">
        <v>14.2</v>
      </c>
      <c r="R281" s="1">
        <v>14.1</v>
      </c>
      <c r="S281" s="1">
        <v>82.7</v>
      </c>
      <c r="AA281" s="1" t="s">
        <v>1409</v>
      </c>
      <c r="AB281" s="1" t="s">
        <v>49</v>
      </c>
      <c r="AC281" s="1" t="s">
        <v>1792</v>
      </c>
      <c r="AD281" s="1" t="s">
        <v>1419</v>
      </c>
      <c r="AE281" s="1">
        <v>1980.0</v>
      </c>
      <c r="AF281" s="1" t="s">
        <v>75</v>
      </c>
    </row>
    <row r="282">
      <c r="A282" s="1" t="s">
        <v>1793</v>
      </c>
      <c r="B282" s="1" t="s">
        <v>1794</v>
      </c>
      <c r="C282" s="1" t="s">
        <v>632</v>
      </c>
      <c r="D282" s="1" t="s">
        <v>1795</v>
      </c>
      <c r="E282" s="1" t="s">
        <v>632</v>
      </c>
      <c r="F282" s="1" t="s">
        <v>45</v>
      </c>
      <c r="G282" s="1">
        <v>43.5</v>
      </c>
      <c r="H282" s="1">
        <v>54.5</v>
      </c>
      <c r="I282" s="1">
        <v>38.2</v>
      </c>
      <c r="J282" s="1">
        <v>55.8</v>
      </c>
      <c r="K282" s="1">
        <v>81.0</v>
      </c>
      <c r="L282" s="1">
        <v>5.0</v>
      </c>
      <c r="M282" s="1">
        <v>9.1</v>
      </c>
      <c r="N282" s="1">
        <v>2.8</v>
      </c>
      <c r="O282" s="1">
        <v>2.0</v>
      </c>
      <c r="P282" s="1">
        <v>0.2</v>
      </c>
      <c r="Q282" s="1">
        <v>33.6</v>
      </c>
      <c r="R282" s="1">
        <v>34.6</v>
      </c>
      <c r="S282" s="1">
        <v>56.9</v>
      </c>
      <c r="AA282" s="1" t="s">
        <v>1409</v>
      </c>
      <c r="AB282" s="1" t="s">
        <v>49</v>
      </c>
      <c r="AC282" s="1" t="s">
        <v>584</v>
      </c>
      <c r="AD282" s="1" t="s">
        <v>1796</v>
      </c>
      <c r="AE282" s="1">
        <v>2012.0</v>
      </c>
      <c r="AF282" s="1" t="s">
        <v>75</v>
      </c>
    </row>
    <row r="283">
      <c r="A283" s="1" t="s">
        <v>1797</v>
      </c>
      <c r="B283" s="1" t="s">
        <v>1798</v>
      </c>
      <c r="C283" s="1" t="s">
        <v>632</v>
      </c>
      <c r="D283" s="1" t="s">
        <v>1799</v>
      </c>
      <c r="E283" s="1" t="s">
        <v>632</v>
      </c>
      <c r="F283" s="1" t="s">
        <v>45</v>
      </c>
      <c r="G283" s="1">
        <v>29.6</v>
      </c>
      <c r="H283" s="1">
        <v>68.5</v>
      </c>
      <c r="I283" s="1">
        <v>26.1</v>
      </c>
      <c r="J283" s="1">
        <v>69.3</v>
      </c>
      <c r="K283" s="1">
        <v>69.9</v>
      </c>
      <c r="L283" s="1">
        <v>10.9</v>
      </c>
      <c r="M283" s="1">
        <v>13.5</v>
      </c>
      <c r="N283" s="1">
        <v>3.0</v>
      </c>
      <c r="O283" s="1">
        <v>3.0</v>
      </c>
      <c r="P283" s="1">
        <v>0.1</v>
      </c>
      <c r="Q283" s="1">
        <v>31.6</v>
      </c>
      <c r="R283" s="1">
        <v>34.0</v>
      </c>
      <c r="S283" s="1">
        <v>51.5</v>
      </c>
      <c r="AA283" s="1" t="s">
        <v>1409</v>
      </c>
      <c r="AB283" s="1" t="s">
        <v>49</v>
      </c>
      <c r="AC283" s="1" t="s">
        <v>1238</v>
      </c>
      <c r="AD283" s="1" t="s">
        <v>1800</v>
      </c>
      <c r="AE283" s="1" t="s">
        <v>659</v>
      </c>
      <c r="AF283" s="1" t="s">
        <v>75</v>
      </c>
    </row>
    <row r="284">
      <c r="A284" s="1" t="s">
        <v>1801</v>
      </c>
      <c r="B284" s="1" t="s">
        <v>1802</v>
      </c>
      <c r="C284" s="1" t="s">
        <v>632</v>
      </c>
      <c r="D284" s="1" t="s">
        <v>1803</v>
      </c>
      <c r="E284" s="1" t="s">
        <v>632</v>
      </c>
      <c r="F284" s="1" t="s">
        <v>45</v>
      </c>
      <c r="G284" s="1">
        <v>30.3</v>
      </c>
      <c r="H284" s="1">
        <v>68.0</v>
      </c>
      <c r="I284" s="1">
        <v>29.3</v>
      </c>
      <c r="J284" s="1">
        <v>67.2</v>
      </c>
      <c r="K284" s="1">
        <v>67.0</v>
      </c>
      <c r="L284" s="1">
        <v>4.7</v>
      </c>
      <c r="M284" s="1">
        <v>24.6</v>
      </c>
      <c r="N284" s="1">
        <v>2.0</v>
      </c>
      <c r="O284" s="1">
        <v>1.7</v>
      </c>
      <c r="P284" s="1">
        <v>0.1</v>
      </c>
      <c r="Q284" s="1">
        <v>22.5</v>
      </c>
      <c r="R284" s="1">
        <v>25.5</v>
      </c>
      <c r="S284" s="1">
        <v>52.9</v>
      </c>
      <c r="AA284" s="1" t="s">
        <v>1409</v>
      </c>
      <c r="AB284" s="1" t="s">
        <v>49</v>
      </c>
      <c r="AC284" s="1" t="s">
        <v>1804</v>
      </c>
      <c r="AD284" s="1" t="s">
        <v>1068</v>
      </c>
      <c r="AE284" s="1">
        <v>2016.0</v>
      </c>
      <c r="AF284" s="1" t="s">
        <v>75</v>
      </c>
    </row>
    <row r="285">
      <c r="A285" s="1" t="s">
        <v>1805</v>
      </c>
      <c r="B285" s="1" t="s">
        <v>1806</v>
      </c>
      <c r="C285" s="1" t="s">
        <v>632</v>
      </c>
      <c r="D285" s="1" t="s">
        <v>1807</v>
      </c>
      <c r="E285" s="1" t="s">
        <v>632</v>
      </c>
      <c r="F285" s="1" t="s">
        <v>45</v>
      </c>
      <c r="G285" s="1">
        <v>37.2</v>
      </c>
      <c r="H285" s="1">
        <v>61.3</v>
      </c>
      <c r="I285" s="1">
        <v>37.0</v>
      </c>
      <c r="J285" s="1">
        <v>60.3</v>
      </c>
      <c r="K285" s="1">
        <v>58.1</v>
      </c>
      <c r="L285" s="1">
        <v>4.1</v>
      </c>
      <c r="M285" s="1">
        <v>33.8</v>
      </c>
      <c r="N285" s="1">
        <v>1.5</v>
      </c>
      <c r="O285" s="1">
        <v>2.5</v>
      </c>
      <c r="P285" s="1">
        <v>0.2</v>
      </c>
      <c r="Q285" s="1">
        <v>19.8</v>
      </c>
      <c r="R285" s="1">
        <v>22.8</v>
      </c>
      <c r="S285" s="1">
        <v>46.9</v>
      </c>
      <c r="AA285" s="1" t="s">
        <v>1409</v>
      </c>
      <c r="AB285" s="1" t="s">
        <v>49</v>
      </c>
      <c r="AC285" s="1" t="s">
        <v>95</v>
      </c>
      <c r="AD285" s="1" t="s">
        <v>517</v>
      </c>
      <c r="AE285" s="1">
        <v>2016.0</v>
      </c>
      <c r="AF285" s="1" t="s">
        <v>75</v>
      </c>
    </row>
    <row r="286">
      <c r="A286" s="1" t="s">
        <v>1809</v>
      </c>
      <c r="B286" s="1" t="s">
        <v>1810</v>
      </c>
      <c r="C286" s="1" t="s">
        <v>632</v>
      </c>
      <c r="D286" s="1" t="s">
        <v>1811</v>
      </c>
      <c r="E286" s="1" t="s">
        <v>632</v>
      </c>
      <c r="F286" s="1" t="s">
        <v>45</v>
      </c>
      <c r="G286" s="1">
        <v>34.4</v>
      </c>
      <c r="H286" s="1">
        <v>64.1</v>
      </c>
      <c r="I286" s="1">
        <v>34.4</v>
      </c>
      <c r="J286" s="1">
        <v>63.2</v>
      </c>
      <c r="K286" s="1">
        <v>60.3</v>
      </c>
      <c r="L286" s="1">
        <v>3.6</v>
      </c>
      <c r="M286" s="1">
        <v>32.9</v>
      </c>
      <c r="N286" s="1">
        <v>1.3</v>
      </c>
      <c r="O286" s="1">
        <v>1.9</v>
      </c>
      <c r="P286" s="1">
        <v>0.1</v>
      </c>
      <c r="Q286" s="1">
        <v>19.4</v>
      </c>
      <c r="R286" s="1">
        <v>22.2</v>
      </c>
      <c r="S286" s="1">
        <v>48.7</v>
      </c>
      <c r="AA286" s="1" t="s">
        <v>1409</v>
      </c>
      <c r="AB286" s="1" t="s">
        <v>49</v>
      </c>
      <c r="AC286" s="1" t="s">
        <v>215</v>
      </c>
      <c r="AD286" s="1" t="s">
        <v>1812</v>
      </c>
      <c r="AE286" s="1" t="s">
        <v>469</v>
      </c>
      <c r="AF286" s="1" t="s">
        <v>75</v>
      </c>
    </row>
    <row r="287">
      <c r="A287" s="1" t="s">
        <v>1813</v>
      </c>
      <c r="B287" s="1" t="s">
        <v>1814</v>
      </c>
      <c r="C287" s="1" t="s">
        <v>632</v>
      </c>
      <c r="D287" s="1" t="s">
        <v>1815</v>
      </c>
      <c r="E287" s="1" t="s">
        <v>632</v>
      </c>
      <c r="F287" s="1" t="s">
        <v>45</v>
      </c>
      <c r="G287" s="1">
        <v>33.9</v>
      </c>
      <c r="H287" s="1">
        <v>64.3</v>
      </c>
      <c r="I287" s="1">
        <v>30.2</v>
      </c>
      <c r="J287" s="1">
        <v>65.5</v>
      </c>
      <c r="K287" s="1">
        <v>65.0</v>
      </c>
      <c r="L287" s="1">
        <v>6.4</v>
      </c>
      <c r="M287" s="1">
        <v>23.9</v>
      </c>
      <c r="N287" s="1">
        <v>2.8</v>
      </c>
      <c r="O287" s="1">
        <v>1.9</v>
      </c>
      <c r="P287" s="1">
        <v>0.1</v>
      </c>
      <c r="Q287" s="1">
        <v>31.5</v>
      </c>
      <c r="R287" s="1">
        <v>33.2</v>
      </c>
      <c r="S287" s="1">
        <v>47.5</v>
      </c>
      <c r="AA287" s="1" t="s">
        <v>1409</v>
      </c>
      <c r="AB287" s="1" t="s">
        <v>49</v>
      </c>
      <c r="AC287" s="1" t="s">
        <v>1817</v>
      </c>
      <c r="AD287" s="1" t="s">
        <v>1818</v>
      </c>
      <c r="AE287" s="1">
        <v>2014.0</v>
      </c>
      <c r="AF287" s="1" t="s">
        <v>1510</v>
      </c>
    </row>
    <row r="288">
      <c r="A288" s="1" t="s">
        <v>1819</v>
      </c>
      <c r="B288" s="1" t="s">
        <v>1820</v>
      </c>
      <c r="C288" s="1" t="s">
        <v>632</v>
      </c>
      <c r="D288" s="1" t="s">
        <v>1821</v>
      </c>
      <c r="E288" s="1" t="s">
        <v>632</v>
      </c>
      <c r="F288" s="1" t="s">
        <v>45</v>
      </c>
      <c r="G288" s="1">
        <v>41.7</v>
      </c>
      <c r="H288" s="1">
        <v>56.3</v>
      </c>
      <c r="I288" s="1">
        <v>35.6</v>
      </c>
      <c r="J288" s="1">
        <v>58.6</v>
      </c>
      <c r="K288" s="1">
        <v>75.0</v>
      </c>
      <c r="L288" s="1">
        <v>4.5</v>
      </c>
      <c r="M288" s="1">
        <v>15.5</v>
      </c>
      <c r="N288" s="1">
        <v>3.1</v>
      </c>
      <c r="O288" s="1">
        <v>1.9</v>
      </c>
      <c r="P288" s="1">
        <v>0.2</v>
      </c>
      <c r="Q288" s="1">
        <v>35.2</v>
      </c>
      <c r="R288" s="1">
        <v>36.8</v>
      </c>
      <c r="S288" s="1">
        <v>50.2</v>
      </c>
      <c r="AA288" s="1" t="s">
        <v>1409</v>
      </c>
      <c r="AB288" s="1" t="s">
        <v>49</v>
      </c>
      <c r="AC288" s="1" t="s">
        <v>584</v>
      </c>
      <c r="AD288" s="1" t="s">
        <v>1822</v>
      </c>
      <c r="AE288" s="1">
        <v>2010.0</v>
      </c>
      <c r="AF288" s="1" t="s">
        <v>75</v>
      </c>
    </row>
    <row r="289">
      <c r="A289" s="1" t="s">
        <v>1823</v>
      </c>
      <c r="B289" s="1" t="s">
        <v>1824</v>
      </c>
      <c r="C289" s="1" t="s">
        <v>632</v>
      </c>
      <c r="D289" s="1" t="s">
        <v>1825</v>
      </c>
      <c r="E289" s="1" t="s">
        <v>632</v>
      </c>
      <c r="F289" s="1" t="s">
        <v>45</v>
      </c>
      <c r="G289" s="1">
        <v>39.3</v>
      </c>
      <c r="H289" s="1">
        <v>59.1</v>
      </c>
      <c r="I289" s="1">
        <v>35.6</v>
      </c>
      <c r="J289" s="1">
        <v>58.9</v>
      </c>
      <c r="K289" s="1">
        <v>90.9</v>
      </c>
      <c r="L289" s="1">
        <v>1.6</v>
      </c>
      <c r="M289" s="1">
        <v>1.3</v>
      </c>
      <c r="N289" s="1">
        <v>0.9</v>
      </c>
      <c r="O289" s="1">
        <v>4.5</v>
      </c>
      <c r="P289" s="1">
        <v>0.1</v>
      </c>
      <c r="Q289" s="1">
        <v>25.4</v>
      </c>
      <c r="R289" s="1">
        <v>25.9</v>
      </c>
      <c r="S289" s="1">
        <v>68.8</v>
      </c>
      <c r="AA289" s="1" t="s">
        <v>1409</v>
      </c>
      <c r="AB289" s="1" t="s">
        <v>49</v>
      </c>
      <c r="AC289" s="1" t="s">
        <v>1204</v>
      </c>
      <c r="AD289" s="1" t="s">
        <v>1826</v>
      </c>
      <c r="AE289" s="1">
        <v>2016.0</v>
      </c>
      <c r="AF289" s="1" t="s">
        <v>75</v>
      </c>
    </row>
    <row r="290">
      <c r="A290" s="1" t="s">
        <v>1827</v>
      </c>
      <c r="B290" s="1" t="s">
        <v>1828</v>
      </c>
      <c r="C290" s="1" t="s">
        <v>632</v>
      </c>
      <c r="D290" s="1" t="s">
        <v>1829</v>
      </c>
      <c r="E290" s="1" t="s">
        <v>632</v>
      </c>
      <c r="F290" s="1" t="s">
        <v>45</v>
      </c>
      <c r="G290" s="1">
        <v>35.0</v>
      </c>
      <c r="H290" s="1">
        <v>63.2</v>
      </c>
      <c r="I290" s="1">
        <v>32.9</v>
      </c>
      <c r="J290" s="1">
        <v>60.9</v>
      </c>
      <c r="K290" s="1">
        <v>89.2</v>
      </c>
      <c r="L290" s="1">
        <v>3.8</v>
      </c>
      <c r="M290" s="1">
        <v>2.7</v>
      </c>
      <c r="N290" s="1">
        <v>0.9</v>
      </c>
      <c r="O290" s="1">
        <v>2.6</v>
      </c>
      <c r="P290" s="1">
        <v>0.1</v>
      </c>
      <c r="Q290" s="1">
        <v>20.8</v>
      </c>
      <c r="R290" s="1">
        <v>21.0</v>
      </c>
      <c r="S290" s="1">
        <v>73.0</v>
      </c>
      <c r="AA290" s="1" t="s">
        <v>1409</v>
      </c>
      <c r="AB290" s="1" t="s">
        <v>49</v>
      </c>
      <c r="AC290" s="1" t="s">
        <v>120</v>
      </c>
      <c r="AD290" s="1" t="s">
        <v>1830</v>
      </c>
      <c r="AE290" s="1">
        <v>2014.0</v>
      </c>
      <c r="AF290" s="1" t="s">
        <v>75</v>
      </c>
    </row>
    <row r="291">
      <c r="A291" s="1" t="s">
        <v>1831</v>
      </c>
      <c r="B291" s="1" t="s">
        <v>1833</v>
      </c>
      <c r="C291" s="1" t="s">
        <v>632</v>
      </c>
      <c r="D291" s="1" t="s">
        <v>1834</v>
      </c>
      <c r="E291" s="1" t="s">
        <v>632</v>
      </c>
      <c r="F291" s="1" t="s">
        <v>45</v>
      </c>
      <c r="G291" s="1">
        <v>47.1</v>
      </c>
      <c r="H291" s="1">
        <v>51.1</v>
      </c>
      <c r="I291" s="1">
        <v>42.2</v>
      </c>
      <c r="J291" s="1">
        <v>51.6</v>
      </c>
      <c r="K291" s="1">
        <v>78.4</v>
      </c>
      <c r="L291" s="1">
        <v>7.0</v>
      </c>
      <c r="M291" s="1">
        <v>9.0</v>
      </c>
      <c r="N291" s="1">
        <v>2.9</v>
      </c>
      <c r="O291" s="1">
        <v>2.3</v>
      </c>
      <c r="P291" s="1">
        <v>0.1</v>
      </c>
      <c r="Q291" s="1">
        <v>30.5</v>
      </c>
      <c r="R291" s="1">
        <v>32.7</v>
      </c>
      <c r="S291" s="1">
        <v>55.7</v>
      </c>
      <c r="AA291" s="1" t="s">
        <v>1409</v>
      </c>
      <c r="AB291" s="1" t="s">
        <v>49</v>
      </c>
      <c r="AC291" s="1" t="s">
        <v>347</v>
      </c>
      <c r="AD291" s="1" t="s">
        <v>1835</v>
      </c>
      <c r="AE291" s="1">
        <v>2010.0</v>
      </c>
      <c r="AF291" s="1" t="s">
        <v>75</v>
      </c>
    </row>
    <row r="292">
      <c r="A292" s="1" t="s">
        <v>1836</v>
      </c>
      <c r="B292" s="1" t="s">
        <v>1837</v>
      </c>
      <c r="C292" s="1" t="s">
        <v>632</v>
      </c>
      <c r="D292" s="1" t="s">
        <v>1838</v>
      </c>
      <c r="E292" s="1" t="s">
        <v>632</v>
      </c>
      <c r="F292" s="1" t="s">
        <v>45</v>
      </c>
      <c r="G292" s="1">
        <v>37.1</v>
      </c>
      <c r="H292" s="1">
        <v>61.2</v>
      </c>
      <c r="I292" s="1">
        <v>34.5</v>
      </c>
      <c r="J292" s="1">
        <v>59.9</v>
      </c>
      <c r="K292" s="1">
        <v>86.6</v>
      </c>
      <c r="L292" s="1">
        <v>4.1</v>
      </c>
      <c r="M292" s="1">
        <v>4.9</v>
      </c>
      <c r="N292" s="1">
        <v>1.2</v>
      </c>
      <c r="O292" s="1">
        <v>2.5</v>
      </c>
      <c r="P292" s="1">
        <v>0.1</v>
      </c>
      <c r="Q292" s="1">
        <v>22.0</v>
      </c>
      <c r="R292" s="1">
        <v>22.2</v>
      </c>
      <c r="S292" s="1">
        <v>70.3</v>
      </c>
      <c r="AA292" s="1" t="s">
        <v>1409</v>
      </c>
      <c r="AB292" s="1" t="s">
        <v>49</v>
      </c>
      <c r="AC292" s="1" t="s">
        <v>1056</v>
      </c>
      <c r="AD292" s="1" t="s">
        <v>1839</v>
      </c>
      <c r="AE292" s="1" t="s">
        <v>1840</v>
      </c>
      <c r="AF292" s="1" t="s">
        <v>75</v>
      </c>
    </row>
    <row r="293">
      <c r="A293" s="1" t="s">
        <v>1841</v>
      </c>
      <c r="B293" s="1" t="s">
        <v>1842</v>
      </c>
      <c r="C293" s="1" t="s">
        <v>632</v>
      </c>
      <c r="D293" s="1" t="s">
        <v>1843</v>
      </c>
      <c r="E293" s="1" t="s">
        <v>632</v>
      </c>
      <c r="F293" s="1" t="s">
        <v>45</v>
      </c>
      <c r="G293" s="1">
        <v>34.6</v>
      </c>
      <c r="H293" s="1">
        <v>64.0</v>
      </c>
      <c r="I293" s="1">
        <v>30.9</v>
      </c>
      <c r="J293" s="1">
        <v>64.0</v>
      </c>
      <c r="K293" s="1">
        <v>89.6</v>
      </c>
      <c r="L293" s="1">
        <v>3.1</v>
      </c>
      <c r="M293" s="1">
        <v>2.7</v>
      </c>
      <c r="N293" s="1">
        <v>1.7</v>
      </c>
      <c r="O293" s="1">
        <v>2.0</v>
      </c>
      <c r="P293" s="1">
        <v>0.1</v>
      </c>
      <c r="Q293" s="1">
        <v>27.1</v>
      </c>
      <c r="R293" s="1">
        <v>27.2</v>
      </c>
      <c r="S293" s="1">
        <v>67.4</v>
      </c>
      <c r="AA293" s="1" t="s">
        <v>1409</v>
      </c>
      <c r="AB293" s="1" t="s">
        <v>49</v>
      </c>
      <c r="AC293" s="1" t="s">
        <v>438</v>
      </c>
      <c r="AD293" s="1" t="s">
        <v>1844</v>
      </c>
      <c r="AE293" s="1">
        <v>2020.0</v>
      </c>
      <c r="AF293" s="1" t="s">
        <v>75</v>
      </c>
    </row>
    <row r="294">
      <c r="A294" s="1" t="s">
        <v>1845</v>
      </c>
      <c r="B294" s="1" t="s">
        <v>1846</v>
      </c>
      <c r="C294" s="1" t="s">
        <v>43</v>
      </c>
      <c r="D294" s="1" t="s">
        <v>1848</v>
      </c>
      <c r="E294" s="1" t="s">
        <v>632</v>
      </c>
      <c r="F294" s="1" t="s">
        <v>397</v>
      </c>
      <c r="G294" s="1">
        <v>48.8</v>
      </c>
      <c r="H294" s="1">
        <v>49.8</v>
      </c>
      <c r="I294" s="1">
        <v>45.1</v>
      </c>
      <c r="J294" s="1">
        <v>50.4</v>
      </c>
      <c r="K294" s="1">
        <v>75.7</v>
      </c>
      <c r="L294" s="1">
        <v>2.6</v>
      </c>
      <c r="M294" s="1">
        <v>13.1</v>
      </c>
      <c r="N294" s="1">
        <v>6.5</v>
      </c>
      <c r="O294" s="1">
        <v>1.7</v>
      </c>
      <c r="P294" s="1">
        <v>0.1</v>
      </c>
      <c r="Q294" s="1">
        <v>28.4</v>
      </c>
      <c r="R294" s="1">
        <v>27.8</v>
      </c>
      <c r="S294" s="1">
        <v>57.8</v>
      </c>
      <c r="AA294" s="1" t="s">
        <v>1409</v>
      </c>
      <c r="AB294" s="1" t="s">
        <v>159</v>
      </c>
      <c r="AC294" s="1" t="s">
        <v>120</v>
      </c>
      <c r="AD294" s="1" t="s">
        <v>1776</v>
      </c>
      <c r="AF294" s="1" t="s">
        <v>28</v>
      </c>
    </row>
    <row r="295">
      <c r="A295" s="1" t="s">
        <v>1849</v>
      </c>
      <c r="B295" s="1" t="s">
        <v>1850</v>
      </c>
      <c r="C295" s="1" t="s">
        <v>632</v>
      </c>
      <c r="D295" s="1" t="s">
        <v>1851</v>
      </c>
      <c r="E295" s="1" t="s">
        <v>632</v>
      </c>
      <c r="F295" s="1" t="s">
        <v>45</v>
      </c>
      <c r="G295" s="1">
        <v>44.3</v>
      </c>
      <c r="H295" s="1">
        <v>53.5</v>
      </c>
      <c r="I295" s="1">
        <v>38.5</v>
      </c>
      <c r="J295" s="1">
        <v>52.4</v>
      </c>
      <c r="K295" s="1">
        <v>85.6</v>
      </c>
      <c r="L295" s="1">
        <v>5.7</v>
      </c>
      <c r="M295" s="1">
        <v>3.7</v>
      </c>
      <c r="N295" s="1">
        <v>3.2</v>
      </c>
      <c r="O295" s="1">
        <v>1.4</v>
      </c>
      <c r="P295" s="1">
        <v>0.1</v>
      </c>
      <c r="Q295" s="1">
        <v>30.2</v>
      </c>
      <c r="R295" s="1">
        <v>31.1</v>
      </c>
      <c r="S295" s="1">
        <v>63.0</v>
      </c>
      <c r="AA295" s="1" t="s">
        <v>1409</v>
      </c>
      <c r="AB295" s="1" t="s">
        <v>49</v>
      </c>
      <c r="AC295" s="1" t="s">
        <v>258</v>
      </c>
      <c r="AD295" s="1" t="s">
        <v>1853</v>
      </c>
      <c r="AE295" s="1" t="s">
        <v>1050</v>
      </c>
      <c r="AF295" s="1" t="s">
        <v>75</v>
      </c>
    </row>
    <row r="296">
      <c r="A296" s="1" t="s">
        <v>1854</v>
      </c>
      <c r="B296" s="1" t="s">
        <v>1855</v>
      </c>
      <c r="C296" s="1" t="s">
        <v>632</v>
      </c>
      <c r="D296" s="1" t="s">
        <v>1856</v>
      </c>
      <c r="E296" s="1" t="s">
        <v>632</v>
      </c>
      <c r="F296" s="1" t="s">
        <v>45</v>
      </c>
      <c r="G296" s="1">
        <v>40.1</v>
      </c>
      <c r="H296" s="1">
        <v>57.7</v>
      </c>
      <c r="I296" s="1">
        <v>33.8</v>
      </c>
      <c r="J296" s="1">
        <v>57.5</v>
      </c>
      <c r="K296" s="1">
        <v>86.8</v>
      </c>
      <c r="L296" s="1">
        <v>3.0</v>
      </c>
      <c r="M296" s="1">
        <v>4.3</v>
      </c>
      <c r="N296" s="1">
        <v>3.5</v>
      </c>
      <c r="O296" s="1">
        <v>1.6</v>
      </c>
      <c r="P296" s="1">
        <v>0.1</v>
      </c>
      <c r="Q296" s="1">
        <v>33.3</v>
      </c>
      <c r="R296" s="1">
        <v>33.9</v>
      </c>
      <c r="S296" s="1">
        <v>60.5</v>
      </c>
      <c r="AA296" s="1" t="s">
        <v>1409</v>
      </c>
      <c r="AB296" s="1" t="s">
        <v>49</v>
      </c>
      <c r="AC296" s="1" t="s">
        <v>1486</v>
      </c>
      <c r="AD296" s="1" t="s">
        <v>1857</v>
      </c>
      <c r="AE296" s="1">
        <v>2014.0</v>
      </c>
      <c r="AF296" s="1" t="s">
        <v>75</v>
      </c>
    </row>
    <row r="297">
      <c r="A297" s="1" t="s">
        <v>1858</v>
      </c>
      <c r="B297" s="1" t="s">
        <v>1859</v>
      </c>
      <c r="C297" s="1" t="s">
        <v>632</v>
      </c>
      <c r="D297" s="1" t="s">
        <v>1860</v>
      </c>
      <c r="E297" s="1" t="s">
        <v>632</v>
      </c>
      <c r="F297" s="1" t="s">
        <v>45</v>
      </c>
      <c r="G297" s="1">
        <v>32.5</v>
      </c>
      <c r="H297" s="1">
        <v>65.7</v>
      </c>
      <c r="I297" s="1">
        <v>29.3</v>
      </c>
      <c r="J297" s="1">
        <v>63.2</v>
      </c>
      <c r="K297" s="1">
        <v>90.6</v>
      </c>
      <c r="L297" s="1">
        <v>4.1</v>
      </c>
      <c r="M297" s="1">
        <v>1.6</v>
      </c>
      <c r="N297" s="1">
        <v>1.1</v>
      </c>
      <c r="O297" s="1">
        <v>2.1</v>
      </c>
      <c r="P297" s="1">
        <v>0.2</v>
      </c>
      <c r="Q297" s="1">
        <v>22.6</v>
      </c>
      <c r="R297" s="1">
        <v>23.1</v>
      </c>
      <c r="S297" s="1">
        <v>72.2</v>
      </c>
      <c r="AA297" s="1" t="s">
        <v>1409</v>
      </c>
      <c r="AB297" s="1" t="s">
        <v>49</v>
      </c>
      <c r="AC297" s="1" t="s">
        <v>1861</v>
      </c>
      <c r="AD297" s="1" t="s">
        <v>1862</v>
      </c>
      <c r="AE297" s="1">
        <v>2020.0</v>
      </c>
      <c r="AF297" s="1" t="s">
        <v>75</v>
      </c>
    </row>
    <row r="298">
      <c r="A298" s="1" t="s">
        <v>1863</v>
      </c>
      <c r="B298" s="1" t="s">
        <v>1864</v>
      </c>
      <c r="C298" s="1" t="s">
        <v>632</v>
      </c>
      <c r="D298" s="1" t="s">
        <v>1865</v>
      </c>
      <c r="E298" s="1" t="s">
        <v>632</v>
      </c>
      <c r="F298" s="1" t="s">
        <v>45</v>
      </c>
      <c r="G298" s="1">
        <v>43.4</v>
      </c>
      <c r="H298" s="1">
        <v>54.7</v>
      </c>
      <c r="I298" s="1">
        <v>39.5</v>
      </c>
      <c r="J298" s="1">
        <v>52.3</v>
      </c>
      <c r="K298" s="1">
        <v>89.3</v>
      </c>
      <c r="L298" s="1">
        <v>1.5</v>
      </c>
      <c r="M298" s="1">
        <v>1.6</v>
      </c>
      <c r="N298" s="1">
        <v>1.2</v>
      </c>
      <c r="O298" s="1">
        <v>5.6</v>
      </c>
      <c r="P298" s="1">
        <v>0.1</v>
      </c>
      <c r="Q298" s="1">
        <v>25.6</v>
      </c>
      <c r="R298" s="1">
        <v>26.3</v>
      </c>
      <c r="S298" s="1">
        <v>67.6</v>
      </c>
      <c r="AA298" s="1" t="s">
        <v>1409</v>
      </c>
      <c r="AB298" s="1" t="s">
        <v>49</v>
      </c>
      <c r="AC298" s="1" t="s">
        <v>266</v>
      </c>
      <c r="AD298" s="1" t="s">
        <v>1868</v>
      </c>
      <c r="AE298" s="1">
        <v>2018.0</v>
      </c>
      <c r="AF298" s="1" t="s">
        <v>75</v>
      </c>
    </row>
    <row r="299">
      <c r="A299" s="1" t="s">
        <v>1869</v>
      </c>
      <c r="B299" s="1" t="s">
        <v>1870</v>
      </c>
      <c r="C299" s="1" t="s">
        <v>632</v>
      </c>
      <c r="D299" s="1" t="s">
        <v>1871</v>
      </c>
      <c r="E299" s="1" t="s">
        <v>632</v>
      </c>
      <c r="F299" s="1" t="s">
        <v>45</v>
      </c>
      <c r="G299" s="1">
        <v>33.4</v>
      </c>
      <c r="H299" s="1">
        <v>65.1</v>
      </c>
      <c r="I299" s="1">
        <v>32.0</v>
      </c>
      <c r="J299" s="1">
        <v>65.8</v>
      </c>
      <c r="K299" s="1">
        <v>66.9</v>
      </c>
      <c r="L299" s="1">
        <v>3.1</v>
      </c>
      <c r="M299" s="1">
        <v>27.1</v>
      </c>
      <c r="N299" s="1">
        <v>1.3</v>
      </c>
      <c r="O299" s="1">
        <v>1.6</v>
      </c>
      <c r="P299" s="1">
        <v>0.1</v>
      </c>
      <c r="Q299" s="1">
        <v>21.7</v>
      </c>
      <c r="R299" s="1">
        <v>23.9</v>
      </c>
      <c r="S299" s="1">
        <v>53.0</v>
      </c>
      <c r="AA299" s="1" t="s">
        <v>1409</v>
      </c>
      <c r="AB299" s="1" t="s">
        <v>49</v>
      </c>
      <c r="AC299" s="1" t="s">
        <v>1872</v>
      </c>
      <c r="AD299" s="1" t="s">
        <v>571</v>
      </c>
      <c r="AE299" s="1" t="s">
        <v>1697</v>
      </c>
      <c r="AF299" s="1" t="s">
        <v>75</v>
      </c>
    </row>
    <row r="300">
      <c r="A300" s="1" t="s">
        <v>1873</v>
      </c>
      <c r="B300" s="1" t="s">
        <v>1874</v>
      </c>
      <c r="C300" s="1" t="s">
        <v>632</v>
      </c>
      <c r="D300" s="1" t="s">
        <v>1876</v>
      </c>
      <c r="E300" s="1" t="s">
        <v>632</v>
      </c>
      <c r="F300" s="1" t="s">
        <v>45</v>
      </c>
      <c r="G300" s="1">
        <v>37.2</v>
      </c>
      <c r="H300" s="1">
        <v>61.5</v>
      </c>
      <c r="I300" s="1">
        <v>35.2</v>
      </c>
      <c r="J300" s="1">
        <v>62.8</v>
      </c>
      <c r="K300" s="1">
        <v>61.6</v>
      </c>
      <c r="L300" s="1">
        <v>2.4</v>
      </c>
      <c r="M300" s="1">
        <v>32.5</v>
      </c>
      <c r="N300" s="1">
        <v>1.5</v>
      </c>
      <c r="O300" s="1">
        <v>2.0</v>
      </c>
      <c r="P300" s="1">
        <v>0.1</v>
      </c>
      <c r="Q300" s="1">
        <v>26.8</v>
      </c>
      <c r="R300" s="1">
        <v>31.4</v>
      </c>
      <c r="S300" s="1">
        <v>43.2</v>
      </c>
      <c r="AA300" s="1" t="s">
        <v>1409</v>
      </c>
      <c r="AB300" s="1" t="s">
        <v>49</v>
      </c>
      <c r="AC300" s="1" t="s">
        <v>1289</v>
      </c>
      <c r="AD300" s="1" t="s">
        <v>1878</v>
      </c>
      <c r="AE300" s="1">
        <v>2018.0</v>
      </c>
      <c r="AF300" s="1" t="s">
        <v>75</v>
      </c>
    </row>
    <row r="301">
      <c r="A301" s="1" t="s">
        <v>1879</v>
      </c>
      <c r="B301" s="1" t="s">
        <v>1880</v>
      </c>
      <c r="C301" s="1" t="s">
        <v>632</v>
      </c>
      <c r="D301" s="1" t="s">
        <v>1881</v>
      </c>
      <c r="E301" s="1" t="s">
        <v>632</v>
      </c>
      <c r="F301" s="1" t="s">
        <v>45</v>
      </c>
      <c r="G301" s="1">
        <v>30.3</v>
      </c>
      <c r="H301" s="1">
        <v>68.2</v>
      </c>
      <c r="I301" s="1">
        <v>28.1</v>
      </c>
      <c r="J301" s="1">
        <v>69.5</v>
      </c>
      <c r="K301" s="1">
        <v>68.2</v>
      </c>
      <c r="L301" s="1">
        <v>4.5</v>
      </c>
      <c r="M301" s="1">
        <v>22.7</v>
      </c>
      <c r="N301" s="1">
        <v>2.3</v>
      </c>
      <c r="O301" s="1">
        <v>2.2</v>
      </c>
      <c r="P301" s="1">
        <v>0.2</v>
      </c>
      <c r="Q301" s="1">
        <v>22.8</v>
      </c>
      <c r="R301" s="1">
        <v>25.2</v>
      </c>
      <c r="S301" s="1">
        <v>53.7</v>
      </c>
      <c r="AA301" s="1" t="s">
        <v>1409</v>
      </c>
      <c r="AB301" s="1" t="s">
        <v>159</v>
      </c>
      <c r="AC301" s="1" t="s">
        <v>95</v>
      </c>
      <c r="AD301" s="1" t="s">
        <v>1883</v>
      </c>
      <c r="AF301" s="1" t="s">
        <v>75</v>
      </c>
    </row>
    <row r="302">
      <c r="A302" s="1" t="s">
        <v>1884</v>
      </c>
      <c r="B302" s="1" t="s">
        <v>1885</v>
      </c>
      <c r="C302" s="1" t="s">
        <v>632</v>
      </c>
      <c r="D302" s="1" t="s">
        <v>1886</v>
      </c>
      <c r="E302" s="1" t="s">
        <v>632</v>
      </c>
      <c r="F302" s="1" t="s">
        <v>45</v>
      </c>
      <c r="G302" s="1">
        <v>45.3</v>
      </c>
      <c r="H302" s="1">
        <v>53.0</v>
      </c>
      <c r="I302" s="1">
        <v>39.3</v>
      </c>
      <c r="J302" s="1">
        <v>55.8</v>
      </c>
      <c r="K302" s="1">
        <v>86.0</v>
      </c>
      <c r="L302" s="1">
        <v>2.7</v>
      </c>
      <c r="M302" s="1">
        <v>3.7</v>
      </c>
      <c r="N302" s="1">
        <v>5.1</v>
      </c>
      <c r="O302" s="1">
        <v>1.8</v>
      </c>
      <c r="P302" s="1">
        <v>0.1</v>
      </c>
      <c r="Q302" s="1">
        <v>47.5</v>
      </c>
      <c r="R302" s="1">
        <v>46.7</v>
      </c>
      <c r="S302" s="1">
        <v>48.6</v>
      </c>
      <c r="AA302" s="1" t="s">
        <v>1409</v>
      </c>
      <c r="AB302" s="1" t="s">
        <v>49</v>
      </c>
      <c r="AC302" s="1" t="s">
        <v>1887</v>
      </c>
      <c r="AD302" s="1" t="s">
        <v>1888</v>
      </c>
      <c r="AE302" s="1">
        <v>2012.0</v>
      </c>
      <c r="AF302" s="1" t="s">
        <v>75</v>
      </c>
    </row>
    <row r="303">
      <c r="A303" s="1" t="s">
        <v>1889</v>
      </c>
      <c r="B303" s="1" t="s">
        <v>1890</v>
      </c>
      <c r="C303" s="1" t="s">
        <v>632</v>
      </c>
      <c r="D303" s="1" t="s">
        <v>1891</v>
      </c>
      <c r="E303" s="1" t="s">
        <v>632</v>
      </c>
      <c r="F303" s="1" t="s">
        <v>45</v>
      </c>
      <c r="G303" s="1">
        <v>35.9</v>
      </c>
      <c r="H303" s="1">
        <v>62.2</v>
      </c>
      <c r="I303" s="1">
        <v>32.0</v>
      </c>
      <c r="J303" s="1">
        <v>62.9</v>
      </c>
      <c r="K303" s="1">
        <v>86.2</v>
      </c>
      <c r="L303" s="1">
        <v>2.8</v>
      </c>
      <c r="M303" s="1">
        <v>5.3</v>
      </c>
      <c r="N303" s="1">
        <v>2.5</v>
      </c>
      <c r="O303" s="1">
        <v>2.5</v>
      </c>
      <c r="P303" s="1">
        <v>0.1</v>
      </c>
      <c r="Q303" s="1">
        <v>33.3</v>
      </c>
      <c r="R303" s="1">
        <v>32.8</v>
      </c>
      <c r="S303" s="1">
        <v>60.7</v>
      </c>
      <c r="AA303" s="1" t="s">
        <v>1409</v>
      </c>
      <c r="AB303" s="1" t="s">
        <v>49</v>
      </c>
      <c r="AC303" s="1" t="s">
        <v>1892</v>
      </c>
      <c r="AD303" s="1" t="s">
        <v>1893</v>
      </c>
      <c r="AE303" s="1">
        <v>2008.0</v>
      </c>
      <c r="AF303" s="1" t="s">
        <v>75</v>
      </c>
    </row>
    <row r="304">
      <c r="A304" s="1" t="s">
        <v>1894</v>
      </c>
      <c r="B304" s="1" t="s">
        <v>1895</v>
      </c>
      <c r="C304" s="1" t="s">
        <v>632</v>
      </c>
      <c r="D304" s="1" t="s">
        <v>1896</v>
      </c>
      <c r="E304" s="1" t="s">
        <v>632</v>
      </c>
      <c r="F304" s="1" t="s">
        <v>45</v>
      </c>
      <c r="G304" s="1">
        <v>29.3</v>
      </c>
      <c r="H304" s="1">
        <v>68.7</v>
      </c>
      <c r="I304" s="1">
        <v>26.6</v>
      </c>
      <c r="J304" s="1">
        <v>68.2</v>
      </c>
      <c r="K304" s="1">
        <v>85.2</v>
      </c>
      <c r="L304" s="1">
        <v>4.0</v>
      </c>
      <c r="M304" s="1">
        <v>5.0</v>
      </c>
      <c r="N304" s="1">
        <v>1.6</v>
      </c>
      <c r="O304" s="1">
        <v>3.3</v>
      </c>
      <c r="P304" s="1">
        <v>0.3</v>
      </c>
      <c r="Q304" s="1">
        <v>23.4</v>
      </c>
      <c r="R304" s="1">
        <v>23.2</v>
      </c>
      <c r="S304" s="1">
        <v>68.9</v>
      </c>
      <c r="AA304" s="1" t="s">
        <v>1409</v>
      </c>
      <c r="AB304" s="1" t="s">
        <v>159</v>
      </c>
      <c r="AC304" s="1" t="s">
        <v>127</v>
      </c>
      <c r="AD304" s="1" t="s">
        <v>1897</v>
      </c>
      <c r="AF304" s="1" t="s">
        <v>75</v>
      </c>
    </row>
    <row r="305">
      <c r="A305" s="1" t="s">
        <v>1898</v>
      </c>
      <c r="B305" s="1" t="s">
        <v>1899</v>
      </c>
      <c r="C305" s="1" t="s">
        <v>632</v>
      </c>
      <c r="D305" s="1" t="s">
        <v>1900</v>
      </c>
      <c r="E305" s="1" t="s">
        <v>632</v>
      </c>
      <c r="F305" s="1" t="s">
        <v>45</v>
      </c>
      <c r="G305" s="1">
        <v>30.6</v>
      </c>
      <c r="H305" s="1">
        <v>67.7</v>
      </c>
      <c r="I305" s="1">
        <v>28.3</v>
      </c>
      <c r="J305" s="1">
        <v>66.6</v>
      </c>
      <c r="K305" s="1">
        <v>87.8</v>
      </c>
      <c r="L305" s="1">
        <v>3.2</v>
      </c>
      <c r="M305" s="1">
        <v>4.2</v>
      </c>
      <c r="N305" s="1">
        <v>1.5</v>
      </c>
      <c r="O305" s="1">
        <v>2.6</v>
      </c>
      <c r="P305" s="1">
        <v>0.3</v>
      </c>
      <c r="Q305" s="1">
        <v>24.8</v>
      </c>
      <c r="R305" s="1">
        <v>25.0</v>
      </c>
      <c r="S305" s="1">
        <v>68.3</v>
      </c>
      <c r="AA305" s="1" t="s">
        <v>1409</v>
      </c>
      <c r="AB305" s="1" t="s">
        <v>49</v>
      </c>
      <c r="AC305" s="1" t="s">
        <v>1901</v>
      </c>
      <c r="AD305" s="1" t="s">
        <v>1818</v>
      </c>
      <c r="AE305" s="1">
        <v>2000.0</v>
      </c>
      <c r="AF305" s="1" t="s">
        <v>75</v>
      </c>
    </row>
    <row r="306">
      <c r="A306" s="1" t="s">
        <v>1902</v>
      </c>
      <c r="B306" s="1" t="s">
        <v>1903</v>
      </c>
      <c r="C306" s="1" t="s">
        <v>632</v>
      </c>
      <c r="D306" s="1" t="s">
        <v>1904</v>
      </c>
      <c r="E306" s="1" t="s">
        <v>632</v>
      </c>
      <c r="F306" s="1" t="s">
        <v>45</v>
      </c>
      <c r="G306" s="1">
        <v>28.4</v>
      </c>
      <c r="H306" s="1">
        <v>69.8</v>
      </c>
      <c r="I306" s="1">
        <v>24.8</v>
      </c>
      <c r="J306" s="1">
        <v>70.2</v>
      </c>
      <c r="K306" s="1">
        <v>85.0</v>
      </c>
      <c r="L306" s="1">
        <v>5.0</v>
      </c>
      <c r="M306" s="1">
        <v>2.6</v>
      </c>
      <c r="N306" s="1">
        <v>1.9</v>
      </c>
      <c r="O306" s="1">
        <v>4.6</v>
      </c>
      <c r="P306" s="1">
        <v>0.4</v>
      </c>
      <c r="Q306" s="1">
        <v>25.4</v>
      </c>
      <c r="R306" s="1">
        <v>25.6</v>
      </c>
      <c r="S306" s="1">
        <v>67.9</v>
      </c>
      <c r="AA306" s="1" t="s">
        <v>1409</v>
      </c>
      <c r="AB306" s="1" t="s">
        <v>159</v>
      </c>
      <c r="AC306" s="1" t="s">
        <v>151</v>
      </c>
      <c r="AD306" s="1" t="s">
        <v>1905</v>
      </c>
      <c r="AF306" s="1" t="s">
        <v>75</v>
      </c>
    </row>
    <row r="307">
      <c r="A307" s="1" t="s">
        <v>1906</v>
      </c>
      <c r="B307" s="1" t="s">
        <v>1907</v>
      </c>
      <c r="C307" s="1" t="s">
        <v>632</v>
      </c>
      <c r="D307" s="1" t="s">
        <v>1908</v>
      </c>
      <c r="E307" s="1" t="s">
        <v>632</v>
      </c>
      <c r="F307" s="1" t="s">
        <v>45</v>
      </c>
      <c r="G307" s="1">
        <v>23.6</v>
      </c>
      <c r="H307" s="1">
        <v>75.0</v>
      </c>
      <c r="I307" s="1">
        <v>22.7</v>
      </c>
      <c r="J307" s="1">
        <v>73.5</v>
      </c>
      <c r="K307" s="1">
        <v>88.3</v>
      </c>
      <c r="L307" s="1">
        <v>1.9</v>
      </c>
      <c r="M307" s="1">
        <v>4.7</v>
      </c>
      <c r="N307" s="1">
        <v>1.1</v>
      </c>
      <c r="O307" s="1">
        <v>3.0</v>
      </c>
      <c r="P307" s="1">
        <v>0.1</v>
      </c>
      <c r="Q307" s="1">
        <v>18.2</v>
      </c>
      <c r="R307" s="1">
        <v>18.5</v>
      </c>
      <c r="S307" s="1">
        <v>75.1</v>
      </c>
      <c r="AA307" s="1" t="s">
        <v>1409</v>
      </c>
      <c r="AB307" s="1" t="s">
        <v>49</v>
      </c>
      <c r="AC307" s="1" t="s">
        <v>384</v>
      </c>
      <c r="AD307" s="1" t="s">
        <v>877</v>
      </c>
      <c r="AE307" s="1" t="s">
        <v>572</v>
      </c>
      <c r="AF307" s="1" t="s">
        <v>75</v>
      </c>
    </row>
    <row r="308">
      <c r="A308" s="1" t="s">
        <v>1910</v>
      </c>
      <c r="B308" s="1" t="s">
        <v>1911</v>
      </c>
      <c r="C308" s="1" t="s">
        <v>395</v>
      </c>
      <c r="D308" s="1" t="s">
        <v>1912</v>
      </c>
      <c r="E308" s="1" t="s">
        <v>632</v>
      </c>
      <c r="F308" s="1" t="s">
        <v>397</v>
      </c>
      <c r="G308" s="1">
        <v>45.3</v>
      </c>
      <c r="H308" s="1">
        <v>52.2</v>
      </c>
      <c r="I308" s="1">
        <v>40.2</v>
      </c>
      <c r="J308" s="1">
        <v>52.0</v>
      </c>
      <c r="K308" s="1">
        <v>86.7</v>
      </c>
      <c r="L308" s="1">
        <v>3.6</v>
      </c>
      <c r="M308" s="1">
        <v>0.7</v>
      </c>
      <c r="N308" s="1">
        <v>1.5</v>
      </c>
      <c r="O308" s="1">
        <v>6.5</v>
      </c>
      <c r="P308" s="1">
        <v>0.2</v>
      </c>
      <c r="Q308" s="1">
        <v>36.3</v>
      </c>
      <c r="R308" s="1">
        <v>37.2</v>
      </c>
      <c r="S308" s="1">
        <v>56.6</v>
      </c>
      <c r="AA308" s="1" t="s">
        <v>1409</v>
      </c>
      <c r="AB308" s="1" t="s">
        <v>159</v>
      </c>
      <c r="AC308" s="1" t="s">
        <v>1049</v>
      </c>
      <c r="AD308" s="1" t="s">
        <v>1913</v>
      </c>
      <c r="AE308" s="1" t="s">
        <v>1914</v>
      </c>
      <c r="AF308" s="1" t="s">
        <v>75</v>
      </c>
    </row>
    <row r="309">
      <c r="A309" s="1" t="s">
        <v>1915</v>
      </c>
      <c r="B309" s="1" t="s">
        <v>1916</v>
      </c>
      <c r="C309" s="1" t="s">
        <v>632</v>
      </c>
      <c r="D309" s="1" t="s">
        <v>1917</v>
      </c>
      <c r="E309" s="1" t="s">
        <v>632</v>
      </c>
      <c r="F309" s="1" t="s">
        <v>45</v>
      </c>
      <c r="G309" s="1">
        <v>35.3</v>
      </c>
      <c r="H309" s="1">
        <v>62.2</v>
      </c>
      <c r="I309" s="1">
        <v>31.5</v>
      </c>
      <c r="J309" s="1">
        <v>61.1</v>
      </c>
      <c r="K309" s="1">
        <v>84.4</v>
      </c>
      <c r="L309" s="1">
        <v>3.5</v>
      </c>
      <c r="M309" s="1">
        <v>1.0</v>
      </c>
      <c r="N309" s="1">
        <v>1.3</v>
      </c>
      <c r="O309" s="1">
        <v>9.1</v>
      </c>
      <c r="P309" s="1">
        <v>0.2</v>
      </c>
      <c r="Q309" s="1">
        <v>30.0</v>
      </c>
      <c r="R309" s="1">
        <v>31.5</v>
      </c>
      <c r="S309" s="1">
        <v>59.7</v>
      </c>
      <c r="AA309" s="1" t="s">
        <v>1409</v>
      </c>
      <c r="AB309" s="1" t="s">
        <v>49</v>
      </c>
      <c r="AC309" s="1" t="s">
        <v>1188</v>
      </c>
      <c r="AD309" s="1" t="s">
        <v>1918</v>
      </c>
      <c r="AE309" s="1">
        <v>2020.0</v>
      </c>
      <c r="AF309" s="1" t="s">
        <v>75</v>
      </c>
    </row>
    <row r="310">
      <c r="A310" s="1" t="s">
        <v>1919</v>
      </c>
      <c r="B310" s="1" t="s">
        <v>1920</v>
      </c>
      <c r="C310" s="1" t="s">
        <v>632</v>
      </c>
      <c r="D310" s="1" t="s">
        <v>1921</v>
      </c>
      <c r="E310" s="1" t="s">
        <v>632</v>
      </c>
      <c r="F310" s="1" t="s">
        <v>45</v>
      </c>
      <c r="G310" s="1">
        <v>43.3</v>
      </c>
      <c r="H310" s="1">
        <v>54.3</v>
      </c>
      <c r="I310" s="1">
        <v>37.6</v>
      </c>
      <c r="J310" s="1">
        <v>55.9</v>
      </c>
      <c r="K310" s="1">
        <v>81.1</v>
      </c>
      <c r="L310" s="1">
        <v>9.0</v>
      </c>
      <c r="M310" s="1">
        <v>4.0</v>
      </c>
      <c r="N310" s="1">
        <v>3.7</v>
      </c>
      <c r="O310" s="1">
        <v>2.1</v>
      </c>
      <c r="P310" s="1">
        <v>0.2</v>
      </c>
      <c r="Q310" s="1">
        <v>34.5</v>
      </c>
      <c r="R310" s="1">
        <v>36.1</v>
      </c>
      <c r="S310" s="1">
        <v>55.9</v>
      </c>
      <c r="AA310" s="1" t="s">
        <v>1409</v>
      </c>
      <c r="AB310" s="1" t="s">
        <v>49</v>
      </c>
      <c r="AC310" s="1" t="s">
        <v>95</v>
      </c>
      <c r="AD310" s="1" t="s">
        <v>1922</v>
      </c>
      <c r="AE310" s="1" t="s">
        <v>1050</v>
      </c>
      <c r="AF310" s="1" t="s">
        <v>75</v>
      </c>
    </row>
    <row r="311">
      <c r="A311" s="1" t="s">
        <v>1923</v>
      </c>
      <c r="B311" s="1" t="s">
        <v>1924</v>
      </c>
      <c r="C311" s="1" t="s">
        <v>632</v>
      </c>
      <c r="D311" s="1" t="s">
        <v>1925</v>
      </c>
      <c r="E311" s="1" t="s">
        <v>632</v>
      </c>
      <c r="F311" s="1" t="s">
        <v>45</v>
      </c>
      <c r="G311" s="1">
        <v>52.2</v>
      </c>
      <c r="H311" s="1">
        <v>45.8</v>
      </c>
      <c r="I311" s="1">
        <v>46.2</v>
      </c>
      <c r="J311" s="1">
        <v>48.1</v>
      </c>
      <c r="K311" s="1">
        <v>71.9</v>
      </c>
      <c r="L311" s="1">
        <v>10.6</v>
      </c>
      <c r="M311" s="1">
        <v>10.5</v>
      </c>
      <c r="N311" s="1">
        <v>4.9</v>
      </c>
      <c r="O311" s="1">
        <v>2.3</v>
      </c>
      <c r="P311" s="1">
        <v>0.2</v>
      </c>
      <c r="Q311" s="1">
        <v>40.4</v>
      </c>
      <c r="R311" s="1">
        <v>45.2</v>
      </c>
      <c r="S311" s="1">
        <v>44.2</v>
      </c>
      <c r="AA311" s="1" t="s">
        <v>1409</v>
      </c>
      <c r="AB311" s="1" t="s">
        <v>49</v>
      </c>
      <c r="AC311" s="1" t="s">
        <v>1072</v>
      </c>
      <c r="AD311" s="1" t="s">
        <v>1927</v>
      </c>
      <c r="AE311" s="1">
        <v>2016.0</v>
      </c>
      <c r="AF311" s="1" t="s">
        <v>75</v>
      </c>
    </row>
    <row r="312">
      <c r="A312" s="1" t="s">
        <v>1928</v>
      </c>
      <c r="B312" s="1" t="s">
        <v>1929</v>
      </c>
      <c r="C312" s="1" t="s">
        <v>632</v>
      </c>
      <c r="D312" s="1" t="s">
        <v>1930</v>
      </c>
      <c r="E312" s="1" t="s">
        <v>632</v>
      </c>
      <c r="F312" s="1" t="s">
        <v>45</v>
      </c>
      <c r="G312" s="1">
        <v>23.1</v>
      </c>
      <c r="H312" s="1">
        <v>74.9</v>
      </c>
      <c r="I312" s="1">
        <v>20.6</v>
      </c>
      <c r="J312" s="1">
        <v>74.2</v>
      </c>
      <c r="K312" s="1">
        <v>84.5</v>
      </c>
      <c r="L312" s="1">
        <v>10.0</v>
      </c>
      <c r="M312" s="1">
        <v>1.6</v>
      </c>
      <c r="N312" s="1">
        <v>1.1</v>
      </c>
      <c r="O312" s="1">
        <v>2.8</v>
      </c>
      <c r="P312" s="1">
        <v>0.2</v>
      </c>
      <c r="Q312" s="1">
        <v>23.2</v>
      </c>
      <c r="R312" s="1">
        <v>24.9</v>
      </c>
      <c r="S312" s="1">
        <v>67.3</v>
      </c>
      <c r="AA312" s="1" t="s">
        <v>1409</v>
      </c>
      <c r="AB312" s="1" t="s">
        <v>49</v>
      </c>
      <c r="AC312" s="1" t="s">
        <v>1931</v>
      </c>
      <c r="AD312" s="1" t="s">
        <v>877</v>
      </c>
      <c r="AE312" s="1">
        <v>2006.0</v>
      </c>
      <c r="AF312" s="1" t="s">
        <v>75</v>
      </c>
    </row>
    <row r="313">
      <c r="A313" s="1" t="s">
        <v>1932</v>
      </c>
      <c r="B313" s="1" t="s">
        <v>1933</v>
      </c>
      <c r="C313" s="1" t="s">
        <v>632</v>
      </c>
      <c r="D313" s="1" t="s">
        <v>1934</v>
      </c>
      <c r="E313" s="1" t="s">
        <v>632</v>
      </c>
      <c r="F313" s="1" t="s">
        <v>45</v>
      </c>
      <c r="G313" s="1">
        <v>43.1</v>
      </c>
      <c r="H313" s="1">
        <v>54.1</v>
      </c>
      <c r="I313" s="1">
        <v>39.2</v>
      </c>
      <c r="J313" s="1">
        <v>52.5</v>
      </c>
      <c r="K313" s="1">
        <v>66.8</v>
      </c>
      <c r="L313" s="1">
        <v>19.8</v>
      </c>
      <c r="M313" s="1">
        <v>2.8</v>
      </c>
      <c r="N313" s="1">
        <v>6.0</v>
      </c>
      <c r="O313" s="1">
        <v>4.5</v>
      </c>
      <c r="P313" s="1">
        <v>0.9</v>
      </c>
      <c r="Q313" s="1">
        <v>27.3</v>
      </c>
      <c r="R313" s="1">
        <v>30.5</v>
      </c>
      <c r="S313" s="1">
        <v>52.0</v>
      </c>
      <c r="AA313" s="1" t="s">
        <v>1409</v>
      </c>
      <c r="AB313" s="1" t="s">
        <v>49</v>
      </c>
      <c r="AC313" s="1" t="s">
        <v>127</v>
      </c>
      <c r="AD313" s="1" t="s">
        <v>1935</v>
      </c>
      <c r="AE313" s="1" t="s">
        <v>1936</v>
      </c>
      <c r="AF313" s="1" t="s">
        <v>75</v>
      </c>
    </row>
    <row r="314">
      <c r="A314" s="1" t="s">
        <v>1939</v>
      </c>
      <c r="B314" s="1" t="s">
        <v>1940</v>
      </c>
      <c r="C314" s="1" t="s">
        <v>632</v>
      </c>
      <c r="D314" s="1" t="s">
        <v>1941</v>
      </c>
      <c r="E314" s="1" t="s">
        <v>632</v>
      </c>
      <c r="F314" s="1" t="s">
        <v>45</v>
      </c>
      <c r="G314" s="1">
        <v>46.9</v>
      </c>
      <c r="H314" s="1">
        <v>51.8</v>
      </c>
      <c r="I314" s="1">
        <v>44.8</v>
      </c>
      <c r="J314" s="1">
        <v>51.9</v>
      </c>
      <c r="K314" s="1">
        <v>67.4</v>
      </c>
      <c r="L314" s="1">
        <v>14.8</v>
      </c>
      <c r="M314" s="1">
        <v>12.6</v>
      </c>
      <c r="N314" s="1">
        <v>4.3</v>
      </c>
      <c r="O314" s="1">
        <v>2.0</v>
      </c>
      <c r="P314" s="1">
        <v>0.2</v>
      </c>
      <c r="Q314" s="1">
        <v>28.0</v>
      </c>
      <c r="R314" s="1">
        <v>32.0</v>
      </c>
      <c r="S314" s="1">
        <v>49.6</v>
      </c>
      <c r="AA314" s="1" t="s">
        <v>1409</v>
      </c>
      <c r="AB314" s="1" t="s">
        <v>49</v>
      </c>
      <c r="AC314" s="1" t="s">
        <v>529</v>
      </c>
      <c r="AD314" s="1" t="s">
        <v>1942</v>
      </c>
      <c r="AE314" s="1">
        <v>2018.0</v>
      </c>
      <c r="AF314" s="1" t="s">
        <v>75</v>
      </c>
    </row>
    <row r="315">
      <c r="A315" s="1" t="s">
        <v>1943</v>
      </c>
      <c r="B315" s="1" t="s">
        <v>1944</v>
      </c>
      <c r="C315" s="1" t="s">
        <v>632</v>
      </c>
      <c r="D315" s="1" t="s">
        <v>1945</v>
      </c>
      <c r="E315" s="1" t="s">
        <v>632</v>
      </c>
      <c r="F315" s="1" t="s">
        <v>45</v>
      </c>
      <c r="G315" s="1">
        <v>38.1</v>
      </c>
      <c r="H315" s="1">
        <v>60.6</v>
      </c>
      <c r="I315" s="1">
        <v>34.5</v>
      </c>
      <c r="J315" s="1">
        <v>62.4</v>
      </c>
      <c r="K315" s="1">
        <v>82.0</v>
      </c>
      <c r="L315" s="1">
        <v>9.1</v>
      </c>
      <c r="M315" s="1">
        <v>4.2</v>
      </c>
      <c r="N315" s="1">
        <v>3.3</v>
      </c>
      <c r="O315" s="1">
        <v>1.1</v>
      </c>
      <c r="P315" s="1">
        <v>0.1</v>
      </c>
      <c r="Q315" s="1">
        <v>37.2</v>
      </c>
      <c r="R315" s="1">
        <v>38.4</v>
      </c>
      <c r="S315" s="1">
        <v>53.5</v>
      </c>
      <c r="AA315" s="1" t="s">
        <v>1409</v>
      </c>
      <c r="AB315" s="1" t="s">
        <v>49</v>
      </c>
      <c r="AC315" s="1" t="s">
        <v>643</v>
      </c>
      <c r="AD315" s="1" t="s">
        <v>877</v>
      </c>
      <c r="AE315" s="1">
        <v>1980.0</v>
      </c>
      <c r="AF315" s="1" t="s">
        <v>75</v>
      </c>
    </row>
    <row r="316">
      <c r="A316" s="1" t="s">
        <v>1946</v>
      </c>
      <c r="B316" s="1" t="s">
        <v>1947</v>
      </c>
      <c r="C316" s="1" t="s">
        <v>43</v>
      </c>
      <c r="D316" s="1" t="s">
        <v>1948</v>
      </c>
      <c r="E316" s="1" t="s">
        <v>632</v>
      </c>
      <c r="F316" s="1" t="s">
        <v>397</v>
      </c>
      <c r="G316" s="1">
        <v>51.1</v>
      </c>
      <c r="H316" s="1">
        <v>47.3</v>
      </c>
      <c r="I316" s="1">
        <v>45.2</v>
      </c>
      <c r="J316" s="1">
        <v>50.8</v>
      </c>
      <c r="K316" s="1">
        <v>73.5</v>
      </c>
      <c r="L316" s="1">
        <v>10.8</v>
      </c>
      <c r="M316" s="1">
        <v>5.9</v>
      </c>
      <c r="N316" s="1">
        <v>8.7</v>
      </c>
      <c r="O316" s="1">
        <v>1.1</v>
      </c>
      <c r="P316" s="1">
        <v>0.1</v>
      </c>
      <c r="Q316" s="1">
        <v>52.1</v>
      </c>
      <c r="R316" s="1">
        <v>53.1</v>
      </c>
      <c r="S316" s="1">
        <v>37.5</v>
      </c>
      <c r="AA316" s="1" t="s">
        <v>1409</v>
      </c>
      <c r="AB316" s="1" t="s">
        <v>970</v>
      </c>
      <c r="AC316" s="1" t="s">
        <v>1486</v>
      </c>
      <c r="AD316" s="1" t="s">
        <v>1949</v>
      </c>
      <c r="AF316" s="1" t="s">
        <v>75</v>
      </c>
    </row>
    <row r="317">
      <c r="A317" s="1" t="s">
        <v>1950</v>
      </c>
      <c r="B317" s="1" t="s">
        <v>1951</v>
      </c>
      <c r="C317" s="1" t="s">
        <v>632</v>
      </c>
      <c r="D317" s="1" t="s">
        <v>1952</v>
      </c>
      <c r="E317" s="1" t="s">
        <v>632</v>
      </c>
      <c r="F317" s="1" t="s">
        <v>45</v>
      </c>
      <c r="G317" s="1">
        <v>49.5</v>
      </c>
      <c r="H317" s="1">
        <v>49.3</v>
      </c>
      <c r="I317" s="1">
        <v>44.0</v>
      </c>
      <c r="J317" s="1">
        <v>51.9</v>
      </c>
      <c r="K317" s="1">
        <v>74.3</v>
      </c>
      <c r="L317" s="1">
        <v>13.4</v>
      </c>
      <c r="M317" s="1">
        <v>5.5</v>
      </c>
      <c r="N317" s="1">
        <v>5.8</v>
      </c>
      <c r="O317" s="1">
        <v>1.3</v>
      </c>
      <c r="P317" s="1">
        <v>0.1</v>
      </c>
      <c r="Q317" s="1">
        <v>44.8</v>
      </c>
      <c r="R317" s="1">
        <v>47.1</v>
      </c>
      <c r="S317" s="1">
        <v>43.5</v>
      </c>
      <c r="AA317" s="1" t="s">
        <v>1409</v>
      </c>
      <c r="AB317" s="1" t="s">
        <v>159</v>
      </c>
      <c r="AC317" s="1" t="s">
        <v>1953</v>
      </c>
      <c r="AD317" s="1" t="s">
        <v>1954</v>
      </c>
      <c r="AF317" s="1" t="s">
        <v>75</v>
      </c>
    </row>
    <row r="318">
      <c r="A318" s="1" t="s">
        <v>1955</v>
      </c>
      <c r="B318" s="1" t="s">
        <v>1956</v>
      </c>
      <c r="C318" s="1" t="s">
        <v>632</v>
      </c>
      <c r="D318" s="1" t="s">
        <v>1957</v>
      </c>
      <c r="E318" s="1" t="s">
        <v>632</v>
      </c>
      <c r="F318" s="1" t="s">
        <v>45</v>
      </c>
      <c r="G318" s="1">
        <v>48.7</v>
      </c>
      <c r="H318" s="1">
        <v>50.2</v>
      </c>
      <c r="I318" s="1">
        <v>44.8</v>
      </c>
      <c r="J318" s="1">
        <v>51.4</v>
      </c>
      <c r="K318" s="1">
        <v>59.5</v>
      </c>
      <c r="L318" s="1">
        <v>24.8</v>
      </c>
      <c r="M318" s="1">
        <v>11.6</v>
      </c>
      <c r="N318" s="1">
        <v>3.9</v>
      </c>
      <c r="O318" s="1">
        <v>1.8</v>
      </c>
      <c r="P318" s="1">
        <v>0.1</v>
      </c>
      <c r="Q318" s="1">
        <v>30.3</v>
      </c>
      <c r="R318" s="1">
        <v>34.3</v>
      </c>
      <c r="S318" s="1">
        <v>44.3</v>
      </c>
      <c r="AA318" s="1" t="s">
        <v>1409</v>
      </c>
      <c r="AB318" s="1" t="s">
        <v>49</v>
      </c>
      <c r="AC318" s="1" t="s">
        <v>1646</v>
      </c>
      <c r="AD318" s="1" t="s">
        <v>1958</v>
      </c>
      <c r="AE318" s="1">
        <v>2020.0</v>
      </c>
      <c r="AF318" s="1" t="s">
        <v>75</v>
      </c>
    </row>
    <row r="319">
      <c r="A319" s="1" t="s">
        <v>1959</v>
      </c>
      <c r="B319" s="1" t="s">
        <v>1960</v>
      </c>
      <c r="C319" s="1" t="s">
        <v>43</v>
      </c>
      <c r="D319" s="1" t="s">
        <v>1961</v>
      </c>
      <c r="E319" s="1" t="s">
        <v>632</v>
      </c>
      <c r="F319" s="1" t="s">
        <v>397</v>
      </c>
      <c r="G319" s="1">
        <v>53.6</v>
      </c>
      <c r="H319" s="1">
        <v>45.4</v>
      </c>
      <c r="I319" s="1">
        <v>50.8</v>
      </c>
      <c r="J319" s="1">
        <v>45.7</v>
      </c>
      <c r="K319" s="1">
        <v>58.3</v>
      </c>
      <c r="L319" s="1">
        <v>12.8</v>
      </c>
      <c r="M319" s="1">
        <v>4.5</v>
      </c>
      <c r="N319" s="1">
        <v>23.6</v>
      </c>
      <c r="O319" s="1">
        <v>0.8</v>
      </c>
      <c r="P319" s="1">
        <v>0.1</v>
      </c>
      <c r="Q319" s="1">
        <v>49.5</v>
      </c>
      <c r="R319" s="1">
        <v>51.1</v>
      </c>
      <c r="S319" s="1">
        <v>33.0</v>
      </c>
      <c r="AA319" s="1" t="s">
        <v>1409</v>
      </c>
      <c r="AB319" s="1" t="s">
        <v>159</v>
      </c>
      <c r="AC319" s="1" t="s">
        <v>1962</v>
      </c>
      <c r="AD319" s="1" t="s">
        <v>1963</v>
      </c>
      <c r="AF319" s="1" t="s">
        <v>1964</v>
      </c>
    </row>
    <row r="320">
      <c r="A320" s="1" t="s">
        <v>1965</v>
      </c>
      <c r="B320" s="1" t="s">
        <v>1966</v>
      </c>
      <c r="C320" s="1" t="s">
        <v>43</v>
      </c>
      <c r="D320" s="1" t="s">
        <v>1967</v>
      </c>
      <c r="E320" s="1" t="s">
        <v>632</v>
      </c>
      <c r="F320" s="1" t="s">
        <v>397</v>
      </c>
      <c r="G320" s="1">
        <v>56.8</v>
      </c>
      <c r="H320" s="1">
        <v>42.2</v>
      </c>
      <c r="I320" s="1">
        <v>54.3</v>
      </c>
      <c r="J320" s="1">
        <v>42.2</v>
      </c>
      <c r="K320" s="1">
        <v>52.9</v>
      </c>
      <c r="L320" s="1">
        <v>20.3</v>
      </c>
      <c r="M320" s="1">
        <v>18.9</v>
      </c>
      <c r="N320" s="1">
        <v>7.8</v>
      </c>
      <c r="O320" s="1">
        <v>1.3</v>
      </c>
      <c r="P320" s="1">
        <v>0.1</v>
      </c>
      <c r="Q320" s="1">
        <v>42.4</v>
      </c>
      <c r="R320" s="1">
        <v>50.5</v>
      </c>
      <c r="S320" s="1">
        <v>29.6</v>
      </c>
      <c r="AA320" s="1" t="s">
        <v>1409</v>
      </c>
      <c r="AB320" s="1" t="s">
        <v>159</v>
      </c>
      <c r="AC320" s="1" t="s">
        <v>1969</v>
      </c>
      <c r="AD320" s="1" t="s">
        <v>1970</v>
      </c>
      <c r="AF320" s="1" t="s">
        <v>75</v>
      </c>
    </row>
    <row r="321">
      <c r="A321" s="1" t="s">
        <v>1971</v>
      </c>
      <c r="B321" s="1" t="s">
        <v>1972</v>
      </c>
      <c r="C321" s="1" t="s">
        <v>632</v>
      </c>
      <c r="D321" s="1" t="s">
        <v>1973</v>
      </c>
      <c r="E321" s="1" t="s">
        <v>632</v>
      </c>
      <c r="F321" s="1" t="s">
        <v>45</v>
      </c>
      <c r="G321" s="1">
        <v>45.7</v>
      </c>
      <c r="H321" s="1">
        <v>53.4</v>
      </c>
      <c r="I321" s="1">
        <v>44.4</v>
      </c>
      <c r="J321" s="1">
        <v>52.3</v>
      </c>
      <c r="K321" s="1">
        <v>54.1</v>
      </c>
      <c r="L321" s="1">
        <v>16.5</v>
      </c>
      <c r="M321" s="1">
        <v>8.2</v>
      </c>
      <c r="N321" s="1">
        <v>21.7</v>
      </c>
      <c r="O321" s="1">
        <v>1.5</v>
      </c>
      <c r="P321" s="1">
        <v>0.2</v>
      </c>
      <c r="Q321" s="1">
        <v>35.5</v>
      </c>
      <c r="R321" s="1">
        <v>39.8</v>
      </c>
      <c r="S321" s="1">
        <v>37.4</v>
      </c>
      <c r="AA321" s="1" t="s">
        <v>1409</v>
      </c>
      <c r="AB321" s="1" t="s">
        <v>49</v>
      </c>
      <c r="AC321" s="1" t="s">
        <v>1974</v>
      </c>
      <c r="AD321" s="1" t="s">
        <v>1975</v>
      </c>
      <c r="AE321" s="1">
        <v>2020.0</v>
      </c>
      <c r="AF321" s="1" t="s">
        <v>1976</v>
      </c>
    </row>
    <row r="322">
      <c r="A322" s="1" t="s">
        <v>1977</v>
      </c>
      <c r="B322" s="1" t="s">
        <v>1978</v>
      </c>
      <c r="C322" s="1" t="s">
        <v>43</v>
      </c>
      <c r="D322" s="1" t="s">
        <v>1979</v>
      </c>
      <c r="E322" s="1" t="s">
        <v>632</v>
      </c>
      <c r="F322" s="1" t="s">
        <v>397</v>
      </c>
      <c r="G322" s="1">
        <v>54.5</v>
      </c>
      <c r="H322" s="1">
        <v>44.4</v>
      </c>
      <c r="I322" s="1">
        <v>52.0</v>
      </c>
      <c r="J322" s="1">
        <v>43.9</v>
      </c>
      <c r="K322" s="1">
        <v>65.8</v>
      </c>
      <c r="L322" s="1">
        <v>18.4</v>
      </c>
      <c r="M322" s="1">
        <v>9.4</v>
      </c>
      <c r="N322" s="1">
        <v>6.0</v>
      </c>
      <c r="O322" s="1">
        <v>1.3</v>
      </c>
      <c r="P322" s="1">
        <v>0.1</v>
      </c>
      <c r="Q322" s="1">
        <v>46.6</v>
      </c>
      <c r="R322" s="1">
        <v>51.8</v>
      </c>
      <c r="S322" s="1">
        <v>35.5</v>
      </c>
      <c r="AA322" s="1" t="s">
        <v>1409</v>
      </c>
      <c r="AB322" s="1" t="s">
        <v>970</v>
      </c>
      <c r="AC322" s="1" t="s">
        <v>95</v>
      </c>
      <c r="AD322" s="1" t="s">
        <v>1980</v>
      </c>
      <c r="AF322" s="1" t="s">
        <v>75</v>
      </c>
    </row>
    <row r="323">
      <c r="A323" s="1" t="s">
        <v>1981</v>
      </c>
      <c r="B323" s="1" t="s">
        <v>1982</v>
      </c>
      <c r="C323" s="1" t="s">
        <v>43</v>
      </c>
      <c r="D323" s="1" t="s">
        <v>1983</v>
      </c>
      <c r="E323" s="1" t="s">
        <v>632</v>
      </c>
      <c r="F323" s="1" t="s">
        <v>397</v>
      </c>
      <c r="G323" s="1">
        <v>51.3</v>
      </c>
      <c r="H323" s="1">
        <v>46.7</v>
      </c>
      <c r="I323" s="1">
        <v>45.8</v>
      </c>
      <c r="J323" s="1">
        <v>47.5</v>
      </c>
      <c r="K323" s="1">
        <v>82.0</v>
      </c>
      <c r="L323" s="1">
        <v>5.7</v>
      </c>
      <c r="M323" s="1">
        <v>5.4</v>
      </c>
      <c r="N323" s="1">
        <v>4.3</v>
      </c>
      <c r="O323" s="1">
        <v>2.0</v>
      </c>
      <c r="P323" s="1">
        <v>0.1</v>
      </c>
      <c r="Q323" s="1">
        <v>30.7</v>
      </c>
      <c r="R323" s="1">
        <v>31.0</v>
      </c>
      <c r="S323" s="1">
        <v>60.8</v>
      </c>
      <c r="AA323" s="1" t="s">
        <v>1409</v>
      </c>
      <c r="AB323" s="1" t="s">
        <v>159</v>
      </c>
      <c r="AC323" s="1" t="s">
        <v>1297</v>
      </c>
      <c r="AD323" s="1" t="s">
        <v>1986</v>
      </c>
      <c r="AF323" s="1" t="s">
        <v>75</v>
      </c>
    </row>
    <row r="324">
      <c r="A324" s="1" t="s">
        <v>1987</v>
      </c>
      <c r="B324" s="1" t="s">
        <v>1988</v>
      </c>
      <c r="C324" s="1" t="s">
        <v>632</v>
      </c>
      <c r="D324" s="1" t="s">
        <v>1989</v>
      </c>
      <c r="E324" s="1" t="s">
        <v>632</v>
      </c>
      <c r="F324" s="1" t="s">
        <v>45</v>
      </c>
      <c r="G324" s="1">
        <v>42.8</v>
      </c>
      <c r="H324" s="1">
        <v>55.2</v>
      </c>
      <c r="I324" s="1">
        <v>38.6</v>
      </c>
      <c r="J324" s="1">
        <v>54.3</v>
      </c>
      <c r="K324" s="1">
        <v>88.1</v>
      </c>
      <c r="L324" s="1">
        <v>3.6</v>
      </c>
      <c r="M324" s="1">
        <v>3.4</v>
      </c>
      <c r="N324" s="1">
        <v>1.4</v>
      </c>
      <c r="O324" s="1">
        <v>2.7</v>
      </c>
      <c r="P324" s="1">
        <v>0.1</v>
      </c>
      <c r="Q324" s="1">
        <v>24.8</v>
      </c>
      <c r="R324" s="1">
        <v>25.3</v>
      </c>
      <c r="S324" s="1">
        <v>68.5</v>
      </c>
      <c r="AA324" s="1" t="s">
        <v>1409</v>
      </c>
      <c r="AB324" s="1" t="s">
        <v>49</v>
      </c>
      <c r="AC324" s="1" t="s">
        <v>1990</v>
      </c>
      <c r="AD324" s="1" t="s">
        <v>1991</v>
      </c>
      <c r="AE324" s="1">
        <v>2014.0</v>
      </c>
      <c r="AF324" s="1" t="s">
        <v>75</v>
      </c>
    </row>
    <row r="325">
      <c r="A325" s="1" t="s">
        <v>1992</v>
      </c>
      <c r="B325" s="1" t="s">
        <v>1993</v>
      </c>
      <c r="C325" s="1" t="s">
        <v>632</v>
      </c>
      <c r="D325" s="1" t="s">
        <v>1994</v>
      </c>
      <c r="E325" s="1" t="s">
        <v>632</v>
      </c>
      <c r="F325" s="1" t="s">
        <v>45</v>
      </c>
      <c r="G325" s="1">
        <v>40.4</v>
      </c>
      <c r="H325" s="1">
        <v>57.6</v>
      </c>
      <c r="I325" s="1">
        <v>35.1</v>
      </c>
      <c r="J325" s="1">
        <v>59.2</v>
      </c>
      <c r="K325" s="1">
        <v>89.7</v>
      </c>
      <c r="L325" s="1">
        <v>3.1</v>
      </c>
      <c r="M325" s="1">
        <v>3.0</v>
      </c>
      <c r="N325" s="1">
        <v>1.4</v>
      </c>
      <c r="O325" s="1">
        <v>2.1</v>
      </c>
      <c r="P325" s="1">
        <v>0.1</v>
      </c>
      <c r="Q325" s="1">
        <v>28.2</v>
      </c>
      <c r="R325" s="1">
        <v>28.6</v>
      </c>
      <c r="S325" s="1">
        <v>66.4</v>
      </c>
      <c r="AA325" s="1" t="s">
        <v>1409</v>
      </c>
      <c r="AB325" s="1" t="s">
        <v>159</v>
      </c>
      <c r="AC325" s="1" t="s">
        <v>1953</v>
      </c>
      <c r="AD325" s="1" t="s">
        <v>1995</v>
      </c>
      <c r="AF325" s="1" t="s">
        <v>75</v>
      </c>
    </row>
    <row r="326">
      <c r="A326" s="1" t="s">
        <v>1996</v>
      </c>
      <c r="B326" s="1" t="s">
        <v>1997</v>
      </c>
      <c r="C326" s="1" t="s">
        <v>632</v>
      </c>
      <c r="D326" s="1" t="s">
        <v>1998</v>
      </c>
      <c r="E326" s="1" t="s">
        <v>632</v>
      </c>
      <c r="F326" s="1" t="s">
        <v>45</v>
      </c>
      <c r="G326" s="1">
        <v>40.3</v>
      </c>
      <c r="H326" s="1">
        <v>57.5</v>
      </c>
      <c r="I326" s="1">
        <v>35.8</v>
      </c>
      <c r="J326" s="1">
        <v>57.2</v>
      </c>
      <c r="K326" s="1">
        <v>88.7</v>
      </c>
      <c r="L326" s="1">
        <v>3.6</v>
      </c>
      <c r="M326" s="1">
        <v>3.8</v>
      </c>
      <c r="N326" s="1">
        <v>1.1</v>
      </c>
      <c r="O326" s="1">
        <v>2.0</v>
      </c>
      <c r="P326" s="1">
        <v>0.1</v>
      </c>
      <c r="Q326" s="1">
        <v>24.1</v>
      </c>
      <c r="R326" s="1">
        <v>24.7</v>
      </c>
      <c r="S326" s="1">
        <v>69.2</v>
      </c>
      <c r="AA326" s="1" t="s">
        <v>1409</v>
      </c>
      <c r="AB326" s="1" t="s">
        <v>49</v>
      </c>
      <c r="AC326" s="1" t="s">
        <v>1999</v>
      </c>
      <c r="AD326" s="1" t="s">
        <v>2000</v>
      </c>
      <c r="AE326" s="1" t="s">
        <v>2001</v>
      </c>
      <c r="AF326" s="1" t="s">
        <v>75</v>
      </c>
    </row>
    <row r="327">
      <c r="A327" s="1" t="s">
        <v>2002</v>
      </c>
      <c r="B327" s="1" t="s">
        <v>2003</v>
      </c>
      <c r="C327" s="1" t="s">
        <v>632</v>
      </c>
      <c r="D327" s="1" t="s">
        <v>2004</v>
      </c>
      <c r="E327" s="1" t="s">
        <v>632</v>
      </c>
      <c r="F327" s="1" t="s">
        <v>45</v>
      </c>
      <c r="G327" s="1">
        <v>36.7</v>
      </c>
      <c r="H327" s="1">
        <v>62.0</v>
      </c>
      <c r="I327" s="1">
        <v>35.3</v>
      </c>
      <c r="J327" s="1">
        <v>61.4</v>
      </c>
      <c r="K327" s="1">
        <v>67.4</v>
      </c>
      <c r="L327" s="1">
        <v>9.3</v>
      </c>
      <c r="M327" s="1">
        <v>18.9</v>
      </c>
      <c r="N327" s="1">
        <v>2.2</v>
      </c>
      <c r="O327" s="1">
        <v>2.5</v>
      </c>
      <c r="P327" s="1">
        <v>0.3</v>
      </c>
      <c r="Q327" s="1">
        <v>22.5</v>
      </c>
      <c r="R327" s="1">
        <v>26.2</v>
      </c>
      <c r="S327" s="1">
        <v>52.4</v>
      </c>
      <c r="AA327" s="1" t="s">
        <v>1409</v>
      </c>
      <c r="AB327" s="1" t="s">
        <v>49</v>
      </c>
      <c r="AC327" s="1" t="s">
        <v>73</v>
      </c>
      <c r="AD327" s="1" t="s">
        <v>1081</v>
      </c>
      <c r="AE327" s="1" t="s">
        <v>2005</v>
      </c>
      <c r="AF327" s="1" t="s">
        <v>75</v>
      </c>
    </row>
    <row r="328">
      <c r="A328" s="1" t="s">
        <v>2006</v>
      </c>
      <c r="B328" s="1" t="s">
        <v>2007</v>
      </c>
      <c r="C328" s="1" t="s">
        <v>632</v>
      </c>
      <c r="D328" s="1" t="s">
        <v>2008</v>
      </c>
      <c r="E328" s="1" t="s">
        <v>632</v>
      </c>
      <c r="F328" s="1" t="s">
        <v>45</v>
      </c>
      <c r="G328" s="1">
        <v>38.8</v>
      </c>
      <c r="H328" s="1">
        <v>60.1</v>
      </c>
      <c r="I328" s="1">
        <v>36.7</v>
      </c>
      <c r="J328" s="1">
        <v>59.2</v>
      </c>
      <c r="K328" s="1">
        <v>75.7</v>
      </c>
      <c r="L328" s="1">
        <v>8.2</v>
      </c>
      <c r="M328" s="1">
        <v>12.5</v>
      </c>
      <c r="N328" s="1">
        <v>1.8</v>
      </c>
      <c r="O328" s="1">
        <v>2.1</v>
      </c>
      <c r="P328" s="1">
        <v>0.1</v>
      </c>
      <c r="Q328" s="1">
        <v>25.9</v>
      </c>
      <c r="R328" s="1">
        <v>27.3</v>
      </c>
      <c r="S328" s="1">
        <v>59.6</v>
      </c>
      <c r="AA328" s="1" t="s">
        <v>1409</v>
      </c>
      <c r="AB328" s="1" t="s">
        <v>49</v>
      </c>
      <c r="AC328" s="1" t="s">
        <v>1060</v>
      </c>
      <c r="AD328" s="1" t="s">
        <v>2009</v>
      </c>
      <c r="AE328" s="1">
        <v>2004.0</v>
      </c>
      <c r="AF328" s="1" t="s">
        <v>75</v>
      </c>
    </row>
    <row r="329">
      <c r="A329" s="1" t="s">
        <v>2011</v>
      </c>
      <c r="B329" s="1" t="s">
        <v>2012</v>
      </c>
      <c r="C329" s="1" t="s">
        <v>632</v>
      </c>
      <c r="D329" s="1" t="s">
        <v>2013</v>
      </c>
      <c r="E329" s="1" t="s">
        <v>632</v>
      </c>
      <c r="F329" s="1" t="s">
        <v>45</v>
      </c>
      <c r="G329" s="1">
        <v>43.1</v>
      </c>
      <c r="H329" s="1">
        <v>55.8</v>
      </c>
      <c r="I329" s="1">
        <v>41.7</v>
      </c>
      <c r="J329" s="1">
        <v>54.6</v>
      </c>
      <c r="K329" s="1">
        <v>64.9</v>
      </c>
      <c r="L329" s="1">
        <v>6.3</v>
      </c>
      <c r="M329" s="1">
        <v>19.0</v>
      </c>
      <c r="N329" s="1">
        <v>1.6</v>
      </c>
      <c r="O329" s="1">
        <v>8.6</v>
      </c>
      <c r="P329" s="1">
        <v>0.2</v>
      </c>
      <c r="Q329" s="1">
        <v>28.0</v>
      </c>
      <c r="R329" s="1">
        <v>33.2</v>
      </c>
      <c r="S329" s="1">
        <v>45.2</v>
      </c>
      <c r="AA329" s="1" t="s">
        <v>1409</v>
      </c>
      <c r="AB329" s="1" t="s">
        <v>49</v>
      </c>
      <c r="AC329" s="1" t="s">
        <v>541</v>
      </c>
      <c r="AD329" s="1" t="s">
        <v>2014</v>
      </c>
      <c r="AE329" s="1">
        <v>2014.0</v>
      </c>
      <c r="AF329" s="1" t="s">
        <v>75</v>
      </c>
    </row>
    <row r="330">
      <c r="A330" s="1" t="s">
        <v>2015</v>
      </c>
      <c r="B330" s="1" t="s">
        <v>2016</v>
      </c>
      <c r="C330" s="1" t="s">
        <v>632</v>
      </c>
      <c r="D330" s="1" t="s">
        <v>2017</v>
      </c>
      <c r="E330" s="1" t="s">
        <v>632</v>
      </c>
      <c r="F330" s="1" t="s">
        <v>45</v>
      </c>
      <c r="G330" s="1">
        <v>32.4</v>
      </c>
      <c r="H330" s="1">
        <v>66.5</v>
      </c>
      <c r="I330" s="1">
        <v>30.1</v>
      </c>
      <c r="J330" s="1">
        <v>66.4</v>
      </c>
      <c r="K330" s="1">
        <v>72.7</v>
      </c>
      <c r="L330" s="1">
        <v>8.2</v>
      </c>
      <c r="M330" s="1">
        <v>14.5</v>
      </c>
      <c r="N330" s="1">
        <v>2.4</v>
      </c>
      <c r="O330" s="1">
        <v>2.4</v>
      </c>
      <c r="P330" s="1">
        <v>0.1</v>
      </c>
      <c r="Q330" s="1">
        <v>24.2</v>
      </c>
      <c r="R330" s="1">
        <v>25.9</v>
      </c>
      <c r="S330" s="1">
        <v>58.3</v>
      </c>
      <c r="AA330" s="1" t="s">
        <v>1409</v>
      </c>
      <c r="AB330" s="1" t="s">
        <v>49</v>
      </c>
      <c r="AC330" s="1" t="s">
        <v>811</v>
      </c>
      <c r="AD330" s="1" t="s">
        <v>511</v>
      </c>
      <c r="AE330" s="1" t="s">
        <v>2005</v>
      </c>
      <c r="AF330" s="1" t="s">
        <v>75</v>
      </c>
    </row>
    <row r="331">
      <c r="A331" s="1" t="s">
        <v>2018</v>
      </c>
      <c r="B331" s="1" t="s">
        <v>2019</v>
      </c>
      <c r="C331" s="1" t="s">
        <v>632</v>
      </c>
      <c r="D331" s="1" t="s">
        <v>2020</v>
      </c>
      <c r="E331" s="1" t="s">
        <v>632</v>
      </c>
      <c r="F331" s="1" t="s">
        <v>45</v>
      </c>
      <c r="G331" s="1">
        <v>45.3</v>
      </c>
      <c r="H331" s="1">
        <v>53.3</v>
      </c>
      <c r="I331" s="1">
        <v>44.1</v>
      </c>
      <c r="J331" s="1">
        <v>52.3</v>
      </c>
      <c r="K331" s="1">
        <v>59.0</v>
      </c>
      <c r="L331" s="1">
        <v>10.7</v>
      </c>
      <c r="M331" s="1">
        <v>24.6</v>
      </c>
      <c r="N331" s="1">
        <v>2.8</v>
      </c>
      <c r="O331" s="1">
        <v>3.8</v>
      </c>
      <c r="P331" s="1">
        <v>0.4</v>
      </c>
      <c r="Q331" s="1">
        <v>26.6</v>
      </c>
      <c r="R331" s="1">
        <v>30.5</v>
      </c>
      <c r="S331" s="1">
        <v>44.0</v>
      </c>
      <c r="AA331" s="1" t="s">
        <v>1409</v>
      </c>
      <c r="AB331" s="1" t="s">
        <v>49</v>
      </c>
      <c r="AC331" s="1" t="s">
        <v>1479</v>
      </c>
      <c r="AD331" s="1" t="s">
        <v>2021</v>
      </c>
      <c r="AE331" s="1">
        <v>2012.0</v>
      </c>
      <c r="AF331" s="1" t="s">
        <v>75</v>
      </c>
    </row>
    <row r="332">
      <c r="A332" s="1" t="s">
        <v>2022</v>
      </c>
      <c r="B332" s="1" t="s">
        <v>2023</v>
      </c>
      <c r="C332" s="1" t="s">
        <v>632</v>
      </c>
      <c r="D332" s="1" t="s">
        <v>2024</v>
      </c>
      <c r="E332" s="1" t="s">
        <v>632</v>
      </c>
      <c r="F332" s="1" t="s">
        <v>45</v>
      </c>
      <c r="G332" s="1">
        <v>29.7</v>
      </c>
      <c r="H332" s="1">
        <v>69.2</v>
      </c>
      <c r="I332" s="1">
        <v>28.2</v>
      </c>
      <c r="J332" s="1">
        <v>68.3</v>
      </c>
      <c r="K332" s="1">
        <v>78.5</v>
      </c>
      <c r="L332" s="1">
        <v>6.3</v>
      </c>
      <c r="M332" s="1">
        <v>10.5</v>
      </c>
      <c r="N332" s="1">
        <v>2.4</v>
      </c>
      <c r="O332" s="1">
        <v>2.3</v>
      </c>
      <c r="P332" s="1">
        <v>0.1</v>
      </c>
      <c r="Q332" s="1">
        <v>22.0</v>
      </c>
      <c r="R332" s="1">
        <v>23.6</v>
      </c>
      <c r="S332" s="1">
        <v>63.9</v>
      </c>
      <c r="AA332" s="1" t="s">
        <v>1409</v>
      </c>
      <c r="AB332" s="1" t="s">
        <v>49</v>
      </c>
      <c r="AC332" s="1" t="s">
        <v>2025</v>
      </c>
      <c r="AD332" s="1" t="s">
        <v>2026</v>
      </c>
      <c r="AE332" s="1">
        <v>2004.0</v>
      </c>
      <c r="AF332" s="1" t="s">
        <v>75</v>
      </c>
    </row>
    <row r="333">
      <c r="A333" s="1" t="s">
        <v>2027</v>
      </c>
      <c r="B333" s="1" t="s">
        <v>2028</v>
      </c>
      <c r="C333" s="1" t="s">
        <v>632</v>
      </c>
      <c r="D333" s="1" t="s">
        <v>2029</v>
      </c>
      <c r="E333" s="1" t="s">
        <v>632</v>
      </c>
      <c r="F333" s="1" t="s">
        <v>45</v>
      </c>
      <c r="G333" s="1">
        <v>44.3</v>
      </c>
      <c r="H333" s="1">
        <v>54.4</v>
      </c>
      <c r="I333" s="1">
        <v>40.1</v>
      </c>
      <c r="J333" s="1">
        <v>55.2</v>
      </c>
      <c r="K333" s="1">
        <v>84.7</v>
      </c>
      <c r="L333" s="1">
        <v>6.2</v>
      </c>
      <c r="M333" s="1">
        <v>4.0</v>
      </c>
      <c r="N333" s="1">
        <v>1.3</v>
      </c>
      <c r="O333" s="1">
        <v>3.5</v>
      </c>
      <c r="P333" s="1">
        <v>0.2</v>
      </c>
      <c r="Q333" s="1">
        <v>32.2</v>
      </c>
      <c r="R333" s="1">
        <v>33.7</v>
      </c>
      <c r="S333" s="1">
        <v>59.8</v>
      </c>
      <c r="AA333" s="1" t="s">
        <v>1409</v>
      </c>
      <c r="AB333" s="1" t="s">
        <v>159</v>
      </c>
      <c r="AC333" s="1" t="s">
        <v>1527</v>
      </c>
      <c r="AD333" s="1" t="s">
        <v>2031</v>
      </c>
      <c r="AF333" s="1" t="s">
        <v>75</v>
      </c>
    </row>
    <row r="334">
      <c r="A334" s="1" t="s">
        <v>2032</v>
      </c>
      <c r="B334" s="1" t="s">
        <v>2033</v>
      </c>
      <c r="C334" s="1" t="s">
        <v>632</v>
      </c>
      <c r="D334" s="1" t="s">
        <v>2034</v>
      </c>
      <c r="E334" s="1" t="s">
        <v>632</v>
      </c>
      <c r="F334" s="1" t="s">
        <v>45</v>
      </c>
      <c r="G334" s="1">
        <v>31.9</v>
      </c>
      <c r="H334" s="1">
        <v>65.5</v>
      </c>
      <c r="I334" s="1">
        <v>27.7</v>
      </c>
      <c r="J334" s="1">
        <v>64.1</v>
      </c>
      <c r="K334" s="1">
        <v>84.4</v>
      </c>
      <c r="L334" s="1">
        <v>3.6</v>
      </c>
      <c r="M334" s="1">
        <v>3.6</v>
      </c>
      <c r="N334" s="1">
        <v>2.2</v>
      </c>
      <c r="O334" s="1">
        <v>5.9</v>
      </c>
      <c r="P334" s="1">
        <v>0.2</v>
      </c>
      <c r="Q334" s="1">
        <v>30.7</v>
      </c>
      <c r="R334" s="1">
        <v>31.8</v>
      </c>
      <c r="S334" s="1">
        <v>60.4</v>
      </c>
      <c r="AA334" s="1" t="s">
        <v>1409</v>
      </c>
      <c r="AB334" s="1" t="s">
        <v>49</v>
      </c>
      <c r="AC334" s="1" t="s">
        <v>571</v>
      </c>
      <c r="AD334" s="1" t="s">
        <v>2035</v>
      </c>
      <c r="AE334" s="1">
        <v>2018.0</v>
      </c>
      <c r="AF334" s="1" t="s">
        <v>75</v>
      </c>
    </row>
    <row r="335">
      <c r="A335" s="1" t="s">
        <v>2036</v>
      </c>
      <c r="B335" s="1" t="s">
        <v>2037</v>
      </c>
      <c r="C335" s="1" t="s">
        <v>632</v>
      </c>
      <c r="D335" s="1" t="s">
        <v>2038</v>
      </c>
      <c r="E335" s="1" t="s">
        <v>632</v>
      </c>
      <c r="F335" s="1" t="s">
        <v>45</v>
      </c>
      <c r="G335" s="1">
        <v>26.6</v>
      </c>
      <c r="H335" s="1">
        <v>72.0</v>
      </c>
      <c r="I335" s="1">
        <v>26.3</v>
      </c>
      <c r="J335" s="1">
        <v>69.7</v>
      </c>
      <c r="K335" s="1">
        <v>92.4</v>
      </c>
      <c r="L335" s="1">
        <v>1.2</v>
      </c>
      <c r="M335" s="1">
        <v>2.7</v>
      </c>
      <c r="N335" s="1">
        <v>0.8</v>
      </c>
      <c r="O335" s="1">
        <v>2.3</v>
      </c>
      <c r="P335" s="1">
        <v>0.1</v>
      </c>
      <c r="Q335" s="1">
        <v>19.2</v>
      </c>
      <c r="R335" s="1">
        <v>19.1</v>
      </c>
      <c r="S335" s="1">
        <v>76.8</v>
      </c>
      <c r="AA335" s="1" t="s">
        <v>1409</v>
      </c>
      <c r="AB335" s="1" t="s">
        <v>49</v>
      </c>
      <c r="AC335" s="1" t="s">
        <v>258</v>
      </c>
      <c r="AD335" s="1" t="s">
        <v>2040</v>
      </c>
      <c r="AE335" s="1">
        <v>2012.0</v>
      </c>
      <c r="AF335" s="1" t="s">
        <v>75</v>
      </c>
    </row>
    <row r="336">
      <c r="A336" s="1" t="s">
        <v>2041</v>
      </c>
      <c r="B336" s="1" t="s">
        <v>2042</v>
      </c>
      <c r="C336" s="1" t="s">
        <v>632</v>
      </c>
      <c r="D336" s="1" t="s">
        <v>2043</v>
      </c>
      <c r="E336" s="1" t="s">
        <v>632</v>
      </c>
      <c r="F336" s="1" t="s">
        <v>45</v>
      </c>
      <c r="G336" s="1">
        <v>31.4</v>
      </c>
      <c r="H336" s="1">
        <v>67.1</v>
      </c>
      <c r="I336" s="1">
        <v>28.9</v>
      </c>
      <c r="J336" s="1">
        <v>66.4</v>
      </c>
      <c r="K336" s="1">
        <v>86.9</v>
      </c>
      <c r="L336" s="1">
        <v>2.0</v>
      </c>
      <c r="M336" s="1">
        <v>5.6</v>
      </c>
      <c r="N336" s="1">
        <v>3.2</v>
      </c>
      <c r="O336" s="1">
        <v>1.8</v>
      </c>
      <c r="P336" s="1">
        <v>0.1</v>
      </c>
      <c r="Q336" s="1">
        <v>26.3</v>
      </c>
      <c r="R336" s="1">
        <v>25.6</v>
      </c>
      <c r="S336" s="1">
        <v>67.3</v>
      </c>
      <c r="AA336" s="1" t="s">
        <v>1409</v>
      </c>
      <c r="AB336" s="1" t="s">
        <v>49</v>
      </c>
      <c r="AC336" s="1" t="s">
        <v>426</v>
      </c>
      <c r="AD336" s="1" t="s">
        <v>2044</v>
      </c>
      <c r="AE336" s="1">
        <v>2006.0</v>
      </c>
      <c r="AF336" s="1" t="s">
        <v>75</v>
      </c>
    </row>
    <row r="337">
      <c r="A337" s="1" t="s">
        <v>2045</v>
      </c>
      <c r="B337" s="1" t="s">
        <v>2046</v>
      </c>
      <c r="C337" s="1" t="s">
        <v>632</v>
      </c>
      <c r="D337" s="1" t="s">
        <v>2047</v>
      </c>
      <c r="E337" s="1" t="s">
        <v>632</v>
      </c>
      <c r="F337" s="1" t="s">
        <v>45</v>
      </c>
      <c r="G337" s="1">
        <v>35.8</v>
      </c>
      <c r="H337" s="1">
        <v>62.6</v>
      </c>
      <c r="I337" s="1">
        <v>34.9</v>
      </c>
      <c r="J337" s="1">
        <v>59.9</v>
      </c>
      <c r="K337" s="1">
        <v>86.0</v>
      </c>
      <c r="L337" s="1">
        <v>6.0</v>
      </c>
      <c r="M337" s="1">
        <v>4.7</v>
      </c>
      <c r="N337" s="1">
        <v>1.2</v>
      </c>
      <c r="O337" s="1">
        <v>1.8</v>
      </c>
      <c r="P337" s="1">
        <v>0.1</v>
      </c>
      <c r="Q337" s="1">
        <v>22.7</v>
      </c>
      <c r="R337" s="1">
        <v>23.4</v>
      </c>
      <c r="S337" s="1">
        <v>67.7</v>
      </c>
      <c r="AA337" s="1" t="s">
        <v>1409</v>
      </c>
      <c r="AB337" s="1" t="s">
        <v>49</v>
      </c>
      <c r="AC337" s="1" t="s">
        <v>2048</v>
      </c>
      <c r="AD337" s="1" t="s">
        <v>2049</v>
      </c>
      <c r="AE337" s="1" t="s">
        <v>2050</v>
      </c>
      <c r="AF337" s="1" t="s">
        <v>75</v>
      </c>
    </row>
    <row r="338">
      <c r="A338" s="1" t="s">
        <v>2051</v>
      </c>
      <c r="B338" s="1" t="s">
        <v>2052</v>
      </c>
      <c r="C338" s="1" t="s">
        <v>632</v>
      </c>
      <c r="D338" s="1" t="s">
        <v>2053</v>
      </c>
      <c r="E338" s="1" t="s">
        <v>632</v>
      </c>
      <c r="F338" s="1" t="s">
        <v>45</v>
      </c>
      <c r="G338" s="1">
        <v>35.0</v>
      </c>
      <c r="H338" s="1">
        <v>63.7</v>
      </c>
      <c r="I338" s="1">
        <v>35.7</v>
      </c>
      <c r="J338" s="1">
        <v>60.3</v>
      </c>
      <c r="K338" s="1">
        <v>87.4</v>
      </c>
      <c r="L338" s="1">
        <v>2.6</v>
      </c>
      <c r="M338" s="1">
        <v>6.9</v>
      </c>
      <c r="N338" s="1">
        <v>0.7</v>
      </c>
      <c r="O338" s="1">
        <v>1.9</v>
      </c>
      <c r="P338" s="1">
        <v>0.1</v>
      </c>
      <c r="Q338" s="1">
        <v>18.8</v>
      </c>
      <c r="R338" s="1">
        <v>19.3</v>
      </c>
      <c r="S338" s="1">
        <v>72.5</v>
      </c>
      <c r="AA338" s="1" t="s">
        <v>1409</v>
      </c>
      <c r="AB338" s="1" t="s">
        <v>49</v>
      </c>
      <c r="AC338" s="1" t="s">
        <v>347</v>
      </c>
      <c r="AD338" s="1" t="s">
        <v>517</v>
      </c>
      <c r="AE338" s="1">
        <v>2010.0</v>
      </c>
      <c r="AF338" s="1" t="s">
        <v>75</v>
      </c>
    </row>
    <row r="339">
      <c r="A339" s="1" t="s">
        <v>2054</v>
      </c>
      <c r="B339" s="1" t="s">
        <v>2055</v>
      </c>
      <c r="C339" s="1" t="s">
        <v>632</v>
      </c>
      <c r="D339" s="1" t="s">
        <v>2056</v>
      </c>
      <c r="E339" s="1" t="s">
        <v>632</v>
      </c>
      <c r="F339" s="1" t="s">
        <v>45</v>
      </c>
      <c r="G339" s="1">
        <v>44.8</v>
      </c>
      <c r="H339" s="1">
        <v>54.0</v>
      </c>
      <c r="I339" s="1">
        <v>42.1</v>
      </c>
      <c r="J339" s="1">
        <v>53.6</v>
      </c>
      <c r="K339" s="1">
        <v>88.1</v>
      </c>
      <c r="L339" s="1">
        <v>3.0</v>
      </c>
      <c r="M339" s="1">
        <v>3.6</v>
      </c>
      <c r="N339" s="1">
        <v>3.4</v>
      </c>
      <c r="O339" s="1">
        <v>1.4</v>
      </c>
      <c r="P339" s="1">
        <v>0.1</v>
      </c>
      <c r="Q339" s="1">
        <v>35.4</v>
      </c>
      <c r="R339" s="1">
        <v>34.8</v>
      </c>
      <c r="S339" s="1">
        <v>59.3</v>
      </c>
      <c r="AA339" s="1" t="s">
        <v>1409</v>
      </c>
      <c r="AB339" s="1" t="s">
        <v>159</v>
      </c>
      <c r="AC339" s="1" t="s">
        <v>2057</v>
      </c>
      <c r="AD339" s="1" t="s">
        <v>1691</v>
      </c>
      <c r="AF339" s="1" t="s">
        <v>75</v>
      </c>
    </row>
    <row r="340">
      <c r="A340" s="1" t="s">
        <v>2058</v>
      </c>
      <c r="B340" s="1" t="s">
        <v>2059</v>
      </c>
      <c r="C340" s="1" t="s">
        <v>632</v>
      </c>
      <c r="D340" s="1" t="s">
        <v>2060</v>
      </c>
      <c r="E340" s="1" t="s">
        <v>632</v>
      </c>
      <c r="F340" s="1" t="s">
        <v>45</v>
      </c>
      <c r="G340" s="1">
        <v>38.3</v>
      </c>
      <c r="H340" s="1">
        <v>60.3</v>
      </c>
      <c r="I340" s="1">
        <v>34.9</v>
      </c>
      <c r="J340" s="1">
        <v>60.9</v>
      </c>
      <c r="K340" s="1">
        <v>77.4</v>
      </c>
      <c r="L340" s="1">
        <v>4.0</v>
      </c>
      <c r="M340" s="1">
        <v>12.9</v>
      </c>
      <c r="N340" s="1">
        <v>3.5</v>
      </c>
      <c r="O340" s="1">
        <v>2.0</v>
      </c>
      <c r="P340" s="1">
        <v>0.1</v>
      </c>
      <c r="Q340" s="1">
        <v>28.9</v>
      </c>
      <c r="R340" s="1">
        <v>29.4</v>
      </c>
      <c r="S340" s="1">
        <v>58.7</v>
      </c>
      <c r="AA340" s="1" t="s">
        <v>1409</v>
      </c>
      <c r="AB340" s="1" t="s">
        <v>49</v>
      </c>
      <c r="AC340" s="1" t="s">
        <v>676</v>
      </c>
      <c r="AD340" s="1" t="s">
        <v>2062</v>
      </c>
      <c r="AE340" s="1" t="s">
        <v>2063</v>
      </c>
      <c r="AF340" s="1" t="s">
        <v>75</v>
      </c>
    </row>
    <row r="341">
      <c r="A341" s="1" t="s">
        <v>2064</v>
      </c>
      <c r="B341" s="1" t="s">
        <v>2065</v>
      </c>
      <c r="C341" s="1" t="s">
        <v>632</v>
      </c>
      <c r="D341" s="1" t="s">
        <v>2066</v>
      </c>
      <c r="E341" s="1" t="s">
        <v>632</v>
      </c>
      <c r="F341" s="1" t="s">
        <v>45</v>
      </c>
      <c r="G341" s="1">
        <v>47.4</v>
      </c>
      <c r="H341" s="1">
        <v>50.9</v>
      </c>
      <c r="I341" s="1">
        <v>44.6</v>
      </c>
      <c r="J341" s="1">
        <v>50.7</v>
      </c>
      <c r="K341" s="1">
        <v>73.5</v>
      </c>
      <c r="L341" s="1">
        <v>3.1</v>
      </c>
      <c r="M341" s="1">
        <v>17.9</v>
      </c>
      <c r="N341" s="1">
        <v>3.1</v>
      </c>
      <c r="O341" s="1">
        <v>2.2</v>
      </c>
      <c r="P341" s="1">
        <v>0.2</v>
      </c>
      <c r="Q341" s="1">
        <v>29.6</v>
      </c>
      <c r="R341" s="1">
        <v>30.8</v>
      </c>
      <c r="S341" s="1">
        <v>53.9</v>
      </c>
      <c r="AA341" s="1" t="s">
        <v>1409</v>
      </c>
      <c r="AB341" s="1" t="s">
        <v>49</v>
      </c>
      <c r="AC341" s="1" t="s">
        <v>95</v>
      </c>
      <c r="AD341" s="1" t="s">
        <v>2067</v>
      </c>
      <c r="AE341" s="1">
        <v>2002.0</v>
      </c>
      <c r="AF341" s="1" t="s">
        <v>75</v>
      </c>
    </row>
    <row r="342">
      <c r="A342" s="1" t="s">
        <v>2069</v>
      </c>
      <c r="B342" s="1" t="s">
        <v>2070</v>
      </c>
      <c r="C342" s="1" t="s">
        <v>632</v>
      </c>
      <c r="D342" s="1" t="s">
        <v>2071</v>
      </c>
      <c r="E342" s="1" t="s">
        <v>632</v>
      </c>
      <c r="F342" s="1" t="s">
        <v>45</v>
      </c>
      <c r="G342" s="1">
        <v>33.8</v>
      </c>
      <c r="H342" s="1">
        <v>64.7</v>
      </c>
      <c r="I342" s="1">
        <v>33.0</v>
      </c>
      <c r="J342" s="1">
        <v>62.3</v>
      </c>
      <c r="K342" s="1">
        <v>89.5</v>
      </c>
      <c r="L342" s="1">
        <v>1.6</v>
      </c>
      <c r="M342" s="1">
        <v>4.5</v>
      </c>
      <c r="N342" s="1">
        <v>1.8</v>
      </c>
      <c r="O342" s="1">
        <v>2.0</v>
      </c>
      <c r="P342" s="1">
        <v>0.1</v>
      </c>
      <c r="Q342" s="1">
        <v>25.0</v>
      </c>
      <c r="R342" s="1">
        <v>24.5</v>
      </c>
      <c r="S342" s="1">
        <v>70.1</v>
      </c>
      <c r="AA342" s="1" t="s">
        <v>1409</v>
      </c>
      <c r="AB342" s="1" t="s">
        <v>49</v>
      </c>
      <c r="AC342" s="1" t="s">
        <v>678</v>
      </c>
      <c r="AD342" s="1" t="s">
        <v>2072</v>
      </c>
      <c r="AE342" s="1" t="s">
        <v>1063</v>
      </c>
      <c r="AF342" s="1" t="s">
        <v>75</v>
      </c>
    </row>
    <row r="343">
      <c r="A343" s="1" t="s">
        <v>2073</v>
      </c>
      <c r="B343" s="1" t="s">
        <v>2074</v>
      </c>
      <c r="C343" s="1" t="s">
        <v>632</v>
      </c>
      <c r="D343" s="1" t="s">
        <v>2075</v>
      </c>
      <c r="E343" s="1" t="s">
        <v>632</v>
      </c>
      <c r="F343" s="1" t="s">
        <v>45</v>
      </c>
      <c r="G343" s="1">
        <v>41.9</v>
      </c>
      <c r="H343" s="1">
        <v>56.8</v>
      </c>
      <c r="I343" s="1">
        <v>41.0</v>
      </c>
      <c r="J343" s="1">
        <v>54.6</v>
      </c>
      <c r="K343" s="1">
        <v>87.8</v>
      </c>
      <c r="L343" s="1">
        <v>2.5</v>
      </c>
      <c r="M343" s="1">
        <v>5.7</v>
      </c>
      <c r="N343" s="1">
        <v>1.5</v>
      </c>
      <c r="O343" s="1">
        <v>1.8</v>
      </c>
      <c r="P343" s="1">
        <v>0.1</v>
      </c>
      <c r="Q343" s="1">
        <v>25.7</v>
      </c>
      <c r="R343" s="1">
        <v>26.0</v>
      </c>
      <c r="S343" s="1">
        <v>67.7</v>
      </c>
      <c r="AA343" s="1" t="s">
        <v>1409</v>
      </c>
      <c r="AB343" s="1" t="s">
        <v>49</v>
      </c>
      <c r="AC343" s="1" t="s">
        <v>2076</v>
      </c>
      <c r="AD343" s="1" t="s">
        <v>1111</v>
      </c>
      <c r="AE343" s="1">
        <v>2012.0</v>
      </c>
      <c r="AF343" s="1" t="s">
        <v>75</v>
      </c>
    </row>
    <row r="344">
      <c r="A344" s="1" t="s">
        <v>2077</v>
      </c>
      <c r="B344" s="1" t="s">
        <v>2078</v>
      </c>
      <c r="C344" s="1" t="s">
        <v>632</v>
      </c>
      <c r="D344" s="1" t="s">
        <v>2079</v>
      </c>
      <c r="E344" s="1" t="s">
        <v>632</v>
      </c>
      <c r="F344" s="1" t="s">
        <v>45</v>
      </c>
      <c r="G344" s="1">
        <v>45.8</v>
      </c>
      <c r="H344" s="1">
        <v>52.6</v>
      </c>
      <c r="I344" s="1">
        <v>42.4</v>
      </c>
      <c r="J344" s="1">
        <v>52.8</v>
      </c>
      <c r="K344" s="1">
        <v>76.6</v>
      </c>
      <c r="L344" s="1">
        <v>5.1</v>
      </c>
      <c r="M344" s="1">
        <v>11.5</v>
      </c>
      <c r="N344" s="1">
        <v>4.7</v>
      </c>
      <c r="O344" s="1">
        <v>2.1</v>
      </c>
      <c r="P344" s="1">
        <v>0.1</v>
      </c>
      <c r="Q344" s="1">
        <v>30.9</v>
      </c>
      <c r="R344" s="1">
        <v>31.1</v>
      </c>
      <c r="S344" s="1">
        <v>57.5</v>
      </c>
      <c r="AA344" s="1" t="s">
        <v>1409</v>
      </c>
      <c r="AB344" s="1" t="s">
        <v>49</v>
      </c>
      <c r="AC344" s="1" t="s">
        <v>95</v>
      </c>
      <c r="AD344" s="1" t="s">
        <v>2080</v>
      </c>
      <c r="AE344" s="1" t="s">
        <v>469</v>
      </c>
      <c r="AF344" s="1" t="s">
        <v>75</v>
      </c>
    </row>
    <row r="345">
      <c r="A345" s="1" t="s">
        <v>2081</v>
      </c>
      <c r="B345" s="1" t="s">
        <v>2082</v>
      </c>
      <c r="C345" s="1" t="s">
        <v>632</v>
      </c>
      <c r="D345" s="1" t="s">
        <v>2083</v>
      </c>
      <c r="E345" s="1" t="s">
        <v>632</v>
      </c>
      <c r="F345" s="1" t="s">
        <v>45</v>
      </c>
      <c r="G345" s="1">
        <v>38.0</v>
      </c>
      <c r="H345" s="1">
        <v>59.4</v>
      </c>
      <c r="I345" s="1">
        <v>33.2</v>
      </c>
      <c r="J345" s="1">
        <v>60.9</v>
      </c>
      <c r="K345" s="1">
        <v>62.2</v>
      </c>
      <c r="L345" s="1">
        <v>11.4</v>
      </c>
      <c r="M345" s="1">
        <v>10.3</v>
      </c>
      <c r="N345" s="1">
        <v>3.8</v>
      </c>
      <c r="O345" s="1">
        <v>13.1</v>
      </c>
      <c r="P345" s="1">
        <v>0.2</v>
      </c>
      <c r="Q345" s="1">
        <v>30.7</v>
      </c>
      <c r="R345" s="1">
        <v>34.9</v>
      </c>
      <c r="S345" s="1">
        <v>46.7</v>
      </c>
      <c r="AA345" s="1" t="s">
        <v>1409</v>
      </c>
      <c r="AB345" s="1" t="s">
        <v>49</v>
      </c>
      <c r="AC345" s="1" t="s">
        <v>160</v>
      </c>
      <c r="AD345" s="1" t="s">
        <v>2085</v>
      </c>
      <c r="AE345" s="1" t="s">
        <v>1063</v>
      </c>
      <c r="AF345" s="1" t="s">
        <v>75</v>
      </c>
    </row>
    <row r="346">
      <c r="A346" s="1" t="s">
        <v>2086</v>
      </c>
      <c r="B346" s="1" t="s">
        <v>2087</v>
      </c>
      <c r="C346" s="1" t="s">
        <v>632</v>
      </c>
      <c r="D346" s="1" t="s">
        <v>2088</v>
      </c>
      <c r="E346" s="1" t="s">
        <v>632</v>
      </c>
      <c r="F346" s="1" t="s">
        <v>45</v>
      </c>
      <c r="G346" s="1">
        <v>22.4</v>
      </c>
      <c r="H346" s="1">
        <v>75.8</v>
      </c>
      <c r="I346" s="1">
        <v>22.9</v>
      </c>
      <c r="J346" s="1">
        <v>72.7</v>
      </c>
      <c r="K346" s="1">
        <v>65.4</v>
      </c>
      <c r="L346" s="1">
        <v>4.3</v>
      </c>
      <c r="M346" s="1">
        <v>4.2</v>
      </c>
      <c r="N346" s="1">
        <v>1.0</v>
      </c>
      <c r="O346" s="1">
        <v>25.4</v>
      </c>
      <c r="P346" s="1">
        <v>0.2</v>
      </c>
      <c r="Q346" s="1">
        <v>18.4</v>
      </c>
      <c r="R346" s="1">
        <v>19.4</v>
      </c>
      <c r="S346" s="1">
        <v>56.0</v>
      </c>
      <c r="AA346" s="1" t="s">
        <v>1409</v>
      </c>
      <c r="AB346" s="1" t="s">
        <v>159</v>
      </c>
      <c r="AC346" s="1" t="s">
        <v>922</v>
      </c>
      <c r="AD346" s="1" t="s">
        <v>2090</v>
      </c>
      <c r="AF346" s="1" t="s">
        <v>2091</v>
      </c>
    </row>
    <row r="347">
      <c r="A347" s="1" t="s">
        <v>2092</v>
      </c>
      <c r="B347" s="1" t="s">
        <v>2093</v>
      </c>
      <c r="C347" s="1" t="s">
        <v>632</v>
      </c>
      <c r="D347" s="1" t="s">
        <v>2094</v>
      </c>
      <c r="E347" s="1" t="s">
        <v>632</v>
      </c>
      <c r="F347" s="1" t="s">
        <v>45</v>
      </c>
      <c r="G347" s="1">
        <v>26.5</v>
      </c>
      <c r="H347" s="1">
        <v>71.2</v>
      </c>
      <c r="I347" s="1">
        <v>24.7</v>
      </c>
      <c r="J347" s="1">
        <v>69.7</v>
      </c>
      <c r="K347" s="1">
        <v>64.7</v>
      </c>
      <c r="L347" s="1">
        <v>17.0</v>
      </c>
      <c r="M347" s="1">
        <v>6.2</v>
      </c>
      <c r="N347" s="1">
        <v>2.1</v>
      </c>
      <c r="O347" s="1">
        <v>10.6</v>
      </c>
      <c r="P347" s="1">
        <v>0.5</v>
      </c>
      <c r="Q347" s="1">
        <v>20.7</v>
      </c>
      <c r="R347" s="1">
        <v>23.6</v>
      </c>
      <c r="S347" s="1">
        <v>56.7</v>
      </c>
      <c r="AA347" s="1" t="s">
        <v>1409</v>
      </c>
      <c r="AB347" s="1" t="s">
        <v>49</v>
      </c>
      <c r="AC347" s="1" t="s">
        <v>652</v>
      </c>
      <c r="AD347" s="1" t="s">
        <v>2096</v>
      </c>
      <c r="AE347" s="1" t="s">
        <v>2097</v>
      </c>
      <c r="AF347" s="1" t="s">
        <v>75</v>
      </c>
    </row>
    <row r="348">
      <c r="A348" s="1" t="s">
        <v>2098</v>
      </c>
      <c r="B348" s="1" t="s">
        <v>2099</v>
      </c>
      <c r="C348" s="1" t="s">
        <v>632</v>
      </c>
      <c r="D348" s="1" t="s">
        <v>2100</v>
      </c>
      <c r="E348" s="1" t="s">
        <v>632</v>
      </c>
      <c r="F348" s="1" t="s">
        <v>45</v>
      </c>
      <c r="G348" s="1">
        <v>33.0</v>
      </c>
      <c r="H348" s="1">
        <v>64.6</v>
      </c>
      <c r="I348" s="1">
        <v>29.3</v>
      </c>
      <c r="J348" s="1">
        <v>64.7</v>
      </c>
      <c r="K348" s="1">
        <v>67.9</v>
      </c>
      <c r="L348" s="1">
        <v>8.3</v>
      </c>
      <c r="M348" s="1">
        <v>9.2</v>
      </c>
      <c r="N348" s="1">
        <v>3.4</v>
      </c>
      <c r="O348" s="1">
        <v>11.6</v>
      </c>
      <c r="P348" s="1">
        <v>0.4</v>
      </c>
      <c r="Q348" s="1">
        <v>26.0</v>
      </c>
      <c r="R348" s="1">
        <v>27.2</v>
      </c>
      <c r="S348" s="1">
        <v>53.5</v>
      </c>
      <c r="AA348" s="1" t="s">
        <v>1409</v>
      </c>
      <c r="AB348" s="1" t="s">
        <v>49</v>
      </c>
      <c r="AC348" s="1" t="s">
        <v>1486</v>
      </c>
      <c r="AD348" s="1" t="s">
        <v>2101</v>
      </c>
      <c r="AE348" s="1">
        <v>2002.0</v>
      </c>
      <c r="AF348" s="1" t="s">
        <v>2102</v>
      </c>
    </row>
    <row r="349">
      <c r="A349" s="1" t="s">
        <v>2103</v>
      </c>
      <c r="B349" s="1" t="s">
        <v>2104</v>
      </c>
      <c r="C349" s="1" t="s">
        <v>632</v>
      </c>
      <c r="D349" s="1" t="s">
        <v>2105</v>
      </c>
      <c r="E349" s="1" t="s">
        <v>632</v>
      </c>
      <c r="F349" s="1" t="s">
        <v>45</v>
      </c>
      <c r="G349" s="1">
        <v>40.3</v>
      </c>
      <c r="H349" s="1">
        <v>57.1</v>
      </c>
      <c r="I349" s="1">
        <v>34.2</v>
      </c>
      <c r="J349" s="1">
        <v>58.9</v>
      </c>
      <c r="K349" s="1">
        <v>65.8</v>
      </c>
      <c r="L349" s="1">
        <v>8.2</v>
      </c>
      <c r="M349" s="1">
        <v>13.1</v>
      </c>
      <c r="N349" s="1">
        <v>4.2</v>
      </c>
      <c r="O349" s="1">
        <v>9.4</v>
      </c>
      <c r="P349" s="1">
        <v>0.2</v>
      </c>
      <c r="Q349" s="1">
        <v>35.7</v>
      </c>
      <c r="R349" s="1">
        <v>39.1</v>
      </c>
      <c r="S349" s="1">
        <v>43.7</v>
      </c>
      <c r="AA349" s="1" t="s">
        <v>1409</v>
      </c>
      <c r="AB349" s="1" t="s">
        <v>49</v>
      </c>
      <c r="AC349" s="1" t="s">
        <v>2106</v>
      </c>
      <c r="AD349" s="1" t="s">
        <v>2107</v>
      </c>
      <c r="AE349" s="1">
        <v>2020.0</v>
      </c>
      <c r="AF349" s="1" t="s">
        <v>2108</v>
      </c>
    </row>
    <row r="350">
      <c r="A350" s="1" t="s">
        <v>2109</v>
      </c>
      <c r="B350" s="1" t="s">
        <v>2111</v>
      </c>
      <c r="C350" s="1" t="s">
        <v>632</v>
      </c>
      <c r="D350" s="1" t="s">
        <v>2113</v>
      </c>
      <c r="E350" s="1" t="s">
        <v>632</v>
      </c>
      <c r="F350" s="1" t="s">
        <v>45</v>
      </c>
      <c r="G350" s="1">
        <v>36.6</v>
      </c>
      <c r="H350" s="1">
        <v>61.0</v>
      </c>
      <c r="I350" s="1">
        <v>31.3</v>
      </c>
      <c r="J350" s="1">
        <v>59.0</v>
      </c>
      <c r="K350" s="1">
        <v>78.8</v>
      </c>
      <c r="L350" s="1">
        <v>11.8</v>
      </c>
      <c r="M350" s="1">
        <v>1.2</v>
      </c>
      <c r="N350" s="1">
        <v>1.9</v>
      </c>
      <c r="O350" s="1">
        <v>5.4</v>
      </c>
      <c r="P350" s="1">
        <v>0.6</v>
      </c>
      <c r="Q350" s="1">
        <v>22.9</v>
      </c>
      <c r="R350" s="1">
        <v>24.1</v>
      </c>
      <c r="S350" s="1">
        <v>64.7</v>
      </c>
      <c r="AA350" s="1" t="s">
        <v>1409</v>
      </c>
      <c r="AB350" s="1" t="s">
        <v>49</v>
      </c>
      <c r="AC350" s="1" t="s">
        <v>2114</v>
      </c>
      <c r="AD350" s="1" t="s">
        <v>2115</v>
      </c>
      <c r="AE350" s="1">
        <v>2020.0</v>
      </c>
      <c r="AF350" s="1" t="s">
        <v>75</v>
      </c>
    </row>
    <row r="351">
      <c r="A351" s="1" t="s">
        <v>2116</v>
      </c>
      <c r="B351" s="1" t="s">
        <v>2117</v>
      </c>
      <c r="C351" s="1" t="s">
        <v>43</v>
      </c>
      <c r="D351" s="1" t="s">
        <v>2118</v>
      </c>
      <c r="E351" s="1" t="s">
        <v>632</v>
      </c>
      <c r="F351" s="1" t="s">
        <v>397</v>
      </c>
      <c r="G351" s="1">
        <v>53.2</v>
      </c>
      <c r="H351" s="1">
        <v>44.4</v>
      </c>
      <c r="I351" s="1">
        <v>45.9</v>
      </c>
      <c r="J351" s="1">
        <v>43.0</v>
      </c>
      <c r="K351" s="1">
        <v>81.5</v>
      </c>
      <c r="L351" s="1">
        <v>8.3</v>
      </c>
      <c r="M351" s="1">
        <v>1.5</v>
      </c>
      <c r="N351" s="1">
        <v>4.3</v>
      </c>
      <c r="O351" s="1">
        <v>3.4</v>
      </c>
      <c r="P351" s="1">
        <v>0.6</v>
      </c>
      <c r="Q351" s="1">
        <v>33.8</v>
      </c>
      <c r="R351" s="1">
        <v>35.3</v>
      </c>
      <c r="S351" s="1">
        <v>56.6</v>
      </c>
      <c r="AA351" s="1" t="s">
        <v>1409</v>
      </c>
      <c r="AB351" s="1" t="s">
        <v>159</v>
      </c>
      <c r="AC351" s="1" t="s">
        <v>745</v>
      </c>
      <c r="AD351" s="1" t="s">
        <v>2119</v>
      </c>
      <c r="AF351" s="1" t="s">
        <v>1577</v>
      </c>
    </row>
    <row r="352">
      <c r="A352" s="1" t="s">
        <v>2120</v>
      </c>
      <c r="B352" s="1" t="s">
        <v>2121</v>
      </c>
      <c r="C352" s="1" t="s">
        <v>632</v>
      </c>
      <c r="D352" s="1" t="s">
        <v>2122</v>
      </c>
      <c r="E352" s="1" t="s">
        <v>632</v>
      </c>
      <c r="F352" s="1" t="s">
        <v>45</v>
      </c>
      <c r="G352" s="1">
        <v>51.8</v>
      </c>
      <c r="H352" s="1">
        <v>47.2</v>
      </c>
      <c r="I352" s="1">
        <v>48.5</v>
      </c>
      <c r="J352" s="1">
        <v>47.8</v>
      </c>
      <c r="K352" s="1">
        <v>82.3</v>
      </c>
      <c r="L352" s="1">
        <v>5.0</v>
      </c>
      <c r="M352" s="1">
        <v>4.5</v>
      </c>
      <c r="N352" s="1">
        <v>6.7</v>
      </c>
      <c r="O352" s="1">
        <v>1.1</v>
      </c>
      <c r="P352" s="1">
        <v>0.1</v>
      </c>
      <c r="Q352" s="1">
        <v>42.0</v>
      </c>
      <c r="R352" s="1">
        <v>42.3</v>
      </c>
      <c r="S352" s="1">
        <v>50.2</v>
      </c>
      <c r="AA352" s="1" t="s">
        <v>1409</v>
      </c>
      <c r="AB352" s="1" t="s">
        <v>49</v>
      </c>
      <c r="AC352" s="1" t="s">
        <v>1028</v>
      </c>
      <c r="AD352" s="1" t="s">
        <v>2123</v>
      </c>
      <c r="AE352" s="1">
        <v>2016.0</v>
      </c>
      <c r="AF352" s="1" t="s">
        <v>75</v>
      </c>
    </row>
    <row r="353">
      <c r="A353" s="1" t="s">
        <v>2124</v>
      </c>
      <c r="B353" s="1" t="s">
        <v>2125</v>
      </c>
      <c r="C353" s="1" t="s">
        <v>632</v>
      </c>
      <c r="D353" s="1" t="s">
        <v>2126</v>
      </c>
      <c r="E353" s="1" t="s">
        <v>632</v>
      </c>
      <c r="F353" s="1" t="s">
        <v>45</v>
      </c>
      <c r="G353" s="1">
        <v>31.0</v>
      </c>
      <c r="H353" s="1">
        <v>67.5</v>
      </c>
      <c r="I353" s="1">
        <v>28.2</v>
      </c>
      <c r="J353" s="1">
        <v>67.8</v>
      </c>
      <c r="K353" s="1">
        <v>89.5</v>
      </c>
      <c r="L353" s="1">
        <v>4.6</v>
      </c>
      <c r="M353" s="1">
        <v>3.0</v>
      </c>
      <c r="N353" s="1">
        <v>1.2</v>
      </c>
      <c r="O353" s="1">
        <v>1.4</v>
      </c>
      <c r="P353" s="1">
        <v>0.1</v>
      </c>
      <c r="Q353" s="1">
        <v>20.9</v>
      </c>
      <c r="R353" s="1">
        <v>20.9</v>
      </c>
      <c r="S353" s="1">
        <v>73.1</v>
      </c>
      <c r="AA353" s="1" t="s">
        <v>1409</v>
      </c>
      <c r="AB353" s="1" t="s">
        <v>49</v>
      </c>
      <c r="AC353" s="1" t="s">
        <v>811</v>
      </c>
      <c r="AD353" s="1" t="s">
        <v>2127</v>
      </c>
      <c r="AE353" s="1">
        <v>2018.0</v>
      </c>
      <c r="AF353" s="1" t="s">
        <v>75</v>
      </c>
    </row>
    <row r="354">
      <c r="A354" s="1" t="s">
        <v>2128</v>
      </c>
      <c r="B354" s="1" t="s">
        <v>2129</v>
      </c>
      <c r="C354" s="1" t="s">
        <v>632</v>
      </c>
      <c r="D354" s="1" t="s">
        <v>2130</v>
      </c>
      <c r="E354" s="1" t="s">
        <v>632</v>
      </c>
      <c r="F354" s="1" t="s">
        <v>45</v>
      </c>
      <c r="G354" s="1">
        <v>47.2</v>
      </c>
      <c r="H354" s="1">
        <v>51.3</v>
      </c>
      <c r="I354" s="1">
        <v>42.9</v>
      </c>
      <c r="J354" s="1">
        <v>52.8</v>
      </c>
      <c r="K354" s="1">
        <v>74.7</v>
      </c>
      <c r="L354" s="1">
        <v>7.9</v>
      </c>
      <c r="M354" s="1">
        <v>11.5</v>
      </c>
      <c r="N354" s="1">
        <v>4.9</v>
      </c>
      <c r="O354" s="1">
        <v>1.5</v>
      </c>
      <c r="P354" s="1">
        <v>0.1</v>
      </c>
      <c r="Q354" s="1">
        <v>31.8</v>
      </c>
      <c r="R354" s="1">
        <v>33.7</v>
      </c>
      <c r="S354" s="1">
        <v>53.5</v>
      </c>
      <c r="AA354" s="1" t="s">
        <v>1409</v>
      </c>
      <c r="AB354" s="1" t="s">
        <v>49</v>
      </c>
      <c r="AC354" s="1" t="s">
        <v>348</v>
      </c>
      <c r="AD354" s="1" t="s">
        <v>2131</v>
      </c>
      <c r="AE354" s="1">
        <v>2012.0</v>
      </c>
      <c r="AF354" s="1" t="s">
        <v>75</v>
      </c>
    </row>
    <row r="355">
      <c r="A355" s="1" t="s">
        <v>2132</v>
      </c>
      <c r="B355" s="1" t="s">
        <v>2133</v>
      </c>
      <c r="C355" s="1" t="s">
        <v>632</v>
      </c>
      <c r="D355" s="1" t="s">
        <v>2134</v>
      </c>
      <c r="E355" s="1" t="s">
        <v>632</v>
      </c>
      <c r="F355" s="1" t="s">
        <v>45</v>
      </c>
      <c r="G355" s="1">
        <v>38.6</v>
      </c>
      <c r="H355" s="1">
        <v>59.9</v>
      </c>
      <c r="I355" s="1">
        <v>34.9</v>
      </c>
      <c r="J355" s="1">
        <v>60.3</v>
      </c>
      <c r="K355" s="1">
        <v>84.2</v>
      </c>
      <c r="L355" s="1">
        <v>7.8</v>
      </c>
      <c r="M355" s="1">
        <v>4.6</v>
      </c>
      <c r="N355" s="1">
        <v>2.5</v>
      </c>
      <c r="O355" s="1">
        <v>1.3</v>
      </c>
      <c r="P355" s="1">
        <v>0.1</v>
      </c>
      <c r="Q355" s="1">
        <v>27.8</v>
      </c>
      <c r="R355" s="1">
        <v>28.5</v>
      </c>
      <c r="S355" s="1">
        <v>62.6</v>
      </c>
      <c r="AA355" s="1" t="s">
        <v>1409</v>
      </c>
      <c r="AB355" s="1" t="s">
        <v>49</v>
      </c>
      <c r="AC355" s="1" t="s">
        <v>1312</v>
      </c>
      <c r="AD355" s="1" t="s">
        <v>2135</v>
      </c>
      <c r="AE355" s="1">
        <v>2016.0</v>
      </c>
      <c r="AF355" s="1" t="s">
        <v>75</v>
      </c>
    </row>
    <row r="356">
      <c r="A356" s="1" t="s">
        <v>2136</v>
      </c>
      <c r="B356" s="1" t="s">
        <v>2137</v>
      </c>
      <c r="C356" s="1" t="s">
        <v>632</v>
      </c>
      <c r="D356" s="1" t="s">
        <v>2138</v>
      </c>
      <c r="E356" s="1" t="s">
        <v>632</v>
      </c>
      <c r="F356" s="1" t="s">
        <v>45</v>
      </c>
      <c r="G356" s="1">
        <v>26.8</v>
      </c>
      <c r="H356" s="1">
        <v>72.0</v>
      </c>
      <c r="I356" s="1">
        <v>25.2</v>
      </c>
      <c r="J356" s="1">
        <v>71.4</v>
      </c>
      <c r="K356" s="1">
        <v>91.3</v>
      </c>
      <c r="L356" s="1">
        <v>2.9</v>
      </c>
      <c r="M356" s="1">
        <v>3.0</v>
      </c>
      <c r="N356" s="1">
        <v>1.0</v>
      </c>
      <c r="O356" s="1">
        <v>1.4</v>
      </c>
      <c r="P356" s="1">
        <v>0.1</v>
      </c>
      <c r="Q356" s="1">
        <v>20.5</v>
      </c>
      <c r="R356" s="1">
        <v>20.7</v>
      </c>
      <c r="S356" s="1">
        <v>74.8</v>
      </c>
      <c r="AA356" s="1" t="s">
        <v>1409</v>
      </c>
      <c r="AB356" s="1" t="s">
        <v>49</v>
      </c>
      <c r="AC356" s="1" t="s">
        <v>120</v>
      </c>
      <c r="AD356" s="1" t="s">
        <v>1111</v>
      </c>
      <c r="AE356" s="1">
        <v>2018.0</v>
      </c>
      <c r="AF356" s="1" t="s">
        <v>75</v>
      </c>
    </row>
    <row r="357">
      <c r="A357" s="1" t="s">
        <v>2139</v>
      </c>
      <c r="B357" s="1" t="s">
        <v>2140</v>
      </c>
      <c r="C357" s="1" t="s">
        <v>632</v>
      </c>
      <c r="D357" s="1" t="s">
        <v>2141</v>
      </c>
      <c r="E357" s="1" t="s">
        <v>632</v>
      </c>
      <c r="F357" s="1" t="s">
        <v>45</v>
      </c>
      <c r="G357" s="1">
        <v>33.7</v>
      </c>
      <c r="H357" s="1">
        <v>65.2</v>
      </c>
      <c r="I357" s="1">
        <v>32.4</v>
      </c>
      <c r="J357" s="1">
        <v>64.4</v>
      </c>
      <c r="K357" s="1">
        <v>91.6</v>
      </c>
      <c r="L357" s="1">
        <v>1.3</v>
      </c>
      <c r="M357" s="1">
        <v>3.9</v>
      </c>
      <c r="N357" s="1">
        <v>0.9</v>
      </c>
      <c r="O357" s="1">
        <v>1.3</v>
      </c>
      <c r="P357" s="1">
        <v>0.1</v>
      </c>
      <c r="Q357" s="1">
        <v>25.0</v>
      </c>
      <c r="R357" s="1">
        <v>25.2</v>
      </c>
      <c r="S357" s="1">
        <v>70.6</v>
      </c>
      <c r="AA357" s="1" t="s">
        <v>1409</v>
      </c>
      <c r="AB357" s="1" t="s">
        <v>49</v>
      </c>
      <c r="AC357" s="1" t="s">
        <v>2142</v>
      </c>
      <c r="AD357" s="1" t="s">
        <v>2143</v>
      </c>
      <c r="AE357" s="1">
        <v>2018.0</v>
      </c>
      <c r="AF357" s="1" t="s">
        <v>75</v>
      </c>
    </row>
    <row r="358">
      <c r="A358" s="1" t="s">
        <v>2144</v>
      </c>
      <c r="B358" s="1" t="s">
        <v>2145</v>
      </c>
      <c r="C358" s="1" t="s">
        <v>632</v>
      </c>
      <c r="D358" s="1" t="s">
        <v>2146</v>
      </c>
      <c r="E358" s="1" t="s">
        <v>632</v>
      </c>
      <c r="F358" s="1" t="s">
        <v>45</v>
      </c>
      <c r="G358" s="1">
        <v>30.8</v>
      </c>
      <c r="H358" s="1">
        <v>67.8</v>
      </c>
      <c r="I358" s="1">
        <v>29.8</v>
      </c>
      <c r="J358" s="1">
        <v>66.2</v>
      </c>
      <c r="K358" s="1">
        <v>90.8</v>
      </c>
      <c r="L358" s="1">
        <v>2.1</v>
      </c>
      <c r="M358" s="1">
        <v>2.6</v>
      </c>
      <c r="N358" s="1">
        <v>2.5</v>
      </c>
      <c r="O358" s="1">
        <v>1.4</v>
      </c>
      <c r="P358" s="1">
        <v>0.1</v>
      </c>
      <c r="Q358" s="1">
        <v>24.0</v>
      </c>
      <c r="R358" s="1">
        <v>23.6</v>
      </c>
      <c r="S358" s="1">
        <v>71.9</v>
      </c>
      <c r="AA358" s="1" t="s">
        <v>1409</v>
      </c>
      <c r="AB358" s="1" t="s">
        <v>49</v>
      </c>
      <c r="AC358" s="1" t="s">
        <v>2147</v>
      </c>
      <c r="AD358" s="1" t="s">
        <v>96</v>
      </c>
      <c r="AE358" s="1">
        <v>2008.0</v>
      </c>
      <c r="AF358" s="1" t="s">
        <v>75</v>
      </c>
    </row>
    <row r="359">
      <c r="A359" s="1" t="s">
        <v>2148</v>
      </c>
      <c r="B359" s="1" t="s">
        <v>2149</v>
      </c>
      <c r="C359" s="1" t="s">
        <v>632</v>
      </c>
      <c r="D359" s="1" t="s">
        <v>2150</v>
      </c>
      <c r="E359" s="1" t="s">
        <v>632</v>
      </c>
      <c r="F359" s="1" t="s">
        <v>45</v>
      </c>
      <c r="G359" s="1">
        <v>39.0</v>
      </c>
      <c r="H359" s="1">
        <v>59.7</v>
      </c>
      <c r="I359" s="1">
        <v>36.9</v>
      </c>
      <c r="J359" s="1">
        <v>59.0</v>
      </c>
      <c r="K359" s="1">
        <v>89.1</v>
      </c>
      <c r="L359" s="1">
        <v>2.1</v>
      </c>
      <c r="M359" s="1">
        <v>4.8</v>
      </c>
      <c r="N359" s="1">
        <v>1.6</v>
      </c>
      <c r="O359" s="1">
        <v>1.4</v>
      </c>
      <c r="P359" s="1">
        <v>0.1</v>
      </c>
      <c r="Q359" s="1">
        <v>28.1</v>
      </c>
      <c r="R359" s="1">
        <v>28.5</v>
      </c>
      <c r="S359" s="1">
        <v>66.1</v>
      </c>
      <c r="AA359" s="1" t="s">
        <v>1409</v>
      </c>
      <c r="AB359" s="1" t="s">
        <v>49</v>
      </c>
      <c r="AC359" s="1" t="s">
        <v>95</v>
      </c>
      <c r="AD359" s="1" t="s">
        <v>571</v>
      </c>
      <c r="AE359" s="1">
        <v>2010.0</v>
      </c>
      <c r="AF359" s="1" t="s">
        <v>75</v>
      </c>
    </row>
    <row r="360">
      <c r="A360" s="1" t="s">
        <v>2152</v>
      </c>
      <c r="B360" s="1" t="s">
        <v>2153</v>
      </c>
      <c r="C360" s="1" t="s">
        <v>632</v>
      </c>
      <c r="D360" s="1" t="s">
        <v>2154</v>
      </c>
      <c r="E360" s="1" t="s">
        <v>632</v>
      </c>
      <c r="F360" s="1" t="s">
        <v>45</v>
      </c>
      <c r="G360" s="1">
        <v>44.9</v>
      </c>
      <c r="H360" s="1">
        <v>53.5</v>
      </c>
      <c r="I360" s="1">
        <v>39.8</v>
      </c>
      <c r="J360" s="1">
        <v>54.5</v>
      </c>
      <c r="K360" s="1">
        <v>71.1</v>
      </c>
      <c r="L360" s="1">
        <v>6.8</v>
      </c>
      <c r="M360" s="1">
        <v>17.4</v>
      </c>
      <c r="N360" s="1">
        <v>2.5</v>
      </c>
      <c r="O360" s="1">
        <v>1.9</v>
      </c>
      <c r="P360" s="1">
        <v>0.2</v>
      </c>
      <c r="Q360" s="1">
        <v>39.1</v>
      </c>
      <c r="R360" s="1">
        <v>45.6</v>
      </c>
      <c r="S360" s="1">
        <v>40.5</v>
      </c>
      <c r="AA360" s="1" t="s">
        <v>1409</v>
      </c>
      <c r="AB360" s="1" t="s">
        <v>49</v>
      </c>
      <c r="AC360" s="1" t="s">
        <v>136</v>
      </c>
      <c r="AD360" s="1" t="s">
        <v>2155</v>
      </c>
      <c r="AE360" s="1">
        <v>2020.0</v>
      </c>
      <c r="AF360" s="1" t="s">
        <v>75</v>
      </c>
    </row>
    <row r="361">
      <c r="A361" s="1" t="s">
        <v>2156</v>
      </c>
      <c r="B361" s="1" t="s">
        <v>2157</v>
      </c>
      <c r="C361" s="1" t="s">
        <v>632</v>
      </c>
      <c r="D361" s="1" t="s">
        <v>2158</v>
      </c>
      <c r="E361" s="1" t="s">
        <v>632</v>
      </c>
      <c r="F361" s="1" t="s">
        <v>45</v>
      </c>
      <c r="G361" s="1">
        <v>43.9</v>
      </c>
      <c r="H361" s="1">
        <v>54.5</v>
      </c>
      <c r="I361" s="1">
        <v>38.9</v>
      </c>
      <c r="J361" s="1">
        <v>56.1</v>
      </c>
      <c r="K361" s="1">
        <v>64.1</v>
      </c>
      <c r="L361" s="1">
        <v>6.0</v>
      </c>
      <c r="M361" s="1">
        <v>25.4</v>
      </c>
      <c r="N361" s="1">
        <v>2.7</v>
      </c>
      <c r="O361" s="1">
        <v>2.2</v>
      </c>
      <c r="P361" s="1">
        <v>0.2</v>
      </c>
      <c r="Q361" s="1">
        <v>33.7</v>
      </c>
      <c r="R361" s="1">
        <v>36.4</v>
      </c>
      <c r="S361" s="1">
        <v>43.2</v>
      </c>
      <c r="AA361" s="1" t="s">
        <v>1409</v>
      </c>
      <c r="AB361" s="1" t="s">
        <v>49</v>
      </c>
      <c r="AC361" s="1" t="s">
        <v>377</v>
      </c>
      <c r="AD361" s="1" t="s">
        <v>493</v>
      </c>
      <c r="AE361" s="1" t="s">
        <v>783</v>
      </c>
      <c r="AF361" s="1" t="s">
        <v>75</v>
      </c>
    </row>
    <row r="362">
      <c r="A362" s="1" t="s">
        <v>2162</v>
      </c>
      <c r="B362" s="1" t="s">
        <v>2163</v>
      </c>
      <c r="C362" s="1" t="s">
        <v>632</v>
      </c>
      <c r="D362" s="1" t="s">
        <v>2164</v>
      </c>
      <c r="E362" s="1" t="s">
        <v>632</v>
      </c>
      <c r="F362" s="1" t="s">
        <v>45</v>
      </c>
      <c r="G362" s="1">
        <v>30.6</v>
      </c>
      <c r="H362" s="1">
        <v>68.0</v>
      </c>
      <c r="I362" s="1">
        <v>29.1</v>
      </c>
      <c r="J362" s="1">
        <v>66.9</v>
      </c>
      <c r="K362" s="1">
        <v>74.0</v>
      </c>
      <c r="L362" s="1">
        <v>4.8</v>
      </c>
      <c r="M362" s="1">
        <v>17.6</v>
      </c>
      <c r="N362" s="1">
        <v>1.5</v>
      </c>
      <c r="O362" s="1">
        <v>2.1</v>
      </c>
      <c r="P362" s="1">
        <v>0.1</v>
      </c>
      <c r="Q362" s="1">
        <v>23.8</v>
      </c>
      <c r="R362" s="1">
        <v>26.6</v>
      </c>
      <c r="S362" s="1">
        <v>56.6</v>
      </c>
      <c r="AA362" s="1" t="s">
        <v>1409</v>
      </c>
      <c r="AB362" s="1" t="s">
        <v>49</v>
      </c>
      <c r="AC362" s="1" t="s">
        <v>529</v>
      </c>
      <c r="AD362" s="1" t="s">
        <v>2166</v>
      </c>
      <c r="AE362" s="1">
        <v>2010.0</v>
      </c>
      <c r="AF362" s="1" t="s">
        <v>75</v>
      </c>
    </row>
    <row r="363">
      <c r="A363" s="1" t="s">
        <v>2167</v>
      </c>
      <c r="B363" s="1" t="s">
        <v>2168</v>
      </c>
      <c r="C363" s="1" t="s">
        <v>632</v>
      </c>
      <c r="D363" s="1" t="s">
        <v>2169</v>
      </c>
      <c r="E363" s="1" t="s">
        <v>632</v>
      </c>
      <c r="F363" s="1" t="s">
        <v>45</v>
      </c>
      <c r="G363" s="1">
        <v>39.8</v>
      </c>
      <c r="H363" s="1">
        <v>58.4</v>
      </c>
      <c r="I363" s="1">
        <v>35.4</v>
      </c>
      <c r="J363" s="1">
        <v>59.2</v>
      </c>
      <c r="K363" s="1">
        <v>67.0</v>
      </c>
      <c r="L363" s="1">
        <v>9.0</v>
      </c>
      <c r="M363" s="1">
        <v>19.0</v>
      </c>
      <c r="N363" s="1">
        <v>3.1</v>
      </c>
      <c r="O363" s="1">
        <v>2.0</v>
      </c>
      <c r="P363" s="1">
        <v>0.1</v>
      </c>
      <c r="Q363" s="1">
        <v>33.2</v>
      </c>
      <c r="R363" s="1">
        <v>38.5</v>
      </c>
      <c r="S363" s="1">
        <v>44.8</v>
      </c>
      <c r="AA363" s="1" t="s">
        <v>1409</v>
      </c>
      <c r="AB363" s="1" t="s">
        <v>49</v>
      </c>
      <c r="AC363" s="1" t="s">
        <v>2170</v>
      </c>
      <c r="AD363" s="1" t="s">
        <v>2171</v>
      </c>
      <c r="AE363" s="1">
        <v>2018.0</v>
      </c>
      <c r="AF363" s="1" t="s">
        <v>75</v>
      </c>
    </row>
    <row r="364">
      <c r="A364" s="1" t="s">
        <v>2172</v>
      </c>
      <c r="B364" s="1" t="s">
        <v>2173</v>
      </c>
      <c r="C364" s="1" t="s">
        <v>632</v>
      </c>
      <c r="D364" s="1" t="s">
        <v>2174</v>
      </c>
      <c r="E364" s="1" t="s">
        <v>632</v>
      </c>
      <c r="F364" s="1" t="s">
        <v>45</v>
      </c>
      <c r="G364" s="1">
        <v>40.2</v>
      </c>
      <c r="H364" s="1">
        <v>58.4</v>
      </c>
      <c r="I364" s="1">
        <v>37.9</v>
      </c>
      <c r="J364" s="1">
        <v>58.2</v>
      </c>
      <c r="K364" s="1">
        <v>66.5</v>
      </c>
      <c r="L364" s="1">
        <v>4.5</v>
      </c>
      <c r="M364" s="1">
        <v>24.7</v>
      </c>
      <c r="N364" s="1">
        <v>2.3</v>
      </c>
      <c r="O364" s="1">
        <v>2.1</v>
      </c>
      <c r="P364" s="1">
        <v>0.1</v>
      </c>
      <c r="Q364" s="1">
        <v>25.6</v>
      </c>
      <c r="R364" s="1">
        <v>28.3</v>
      </c>
      <c r="S364" s="1">
        <v>49.9</v>
      </c>
      <c r="AA364" s="1" t="s">
        <v>1409</v>
      </c>
      <c r="AB364" s="1" t="s">
        <v>49</v>
      </c>
      <c r="AC364" s="1" t="s">
        <v>2175</v>
      </c>
      <c r="AD364" s="1" t="s">
        <v>2176</v>
      </c>
      <c r="AE364" s="1" t="s">
        <v>1772</v>
      </c>
      <c r="AF364" s="1" t="s">
        <v>75</v>
      </c>
    </row>
    <row r="365">
      <c r="A365" s="1" t="s">
        <v>2177</v>
      </c>
      <c r="B365" s="1" t="s">
        <v>2178</v>
      </c>
      <c r="C365" s="1" t="s">
        <v>632</v>
      </c>
      <c r="D365" s="1" t="s">
        <v>2179</v>
      </c>
      <c r="E365" s="1" t="s">
        <v>632</v>
      </c>
      <c r="F365" s="1" t="s">
        <v>45</v>
      </c>
      <c r="G365" s="1">
        <v>40.2</v>
      </c>
      <c r="H365" s="1">
        <v>58.8</v>
      </c>
      <c r="I365" s="1">
        <v>39.1</v>
      </c>
      <c r="J365" s="1">
        <v>58.0</v>
      </c>
      <c r="K365" s="1">
        <v>67.1</v>
      </c>
      <c r="L365" s="1">
        <v>4.0</v>
      </c>
      <c r="M365" s="1">
        <v>25.4</v>
      </c>
      <c r="N365" s="1">
        <v>1.4</v>
      </c>
      <c r="O365" s="1">
        <v>2.0</v>
      </c>
      <c r="P365" s="1">
        <v>0.1</v>
      </c>
      <c r="Q365" s="1">
        <v>22.0</v>
      </c>
      <c r="R365" s="1">
        <v>25.9</v>
      </c>
      <c r="S365" s="1">
        <v>51.2</v>
      </c>
      <c r="AA365" s="1" t="s">
        <v>1409</v>
      </c>
      <c r="AB365" s="1" t="s">
        <v>159</v>
      </c>
      <c r="AC365" s="1" t="s">
        <v>2180</v>
      </c>
      <c r="AD365" s="1" t="s">
        <v>2181</v>
      </c>
      <c r="AF365" s="1" t="s">
        <v>75</v>
      </c>
    </row>
    <row r="366">
      <c r="A366" s="1" t="s">
        <v>2182</v>
      </c>
      <c r="B366" s="1" t="s">
        <v>2183</v>
      </c>
      <c r="C366" s="1" t="s">
        <v>632</v>
      </c>
      <c r="D366" s="1" t="s">
        <v>2184</v>
      </c>
      <c r="E366" s="1" t="s">
        <v>632</v>
      </c>
      <c r="F366" s="1" t="s">
        <v>45</v>
      </c>
      <c r="G366" s="1">
        <v>35.6</v>
      </c>
      <c r="H366" s="1">
        <v>61.8</v>
      </c>
      <c r="I366" s="1">
        <v>31.7</v>
      </c>
      <c r="J366" s="1">
        <v>61.5</v>
      </c>
      <c r="K366" s="1">
        <v>83.1</v>
      </c>
      <c r="L366" s="1">
        <v>3.6</v>
      </c>
      <c r="M366" s="1">
        <v>2.2</v>
      </c>
      <c r="N366" s="1">
        <v>1.9</v>
      </c>
      <c r="O366" s="1">
        <v>9.1</v>
      </c>
      <c r="P366" s="1">
        <v>0.2</v>
      </c>
      <c r="Q366" s="1">
        <v>29.3</v>
      </c>
      <c r="R366" s="1">
        <v>31.2</v>
      </c>
      <c r="S366" s="1">
        <v>59.9</v>
      </c>
      <c r="AA366" s="1" t="s">
        <v>1409</v>
      </c>
      <c r="AB366" s="1" t="s">
        <v>49</v>
      </c>
      <c r="AC366" s="1" t="s">
        <v>2185</v>
      </c>
      <c r="AD366" s="1" t="s">
        <v>517</v>
      </c>
      <c r="AE366" s="1">
        <v>2018.0</v>
      </c>
      <c r="AF366" s="1" t="s">
        <v>75</v>
      </c>
    </row>
    <row r="367">
      <c r="A367" s="1" t="s">
        <v>2186</v>
      </c>
      <c r="B367" s="1" t="s">
        <v>2187</v>
      </c>
      <c r="C367" s="1" t="s">
        <v>632</v>
      </c>
      <c r="D367" s="1" t="s">
        <v>2188</v>
      </c>
      <c r="E367" s="1" t="s">
        <v>632</v>
      </c>
      <c r="F367" s="1" t="s">
        <v>45</v>
      </c>
      <c r="G367" s="1">
        <v>22.0</v>
      </c>
      <c r="H367" s="1">
        <v>76.3</v>
      </c>
      <c r="I367" s="1">
        <v>19.6</v>
      </c>
      <c r="J367" s="1">
        <v>76.4</v>
      </c>
      <c r="K367" s="1">
        <v>89.6</v>
      </c>
      <c r="L367" s="1">
        <v>3.8</v>
      </c>
      <c r="M367" s="1">
        <v>2.7</v>
      </c>
      <c r="N367" s="1">
        <v>1.1</v>
      </c>
      <c r="O367" s="1">
        <v>2.5</v>
      </c>
      <c r="P367" s="1">
        <v>0.1</v>
      </c>
      <c r="Q367" s="1">
        <v>20.9</v>
      </c>
      <c r="R367" s="1">
        <v>21.0</v>
      </c>
      <c r="S367" s="1">
        <v>74.5</v>
      </c>
      <c r="AA367" s="1" t="s">
        <v>1409</v>
      </c>
      <c r="AB367" s="1" t="s">
        <v>49</v>
      </c>
      <c r="AC367" s="1" t="s">
        <v>371</v>
      </c>
      <c r="AD367" s="1" t="s">
        <v>2190</v>
      </c>
      <c r="AE367" s="1">
        <v>2020.0</v>
      </c>
      <c r="AF367" s="1" t="s">
        <v>75</v>
      </c>
    </row>
    <row r="368">
      <c r="A368" s="1" t="s">
        <v>2191</v>
      </c>
      <c r="B368" s="1" t="s">
        <v>2192</v>
      </c>
      <c r="C368" s="1" t="s">
        <v>632</v>
      </c>
      <c r="D368" s="1" t="s">
        <v>2193</v>
      </c>
      <c r="E368" s="1" t="s">
        <v>632</v>
      </c>
      <c r="F368" s="1" t="s">
        <v>45</v>
      </c>
      <c r="G368" s="1">
        <v>34.4</v>
      </c>
      <c r="H368" s="1">
        <v>63.7</v>
      </c>
      <c r="I368" s="1">
        <v>29.5</v>
      </c>
      <c r="J368" s="1">
        <v>64.7</v>
      </c>
      <c r="K368" s="1">
        <v>84.3</v>
      </c>
      <c r="L368" s="1">
        <v>4.3</v>
      </c>
      <c r="M368" s="1">
        <v>6.3</v>
      </c>
      <c r="N368" s="1">
        <v>2.2</v>
      </c>
      <c r="O368" s="1">
        <v>2.5</v>
      </c>
      <c r="P368" s="1">
        <v>0.1</v>
      </c>
      <c r="Q368" s="1">
        <v>32.0</v>
      </c>
      <c r="R368" s="1">
        <v>32.3</v>
      </c>
      <c r="S368" s="1">
        <v>60.7</v>
      </c>
      <c r="AA368" s="1" t="s">
        <v>1409</v>
      </c>
      <c r="AB368" s="1" t="s">
        <v>49</v>
      </c>
      <c r="AC368" s="1" t="s">
        <v>1056</v>
      </c>
      <c r="AD368" s="1" t="s">
        <v>2194</v>
      </c>
      <c r="AE368" s="1">
        <v>2018.0</v>
      </c>
      <c r="AF368" s="1" t="s">
        <v>75</v>
      </c>
    </row>
    <row r="369">
      <c r="A369" s="1" t="s">
        <v>2195</v>
      </c>
      <c r="B369" s="1" t="s">
        <v>2196</v>
      </c>
      <c r="C369" s="1" t="s">
        <v>632</v>
      </c>
      <c r="D369" s="1" t="s">
        <v>2197</v>
      </c>
      <c r="E369" s="1" t="s">
        <v>632</v>
      </c>
      <c r="F369" s="1" t="s">
        <v>45</v>
      </c>
      <c r="G369" s="1">
        <v>33.1</v>
      </c>
      <c r="H369" s="1">
        <v>65.0</v>
      </c>
      <c r="I369" s="1">
        <v>29.9</v>
      </c>
      <c r="J369" s="1">
        <v>65.1</v>
      </c>
      <c r="K369" s="1">
        <v>80.1</v>
      </c>
      <c r="L369" s="1">
        <v>4.6</v>
      </c>
      <c r="M369" s="1">
        <v>10.5</v>
      </c>
      <c r="N369" s="1">
        <v>1.9</v>
      </c>
      <c r="O369" s="1">
        <v>2.8</v>
      </c>
      <c r="P369" s="1">
        <v>0.1</v>
      </c>
      <c r="Q369" s="1">
        <v>25.9</v>
      </c>
      <c r="R369" s="1">
        <v>27.0</v>
      </c>
      <c r="S369" s="1">
        <v>61.7</v>
      </c>
      <c r="AA369" s="1" t="s">
        <v>1409</v>
      </c>
      <c r="AB369" s="1" t="s">
        <v>49</v>
      </c>
      <c r="AC369" s="1" t="s">
        <v>1527</v>
      </c>
      <c r="AD369" s="1" t="s">
        <v>2198</v>
      </c>
      <c r="AE369" s="1">
        <v>2010.0</v>
      </c>
      <c r="AF369" s="1" t="s">
        <v>75</v>
      </c>
    </row>
    <row r="370">
      <c r="A370" s="1" t="s">
        <v>2199</v>
      </c>
      <c r="B370" s="1" t="s">
        <v>2200</v>
      </c>
      <c r="C370" s="1" t="s">
        <v>632</v>
      </c>
      <c r="D370" s="1" t="s">
        <v>2201</v>
      </c>
      <c r="E370" s="1" t="s">
        <v>632</v>
      </c>
      <c r="F370" s="1" t="s">
        <v>45</v>
      </c>
      <c r="G370" s="1">
        <v>30.2</v>
      </c>
      <c r="H370" s="1">
        <v>67.9</v>
      </c>
      <c r="I370" s="1">
        <v>27.3</v>
      </c>
      <c r="J370" s="1">
        <v>68.4</v>
      </c>
      <c r="K370" s="1">
        <v>78.5</v>
      </c>
      <c r="L370" s="1">
        <v>6.6</v>
      </c>
      <c r="M370" s="1">
        <v>9.9</v>
      </c>
      <c r="N370" s="1">
        <v>2.4</v>
      </c>
      <c r="O370" s="1">
        <v>2.5</v>
      </c>
      <c r="P370" s="1">
        <v>0.1</v>
      </c>
      <c r="Q370" s="1">
        <v>23.3</v>
      </c>
      <c r="R370" s="1">
        <v>23.0</v>
      </c>
      <c r="S370" s="1">
        <v>65.0</v>
      </c>
      <c r="AA370" s="1" t="s">
        <v>1409</v>
      </c>
      <c r="AB370" s="1" t="s">
        <v>49</v>
      </c>
      <c r="AC370" s="1" t="s">
        <v>348</v>
      </c>
      <c r="AD370" s="1" t="s">
        <v>2202</v>
      </c>
      <c r="AE370" s="1">
        <v>2010.0</v>
      </c>
      <c r="AF370" s="1" t="s">
        <v>75</v>
      </c>
    </row>
    <row r="371">
      <c r="A371" s="1" t="s">
        <v>2203</v>
      </c>
      <c r="B371" s="1" t="s">
        <v>2204</v>
      </c>
      <c r="C371" s="1" t="s">
        <v>43</v>
      </c>
      <c r="D371" s="1" t="s">
        <v>2205</v>
      </c>
      <c r="E371" s="1" t="s">
        <v>632</v>
      </c>
      <c r="F371" s="1" t="s">
        <v>397</v>
      </c>
      <c r="G371" s="1">
        <v>43.2</v>
      </c>
      <c r="H371" s="1">
        <v>54.5</v>
      </c>
      <c r="I371" s="1">
        <v>38.5</v>
      </c>
      <c r="J371" s="1">
        <v>55.6</v>
      </c>
      <c r="K371" s="1">
        <v>71.9</v>
      </c>
      <c r="L371" s="1">
        <v>8.8</v>
      </c>
      <c r="M371" s="1">
        <v>12.7</v>
      </c>
      <c r="N371" s="1">
        <v>4.7</v>
      </c>
      <c r="O371" s="1">
        <v>2.0</v>
      </c>
      <c r="P371" s="1">
        <v>0.1</v>
      </c>
      <c r="Q371" s="1">
        <v>44.0</v>
      </c>
      <c r="R371" s="1">
        <v>46.5</v>
      </c>
      <c r="S371" s="1">
        <v>42.4</v>
      </c>
      <c r="AA371" s="1" t="s">
        <v>1409</v>
      </c>
      <c r="AB371" s="1" t="s">
        <v>159</v>
      </c>
      <c r="AC371" s="1" t="s">
        <v>584</v>
      </c>
      <c r="AD371" s="1" t="s">
        <v>2207</v>
      </c>
      <c r="AF371" s="1" t="s">
        <v>75</v>
      </c>
    </row>
    <row r="372">
      <c r="A372" s="1" t="s">
        <v>2209</v>
      </c>
      <c r="B372" s="1" t="s">
        <v>2210</v>
      </c>
      <c r="C372" s="1" t="s">
        <v>632</v>
      </c>
      <c r="D372" s="1" t="s">
        <v>2211</v>
      </c>
      <c r="E372" s="1" t="s">
        <v>632</v>
      </c>
      <c r="F372" s="1" t="s">
        <v>45</v>
      </c>
      <c r="G372" s="1">
        <v>34.5</v>
      </c>
      <c r="H372" s="1">
        <v>63.6</v>
      </c>
      <c r="I372" s="1">
        <v>31.9</v>
      </c>
      <c r="J372" s="1">
        <v>63.7</v>
      </c>
      <c r="K372" s="1">
        <v>80.1</v>
      </c>
      <c r="L372" s="1">
        <v>6.4</v>
      </c>
      <c r="M372" s="1">
        <v>9.4</v>
      </c>
      <c r="N372" s="1">
        <v>1.6</v>
      </c>
      <c r="O372" s="1">
        <v>2.5</v>
      </c>
      <c r="P372" s="1">
        <v>0.1</v>
      </c>
      <c r="Q372" s="1">
        <v>24.9</v>
      </c>
      <c r="R372" s="1">
        <v>25.2</v>
      </c>
      <c r="S372" s="1">
        <v>64.1</v>
      </c>
      <c r="AA372" s="1" t="s">
        <v>1409</v>
      </c>
      <c r="AB372" s="1" t="s">
        <v>49</v>
      </c>
      <c r="AC372" s="1" t="s">
        <v>120</v>
      </c>
      <c r="AD372" s="1" t="s">
        <v>2212</v>
      </c>
      <c r="AE372" s="1">
        <v>2018.0</v>
      </c>
      <c r="AF372" s="1" t="s">
        <v>75</v>
      </c>
    </row>
    <row r="373">
      <c r="A373" s="1" t="s">
        <v>2213</v>
      </c>
      <c r="B373" s="1" t="s">
        <v>2214</v>
      </c>
      <c r="C373" s="1" t="s">
        <v>632</v>
      </c>
      <c r="D373" s="1" t="s">
        <v>2215</v>
      </c>
      <c r="E373" s="1" t="s">
        <v>632</v>
      </c>
      <c r="F373" s="1" t="s">
        <v>45</v>
      </c>
      <c r="G373" s="1">
        <v>41.3</v>
      </c>
      <c r="H373" s="1">
        <v>56.4</v>
      </c>
      <c r="I373" s="1">
        <v>38.8</v>
      </c>
      <c r="J373" s="1">
        <v>56.0</v>
      </c>
      <c r="K373" s="1">
        <v>71.9</v>
      </c>
      <c r="L373" s="1">
        <v>6.2</v>
      </c>
      <c r="M373" s="1">
        <v>16.7</v>
      </c>
      <c r="N373" s="1">
        <v>2.8</v>
      </c>
      <c r="O373" s="1">
        <v>2.3</v>
      </c>
      <c r="P373" s="1">
        <v>0.3</v>
      </c>
      <c r="Q373" s="1">
        <v>30.3</v>
      </c>
      <c r="R373" s="1">
        <v>31.8</v>
      </c>
      <c r="S373" s="1">
        <v>51.8</v>
      </c>
      <c r="AA373" s="1" t="s">
        <v>1409</v>
      </c>
      <c r="AB373" s="1" t="s">
        <v>49</v>
      </c>
      <c r="AC373" s="1" t="s">
        <v>127</v>
      </c>
      <c r="AD373" s="1" t="s">
        <v>1252</v>
      </c>
      <c r="AE373" s="1">
        <v>2018.0</v>
      </c>
      <c r="AF373" s="1" t="s">
        <v>75</v>
      </c>
    </row>
    <row r="374">
      <c r="A374" s="1" t="s">
        <v>2216</v>
      </c>
      <c r="B374" s="1" t="s">
        <v>2217</v>
      </c>
      <c r="C374" s="1" t="s">
        <v>632</v>
      </c>
      <c r="D374" s="1" t="s">
        <v>2218</v>
      </c>
      <c r="E374" s="1" t="s">
        <v>632</v>
      </c>
      <c r="F374" s="1" t="s">
        <v>45</v>
      </c>
      <c r="G374" s="1">
        <v>30.6</v>
      </c>
      <c r="H374" s="1">
        <v>67.9</v>
      </c>
      <c r="I374" s="1">
        <v>28.8</v>
      </c>
      <c r="J374" s="1">
        <v>67.8</v>
      </c>
      <c r="K374" s="1">
        <v>74.9</v>
      </c>
      <c r="L374" s="1">
        <v>2.9</v>
      </c>
      <c r="M374" s="1">
        <v>17.7</v>
      </c>
      <c r="N374" s="1">
        <v>2.3</v>
      </c>
      <c r="O374" s="1">
        <v>1.9</v>
      </c>
      <c r="P374" s="1">
        <v>0.1</v>
      </c>
      <c r="Q374" s="1">
        <v>27.1</v>
      </c>
      <c r="R374" s="1">
        <v>29.0</v>
      </c>
      <c r="S374" s="1">
        <v>55.7</v>
      </c>
      <c r="AA374" s="1" t="s">
        <v>1409</v>
      </c>
      <c r="AB374" s="1" t="s">
        <v>49</v>
      </c>
      <c r="AC374" s="1" t="s">
        <v>541</v>
      </c>
      <c r="AD374" s="1" t="s">
        <v>2219</v>
      </c>
      <c r="AE374" s="1">
        <v>2016.0</v>
      </c>
      <c r="AF374" s="1" t="s">
        <v>75</v>
      </c>
    </row>
    <row r="375">
      <c r="A375" s="1" t="s">
        <v>2220</v>
      </c>
      <c r="B375" s="1" t="s">
        <v>2221</v>
      </c>
      <c r="C375" s="1" t="s">
        <v>632</v>
      </c>
      <c r="D375" s="1" t="s">
        <v>2222</v>
      </c>
      <c r="E375" s="1" t="s">
        <v>632</v>
      </c>
      <c r="F375" s="1" t="s">
        <v>45</v>
      </c>
      <c r="G375" s="1">
        <v>26.5</v>
      </c>
      <c r="H375" s="1">
        <v>72.4</v>
      </c>
      <c r="I375" s="1">
        <v>24.6</v>
      </c>
      <c r="J375" s="1">
        <v>72.4</v>
      </c>
      <c r="K375" s="1">
        <v>63.6</v>
      </c>
      <c r="L375" s="1">
        <v>14.1</v>
      </c>
      <c r="M375" s="1">
        <v>18.3</v>
      </c>
      <c r="N375" s="1">
        <v>1.5</v>
      </c>
      <c r="O375" s="1">
        <v>2.8</v>
      </c>
      <c r="P375" s="1">
        <v>0.1</v>
      </c>
      <c r="Q375" s="1">
        <v>21.6</v>
      </c>
      <c r="R375" s="1">
        <v>25.5</v>
      </c>
      <c r="S375" s="1">
        <v>51.8</v>
      </c>
      <c r="AA375" s="1" t="s">
        <v>1409</v>
      </c>
      <c r="AB375" s="1" t="s">
        <v>159</v>
      </c>
      <c r="AC375" s="1" t="s">
        <v>2223</v>
      </c>
      <c r="AD375" s="1" t="s">
        <v>2224</v>
      </c>
      <c r="AF375" s="1" t="s">
        <v>75</v>
      </c>
    </row>
    <row r="376">
      <c r="A376" s="1" t="s">
        <v>2225</v>
      </c>
      <c r="B376" s="1" t="s">
        <v>2226</v>
      </c>
      <c r="C376" s="1" t="s">
        <v>632</v>
      </c>
      <c r="D376" s="1" t="s">
        <v>2227</v>
      </c>
      <c r="E376" s="1" t="s">
        <v>632</v>
      </c>
      <c r="F376" s="1" t="s">
        <v>45</v>
      </c>
      <c r="G376" s="1">
        <v>37.9</v>
      </c>
      <c r="H376" s="1">
        <v>60.7</v>
      </c>
      <c r="I376" s="1">
        <v>31.6</v>
      </c>
      <c r="J376" s="1">
        <v>63.3</v>
      </c>
      <c r="K376" s="1">
        <v>53.1</v>
      </c>
      <c r="L376" s="1">
        <v>27.1</v>
      </c>
      <c r="M376" s="1">
        <v>12.3</v>
      </c>
      <c r="N376" s="1">
        <v>5.5</v>
      </c>
      <c r="O376" s="1">
        <v>2.8</v>
      </c>
      <c r="P376" s="1">
        <v>0.3</v>
      </c>
      <c r="Q376" s="1">
        <v>37.4</v>
      </c>
      <c r="R376" s="1">
        <v>40.5</v>
      </c>
      <c r="S376" s="1">
        <v>38.0</v>
      </c>
      <c r="AA376" s="1" t="s">
        <v>1409</v>
      </c>
      <c r="AB376" s="1" t="s">
        <v>49</v>
      </c>
      <c r="AC376" s="1" t="s">
        <v>811</v>
      </c>
      <c r="AD376" s="1" t="s">
        <v>2228</v>
      </c>
      <c r="AE376" s="1">
        <v>2018.0</v>
      </c>
      <c r="AF376" s="1" t="s">
        <v>75</v>
      </c>
    </row>
    <row r="377">
      <c r="A377" s="1" t="s">
        <v>2229</v>
      </c>
      <c r="B377" s="1" t="s">
        <v>2230</v>
      </c>
      <c r="C377" s="1" t="s">
        <v>632</v>
      </c>
      <c r="D377" s="1" t="s">
        <v>2231</v>
      </c>
      <c r="E377" s="1" t="s">
        <v>632</v>
      </c>
      <c r="F377" s="1" t="s">
        <v>45</v>
      </c>
      <c r="G377" s="1">
        <v>42.0</v>
      </c>
      <c r="H377" s="1">
        <v>56.4</v>
      </c>
      <c r="I377" s="1">
        <v>34.0</v>
      </c>
      <c r="J377" s="1">
        <v>60.0</v>
      </c>
      <c r="K377" s="1">
        <v>59.4</v>
      </c>
      <c r="L377" s="1">
        <v>14.3</v>
      </c>
      <c r="M377" s="1">
        <v>10.2</v>
      </c>
      <c r="N377" s="1">
        <v>13.7</v>
      </c>
      <c r="O377" s="1">
        <v>2.7</v>
      </c>
      <c r="P377" s="1">
        <v>0.2</v>
      </c>
      <c r="Q377" s="1">
        <v>47.7</v>
      </c>
      <c r="R377" s="1">
        <v>48.4</v>
      </c>
      <c r="S377" s="1">
        <v>35.8</v>
      </c>
      <c r="AA377" s="1" t="s">
        <v>1409</v>
      </c>
      <c r="AB377" s="1" t="s">
        <v>159</v>
      </c>
      <c r="AC377" s="1" t="s">
        <v>2232</v>
      </c>
      <c r="AD377" s="1" t="s">
        <v>2233</v>
      </c>
      <c r="AF377" s="1" t="s">
        <v>75</v>
      </c>
    </row>
    <row r="378">
      <c r="A378" s="1" t="s">
        <v>2234</v>
      </c>
      <c r="B378" s="1" t="s">
        <v>2235</v>
      </c>
      <c r="C378" s="1" t="s">
        <v>632</v>
      </c>
      <c r="D378" s="1" t="s">
        <v>2236</v>
      </c>
      <c r="E378" s="1" t="s">
        <v>632</v>
      </c>
      <c r="F378" s="1" t="s">
        <v>45</v>
      </c>
      <c r="G378" s="1">
        <v>36.4</v>
      </c>
      <c r="H378" s="1">
        <v>62.4</v>
      </c>
      <c r="I378" s="1">
        <v>30.5</v>
      </c>
      <c r="J378" s="1">
        <v>64.8</v>
      </c>
      <c r="K378" s="1">
        <v>63.0</v>
      </c>
      <c r="L378" s="1">
        <v>12.4</v>
      </c>
      <c r="M378" s="1">
        <v>9.7</v>
      </c>
      <c r="N378" s="1">
        <v>11.8</v>
      </c>
      <c r="O378" s="1">
        <v>3.2</v>
      </c>
      <c r="P378" s="1">
        <v>0.2</v>
      </c>
      <c r="Q378" s="1">
        <v>40.9</v>
      </c>
      <c r="R378" s="1">
        <v>38.7</v>
      </c>
      <c r="S378" s="1">
        <v>45.0</v>
      </c>
      <c r="AA378" s="1" t="s">
        <v>1409</v>
      </c>
      <c r="AB378" s="1" t="s">
        <v>49</v>
      </c>
      <c r="AC378" s="1" t="s">
        <v>1048</v>
      </c>
      <c r="AD378" s="1" t="s">
        <v>2237</v>
      </c>
      <c r="AE378" s="1">
        <v>2020.0</v>
      </c>
      <c r="AF378" s="1" t="s">
        <v>75</v>
      </c>
    </row>
    <row r="379">
      <c r="A379" s="1" t="s">
        <v>2238</v>
      </c>
      <c r="B379" s="1" t="s">
        <v>2239</v>
      </c>
      <c r="C379" s="1" t="s">
        <v>632</v>
      </c>
      <c r="D379" s="1" t="s">
        <v>2240</v>
      </c>
      <c r="E379" s="1" t="s">
        <v>632</v>
      </c>
      <c r="F379" s="1" t="s">
        <v>45</v>
      </c>
      <c r="G379" s="1">
        <v>38.2</v>
      </c>
      <c r="H379" s="1">
        <v>60.6</v>
      </c>
      <c r="I379" s="1">
        <v>33.9</v>
      </c>
      <c r="J379" s="1">
        <v>62.8</v>
      </c>
      <c r="K379" s="1">
        <v>52.4</v>
      </c>
      <c r="L379" s="1">
        <v>25.8</v>
      </c>
      <c r="M379" s="1">
        <v>14.2</v>
      </c>
      <c r="N379" s="1">
        <v>5.3</v>
      </c>
      <c r="O379" s="1">
        <v>3.3</v>
      </c>
      <c r="P379" s="1">
        <v>0.1</v>
      </c>
      <c r="Q379" s="1">
        <v>21.4</v>
      </c>
      <c r="R379" s="1">
        <v>23.5</v>
      </c>
      <c r="S379" s="1">
        <v>47.6</v>
      </c>
      <c r="AA379" s="1" t="s">
        <v>1409</v>
      </c>
      <c r="AB379" s="1" t="s">
        <v>49</v>
      </c>
      <c r="AC379" s="1" t="s">
        <v>2242</v>
      </c>
      <c r="AD379" s="1" t="s">
        <v>2243</v>
      </c>
      <c r="AE379" s="1">
        <v>2018.0</v>
      </c>
      <c r="AF379" s="1" t="s">
        <v>75</v>
      </c>
    </row>
    <row r="380">
      <c r="A380" s="1" t="s">
        <v>2244</v>
      </c>
      <c r="B380" s="1" t="s">
        <v>2245</v>
      </c>
      <c r="C380" s="1" t="s">
        <v>632</v>
      </c>
      <c r="D380" s="1" t="s">
        <v>2246</v>
      </c>
      <c r="E380" s="1" t="s">
        <v>632</v>
      </c>
      <c r="F380" s="1" t="s">
        <v>45</v>
      </c>
      <c r="G380" s="1">
        <v>37.4</v>
      </c>
      <c r="H380" s="1">
        <v>61.3</v>
      </c>
      <c r="I380" s="1">
        <v>32.5</v>
      </c>
      <c r="J380" s="1">
        <v>63.7</v>
      </c>
      <c r="K380" s="1">
        <v>48.8</v>
      </c>
      <c r="L380" s="1">
        <v>30.2</v>
      </c>
      <c r="M380" s="1">
        <v>14.6</v>
      </c>
      <c r="N380" s="1">
        <v>4.3</v>
      </c>
      <c r="O380" s="1">
        <v>3.2</v>
      </c>
      <c r="P380" s="1">
        <v>0.3</v>
      </c>
      <c r="Q380" s="1">
        <v>22.3</v>
      </c>
      <c r="R380" s="1">
        <v>26.4</v>
      </c>
      <c r="S380" s="1">
        <v>43.7</v>
      </c>
      <c r="AA380" s="1" t="s">
        <v>1409</v>
      </c>
      <c r="AB380" s="1" t="s">
        <v>49</v>
      </c>
      <c r="AC380" s="1" t="s">
        <v>753</v>
      </c>
      <c r="AD380" s="1" t="s">
        <v>2247</v>
      </c>
      <c r="AE380" s="1" t="s">
        <v>469</v>
      </c>
      <c r="AF380" s="1" t="s">
        <v>75</v>
      </c>
    </row>
    <row r="381">
      <c r="A381" s="1" t="s">
        <v>2248</v>
      </c>
      <c r="B381" s="1" t="s">
        <v>2249</v>
      </c>
      <c r="C381" s="1" t="s">
        <v>632</v>
      </c>
      <c r="D381" s="1" t="s">
        <v>2250</v>
      </c>
      <c r="E381" s="1" t="s">
        <v>632</v>
      </c>
      <c r="F381" s="1" t="s">
        <v>45</v>
      </c>
      <c r="G381" s="1">
        <v>35.8</v>
      </c>
      <c r="H381" s="1">
        <v>63.0</v>
      </c>
      <c r="I381" s="1">
        <v>32.1</v>
      </c>
      <c r="J381" s="1">
        <v>64.0</v>
      </c>
      <c r="K381" s="1">
        <v>48.8</v>
      </c>
      <c r="L381" s="1">
        <v>29.7</v>
      </c>
      <c r="M381" s="1">
        <v>13.1</v>
      </c>
      <c r="N381" s="1">
        <v>6.6</v>
      </c>
      <c r="O381" s="1">
        <v>3.1</v>
      </c>
      <c r="P381" s="1">
        <v>0.2</v>
      </c>
      <c r="Q381" s="1">
        <v>29.5</v>
      </c>
      <c r="R381" s="1">
        <v>32.2</v>
      </c>
      <c r="S381" s="1">
        <v>39.8</v>
      </c>
      <c r="AA381" s="1" t="s">
        <v>1409</v>
      </c>
      <c r="AB381" s="1" t="s">
        <v>159</v>
      </c>
      <c r="AC381" s="1" t="s">
        <v>670</v>
      </c>
      <c r="AD381" s="1" t="s">
        <v>2251</v>
      </c>
      <c r="AF381" s="1" t="s">
        <v>75</v>
      </c>
    </row>
    <row r="382">
      <c r="A382" s="1" t="s">
        <v>2252</v>
      </c>
      <c r="B382" s="1" t="s">
        <v>2253</v>
      </c>
      <c r="C382" s="1" t="s">
        <v>632</v>
      </c>
      <c r="D382" s="1" t="s">
        <v>2254</v>
      </c>
      <c r="E382" s="1" t="s">
        <v>632</v>
      </c>
      <c r="F382" s="1" t="s">
        <v>45</v>
      </c>
      <c r="G382" s="1">
        <v>39.8</v>
      </c>
      <c r="H382" s="1">
        <v>58.6</v>
      </c>
      <c r="I382" s="1">
        <v>34.0</v>
      </c>
      <c r="J382" s="1">
        <v>60.2</v>
      </c>
      <c r="K382" s="1">
        <v>59.5</v>
      </c>
      <c r="L382" s="1">
        <v>22.0</v>
      </c>
      <c r="M382" s="1">
        <v>10.4</v>
      </c>
      <c r="N382" s="1">
        <v>6.2</v>
      </c>
      <c r="O382" s="1">
        <v>2.4</v>
      </c>
      <c r="P382" s="1">
        <v>0.2</v>
      </c>
      <c r="Q382" s="1">
        <v>37.6</v>
      </c>
      <c r="R382" s="1">
        <v>44.2</v>
      </c>
      <c r="S382" s="1">
        <v>37.5</v>
      </c>
      <c r="AA382" s="1" t="s">
        <v>1409</v>
      </c>
      <c r="AB382" s="1" t="s">
        <v>49</v>
      </c>
      <c r="AC382" s="1" t="s">
        <v>1289</v>
      </c>
      <c r="AD382" s="1" t="s">
        <v>2255</v>
      </c>
      <c r="AE382" s="1">
        <v>2004.0</v>
      </c>
      <c r="AF382" s="1" t="s">
        <v>75</v>
      </c>
    </row>
    <row r="383">
      <c r="A383" s="1" t="s">
        <v>2256</v>
      </c>
      <c r="B383" s="1" t="s">
        <v>2257</v>
      </c>
      <c r="C383" s="1" t="s">
        <v>632</v>
      </c>
      <c r="D383" s="1" t="s">
        <v>2258</v>
      </c>
      <c r="E383" s="1" t="s">
        <v>632</v>
      </c>
      <c r="F383" s="1" t="s">
        <v>45</v>
      </c>
      <c r="G383" s="1">
        <v>29.1</v>
      </c>
      <c r="H383" s="1">
        <v>69.5</v>
      </c>
      <c r="I383" s="1">
        <v>26.9</v>
      </c>
      <c r="J383" s="1">
        <v>69.1</v>
      </c>
      <c r="K383" s="1">
        <v>47.7</v>
      </c>
      <c r="L383" s="1">
        <v>35.2</v>
      </c>
      <c r="M383" s="1">
        <v>12.4</v>
      </c>
      <c r="N383" s="1">
        <v>2.9</v>
      </c>
      <c r="O383" s="1">
        <v>2.9</v>
      </c>
      <c r="P383" s="1">
        <v>0.7</v>
      </c>
      <c r="Q383" s="1">
        <v>22.4</v>
      </c>
      <c r="R383" s="1">
        <v>29.1</v>
      </c>
      <c r="S383" s="1">
        <v>37.4</v>
      </c>
      <c r="AA383" s="1" t="s">
        <v>1409</v>
      </c>
      <c r="AB383" s="1" t="s">
        <v>49</v>
      </c>
      <c r="AC383" s="1" t="s">
        <v>2259</v>
      </c>
      <c r="AD383" s="1" t="s">
        <v>2260</v>
      </c>
      <c r="AE383" s="1">
        <v>2020.0</v>
      </c>
      <c r="AF383" s="1" t="s">
        <v>75</v>
      </c>
    </row>
    <row r="384">
      <c r="A384" s="1" t="s">
        <v>2261</v>
      </c>
      <c r="B384" s="1" t="s">
        <v>2262</v>
      </c>
      <c r="C384" s="1" t="s">
        <v>632</v>
      </c>
      <c r="D384" s="1" t="s">
        <v>2263</v>
      </c>
      <c r="E384" s="1" t="s">
        <v>632</v>
      </c>
      <c r="F384" s="1" t="s">
        <v>45</v>
      </c>
      <c r="G384" s="1">
        <v>40.1</v>
      </c>
      <c r="H384" s="1">
        <v>58.3</v>
      </c>
      <c r="I384" s="1">
        <v>34.6</v>
      </c>
      <c r="J384" s="1">
        <v>60.2</v>
      </c>
      <c r="K384" s="1">
        <v>58.9</v>
      </c>
      <c r="L384" s="1">
        <v>21.7</v>
      </c>
      <c r="M384" s="1">
        <v>12.0</v>
      </c>
      <c r="N384" s="1">
        <v>5.1</v>
      </c>
      <c r="O384" s="1">
        <v>3.0</v>
      </c>
      <c r="P384" s="1">
        <v>0.3</v>
      </c>
      <c r="Q384" s="1">
        <v>32.1</v>
      </c>
      <c r="R384" s="1">
        <v>37.0</v>
      </c>
      <c r="S384" s="1">
        <v>42.3</v>
      </c>
      <c r="AA384" s="1" t="s">
        <v>1409</v>
      </c>
      <c r="AB384" s="1" t="s">
        <v>49</v>
      </c>
      <c r="AC384" s="1" t="s">
        <v>2264</v>
      </c>
      <c r="AD384" s="1" t="s">
        <v>2265</v>
      </c>
      <c r="AE384" s="1">
        <v>1996.0</v>
      </c>
      <c r="AF384" s="1" t="s">
        <v>75</v>
      </c>
    </row>
    <row r="385">
      <c r="A385" s="1" t="s">
        <v>2266</v>
      </c>
      <c r="B385" s="1" t="s">
        <v>2267</v>
      </c>
      <c r="C385" s="1" t="s">
        <v>632</v>
      </c>
      <c r="D385" s="1" t="s">
        <v>2268</v>
      </c>
      <c r="E385" s="1" t="s">
        <v>632</v>
      </c>
      <c r="F385" s="1" t="s">
        <v>45</v>
      </c>
      <c r="G385" s="1">
        <v>26.5</v>
      </c>
      <c r="H385" s="1">
        <v>72.0</v>
      </c>
      <c r="I385" s="1">
        <v>22.1</v>
      </c>
      <c r="J385" s="1">
        <v>73.5</v>
      </c>
      <c r="K385" s="1">
        <v>62.0</v>
      </c>
      <c r="L385" s="1">
        <v>24.6</v>
      </c>
      <c r="M385" s="1">
        <v>7.5</v>
      </c>
      <c r="N385" s="1">
        <v>3.0</v>
      </c>
      <c r="O385" s="1">
        <v>3.5</v>
      </c>
      <c r="P385" s="1">
        <v>0.2</v>
      </c>
      <c r="Q385" s="1">
        <v>23.9</v>
      </c>
      <c r="R385" s="1">
        <v>28.3</v>
      </c>
      <c r="S385" s="1">
        <v>49.8</v>
      </c>
      <c r="AA385" s="1" t="s">
        <v>1409</v>
      </c>
      <c r="AB385" s="1" t="s">
        <v>49</v>
      </c>
      <c r="AC385" s="1" t="s">
        <v>2272</v>
      </c>
      <c r="AD385" s="1" t="s">
        <v>563</v>
      </c>
      <c r="AE385" s="1">
        <v>2020.0</v>
      </c>
      <c r="AF385" s="1" t="s">
        <v>75</v>
      </c>
    </row>
    <row r="386">
      <c r="A386" s="1" t="s">
        <v>2273</v>
      </c>
      <c r="B386" s="1" t="s">
        <v>2274</v>
      </c>
      <c r="C386" s="1" t="s">
        <v>632</v>
      </c>
      <c r="D386" s="1" t="s">
        <v>2275</v>
      </c>
      <c r="E386" s="1" t="s">
        <v>632</v>
      </c>
      <c r="F386" s="1" t="s">
        <v>45</v>
      </c>
      <c r="G386" s="1">
        <v>35.0</v>
      </c>
      <c r="H386" s="1">
        <v>63.6</v>
      </c>
      <c r="I386" s="1">
        <v>33.9</v>
      </c>
      <c r="J386" s="1">
        <v>62.4</v>
      </c>
      <c r="K386" s="1">
        <v>56.0</v>
      </c>
      <c r="L386" s="1">
        <v>22.4</v>
      </c>
      <c r="M386" s="1">
        <v>16.2</v>
      </c>
      <c r="N386" s="1">
        <v>3.5</v>
      </c>
      <c r="O386" s="1">
        <v>2.5</v>
      </c>
      <c r="P386" s="1">
        <v>0.1</v>
      </c>
      <c r="Q386" s="1">
        <v>23.6</v>
      </c>
      <c r="R386" s="1">
        <v>28.6</v>
      </c>
      <c r="S386" s="1">
        <v>44.0</v>
      </c>
      <c r="AA386" s="1" t="s">
        <v>1409</v>
      </c>
      <c r="AB386" s="1" t="s">
        <v>49</v>
      </c>
      <c r="AC386" s="1" t="s">
        <v>1755</v>
      </c>
      <c r="AD386" s="1" t="s">
        <v>2276</v>
      </c>
      <c r="AE386" s="1">
        <v>2012.0</v>
      </c>
      <c r="AF386" s="1" t="s">
        <v>75</v>
      </c>
    </row>
    <row r="387">
      <c r="A387" s="1" t="s">
        <v>2277</v>
      </c>
      <c r="B387" s="1" t="s">
        <v>2278</v>
      </c>
      <c r="C387" s="1" t="s">
        <v>43</v>
      </c>
      <c r="D387" s="1" t="s">
        <v>2279</v>
      </c>
      <c r="E387" s="1" t="s">
        <v>632</v>
      </c>
      <c r="F387" s="1" t="s">
        <v>397</v>
      </c>
      <c r="G387" s="1">
        <v>48.1</v>
      </c>
      <c r="H387" s="1">
        <v>51.0</v>
      </c>
      <c r="I387" s="1">
        <v>54.7</v>
      </c>
      <c r="J387" s="1">
        <v>41.5</v>
      </c>
      <c r="K387" s="1">
        <v>17.5</v>
      </c>
      <c r="L387" s="1">
        <v>78.9</v>
      </c>
      <c r="M387" s="1">
        <v>1.6</v>
      </c>
      <c r="N387" s="1">
        <v>1.5</v>
      </c>
      <c r="O387" s="1">
        <v>1.8</v>
      </c>
      <c r="P387" s="1">
        <v>0.1</v>
      </c>
      <c r="Q387" s="1">
        <v>20.6</v>
      </c>
      <c r="R387" s="1">
        <v>28.9</v>
      </c>
      <c r="S387" s="1">
        <v>15.9</v>
      </c>
      <c r="AA387" s="1" t="s">
        <v>1409</v>
      </c>
      <c r="AB387" s="1" t="s">
        <v>159</v>
      </c>
      <c r="AC387" s="1" t="s">
        <v>2281</v>
      </c>
      <c r="AD387" s="1" t="s">
        <v>2282</v>
      </c>
      <c r="AF387" s="1" t="s">
        <v>83</v>
      </c>
    </row>
    <row r="388">
      <c r="A388" s="1" t="s">
        <v>2283</v>
      </c>
      <c r="B388" s="1" t="s">
        <v>2284</v>
      </c>
      <c r="C388" s="1" t="s">
        <v>632</v>
      </c>
      <c r="D388" s="1" t="s">
        <v>2285</v>
      </c>
      <c r="E388" s="1" t="s">
        <v>632</v>
      </c>
      <c r="F388" s="1" t="s">
        <v>45</v>
      </c>
      <c r="G388" s="1">
        <v>38.0</v>
      </c>
      <c r="H388" s="1">
        <v>60.5</v>
      </c>
      <c r="I388" s="1">
        <v>33.6</v>
      </c>
      <c r="J388" s="1">
        <v>61.9</v>
      </c>
      <c r="K388" s="1">
        <v>56.6</v>
      </c>
      <c r="L388" s="1">
        <v>22.3</v>
      </c>
      <c r="M388" s="1">
        <v>16.0</v>
      </c>
      <c r="N388" s="1">
        <v>3.1</v>
      </c>
      <c r="O388" s="1">
        <v>2.6</v>
      </c>
      <c r="P388" s="1">
        <v>0.2</v>
      </c>
      <c r="Q388" s="1">
        <v>23.4</v>
      </c>
      <c r="R388" s="1">
        <v>28.7</v>
      </c>
      <c r="S388" s="1">
        <v>45.2</v>
      </c>
      <c r="AA388" s="1" t="s">
        <v>1409</v>
      </c>
      <c r="AB388" s="1" t="s">
        <v>49</v>
      </c>
      <c r="AC388" s="1" t="s">
        <v>266</v>
      </c>
      <c r="AD388" s="1" t="s">
        <v>2286</v>
      </c>
      <c r="AE388" s="1">
        <v>2020.0</v>
      </c>
      <c r="AF388" s="1" t="s">
        <v>75</v>
      </c>
    </row>
    <row r="389">
      <c r="A389" s="1" t="s">
        <v>2287</v>
      </c>
      <c r="B389" s="1" t="s">
        <v>2288</v>
      </c>
      <c r="C389" s="1" t="s">
        <v>632</v>
      </c>
      <c r="D389" s="1" t="s">
        <v>2289</v>
      </c>
      <c r="E389" s="1" t="s">
        <v>632</v>
      </c>
      <c r="F389" s="1" t="s">
        <v>45</v>
      </c>
      <c r="G389" s="1">
        <v>26.2</v>
      </c>
      <c r="H389" s="1">
        <v>72.4</v>
      </c>
      <c r="I389" s="1">
        <v>23.4</v>
      </c>
      <c r="J389" s="1">
        <v>71.9</v>
      </c>
      <c r="K389" s="1">
        <v>53.7</v>
      </c>
      <c r="L389" s="1">
        <v>34.7</v>
      </c>
      <c r="M389" s="1">
        <v>7.4</v>
      </c>
      <c r="N389" s="1">
        <v>2.4</v>
      </c>
      <c r="O389" s="1">
        <v>2.7</v>
      </c>
      <c r="P389" s="1">
        <v>0.2</v>
      </c>
      <c r="Q389" s="1">
        <v>23.6</v>
      </c>
      <c r="R389" s="1">
        <v>32.1</v>
      </c>
      <c r="S389" s="1">
        <v>39.8</v>
      </c>
      <c r="AA389" s="1" t="s">
        <v>1409</v>
      </c>
      <c r="AB389" s="1" t="s">
        <v>49</v>
      </c>
      <c r="AC389" s="1" t="s">
        <v>2290</v>
      </c>
      <c r="AD389" s="1" t="s">
        <v>2291</v>
      </c>
      <c r="AE389" s="1">
        <v>2016.0</v>
      </c>
      <c r="AF389" s="1" t="s">
        <v>75</v>
      </c>
    </row>
    <row r="390">
      <c r="A390" s="1" t="s">
        <v>2292</v>
      </c>
      <c r="B390" s="1" t="s">
        <v>2293</v>
      </c>
      <c r="C390" s="1" t="s">
        <v>632</v>
      </c>
      <c r="D390" s="1" t="s">
        <v>2294</v>
      </c>
      <c r="E390" s="1" t="s">
        <v>632</v>
      </c>
      <c r="F390" s="1" t="s">
        <v>45</v>
      </c>
      <c r="G390" s="1">
        <v>39.4</v>
      </c>
      <c r="H390" s="1">
        <v>59.1</v>
      </c>
      <c r="I390" s="1">
        <v>33.3</v>
      </c>
      <c r="J390" s="1">
        <v>61.1</v>
      </c>
      <c r="K390" s="1">
        <v>62.1</v>
      </c>
      <c r="L390" s="1">
        <v>27.9</v>
      </c>
      <c r="M390" s="1">
        <v>4.4</v>
      </c>
      <c r="N390" s="1">
        <v>3.6</v>
      </c>
      <c r="O390" s="1">
        <v>2.8</v>
      </c>
      <c r="P390" s="1">
        <v>0.3</v>
      </c>
      <c r="Q390" s="1">
        <v>41.6</v>
      </c>
      <c r="R390" s="1">
        <v>47.2</v>
      </c>
      <c r="S390" s="1">
        <v>35.3</v>
      </c>
      <c r="AA390" s="1" t="s">
        <v>1409</v>
      </c>
      <c r="AB390" s="1" t="s">
        <v>49</v>
      </c>
      <c r="AC390" s="1" t="s">
        <v>2295</v>
      </c>
      <c r="AD390" s="1" t="s">
        <v>2296</v>
      </c>
      <c r="AE390" s="1">
        <v>2018.0</v>
      </c>
      <c r="AF390" s="1" t="s">
        <v>75</v>
      </c>
    </row>
    <row r="391">
      <c r="A391" s="1" t="s">
        <v>2297</v>
      </c>
      <c r="B391" s="1" t="s">
        <v>2298</v>
      </c>
      <c r="C391" s="1" t="s">
        <v>632</v>
      </c>
      <c r="D391" s="1" t="s">
        <v>2299</v>
      </c>
      <c r="E391" s="1" t="s">
        <v>632</v>
      </c>
      <c r="F391" s="1" t="s">
        <v>45</v>
      </c>
      <c r="G391" s="1">
        <v>41.3</v>
      </c>
      <c r="H391" s="1">
        <v>57.4</v>
      </c>
      <c r="I391" s="1">
        <v>35.7</v>
      </c>
      <c r="J391" s="1">
        <v>59.9</v>
      </c>
      <c r="K391" s="1">
        <v>45.2</v>
      </c>
      <c r="L391" s="1">
        <v>26.3</v>
      </c>
      <c r="M391" s="1">
        <v>12.2</v>
      </c>
      <c r="N391" s="1">
        <v>14.9</v>
      </c>
      <c r="O391" s="1">
        <v>2.0</v>
      </c>
      <c r="P391" s="1">
        <v>0.1</v>
      </c>
      <c r="Q391" s="1">
        <v>42.7</v>
      </c>
      <c r="R391" s="1">
        <v>46.2</v>
      </c>
      <c r="S391" s="1">
        <v>28.6</v>
      </c>
      <c r="AA391" s="1" t="s">
        <v>1409</v>
      </c>
      <c r="AB391" s="1" t="s">
        <v>49</v>
      </c>
      <c r="AC391" s="1" t="s">
        <v>678</v>
      </c>
      <c r="AD391" s="1" t="s">
        <v>2303</v>
      </c>
      <c r="AE391" s="1">
        <v>2020.0</v>
      </c>
      <c r="AF391" s="1" t="s">
        <v>75</v>
      </c>
    </row>
    <row r="392">
      <c r="A392" s="1" t="s">
        <v>2304</v>
      </c>
      <c r="B392" s="1" t="s">
        <v>2305</v>
      </c>
      <c r="C392" s="1" t="s">
        <v>632</v>
      </c>
      <c r="D392" s="1" t="s">
        <v>2306</v>
      </c>
      <c r="E392" s="1" t="s">
        <v>632</v>
      </c>
      <c r="F392" s="1" t="s">
        <v>45</v>
      </c>
      <c r="G392" s="1">
        <v>45.8</v>
      </c>
      <c r="H392" s="1">
        <v>52.9</v>
      </c>
      <c r="I392" s="1">
        <v>45.5</v>
      </c>
      <c r="J392" s="1">
        <v>49.6</v>
      </c>
      <c r="K392" s="1">
        <v>31.3</v>
      </c>
      <c r="L392" s="1">
        <v>60.0</v>
      </c>
      <c r="M392" s="1">
        <v>4.6</v>
      </c>
      <c r="N392" s="1">
        <v>3.3</v>
      </c>
      <c r="O392" s="1">
        <v>2.4</v>
      </c>
      <c r="P392" s="1">
        <v>0.3</v>
      </c>
      <c r="Q392" s="1">
        <v>27.6</v>
      </c>
      <c r="R392" s="1">
        <v>44.2</v>
      </c>
      <c r="S392" s="1">
        <v>19.4</v>
      </c>
      <c r="AA392" s="1" t="s">
        <v>1409</v>
      </c>
      <c r="AB392" s="1" t="s">
        <v>49</v>
      </c>
      <c r="AC392" s="1" t="s">
        <v>232</v>
      </c>
      <c r="AD392" s="1" t="s">
        <v>2307</v>
      </c>
      <c r="AE392" s="1">
        <v>2020.0</v>
      </c>
      <c r="AF392" s="1" t="s">
        <v>83</v>
      </c>
    </row>
    <row r="393">
      <c r="A393" s="1" t="s">
        <v>2308</v>
      </c>
      <c r="B393" s="1" t="s">
        <v>2309</v>
      </c>
      <c r="C393" s="1" t="s">
        <v>632</v>
      </c>
      <c r="D393" s="1" t="s">
        <v>2310</v>
      </c>
      <c r="E393" s="1" t="s">
        <v>632</v>
      </c>
      <c r="F393" s="1" t="s">
        <v>45</v>
      </c>
      <c r="G393" s="1">
        <v>43.0</v>
      </c>
      <c r="H393" s="1">
        <v>55.4</v>
      </c>
      <c r="I393" s="1">
        <v>35.4</v>
      </c>
      <c r="J393" s="1">
        <v>59.3</v>
      </c>
      <c r="K393" s="1">
        <v>64.9</v>
      </c>
      <c r="L393" s="1">
        <v>15.5</v>
      </c>
      <c r="M393" s="1">
        <v>7.7</v>
      </c>
      <c r="N393" s="1">
        <v>9.3</v>
      </c>
      <c r="O393" s="1">
        <v>2.6</v>
      </c>
      <c r="P393" s="1">
        <v>0.4</v>
      </c>
      <c r="Q393" s="1">
        <v>51.1</v>
      </c>
      <c r="R393" s="1">
        <v>55.5</v>
      </c>
      <c r="S393" s="1">
        <v>32.6</v>
      </c>
      <c r="AA393" s="1" t="s">
        <v>1409</v>
      </c>
      <c r="AB393" s="1" t="s">
        <v>49</v>
      </c>
      <c r="AC393" s="1" t="s">
        <v>2311</v>
      </c>
      <c r="AD393" s="1" t="s">
        <v>2312</v>
      </c>
      <c r="AE393" s="1">
        <v>2020.0</v>
      </c>
      <c r="AF393" s="1" t="s">
        <v>75</v>
      </c>
    </row>
    <row r="394">
      <c r="A394" s="1" t="s">
        <v>2313</v>
      </c>
      <c r="B394" s="1" t="s">
        <v>2314</v>
      </c>
      <c r="C394" s="1" t="s">
        <v>632</v>
      </c>
      <c r="D394" s="1" t="s">
        <v>2315</v>
      </c>
      <c r="E394" s="1" t="s">
        <v>632</v>
      </c>
      <c r="F394" s="1" t="s">
        <v>45</v>
      </c>
      <c r="G394" s="1">
        <v>33.8</v>
      </c>
      <c r="H394" s="1">
        <v>64.9</v>
      </c>
      <c r="I394" s="1">
        <v>29.5</v>
      </c>
      <c r="J394" s="1">
        <v>66.3</v>
      </c>
      <c r="K394" s="1">
        <v>62.1</v>
      </c>
      <c r="L394" s="1">
        <v>18.8</v>
      </c>
      <c r="M394" s="1">
        <v>12.3</v>
      </c>
      <c r="N394" s="1">
        <v>4.2</v>
      </c>
      <c r="O394" s="1">
        <v>3.1</v>
      </c>
      <c r="P394" s="1">
        <v>0.3</v>
      </c>
      <c r="Q394" s="1">
        <v>28.7</v>
      </c>
      <c r="R394" s="1">
        <v>30.9</v>
      </c>
      <c r="S394" s="1">
        <v>47.8</v>
      </c>
      <c r="AA394" s="1" t="s">
        <v>1409</v>
      </c>
      <c r="AB394" s="1" t="s">
        <v>49</v>
      </c>
      <c r="AC394" s="1" t="s">
        <v>2316</v>
      </c>
      <c r="AD394" s="1" t="s">
        <v>524</v>
      </c>
      <c r="AE394" s="1">
        <v>2012.0</v>
      </c>
      <c r="AF394" s="1" t="s">
        <v>75</v>
      </c>
    </row>
    <row r="395">
      <c r="A395" s="1" t="s">
        <v>2317</v>
      </c>
      <c r="B395" s="1" t="s">
        <v>2318</v>
      </c>
      <c r="C395" s="1" t="s">
        <v>632</v>
      </c>
      <c r="D395" s="1" t="s">
        <v>2319</v>
      </c>
      <c r="E395" s="1" t="s">
        <v>632</v>
      </c>
      <c r="F395" s="1" t="s">
        <v>45</v>
      </c>
      <c r="G395" s="1">
        <v>40.0</v>
      </c>
      <c r="H395" s="1">
        <v>58.6</v>
      </c>
      <c r="I395" s="1">
        <v>32.1</v>
      </c>
      <c r="J395" s="1">
        <v>62.7</v>
      </c>
      <c r="K395" s="1">
        <v>60.0</v>
      </c>
      <c r="L395" s="1">
        <v>17.0</v>
      </c>
      <c r="M395" s="1">
        <v>9.8</v>
      </c>
      <c r="N395" s="1">
        <v>10.6</v>
      </c>
      <c r="O395" s="1">
        <v>3.0</v>
      </c>
      <c r="P395" s="1">
        <v>0.2</v>
      </c>
      <c r="Q395" s="1">
        <v>43.7</v>
      </c>
      <c r="R395" s="1">
        <v>45.0</v>
      </c>
      <c r="S395" s="1">
        <v>38.6</v>
      </c>
      <c r="AA395" s="1" t="s">
        <v>1409</v>
      </c>
      <c r="AB395" s="1" t="s">
        <v>49</v>
      </c>
      <c r="AC395" s="1" t="s">
        <v>1289</v>
      </c>
      <c r="AD395" s="1" t="s">
        <v>2320</v>
      </c>
      <c r="AE395" s="1">
        <v>2002.0</v>
      </c>
      <c r="AF395" s="1" t="s">
        <v>75</v>
      </c>
    </row>
    <row r="396">
      <c r="A396" s="1" t="s">
        <v>2321</v>
      </c>
      <c r="B396" s="1" t="s">
        <v>2322</v>
      </c>
      <c r="C396" s="1" t="s">
        <v>632</v>
      </c>
      <c r="D396" s="1" t="s">
        <v>2323</v>
      </c>
      <c r="E396" s="1" t="s">
        <v>632</v>
      </c>
      <c r="F396" s="1" t="s">
        <v>45</v>
      </c>
      <c r="G396" s="1">
        <v>38.1</v>
      </c>
      <c r="H396" s="1">
        <v>60.6</v>
      </c>
      <c r="I396" s="1">
        <v>37.2</v>
      </c>
      <c r="J396" s="1">
        <v>58.8</v>
      </c>
      <c r="K396" s="1">
        <v>41.4</v>
      </c>
      <c r="L396" s="1">
        <v>49.9</v>
      </c>
      <c r="M396" s="1">
        <v>5.1</v>
      </c>
      <c r="N396" s="1">
        <v>2.2</v>
      </c>
      <c r="O396" s="1">
        <v>2.4</v>
      </c>
      <c r="P396" s="1">
        <v>0.2</v>
      </c>
      <c r="Q396" s="1">
        <v>19.1</v>
      </c>
      <c r="R396" s="1">
        <v>27.8</v>
      </c>
      <c r="S396" s="1">
        <v>31.6</v>
      </c>
      <c r="AA396" s="1" t="s">
        <v>1409</v>
      </c>
      <c r="AB396" s="1" t="s">
        <v>49</v>
      </c>
      <c r="AC396" s="1" t="s">
        <v>1289</v>
      </c>
      <c r="AD396" s="1" t="s">
        <v>2324</v>
      </c>
      <c r="AE396" s="1" t="s">
        <v>1063</v>
      </c>
      <c r="AF396" s="1" t="s">
        <v>75</v>
      </c>
    </row>
    <row r="397">
      <c r="A397" s="1" t="s">
        <v>2325</v>
      </c>
      <c r="B397" s="1" t="s">
        <v>2326</v>
      </c>
      <c r="C397" s="1" t="s">
        <v>632</v>
      </c>
      <c r="D397" s="1" t="s">
        <v>2328</v>
      </c>
      <c r="E397" s="1" t="s">
        <v>632</v>
      </c>
      <c r="F397" s="1" t="s">
        <v>45</v>
      </c>
      <c r="G397" s="1">
        <v>39.0</v>
      </c>
      <c r="H397" s="1">
        <v>59.2</v>
      </c>
      <c r="I397" s="1">
        <v>31.8</v>
      </c>
      <c r="J397" s="1">
        <v>61.7</v>
      </c>
      <c r="K397" s="1">
        <v>63.0</v>
      </c>
      <c r="L397" s="1">
        <v>20.3</v>
      </c>
      <c r="M397" s="1">
        <v>8.9</v>
      </c>
      <c r="N397" s="1">
        <v>5.4</v>
      </c>
      <c r="O397" s="1">
        <v>3.0</v>
      </c>
      <c r="P397" s="1">
        <v>0.5</v>
      </c>
      <c r="Q397" s="1">
        <v>33.6</v>
      </c>
      <c r="R397" s="1">
        <v>36.9</v>
      </c>
      <c r="S397" s="1">
        <v>43.4</v>
      </c>
      <c r="AA397" s="1" t="s">
        <v>1409</v>
      </c>
      <c r="AB397" s="1" t="s">
        <v>49</v>
      </c>
      <c r="AC397" s="1" t="s">
        <v>120</v>
      </c>
      <c r="AD397" s="1" t="s">
        <v>679</v>
      </c>
      <c r="AE397" s="1">
        <v>2002.0</v>
      </c>
      <c r="AF397" s="1" t="s">
        <v>75</v>
      </c>
    </row>
    <row r="398">
      <c r="A398" s="1" t="s">
        <v>2330</v>
      </c>
      <c r="B398" s="1" t="s">
        <v>2331</v>
      </c>
      <c r="C398" s="1" t="s">
        <v>632</v>
      </c>
      <c r="D398" s="1" t="s">
        <v>2332</v>
      </c>
      <c r="E398" s="1" t="s">
        <v>632</v>
      </c>
      <c r="F398" s="1" t="s">
        <v>45</v>
      </c>
      <c r="G398" s="1">
        <v>33.6</v>
      </c>
      <c r="H398" s="1">
        <v>65.2</v>
      </c>
      <c r="I398" s="1">
        <v>31.6</v>
      </c>
      <c r="J398" s="1">
        <v>64.9</v>
      </c>
      <c r="K398" s="1">
        <v>53.0</v>
      </c>
      <c r="L398" s="1">
        <v>27.5</v>
      </c>
      <c r="M398" s="1">
        <v>12.9</v>
      </c>
      <c r="N398" s="1">
        <v>4.7</v>
      </c>
      <c r="O398" s="1">
        <v>2.6</v>
      </c>
      <c r="P398" s="1">
        <v>0.1</v>
      </c>
      <c r="Q398" s="1">
        <v>22.9</v>
      </c>
      <c r="R398" s="1">
        <v>26.1</v>
      </c>
      <c r="S398" s="1">
        <v>45.1</v>
      </c>
      <c r="AA398" s="1" t="s">
        <v>1409</v>
      </c>
      <c r="AB398" s="1" t="s">
        <v>49</v>
      </c>
      <c r="AC398" s="1" t="s">
        <v>1028</v>
      </c>
      <c r="AD398" s="1" t="s">
        <v>2333</v>
      </c>
      <c r="AE398" s="1">
        <v>2014.0</v>
      </c>
      <c r="AF398" s="1" t="s">
        <v>75</v>
      </c>
    </row>
    <row r="399">
      <c r="A399" s="1" t="s">
        <v>2334</v>
      </c>
      <c r="B399" s="1" t="s">
        <v>2335</v>
      </c>
      <c r="C399" s="1" t="s">
        <v>395</v>
      </c>
      <c r="D399" s="1" t="s">
        <v>2336</v>
      </c>
      <c r="E399" s="1" t="s">
        <v>632</v>
      </c>
      <c r="F399" s="1" t="s">
        <v>397</v>
      </c>
      <c r="G399" s="1">
        <v>40.2</v>
      </c>
      <c r="H399" s="1">
        <v>58.4</v>
      </c>
      <c r="I399" s="1">
        <v>34.2</v>
      </c>
      <c r="J399" s="1">
        <v>60.9</v>
      </c>
      <c r="K399" s="1">
        <v>53.1</v>
      </c>
      <c r="L399" s="1">
        <v>23.6</v>
      </c>
      <c r="M399" s="1">
        <v>10.5</v>
      </c>
      <c r="N399" s="1">
        <v>11.3</v>
      </c>
      <c r="O399" s="1">
        <v>2.4</v>
      </c>
      <c r="P399" s="1">
        <v>0.2</v>
      </c>
      <c r="Q399" s="1">
        <v>48.6</v>
      </c>
      <c r="R399" s="1">
        <v>55.5</v>
      </c>
      <c r="S399" s="1">
        <v>27.4</v>
      </c>
      <c r="AA399" s="1" t="s">
        <v>1409</v>
      </c>
      <c r="AB399" s="1" t="s">
        <v>159</v>
      </c>
      <c r="AC399" s="1" t="s">
        <v>2337</v>
      </c>
      <c r="AD399" s="1" t="s">
        <v>2338</v>
      </c>
      <c r="AF399" s="1" t="s">
        <v>28</v>
      </c>
    </row>
    <row r="400">
      <c r="A400" s="1" t="s">
        <v>2339</v>
      </c>
      <c r="B400" s="1" t="s">
        <v>2340</v>
      </c>
      <c r="C400" s="1" t="s">
        <v>632</v>
      </c>
      <c r="D400" s="1" t="s">
        <v>2341</v>
      </c>
      <c r="E400" s="1" t="s">
        <v>632</v>
      </c>
      <c r="F400" s="1" t="s">
        <v>45</v>
      </c>
      <c r="G400" s="1">
        <v>37.9</v>
      </c>
      <c r="H400" s="1">
        <v>57.8</v>
      </c>
      <c r="I400" s="1">
        <v>28.5</v>
      </c>
      <c r="J400" s="1">
        <v>43.7</v>
      </c>
      <c r="K400" s="1">
        <v>80.5</v>
      </c>
      <c r="L400" s="1">
        <v>11.7</v>
      </c>
      <c r="M400" s="1">
        <v>1.8</v>
      </c>
      <c r="N400" s="1">
        <v>3.5</v>
      </c>
      <c r="O400" s="1">
        <v>2.1</v>
      </c>
      <c r="P400" s="1">
        <v>0.7</v>
      </c>
      <c r="Q400" s="1">
        <v>35.3</v>
      </c>
      <c r="R400" s="1">
        <v>37.8</v>
      </c>
      <c r="S400" s="1">
        <v>53.2</v>
      </c>
      <c r="AA400" s="1" t="s">
        <v>1409</v>
      </c>
      <c r="AB400" s="1" t="s">
        <v>49</v>
      </c>
      <c r="AC400" s="1" t="s">
        <v>2342</v>
      </c>
      <c r="AD400" s="1" t="s">
        <v>1405</v>
      </c>
      <c r="AE400" s="1">
        <v>2020.0</v>
      </c>
      <c r="AF400" s="1" t="s">
        <v>75</v>
      </c>
    </row>
    <row r="401">
      <c r="A401" s="1" t="s">
        <v>2343</v>
      </c>
      <c r="B401" s="1" t="s">
        <v>2344</v>
      </c>
      <c r="C401" s="1" t="s">
        <v>632</v>
      </c>
      <c r="D401" s="1" t="s">
        <v>2345</v>
      </c>
      <c r="E401" s="1" t="s">
        <v>632</v>
      </c>
      <c r="F401" s="1" t="s">
        <v>45</v>
      </c>
      <c r="G401" s="1">
        <v>39.5</v>
      </c>
      <c r="H401" s="1">
        <v>56.7</v>
      </c>
      <c r="I401" s="1">
        <v>30.7</v>
      </c>
      <c r="J401" s="1">
        <v>46.8</v>
      </c>
      <c r="K401" s="1">
        <v>73.4</v>
      </c>
      <c r="L401" s="1">
        <v>16.7</v>
      </c>
      <c r="M401" s="1">
        <v>2.0</v>
      </c>
      <c r="N401" s="1">
        <v>3.7</v>
      </c>
      <c r="O401" s="1">
        <v>2.7</v>
      </c>
      <c r="P401" s="1">
        <v>2.0</v>
      </c>
      <c r="Q401" s="1">
        <v>31.1</v>
      </c>
      <c r="R401" s="1">
        <v>34.6</v>
      </c>
      <c r="S401" s="1">
        <v>53.8</v>
      </c>
      <c r="AA401" s="1" t="s">
        <v>1409</v>
      </c>
      <c r="AB401" s="1" t="s">
        <v>49</v>
      </c>
      <c r="AC401" s="1" t="s">
        <v>643</v>
      </c>
      <c r="AD401" s="1" t="s">
        <v>2346</v>
      </c>
      <c r="AE401" s="1">
        <v>2012.0</v>
      </c>
      <c r="AF401" s="1" t="s">
        <v>75</v>
      </c>
    </row>
    <row r="402">
      <c r="A402" s="1" t="s">
        <v>2347</v>
      </c>
      <c r="B402" s="1" t="s">
        <v>2348</v>
      </c>
      <c r="C402" s="1" t="s">
        <v>632</v>
      </c>
      <c r="D402" s="1" t="s">
        <v>2349</v>
      </c>
      <c r="E402" s="1" t="s">
        <v>632</v>
      </c>
      <c r="F402" s="1" t="s">
        <v>45</v>
      </c>
      <c r="G402" s="1">
        <v>38.3</v>
      </c>
      <c r="H402" s="1">
        <v>57.5</v>
      </c>
      <c r="I402" s="1">
        <v>26.2</v>
      </c>
      <c r="J402" s="1">
        <v>46.3</v>
      </c>
      <c r="K402" s="1">
        <v>79.7</v>
      </c>
      <c r="L402" s="1">
        <v>11.1</v>
      </c>
      <c r="M402" s="1">
        <v>1.3</v>
      </c>
      <c r="N402" s="1">
        <v>3.7</v>
      </c>
      <c r="O402" s="1">
        <v>3.1</v>
      </c>
      <c r="P402" s="1">
        <v>1.3</v>
      </c>
      <c r="Q402" s="1">
        <v>41.2</v>
      </c>
      <c r="R402" s="1">
        <v>43.6</v>
      </c>
      <c r="S402" s="1">
        <v>48.8</v>
      </c>
      <c r="AA402" s="1" t="s">
        <v>1409</v>
      </c>
      <c r="AB402" s="1" t="s">
        <v>49</v>
      </c>
      <c r="AC402" s="1" t="s">
        <v>120</v>
      </c>
      <c r="AD402" s="1" t="s">
        <v>2350</v>
      </c>
      <c r="AE402" s="1" t="s">
        <v>1772</v>
      </c>
      <c r="AF402" s="1" t="s">
        <v>75</v>
      </c>
    </row>
    <row r="403">
      <c r="A403" s="1" t="s">
        <v>2351</v>
      </c>
      <c r="B403" s="1" t="s">
        <v>2352</v>
      </c>
      <c r="C403" s="1" t="s">
        <v>632</v>
      </c>
      <c r="D403" s="1" t="s">
        <v>2353</v>
      </c>
      <c r="E403" s="1" t="s">
        <v>632</v>
      </c>
      <c r="F403" s="1" t="s">
        <v>45</v>
      </c>
      <c r="G403" s="1">
        <v>34.8</v>
      </c>
      <c r="H403" s="1">
        <v>60.7</v>
      </c>
      <c r="I403" s="1">
        <v>24.3</v>
      </c>
      <c r="J403" s="1">
        <v>45.3</v>
      </c>
      <c r="K403" s="1">
        <v>75.8</v>
      </c>
      <c r="L403" s="1">
        <v>15.0</v>
      </c>
      <c r="M403" s="1">
        <v>1.8</v>
      </c>
      <c r="N403" s="1">
        <v>3.9</v>
      </c>
      <c r="O403" s="1">
        <v>2.1</v>
      </c>
      <c r="P403" s="1">
        <v>1.9</v>
      </c>
      <c r="Q403" s="1">
        <v>31.2</v>
      </c>
      <c r="R403" s="1">
        <v>33.4</v>
      </c>
      <c r="S403" s="1">
        <v>56.0</v>
      </c>
      <c r="AA403" s="1" t="s">
        <v>1409</v>
      </c>
      <c r="AB403" s="1" t="s">
        <v>49</v>
      </c>
      <c r="AC403" s="1" t="s">
        <v>2320</v>
      </c>
      <c r="AD403" s="1" t="s">
        <v>2354</v>
      </c>
      <c r="AE403" s="1">
        <v>2020.0</v>
      </c>
      <c r="AF403" s="1" t="s">
        <v>28</v>
      </c>
    </row>
    <row r="404">
      <c r="A404" s="1" t="s">
        <v>2355</v>
      </c>
      <c r="B404" s="1" t="s">
        <v>2356</v>
      </c>
      <c r="C404" s="1" t="s">
        <v>632</v>
      </c>
      <c r="D404" s="1" t="s">
        <v>2357</v>
      </c>
      <c r="E404" s="1" t="s">
        <v>632</v>
      </c>
      <c r="F404" s="1" t="s">
        <v>45</v>
      </c>
      <c r="G404" s="1">
        <v>46.2</v>
      </c>
      <c r="H404" s="1">
        <v>52.3</v>
      </c>
      <c r="I404" s="1">
        <v>40.1</v>
      </c>
      <c r="J404" s="1">
        <v>53.7</v>
      </c>
      <c r="K404" s="1">
        <v>73.1</v>
      </c>
      <c r="L404" s="1">
        <v>4.5</v>
      </c>
      <c r="M404" s="1">
        <v>14.2</v>
      </c>
      <c r="N404" s="1">
        <v>6.3</v>
      </c>
      <c r="O404" s="1">
        <v>1.8</v>
      </c>
      <c r="P404" s="1">
        <v>0.2</v>
      </c>
      <c r="Q404" s="1">
        <v>46.2</v>
      </c>
      <c r="R404" s="1">
        <v>48.2</v>
      </c>
      <c r="S404" s="1">
        <v>40.4</v>
      </c>
      <c r="AA404" s="1" t="s">
        <v>1409</v>
      </c>
      <c r="AB404" s="1" t="s">
        <v>49</v>
      </c>
      <c r="AC404" s="1" t="s">
        <v>934</v>
      </c>
      <c r="AD404" s="1" t="s">
        <v>2358</v>
      </c>
      <c r="AE404" s="1" t="s">
        <v>2050</v>
      </c>
      <c r="AF404" s="1" t="s">
        <v>75</v>
      </c>
    </row>
    <row r="405">
      <c r="A405" s="1" t="s">
        <v>2359</v>
      </c>
      <c r="B405" s="1" t="s">
        <v>2360</v>
      </c>
      <c r="C405" s="1" t="s">
        <v>43</v>
      </c>
      <c r="D405" s="1" t="s">
        <v>2361</v>
      </c>
      <c r="E405" s="1" t="s">
        <v>632</v>
      </c>
      <c r="F405" s="1" t="s">
        <v>397</v>
      </c>
      <c r="G405" s="1">
        <v>50.1</v>
      </c>
      <c r="H405" s="1">
        <v>48.2</v>
      </c>
      <c r="I405" s="1">
        <v>44.3</v>
      </c>
      <c r="J405" s="1">
        <v>49.8</v>
      </c>
      <c r="K405" s="1">
        <v>61.3</v>
      </c>
      <c r="L405" s="1">
        <v>6.3</v>
      </c>
      <c r="M405" s="1">
        <v>24.0</v>
      </c>
      <c r="N405" s="1">
        <v>6.9</v>
      </c>
      <c r="O405" s="1">
        <v>2.2</v>
      </c>
      <c r="P405" s="1">
        <v>0.4</v>
      </c>
      <c r="Q405" s="1">
        <v>35.3</v>
      </c>
      <c r="R405" s="1">
        <v>38.6</v>
      </c>
      <c r="S405" s="1">
        <v>39.8</v>
      </c>
      <c r="AA405" s="1" t="s">
        <v>1409</v>
      </c>
      <c r="AB405" s="1" t="s">
        <v>970</v>
      </c>
      <c r="AC405" s="1" t="s">
        <v>2362</v>
      </c>
      <c r="AD405" s="1" t="s">
        <v>2363</v>
      </c>
      <c r="AF405" s="1" t="s">
        <v>75</v>
      </c>
    </row>
    <row r="406">
      <c r="A406" s="1" t="s">
        <v>2364</v>
      </c>
      <c r="B406" s="1" t="s">
        <v>2365</v>
      </c>
      <c r="C406" s="1" t="s">
        <v>632</v>
      </c>
      <c r="D406" s="1" t="s">
        <v>2366</v>
      </c>
      <c r="E406" s="1" t="s">
        <v>632</v>
      </c>
      <c r="F406" s="1" t="s">
        <v>45</v>
      </c>
      <c r="G406" s="1">
        <v>45.2</v>
      </c>
      <c r="H406" s="1">
        <v>53.4</v>
      </c>
      <c r="I406" s="1">
        <v>41.8</v>
      </c>
      <c r="J406" s="1">
        <v>53.1</v>
      </c>
      <c r="K406" s="1">
        <v>70.0</v>
      </c>
      <c r="L406" s="1">
        <v>3.6</v>
      </c>
      <c r="M406" s="1">
        <v>21.7</v>
      </c>
      <c r="N406" s="1">
        <v>3.0</v>
      </c>
      <c r="O406" s="1">
        <v>1.7</v>
      </c>
      <c r="P406" s="1">
        <v>0.1</v>
      </c>
      <c r="Q406" s="1">
        <v>31.7</v>
      </c>
      <c r="R406" s="1">
        <v>36.5</v>
      </c>
      <c r="S406" s="1">
        <v>46.8</v>
      </c>
      <c r="AA406" s="1" t="s">
        <v>1409</v>
      </c>
      <c r="AB406" s="1" t="s">
        <v>49</v>
      </c>
      <c r="AC406" s="1" t="s">
        <v>2048</v>
      </c>
      <c r="AD406" s="1" t="s">
        <v>2368</v>
      </c>
      <c r="AE406" s="1">
        <v>2020.0</v>
      </c>
      <c r="AF406" s="1" t="s">
        <v>75</v>
      </c>
    </row>
    <row r="407">
      <c r="A407" s="1" t="s">
        <v>2369</v>
      </c>
      <c r="B407" s="1" t="s">
        <v>2370</v>
      </c>
      <c r="C407" s="1" t="s">
        <v>632</v>
      </c>
      <c r="D407" s="1" t="s">
        <v>2371</v>
      </c>
      <c r="E407" s="1" t="s">
        <v>632</v>
      </c>
      <c r="F407" s="1" t="s">
        <v>45</v>
      </c>
      <c r="G407" s="1">
        <v>38.4</v>
      </c>
      <c r="H407" s="1">
        <v>60.0</v>
      </c>
      <c r="I407" s="1">
        <v>34.3</v>
      </c>
      <c r="J407" s="1">
        <v>59.9</v>
      </c>
      <c r="K407" s="1">
        <v>80.9</v>
      </c>
      <c r="L407" s="1">
        <v>6.4</v>
      </c>
      <c r="M407" s="1">
        <v>8.7</v>
      </c>
      <c r="N407" s="1">
        <v>2.1</v>
      </c>
      <c r="O407" s="1">
        <v>2.0</v>
      </c>
      <c r="P407" s="1">
        <v>0.1</v>
      </c>
      <c r="Q407" s="1">
        <v>26.0</v>
      </c>
      <c r="R407" s="1">
        <v>27.4</v>
      </c>
      <c r="S407" s="1">
        <v>62.4</v>
      </c>
      <c r="AA407" s="1" t="s">
        <v>1409</v>
      </c>
      <c r="AB407" s="1" t="s">
        <v>49</v>
      </c>
      <c r="AC407" s="1" t="s">
        <v>2270</v>
      </c>
      <c r="AD407" s="1" t="s">
        <v>2375</v>
      </c>
      <c r="AE407" s="1">
        <v>2018.0</v>
      </c>
      <c r="AF407" s="1" t="s">
        <v>75</v>
      </c>
    </row>
    <row r="408">
      <c r="A408" s="1" t="s">
        <v>2376</v>
      </c>
      <c r="B408" s="1" t="s">
        <v>2377</v>
      </c>
      <c r="C408" s="1" t="s">
        <v>632</v>
      </c>
      <c r="D408" s="1" t="s">
        <v>2378</v>
      </c>
      <c r="E408" s="1" t="s">
        <v>632</v>
      </c>
      <c r="F408" s="1" t="s">
        <v>45</v>
      </c>
      <c r="G408" s="1">
        <v>28.5</v>
      </c>
      <c r="H408" s="1">
        <v>70.3</v>
      </c>
      <c r="I408" s="1">
        <v>27.2</v>
      </c>
      <c r="J408" s="1">
        <v>68.4</v>
      </c>
      <c r="K408" s="1">
        <v>87.0</v>
      </c>
      <c r="L408" s="1">
        <v>2.5</v>
      </c>
      <c r="M408" s="1">
        <v>6.4</v>
      </c>
      <c r="N408" s="1">
        <v>2.2</v>
      </c>
      <c r="O408" s="1">
        <v>1.7</v>
      </c>
      <c r="P408" s="1">
        <v>0.1</v>
      </c>
      <c r="Q408" s="1">
        <v>22.1</v>
      </c>
      <c r="R408" s="1">
        <v>22.1</v>
      </c>
      <c r="S408" s="1">
        <v>70.4</v>
      </c>
      <c r="AA408" s="1" t="s">
        <v>1409</v>
      </c>
      <c r="AB408" s="1" t="s">
        <v>49</v>
      </c>
      <c r="AC408" s="1" t="s">
        <v>670</v>
      </c>
      <c r="AD408" s="1" t="s">
        <v>2379</v>
      </c>
      <c r="AE408" s="1">
        <v>2010.0</v>
      </c>
      <c r="AF408" s="1" t="s">
        <v>75</v>
      </c>
    </row>
    <row r="409">
      <c r="A409" s="1" t="s">
        <v>2380</v>
      </c>
      <c r="B409" s="1" t="s">
        <v>2381</v>
      </c>
      <c r="C409" s="1" t="s">
        <v>632</v>
      </c>
      <c r="D409" s="1" t="s">
        <v>2382</v>
      </c>
      <c r="E409" s="1" t="s">
        <v>632</v>
      </c>
      <c r="F409" s="1" t="s">
        <v>45</v>
      </c>
      <c r="G409" s="1">
        <v>40.3</v>
      </c>
      <c r="H409" s="1">
        <v>57.2</v>
      </c>
      <c r="I409" s="1">
        <v>35.6</v>
      </c>
      <c r="J409" s="1">
        <v>57.3</v>
      </c>
      <c r="K409" s="1">
        <v>56.8</v>
      </c>
      <c r="L409" s="1">
        <v>34.3</v>
      </c>
      <c r="M409" s="1">
        <v>1.5</v>
      </c>
      <c r="N409" s="1">
        <v>2.6</v>
      </c>
      <c r="O409" s="1">
        <v>5.3</v>
      </c>
      <c r="P409" s="1">
        <v>0.4</v>
      </c>
      <c r="Q409" s="1">
        <v>22.5</v>
      </c>
      <c r="R409" s="1">
        <v>28.7</v>
      </c>
      <c r="S409" s="1">
        <v>49.7</v>
      </c>
      <c r="AA409" s="1" t="s">
        <v>1409</v>
      </c>
      <c r="AB409" s="1" t="s">
        <v>49</v>
      </c>
      <c r="AC409" s="1" t="s">
        <v>811</v>
      </c>
      <c r="AD409" s="1" t="s">
        <v>2383</v>
      </c>
      <c r="AE409" s="1">
        <v>2014.0</v>
      </c>
      <c r="AF409" s="1" t="s">
        <v>75</v>
      </c>
    </row>
    <row r="410">
      <c r="A410" s="1" t="s">
        <v>2384</v>
      </c>
      <c r="B410" s="1" t="s">
        <v>2385</v>
      </c>
      <c r="C410" s="1" t="s">
        <v>632</v>
      </c>
      <c r="D410" s="1" t="s">
        <v>2386</v>
      </c>
      <c r="E410" s="1" t="s">
        <v>632</v>
      </c>
      <c r="F410" s="1" t="s">
        <v>45</v>
      </c>
      <c r="G410" s="1">
        <v>43.5</v>
      </c>
      <c r="H410" s="1">
        <v>53.5</v>
      </c>
      <c r="I410" s="1">
        <v>38.7</v>
      </c>
      <c r="J410" s="1">
        <v>52.7</v>
      </c>
      <c r="K410" s="1">
        <v>81.1</v>
      </c>
      <c r="L410" s="1">
        <v>7.1</v>
      </c>
      <c r="M410" s="1">
        <v>2.7</v>
      </c>
      <c r="N410" s="1">
        <v>3.7</v>
      </c>
      <c r="O410" s="1">
        <v>4.3</v>
      </c>
      <c r="P410" s="1">
        <v>0.9</v>
      </c>
      <c r="Q410" s="1">
        <v>30.3</v>
      </c>
      <c r="R410" s="1">
        <v>31.3</v>
      </c>
      <c r="S410" s="1">
        <v>59.6</v>
      </c>
      <c r="AA410" s="1" t="s">
        <v>1409</v>
      </c>
      <c r="AB410" s="1" t="s">
        <v>49</v>
      </c>
      <c r="AC410" s="1" t="s">
        <v>2387</v>
      </c>
      <c r="AD410" s="1" t="s">
        <v>2388</v>
      </c>
      <c r="AE410" s="1">
        <v>2004.0</v>
      </c>
      <c r="AF410" s="1" t="s">
        <v>75</v>
      </c>
    </row>
    <row r="411">
      <c r="A411" s="1" t="s">
        <v>2389</v>
      </c>
      <c r="B411" s="1" t="s">
        <v>2390</v>
      </c>
      <c r="C411" s="1" t="s">
        <v>632</v>
      </c>
      <c r="D411" s="1" t="s">
        <v>2391</v>
      </c>
      <c r="E411" s="1" t="s">
        <v>632</v>
      </c>
      <c r="F411" s="1" t="s">
        <v>45</v>
      </c>
      <c r="G411" s="1">
        <v>28.8</v>
      </c>
      <c r="H411" s="1">
        <v>69.7</v>
      </c>
      <c r="I411" s="1">
        <v>26.1</v>
      </c>
      <c r="J411" s="1">
        <v>69.5</v>
      </c>
      <c r="K411" s="1">
        <v>90.8</v>
      </c>
      <c r="L411" s="1">
        <v>1.1</v>
      </c>
      <c r="M411" s="1">
        <v>4.8</v>
      </c>
      <c r="N411" s="1">
        <v>0.9</v>
      </c>
      <c r="O411" s="1">
        <v>2.0</v>
      </c>
      <c r="P411" s="1">
        <v>0.1</v>
      </c>
      <c r="Q411" s="1">
        <v>19.6</v>
      </c>
      <c r="R411" s="1">
        <v>19.2</v>
      </c>
      <c r="S411" s="1">
        <v>75.5</v>
      </c>
      <c r="AA411" s="1" t="s">
        <v>1409</v>
      </c>
      <c r="AB411" s="1" t="s">
        <v>49</v>
      </c>
      <c r="AC411" s="1" t="s">
        <v>2392</v>
      </c>
      <c r="AD411" s="1" t="s">
        <v>1691</v>
      </c>
      <c r="AE411" s="1">
        <v>2018.0</v>
      </c>
      <c r="AF411" s="1" t="s">
        <v>75</v>
      </c>
    </row>
    <row r="412">
      <c r="A412" s="1" t="s">
        <v>2393</v>
      </c>
      <c r="B412" s="1" t="s">
        <v>2394</v>
      </c>
      <c r="C412" s="1" t="s">
        <v>632</v>
      </c>
      <c r="D412" s="1" t="s">
        <v>2395</v>
      </c>
      <c r="E412" s="1" t="s">
        <v>632</v>
      </c>
      <c r="F412" s="1" t="s">
        <v>45</v>
      </c>
      <c r="G412" s="1">
        <v>30.6</v>
      </c>
      <c r="H412" s="1">
        <v>67.6</v>
      </c>
      <c r="I412" s="1">
        <v>26.8</v>
      </c>
      <c r="J412" s="1">
        <v>67.8</v>
      </c>
      <c r="K412" s="1">
        <v>89.7</v>
      </c>
      <c r="L412" s="1">
        <v>2.2</v>
      </c>
      <c r="M412" s="1">
        <v>4.0</v>
      </c>
      <c r="N412" s="1">
        <v>1.4</v>
      </c>
      <c r="O412" s="1">
        <v>2.1</v>
      </c>
      <c r="P412" s="1">
        <v>0.1</v>
      </c>
      <c r="Q412" s="1">
        <v>23.1</v>
      </c>
      <c r="R412" s="1">
        <v>22.9</v>
      </c>
      <c r="S412" s="1">
        <v>72.1</v>
      </c>
      <c r="AA412" s="1" t="s">
        <v>1409</v>
      </c>
      <c r="AB412" s="1" t="s">
        <v>49</v>
      </c>
      <c r="AC412" s="1" t="s">
        <v>1319</v>
      </c>
      <c r="AD412" s="1" t="s">
        <v>2396</v>
      </c>
      <c r="AE412" s="1">
        <v>2014.0</v>
      </c>
      <c r="AF412" s="1" t="s">
        <v>1976</v>
      </c>
    </row>
    <row r="413">
      <c r="A413" s="1" t="s">
        <v>2397</v>
      </c>
      <c r="B413" s="1" t="s">
        <v>2398</v>
      </c>
      <c r="C413" s="1" t="s">
        <v>632</v>
      </c>
      <c r="D413" s="1" t="s">
        <v>2399</v>
      </c>
      <c r="E413" s="1" t="s">
        <v>632</v>
      </c>
      <c r="F413" s="1" t="s">
        <v>45</v>
      </c>
      <c r="G413" s="1">
        <v>48.3</v>
      </c>
      <c r="H413" s="1">
        <v>50.3</v>
      </c>
      <c r="I413" s="1">
        <v>45.5</v>
      </c>
      <c r="J413" s="1">
        <v>48.2</v>
      </c>
      <c r="K413" s="1">
        <v>78.2</v>
      </c>
      <c r="L413" s="1">
        <v>10.2</v>
      </c>
      <c r="M413" s="1">
        <v>7.1</v>
      </c>
      <c r="N413" s="1">
        <v>2.4</v>
      </c>
      <c r="O413" s="1">
        <v>1.9</v>
      </c>
      <c r="P413" s="1">
        <v>0.1</v>
      </c>
      <c r="Q413" s="1">
        <v>28.1</v>
      </c>
      <c r="R413" s="1">
        <v>29.9</v>
      </c>
      <c r="S413" s="1">
        <v>58.7</v>
      </c>
      <c r="AA413" s="1" t="s">
        <v>1409</v>
      </c>
      <c r="AB413" s="1" t="s">
        <v>49</v>
      </c>
      <c r="AC413" s="1" t="s">
        <v>2400</v>
      </c>
      <c r="AD413" s="1" t="s">
        <v>2401</v>
      </c>
      <c r="AE413" s="1">
        <v>2018.0</v>
      </c>
      <c r="AF413" s="1" t="s">
        <v>75</v>
      </c>
    </row>
    <row r="414">
      <c r="A414" s="1" t="s">
        <v>2402</v>
      </c>
      <c r="B414" s="1" t="s">
        <v>2403</v>
      </c>
      <c r="C414" s="1" t="s">
        <v>43</v>
      </c>
      <c r="D414" s="1" t="s">
        <v>2404</v>
      </c>
      <c r="E414" s="1" t="s">
        <v>632</v>
      </c>
      <c r="F414" s="1" t="s">
        <v>397</v>
      </c>
      <c r="G414" s="1">
        <v>46.8</v>
      </c>
      <c r="H414" s="1">
        <v>51.5</v>
      </c>
      <c r="I414" s="1">
        <v>44.3</v>
      </c>
      <c r="J414" s="1">
        <v>48.8</v>
      </c>
      <c r="K414" s="1">
        <v>90.9</v>
      </c>
      <c r="L414" s="1">
        <v>2.7</v>
      </c>
      <c r="M414" s="1">
        <v>1.6</v>
      </c>
      <c r="N414" s="1">
        <v>2.4</v>
      </c>
      <c r="O414" s="1">
        <v>1.8</v>
      </c>
      <c r="P414" s="1">
        <v>0.1</v>
      </c>
      <c r="Q414" s="1">
        <v>26.8</v>
      </c>
      <c r="R414" s="1">
        <v>27.0</v>
      </c>
      <c r="S414" s="1">
        <v>68.8</v>
      </c>
      <c r="AA414" s="1" t="s">
        <v>1409</v>
      </c>
      <c r="AB414" s="1" t="s">
        <v>159</v>
      </c>
      <c r="AC414" s="1" t="s">
        <v>2405</v>
      </c>
      <c r="AD414" s="1" t="s">
        <v>2406</v>
      </c>
      <c r="AF414" s="1" t="s">
        <v>75</v>
      </c>
    </row>
    <row r="415">
      <c r="A415" s="1" t="s">
        <v>2407</v>
      </c>
      <c r="B415" s="1" t="s">
        <v>2408</v>
      </c>
      <c r="C415" s="1" t="s">
        <v>632</v>
      </c>
      <c r="D415" s="1" t="s">
        <v>2409</v>
      </c>
      <c r="E415" s="1" t="s">
        <v>632</v>
      </c>
      <c r="F415" s="1" t="s">
        <v>45</v>
      </c>
      <c r="G415" s="1">
        <v>37.9</v>
      </c>
      <c r="H415" s="1">
        <v>60.8</v>
      </c>
      <c r="I415" s="1">
        <v>33.3</v>
      </c>
      <c r="J415" s="1">
        <v>60.2</v>
      </c>
      <c r="K415" s="1">
        <v>88.4</v>
      </c>
      <c r="L415" s="1">
        <v>4.7</v>
      </c>
      <c r="M415" s="1">
        <v>1.9</v>
      </c>
      <c r="N415" s="1">
        <v>3.1</v>
      </c>
      <c r="O415" s="1">
        <v>1.3</v>
      </c>
      <c r="P415" s="1">
        <v>0.1</v>
      </c>
      <c r="Q415" s="1">
        <v>37.6</v>
      </c>
      <c r="R415" s="1">
        <v>37.6</v>
      </c>
      <c r="S415" s="1">
        <v>57.4</v>
      </c>
      <c r="AA415" s="1" t="s">
        <v>1409</v>
      </c>
      <c r="AB415" s="1" t="s">
        <v>49</v>
      </c>
      <c r="AC415" s="1" t="s">
        <v>348</v>
      </c>
      <c r="AD415" s="1" t="s">
        <v>2410</v>
      </c>
      <c r="AE415" s="1">
        <v>2020.0</v>
      </c>
      <c r="AF415" s="1" t="s">
        <v>75</v>
      </c>
    </row>
    <row r="416">
      <c r="A416" s="1" t="s">
        <v>2411</v>
      </c>
      <c r="B416" s="1" t="s">
        <v>2412</v>
      </c>
      <c r="C416" s="1" t="s">
        <v>632</v>
      </c>
      <c r="D416" s="1" t="s">
        <v>2413</v>
      </c>
      <c r="E416" s="1" t="s">
        <v>632</v>
      </c>
      <c r="F416" s="1" t="s">
        <v>45</v>
      </c>
      <c r="G416" s="1">
        <v>41.4</v>
      </c>
      <c r="H416" s="1">
        <v>57.0</v>
      </c>
      <c r="I416" s="1">
        <v>38.0</v>
      </c>
      <c r="J416" s="1">
        <v>55.1</v>
      </c>
      <c r="K416" s="1">
        <v>88.5</v>
      </c>
      <c r="L416" s="1">
        <v>4.2</v>
      </c>
      <c r="M416" s="1">
        <v>2.5</v>
      </c>
      <c r="N416" s="1">
        <v>2.6</v>
      </c>
      <c r="O416" s="1">
        <v>1.6</v>
      </c>
      <c r="P416" s="1">
        <v>0.1</v>
      </c>
      <c r="Q416" s="1">
        <v>27.3</v>
      </c>
      <c r="R416" s="1">
        <v>27.8</v>
      </c>
      <c r="S416" s="1">
        <v>66.8</v>
      </c>
      <c r="AA416" s="1" t="s">
        <v>1409</v>
      </c>
      <c r="AB416" s="1" t="s">
        <v>49</v>
      </c>
      <c r="AC416" s="1" t="s">
        <v>701</v>
      </c>
      <c r="AD416" s="1" t="s">
        <v>2414</v>
      </c>
      <c r="AE416" s="1">
        <v>2014.0</v>
      </c>
      <c r="AF416" s="1" t="s">
        <v>75</v>
      </c>
    </row>
    <row r="417">
      <c r="A417" s="1" t="s">
        <v>2415</v>
      </c>
      <c r="B417" s="1" t="s">
        <v>2416</v>
      </c>
      <c r="C417" s="1" t="s">
        <v>632</v>
      </c>
      <c r="D417" s="1" t="s">
        <v>2417</v>
      </c>
      <c r="E417" s="1" t="s">
        <v>632</v>
      </c>
      <c r="F417" s="1" t="s">
        <v>45</v>
      </c>
      <c r="G417" s="1">
        <v>39.3</v>
      </c>
      <c r="H417" s="1">
        <v>59.2</v>
      </c>
      <c r="I417" s="1">
        <v>36.9</v>
      </c>
      <c r="J417" s="1">
        <v>57.2</v>
      </c>
      <c r="K417" s="1">
        <v>91.4</v>
      </c>
      <c r="L417" s="1">
        <v>1.9</v>
      </c>
      <c r="M417" s="1">
        <v>1.0</v>
      </c>
      <c r="N417" s="1">
        <v>1.7</v>
      </c>
      <c r="O417" s="1">
        <v>3.2</v>
      </c>
      <c r="P417" s="1">
        <v>0.1</v>
      </c>
      <c r="Q417" s="1">
        <v>24.1</v>
      </c>
      <c r="R417" s="1">
        <v>24.4</v>
      </c>
      <c r="S417" s="1">
        <v>71.0</v>
      </c>
      <c r="AA417" s="1" t="s">
        <v>1409</v>
      </c>
      <c r="AB417" s="1" t="s">
        <v>49</v>
      </c>
      <c r="AC417" s="1" t="s">
        <v>1486</v>
      </c>
      <c r="AD417" s="1" t="s">
        <v>2419</v>
      </c>
      <c r="AE417" s="1" t="s">
        <v>2420</v>
      </c>
      <c r="AF417" s="1" t="s">
        <v>75</v>
      </c>
    </row>
    <row r="418">
      <c r="A418" s="1" t="s">
        <v>2421</v>
      </c>
      <c r="B418" s="1" t="s">
        <v>2422</v>
      </c>
      <c r="C418" s="1" t="s">
        <v>632</v>
      </c>
      <c r="D418" s="1" t="s">
        <v>2423</v>
      </c>
      <c r="E418" s="1" t="s">
        <v>632</v>
      </c>
      <c r="F418" s="1" t="s">
        <v>45</v>
      </c>
      <c r="G418" s="1">
        <v>41.5</v>
      </c>
      <c r="H418" s="1">
        <v>57.0</v>
      </c>
      <c r="I418" s="1">
        <v>38.5</v>
      </c>
      <c r="J418" s="1">
        <v>55.6</v>
      </c>
      <c r="K418" s="1">
        <v>86.8</v>
      </c>
      <c r="L418" s="1">
        <v>4.8</v>
      </c>
      <c r="M418" s="1">
        <v>2.0</v>
      </c>
      <c r="N418" s="1">
        <v>2.3</v>
      </c>
      <c r="O418" s="1">
        <v>3.8</v>
      </c>
      <c r="P418" s="1">
        <v>0.1</v>
      </c>
      <c r="Q418" s="1">
        <v>27.0</v>
      </c>
      <c r="R418" s="1">
        <v>27.7</v>
      </c>
      <c r="S418" s="1">
        <v>65.7</v>
      </c>
      <c r="AA418" s="1" t="s">
        <v>1409</v>
      </c>
      <c r="AB418" s="1" t="s">
        <v>49</v>
      </c>
      <c r="AC418" s="1" t="s">
        <v>95</v>
      </c>
      <c r="AD418" s="1" t="s">
        <v>2424</v>
      </c>
      <c r="AE418" s="1">
        <v>2016.0</v>
      </c>
      <c r="AF418" s="1" t="s">
        <v>75</v>
      </c>
    </row>
    <row r="419">
      <c r="A419" s="1" t="s">
        <v>2425</v>
      </c>
      <c r="B419" s="1" t="s">
        <v>2426</v>
      </c>
      <c r="C419" s="1" t="s">
        <v>632</v>
      </c>
      <c r="D419" s="1" t="s">
        <v>2427</v>
      </c>
      <c r="E419" s="1" t="s">
        <v>632</v>
      </c>
      <c r="F419" s="1" t="s">
        <v>45</v>
      </c>
      <c r="G419" s="1">
        <v>26.7</v>
      </c>
      <c r="H419" s="1">
        <v>70.4</v>
      </c>
      <c r="I419" s="1">
        <v>22.5</v>
      </c>
      <c r="J419" s="1">
        <v>70.1</v>
      </c>
      <c r="K419" s="1">
        <v>83.8</v>
      </c>
      <c r="L419" s="1">
        <v>8.6</v>
      </c>
      <c r="M419" s="1">
        <v>1.3</v>
      </c>
      <c r="N419" s="1">
        <v>1.5</v>
      </c>
      <c r="O419" s="1">
        <v>4.2</v>
      </c>
      <c r="P419" s="1">
        <v>0.2</v>
      </c>
      <c r="Q419" s="1">
        <v>28.2</v>
      </c>
      <c r="R419" s="1">
        <v>29.6</v>
      </c>
      <c r="S419" s="1">
        <v>61.6</v>
      </c>
      <c r="AA419" s="1" t="s">
        <v>1409</v>
      </c>
      <c r="AB419" s="1" t="s">
        <v>159</v>
      </c>
      <c r="AC419" s="1" t="s">
        <v>2428</v>
      </c>
      <c r="AD419" s="1" t="s">
        <v>2429</v>
      </c>
      <c r="AF419" s="1" t="s">
        <v>75</v>
      </c>
    </row>
    <row r="420">
      <c r="A420" s="1" t="s">
        <v>2430</v>
      </c>
      <c r="B420" s="1" t="s">
        <v>2431</v>
      </c>
      <c r="C420" s="1" t="s">
        <v>43</v>
      </c>
      <c r="G420" s="1">
        <v>43.0</v>
      </c>
      <c r="H420" s="1">
        <v>53.1</v>
      </c>
      <c r="I420" s="1">
        <v>37.6</v>
      </c>
      <c r="J420" s="1">
        <v>52.8</v>
      </c>
      <c r="K420" s="1">
        <v>61.5</v>
      </c>
      <c r="L420" s="1">
        <v>6.0</v>
      </c>
      <c r="M420" s="1">
        <v>4.3</v>
      </c>
      <c r="N420" s="1">
        <v>7.8</v>
      </c>
      <c r="O420" s="1">
        <v>19.1</v>
      </c>
      <c r="P420" s="1">
        <v>2.0</v>
      </c>
      <c r="Q420" s="1">
        <v>30.0</v>
      </c>
      <c r="R420" s="1">
        <v>36.4</v>
      </c>
      <c r="S420" s="1">
        <v>42.1</v>
      </c>
      <c r="T420" s="1" t="s">
        <v>48</v>
      </c>
      <c r="U420" s="1" t="s">
        <v>49</v>
      </c>
      <c r="V420" s="1" t="s">
        <v>1689</v>
      </c>
      <c r="W420" s="1" t="s">
        <v>2432</v>
      </c>
      <c r="X420" s="1" t="s">
        <v>1050</v>
      </c>
      <c r="Y420" s="1" t="s">
        <v>2433</v>
      </c>
      <c r="Z420" s="1" t="s">
        <v>53</v>
      </c>
      <c r="AA420" s="1" t="s">
        <v>1409</v>
      </c>
      <c r="AB420" s="1" t="s">
        <v>970</v>
      </c>
      <c r="AC420" s="1" t="s">
        <v>1984</v>
      </c>
      <c r="AD420" s="1" t="s">
        <v>2434</v>
      </c>
      <c r="AF420" s="1" t="s">
        <v>75</v>
      </c>
    </row>
    <row r="421">
      <c r="A421" s="1" t="s">
        <v>2435</v>
      </c>
      <c r="B421" s="1" t="s">
        <v>2436</v>
      </c>
      <c r="C421" s="1" t="s">
        <v>632</v>
      </c>
      <c r="G421" s="1">
        <v>50.1</v>
      </c>
      <c r="H421" s="1">
        <v>48.6</v>
      </c>
      <c r="I421" s="1">
        <v>44.6</v>
      </c>
      <c r="J421" s="1">
        <v>48.8</v>
      </c>
      <c r="K421" s="1">
        <v>73.6</v>
      </c>
      <c r="L421" s="1">
        <v>13.9</v>
      </c>
      <c r="M421" s="1">
        <v>4.0</v>
      </c>
      <c r="N421" s="1">
        <v>5.5</v>
      </c>
      <c r="O421" s="1">
        <v>3.1</v>
      </c>
      <c r="P421" s="1">
        <v>0.3</v>
      </c>
      <c r="Q421" s="1">
        <v>48.9</v>
      </c>
      <c r="R421" s="1">
        <v>52.6</v>
      </c>
      <c r="S421" s="1">
        <v>37.4</v>
      </c>
      <c r="T421" s="1" t="s">
        <v>48</v>
      </c>
      <c r="U421" s="1" t="s">
        <v>970</v>
      </c>
      <c r="V421" s="1" t="s">
        <v>2437</v>
      </c>
      <c r="W421" s="1" t="s">
        <v>2438</v>
      </c>
      <c r="Y421" s="1" t="s">
        <v>28</v>
      </c>
      <c r="Z421" s="1" t="s">
        <v>53</v>
      </c>
      <c r="AA421" s="1" t="s">
        <v>1409</v>
      </c>
      <c r="AB421" s="1" t="s">
        <v>49</v>
      </c>
      <c r="AC421" s="1" t="s">
        <v>541</v>
      </c>
      <c r="AD421" s="1" t="s">
        <v>2439</v>
      </c>
      <c r="AE421" s="1">
        <v>2010.0</v>
      </c>
      <c r="AF421" s="1" t="s">
        <v>75</v>
      </c>
    </row>
    <row r="422">
      <c r="A422" s="1" t="s">
        <v>2440</v>
      </c>
      <c r="B422" s="1" t="s">
        <v>2441</v>
      </c>
      <c r="C422" s="1" t="s">
        <v>43</v>
      </c>
      <c r="G422" s="1">
        <v>49.3</v>
      </c>
      <c r="H422" s="1">
        <v>49.2</v>
      </c>
      <c r="I422" s="1">
        <v>43.8</v>
      </c>
      <c r="J422" s="1">
        <v>49.0</v>
      </c>
      <c r="K422" s="1">
        <v>67.3</v>
      </c>
      <c r="L422" s="1">
        <v>21.3</v>
      </c>
      <c r="M422" s="1">
        <v>4.4</v>
      </c>
      <c r="N422" s="1">
        <v>4.3</v>
      </c>
      <c r="O422" s="1">
        <v>3.2</v>
      </c>
      <c r="P422" s="1">
        <v>0.5</v>
      </c>
      <c r="Q422" s="1">
        <v>36.7</v>
      </c>
      <c r="R422" s="1">
        <v>41.1</v>
      </c>
      <c r="S422" s="1">
        <v>41.1</v>
      </c>
      <c r="T422" s="1" t="s">
        <v>48</v>
      </c>
      <c r="U422" s="1" t="s">
        <v>159</v>
      </c>
      <c r="V422" s="1" t="s">
        <v>1688</v>
      </c>
      <c r="W422" s="1" t="s">
        <v>2442</v>
      </c>
      <c r="Y422" s="1" t="s">
        <v>75</v>
      </c>
      <c r="Z422" s="1" t="s">
        <v>53</v>
      </c>
      <c r="AA422" s="1" t="s">
        <v>1409</v>
      </c>
      <c r="AB422" s="1" t="s">
        <v>159</v>
      </c>
      <c r="AC422" s="1" t="s">
        <v>363</v>
      </c>
      <c r="AD422" s="1" t="s">
        <v>2443</v>
      </c>
      <c r="AF422" s="1" t="s">
        <v>979</v>
      </c>
    </row>
    <row r="423">
      <c r="A423" s="1" t="s">
        <v>2444</v>
      </c>
      <c r="B423" s="1" t="s">
        <v>2445</v>
      </c>
      <c r="C423" s="1" t="s">
        <v>632</v>
      </c>
      <c r="G423" s="1">
        <v>47.9</v>
      </c>
      <c r="H423" s="1">
        <v>49.7</v>
      </c>
      <c r="I423" s="1">
        <v>42.5</v>
      </c>
      <c r="J423" s="1">
        <v>50.3</v>
      </c>
      <c r="K423" s="1">
        <v>72.3</v>
      </c>
      <c r="L423" s="1">
        <v>12.4</v>
      </c>
      <c r="M423" s="1">
        <v>2.4</v>
      </c>
      <c r="N423" s="1">
        <v>8.9</v>
      </c>
      <c r="O423" s="1">
        <v>3.6</v>
      </c>
      <c r="P423" s="1">
        <v>0.6</v>
      </c>
      <c r="Q423" s="1">
        <v>38.6</v>
      </c>
      <c r="R423" s="1">
        <v>38.8</v>
      </c>
      <c r="S423" s="1">
        <v>48.0</v>
      </c>
      <c r="T423" s="1" t="s">
        <v>48</v>
      </c>
      <c r="U423" s="1" t="s">
        <v>159</v>
      </c>
      <c r="V423" s="1" t="s">
        <v>2446</v>
      </c>
      <c r="W423" s="1" t="s">
        <v>2447</v>
      </c>
      <c r="Y423" s="1" t="s">
        <v>28</v>
      </c>
      <c r="Z423" s="1" t="s">
        <v>53</v>
      </c>
      <c r="AA423" s="1" t="s">
        <v>1409</v>
      </c>
      <c r="AB423" s="1" t="s">
        <v>159</v>
      </c>
      <c r="AC423" s="1" t="s">
        <v>160</v>
      </c>
      <c r="AD423" s="1" t="s">
        <v>2448</v>
      </c>
      <c r="AF423" s="1" t="s">
        <v>75</v>
      </c>
    </row>
    <row r="424">
      <c r="A424" s="1" t="s">
        <v>2449</v>
      </c>
      <c r="B424" s="1" t="s">
        <v>2450</v>
      </c>
      <c r="C424" s="1" t="s">
        <v>43</v>
      </c>
      <c r="G424" s="1">
        <v>55.2</v>
      </c>
      <c r="H424" s="1">
        <v>42.6</v>
      </c>
      <c r="I424" s="1">
        <v>53.8</v>
      </c>
      <c r="J424" s="1">
        <v>40.8</v>
      </c>
      <c r="K424" s="1">
        <v>32.6</v>
      </c>
      <c r="L424" s="1">
        <v>37.6</v>
      </c>
      <c r="M424" s="1">
        <v>9.0</v>
      </c>
      <c r="N424" s="1">
        <v>19.4</v>
      </c>
      <c r="O424" s="1">
        <v>3.8</v>
      </c>
      <c r="P424" s="1">
        <v>1.3</v>
      </c>
      <c r="Q424" s="1">
        <v>19.5</v>
      </c>
      <c r="R424" s="1">
        <v>24.1</v>
      </c>
      <c r="S424" s="1">
        <v>31.6</v>
      </c>
      <c r="T424" s="1" t="s">
        <v>48</v>
      </c>
      <c r="U424" s="1" t="s">
        <v>49</v>
      </c>
      <c r="V424" s="1" t="s">
        <v>922</v>
      </c>
      <c r="W424" s="1" t="s">
        <v>2452</v>
      </c>
      <c r="X424" s="1">
        <v>2018.0</v>
      </c>
      <c r="Y424" s="1" t="s">
        <v>75</v>
      </c>
      <c r="Z424" s="1" t="s">
        <v>53</v>
      </c>
      <c r="AA424" s="1" t="s">
        <v>1409</v>
      </c>
      <c r="AB424" s="1" t="s">
        <v>970</v>
      </c>
      <c r="AC424" s="1" t="s">
        <v>1486</v>
      </c>
      <c r="AD424" s="1" t="s">
        <v>2454</v>
      </c>
      <c r="AF424" s="1" t="s">
        <v>75</v>
      </c>
    </row>
    <row r="425">
      <c r="A425" s="1" t="s">
        <v>2455</v>
      </c>
      <c r="B425" s="1" t="s">
        <v>2456</v>
      </c>
      <c r="C425" s="1" t="s">
        <v>43</v>
      </c>
      <c r="G425" s="1">
        <v>54.3</v>
      </c>
      <c r="H425" s="1">
        <v>43.4</v>
      </c>
      <c r="I425" s="1">
        <v>53.4</v>
      </c>
      <c r="J425" s="1">
        <v>40.9</v>
      </c>
      <c r="K425" s="1">
        <v>25.9</v>
      </c>
      <c r="L425" s="1">
        <v>60.7</v>
      </c>
      <c r="M425" s="1">
        <v>4.0</v>
      </c>
      <c r="N425" s="1">
        <v>7.8</v>
      </c>
      <c r="O425" s="1">
        <v>5.0</v>
      </c>
      <c r="P425" s="1">
        <v>0.7</v>
      </c>
      <c r="Q425" s="1">
        <v>12.2</v>
      </c>
      <c r="R425" s="1">
        <v>19.1</v>
      </c>
      <c r="S425" s="1">
        <v>29.0</v>
      </c>
      <c r="T425" s="1" t="s">
        <v>48</v>
      </c>
      <c r="U425" s="1" t="s">
        <v>159</v>
      </c>
      <c r="V425" s="1" t="s">
        <v>240</v>
      </c>
      <c r="W425" s="1" t="s">
        <v>2457</v>
      </c>
      <c r="Y425" s="1" t="s">
        <v>75</v>
      </c>
      <c r="Z425" s="1" t="s">
        <v>53</v>
      </c>
      <c r="AA425" s="1" t="s">
        <v>1409</v>
      </c>
      <c r="AB425" s="1" t="s">
        <v>159</v>
      </c>
      <c r="AC425" s="1" t="s">
        <v>120</v>
      </c>
      <c r="AD425" s="1" t="s">
        <v>2458</v>
      </c>
      <c r="AF425" s="1" t="s">
        <v>75</v>
      </c>
    </row>
    <row r="426">
      <c r="A426" s="1" t="s">
        <v>2459</v>
      </c>
      <c r="B426" s="1" t="s">
        <v>2460</v>
      </c>
      <c r="C426" s="1" t="s">
        <v>43</v>
      </c>
      <c r="G426" s="1">
        <v>59.1</v>
      </c>
      <c r="H426" s="1">
        <v>38.8</v>
      </c>
      <c r="I426" s="1">
        <v>58.2</v>
      </c>
      <c r="J426" s="1">
        <v>36.5</v>
      </c>
      <c r="K426" s="1">
        <v>21.2</v>
      </c>
      <c r="L426" s="1">
        <v>60.7</v>
      </c>
      <c r="M426" s="1">
        <v>5.8</v>
      </c>
      <c r="N426" s="1">
        <v>11.3</v>
      </c>
      <c r="O426" s="1">
        <v>4.3</v>
      </c>
      <c r="P426" s="1">
        <v>0.4</v>
      </c>
      <c r="Q426" s="1">
        <v>14.9</v>
      </c>
      <c r="R426" s="1">
        <v>25.4</v>
      </c>
      <c r="S426" s="1">
        <v>20.8</v>
      </c>
      <c r="T426" s="1" t="s">
        <v>48</v>
      </c>
      <c r="U426" s="1" t="s">
        <v>49</v>
      </c>
      <c r="V426" s="1" t="s">
        <v>426</v>
      </c>
      <c r="W426" s="1" t="s">
        <v>2461</v>
      </c>
      <c r="X426" s="1">
        <v>2004.0</v>
      </c>
      <c r="Y426" s="1" t="s">
        <v>747</v>
      </c>
      <c r="Z426" s="1" t="s">
        <v>53</v>
      </c>
      <c r="AA426" s="1" t="s">
        <v>1409</v>
      </c>
      <c r="AB426" s="1" t="s">
        <v>970</v>
      </c>
      <c r="AC426" s="1" t="s">
        <v>1289</v>
      </c>
      <c r="AD426" s="1" t="s">
        <v>2462</v>
      </c>
      <c r="AF426" s="1" t="s">
        <v>75</v>
      </c>
    </row>
    <row r="427">
      <c r="A427" s="1" t="s">
        <v>2464</v>
      </c>
      <c r="B427" s="1" t="s">
        <v>2465</v>
      </c>
      <c r="C427" s="1" t="s">
        <v>632</v>
      </c>
      <c r="G427" s="1">
        <v>55.3</v>
      </c>
      <c r="H427" s="1">
        <v>42.3</v>
      </c>
      <c r="I427" s="1">
        <v>55.2</v>
      </c>
      <c r="J427" s="1">
        <v>39.3</v>
      </c>
      <c r="K427" s="1">
        <v>18.7</v>
      </c>
      <c r="L427" s="1">
        <v>69.3</v>
      </c>
      <c r="M427" s="1">
        <v>5.8</v>
      </c>
      <c r="N427" s="1">
        <v>5.1</v>
      </c>
      <c r="O427" s="1">
        <v>4.0</v>
      </c>
      <c r="P427" s="1">
        <v>0.4</v>
      </c>
      <c r="Q427" s="1">
        <v>9.1</v>
      </c>
      <c r="R427" s="1">
        <v>16.8</v>
      </c>
      <c r="S427" s="1">
        <v>22.8</v>
      </c>
      <c r="T427" s="1" t="s">
        <v>48</v>
      </c>
      <c r="U427" s="1" t="s">
        <v>970</v>
      </c>
      <c r="V427" s="1" t="s">
        <v>1701</v>
      </c>
      <c r="W427" s="1" t="s">
        <v>2466</v>
      </c>
      <c r="Y427" s="1" t="s">
        <v>979</v>
      </c>
      <c r="Z427" s="1" t="s">
        <v>53</v>
      </c>
      <c r="AA427" s="1" t="s">
        <v>1409</v>
      </c>
      <c r="AB427" s="1" t="s">
        <v>49</v>
      </c>
      <c r="AC427" s="1" t="s">
        <v>541</v>
      </c>
      <c r="AD427" s="1" t="s">
        <v>2467</v>
      </c>
      <c r="AE427" s="1" t="s">
        <v>2468</v>
      </c>
      <c r="AF427" s="1" t="s">
        <v>747</v>
      </c>
    </row>
    <row r="428">
      <c r="A428" s="1" t="s">
        <v>2469</v>
      </c>
      <c r="B428" s="1" t="s">
        <v>2470</v>
      </c>
      <c r="C428" s="1" t="s">
        <v>632</v>
      </c>
      <c r="G428" s="1">
        <v>55.1</v>
      </c>
      <c r="H428" s="1">
        <v>42.7</v>
      </c>
      <c r="I428" s="1">
        <v>51.9</v>
      </c>
      <c r="J428" s="1">
        <v>42.1</v>
      </c>
      <c r="K428" s="1">
        <v>37.2</v>
      </c>
      <c r="L428" s="1">
        <v>39.2</v>
      </c>
      <c r="M428" s="1">
        <v>11.3</v>
      </c>
      <c r="N428" s="1">
        <v>11.3</v>
      </c>
      <c r="O428" s="1">
        <v>3.4</v>
      </c>
      <c r="P428" s="1">
        <v>0.5</v>
      </c>
      <c r="Q428" s="1">
        <v>28.7</v>
      </c>
      <c r="R428" s="1">
        <v>35.5</v>
      </c>
      <c r="S428" s="1">
        <v>27.9</v>
      </c>
      <c r="T428" s="1" t="s">
        <v>48</v>
      </c>
      <c r="U428" s="1" t="s">
        <v>970</v>
      </c>
      <c r="V428" s="1" t="s">
        <v>2472</v>
      </c>
      <c r="W428" s="1" t="s">
        <v>877</v>
      </c>
      <c r="Y428" s="1" t="s">
        <v>75</v>
      </c>
      <c r="Z428" s="1" t="s">
        <v>53</v>
      </c>
      <c r="AA428" s="1" t="s">
        <v>1409</v>
      </c>
      <c r="AB428" s="1" t="s">
        <v>49</v>
      </c>
      <c r="AC428" s="1" t="s">
        <v>95</v>
      </c>
      <c r="AD428" s="1" t="s">
        <v>313</v>
      </c>
      <c r="AE428" s="1" t="s">
        <v>2420</v>
      </c>
      <c r="AF428" s="1" t="s">
        <v>83</v>
      </c>
    </row>
    <row r="429">
      <c r="A429" s="1" t="s">
        <v>2473</v>
      </c>
      <c r="B429" s="1" t="s">
        <v>2474</v>
      </c>
      <c r="C429" s="1" t="s">
        <v>43</v>
      </c>
      <c r="G429" s="1">
        <v>81.0</v>
      </c>
      <c r="H429" s="1">
        <v>16.7</v>
      </c>
      <c r="I429" s="1">
        <v>84.0</v>
      </c>
      <c r="J429" s="1">
        <v>10.3</v>
      </c>
      <c r="K429" s="1">
        <v>12.4</v>
      </c>
      <c r="L429" s="1">
        <v>61.6</v>
      </c>
      <c r="M429" s="1">
        <v>5.7</v>
      </c>
      <c r="N429" s="1">
        <v>20.4</v>
      </c>
      <c r="O429" s="1">
        <v>4.4</v>
      </c>
      <c r="P429" s="1">
        <v>0.3</v>
      </c>
      <c r="Q429" s="1">
        <v>26.2</v>
      </c>
      <c r="R429" s="1">
        <v>60.3</v>
      </c>
      <c r="S429" s="1">
        <v>6.4</v>
      </c>
      <c r="T429" s="1" t="s">
        <v>48</v>
      </c>
      <c r="U429" s="1" t="s">
        <v>49</v>
      </c>
      <c r="V429" s="1" t="s">
        <v>191</v>
      </c>
      <c r="W429" s="1" t="s">
        <v>2475</v>
      </c>
      <c r="X429" s="1" t="s">
        <v>1772</v>
      </c>
      <c r="Y429" s="1" t="s">
        <v>83</v>
      </c>
      <c r="Z429" s="1" t="s">
        <v>53</v>
      </c>
      <c r="AA429" s="1" t="s">
        <v>1409</v>
      </c>
      <c r="AB429" s="1" t="s">
        <v>2476</v>
      </c>
    </row>
    <row r="430">
      <c r="A430" s="1" t="s">
        <v>2477</v>
      </c>
      <c r="B430" s="1" t="s">
        <v>2302</v>
      </c>
      <c r="C430" s="1" t="s">
        <v>43</v>
      </c>
      <c r="G430" s="1">
        <v>85.7</v>
      </c>
      <c r="H430" s="1">
        <v>12.4</v>
      </c>
      <c r="I430" s="1">
        <v>88.4</v>
      </c>
      <c r="J430" s="1">
        <v>7.3</v>
      </c>
      <c r="K430" s="1">
        <v>14.6</v>
      </c>
      <c r="L430" s="1">
        <v>50.3</v>
      </c>
      <c r="M430" s="1">
        <v>26.5</v>
      </c>
      <c r="N430" s="1">
        <v>8.5</v>
      </c>
      <c r="O430" s="1">
        <v>3.7</v>
      </c>
      <c r="P430" s="1">
        <v>0.3</v>
      </c>
      <c r="Q430" s="1">
        <v>26.4</v>
      </c>
      <c r="R430" s="1">
        <v>66.1</v>
      </c>
      <c r="S430" s="1">
        <v>5.9</v>
      </c>
      <c r="T430" s="1" t="s">
        <v>48</v>
      </c>
      <c r="U430" s="1" t="s">
        <v>159</v>
      </c>
      <c r="V430" s="1" t="s">
        <v>2300</v>
      </c>
      <c r="W430" s="1" t="s">
        <v>2478</v>
      </c>
      <c r="Y430" s="1" t="s">
        <v>2479</v>
      </c>
      <c r="Z430" s="1" t="s">
        <v>53</v>
      </c>
      <c r="AA430" s="1" t="s">
        <v>1409</v>
      </c>
      <c r="AB430" s="1" t="s">
        <v>2476</v>
      </c>
    </row>
    <row r="431">
      <c r="A431" s="1" t="s">
        <v>2480</v>
      </c>
      <c r="B431" s="1" t="s">
        <v>2481</v>
      </c>
      <c r="C431" s="1" t="s">
        <v>632</v>
      </c>
      <c r="G431" s="1">
        <v>48.6</v>
      </c>
      <c r="H431" s="1">
        <v>49.7</v>
      </c>
      <c r="I431" s="1">
        <v>44.6</v>
      </c>
      <c r="J431" s="1">
        <v>50.6</v>
      </c>
      <c r="K431" s="1">
        <v>48.2</v>
      </c>
      <c r="L431" s="1">
        <v>34.2</v>
      </c>
      <c r="M431" s="1">
        <v>6.2</v>
      </c>
      <c r="N431" s="1">
        <v>9.7</v>
      </c>
      <c r="O431" s="1">
        <v>3.2</v>
      </c>
      <c r="P431" s="1">
        <v>0.7</v>
      </c>
      <c r="Q431" s="1">
        <v>28.7</v>
      </c>
      <c r="R431" s="1">
        <v>33.5</v>
      </c>
      <c r="S431" s="1">
        <v>36.2</v>
      </c>
      <c r="T431" s="1" t="s">
        <v>48</v>
      </c>
      <c r="U431" s="1" t="s">
        <v>970</v>
      </c>
      <c r="V431" s="1" t="s">
        <v>2484</v>
      </c>
      <c r="W431" s="1" t="s">
        <v>2485</v>
      </c>
      <c r="Y431" s="1" t="s">
        <v>75</v>
      </c>
      <c r="Z431" s="1" t="s">
        <v>304</v>
      </c>
      <c r="AA431" s="1" t="s">
        <v>1409</v>
      </c>
      <c r="AB431" s="1" t="s">
        <v>49</v>
      </c>
      <c r="AC431" s="1" t="s">
        <v>1514</v>
      </c>
      <c r="AD431" s="1" t="s">
        <v>2486</v>
      </c>
      <c r="AE431" s="1">
        <v>1992.0</v>
      </c>
      <c r="AF431" s="1" t="s">
        <v>75</v>
      </c>
    </row>
    <row r="432">
      <c r="A432" s="1" t="s">
        <v>2487</v>
      </c>
      <c r="B432" s="1" t="s">
        <v>2488</v>
      </c>
      <c r="C432" s="1" t="s">
        <v>632</v>
      </c>
      <c r="G432" s="1">
        <v>52.1</v>
      </c>
      <c r="H432" s="1">
        <v>46.0</v>
      </c>
      <c r="I432" s="1">
        <v>53.8</v>
      </c>
      <c r="J432" s="1">
        <v>40.6</v>
      </c>
      <c r="K432" s="1">
        <v>27.5</v>
      </c>
      <c r="L432" s="1">
        <v>27.3</v>
      </c>
      <c r="M432" s="1">
        <v>2.9</v>
      </c>
      <c r="N432" s="1">
        <v>41.4</v>
      </c>
      <c r="O432" s="1">
        <v>2.2</v>
      </c>
      <c r="P432" s="1">
        <v>0.8</v>
      </c>
      <c r="Q432" s="1">
        <v>35.9</v>
      </c>
      <c r="R432" s="1">
        <v>39.0</v>
      </c>
      <c r="S432" s="1">
        <v>21.4</v>
      </c>
      <c r="T432" s="1" t="s">
        <v>48</v>
      </c>
      <c r="U432" s="1" t="s">
        <v>970</v>
      </c>
      <c r="V432" s="1" t="s">
        <v>1496</v>
      </c>
      <c r="W432" s="1" t="s">
        <v>2489</v>
      </c>
      <c r="Y432" s="1" t="s">
        <v>287</v>
      </c>
      <c r="Z432" s="1" t="s">
        <v>53</v>
      </c>
      <c r="AA432" s="1" t="s">
        <v>1409</v>
      </c>
      <c r="AB432" s="1" t="s">
        <v>49</v>
      </c>
      <c r="AC432" s="1" t="s">
        <v>1861</v>
      </c>
      <c r="AD432" s="1" t="s">
        <v>2490</v>
      </c>
      <c r="AE432" s="1">
        <v>2020.0</v>
      </c>
      <c r="AF432" s="1" t="s">
        <v>917</v>
      </c>
    </row>
    <row r="433">
      <c r="A433" s="1" t="s">
        <v>2491</v>
      </c>
      <c r="B433" s="1" t="s">
        <v>2492</v>
      </c>
      <c r="C433" s="1" t="s">
        <v>43</v>
      </c>
      <c r="G433" s="1">
        <v>54.5</v>
      </c>
      <c r="H433" s="1">
        <v>43.4</v>
      </c>
      <c r="I433" s="1">
        <v>50.7</v>
      </c>
      <c r="J433" s="1">
        <v>43.3</v>
      </c>
      <c r="K433" s="1">
        <v>53.0</v>
      </c>
      <c r="L433" s="1">
        <v>16.0</v>
      </c>
      <c r="M433" s="1">
        <v>2.4</v>
      </c>
      <c r="N433" s="1">
        <v>26.9</v>
      </c>
      <c r="O433" s="1">
        <v>1.8</v>
      </c>
      <c r="P433" s="1">
        <v>0.6</v>
      </c>
      <c r="Q433" s="1">
        <v>56.5</v>
      </c>
      <c r="R433" s="1">
        <v>57.2</v>
      </c>
      <c r="S433" s="1">
        <v>26.7</v>
      </c>
      <c r="T433" s="1" t="s">
        <v>48</v>
      </c>
      <c r="U433" s="1" t="s">
        <v>49</v>
      </c>
      <c r="V433" s="1" t="s">
        <v>2493</v>
      </c>
      <c r="W433" s="1" t="s">
        <v>2494</v>
      </c>
      <c r="X433" s="1">
        <v>2018.0</v>
      </c>
      <c r="Y433" s="1" t="s">
        <v>75</v>
      </c>
      <c r="Z433" s="1" t="s">
        <v>53</v>
      </c>
      <c r="AA433" s="1" t="s">
        <v>1409</v>
      </c>
      <c r="AB433" s="1" t="s">
        <v>970</v>
      </c>
      <c r="AC433" s="1" t="s">
        <v>348</v>
      </c>
      <c r="AD433" s="1" t="s">
        <v>2495</v>
      </c>
      <c r="AF433" s="1" t="s">
        <v>75</v>
      </c>
    </row>
    <row r="434">
      <c r="A434" s="1" t="s">
        <v>2496</v>
      </c>
      <c r="B434" s="1" t="s">
        <v>2497</v>
      </c>
      <c r="C434" s="1" t="s">
        <v>43</v>
      </c>
      <c r="G434" s="1">
        <v>54.6</v>
      </c>
      <c r="H434" s="1">
        <v>43.2</v>
      </c>
      <c r="I434" s="1">
        <v>49.7</v>
      </c>
      <c r="J434" s="1">
        <v>44.1</v>
      </c>
      <c r="K434" s="1">
        <v>61.0</v>
      </c>
      <c r="L434" s="1">
        <v>24.5</v>
      </c>
      <c r="M434" s="1">
        <v>3.3</v>
      </c>
      <c r="N434" s="1">
        <v>9.1</v>
      </c>
      <c r="O434" s="1">
        <v>2.8</v>
      </c>
      <c r="P434" s="1">
        <v>0.9</v>
      </c>
      <c r="Q434" s="1">
        <v>45.6</v>
      </c>
      <c r="R434" s="1">
        <v>53.8</v>
      </c>
      <c r="S434" s="1">
        <v>31.0</v>
      </c>
      <c r="T434" s="1" t="s">
        <v>48</v>
      </c>
      <c r="U434" s="1" t="s">
        <v>49</v>
      </c>
      <c r="V434" s="1" t="s">
        <v>95</v>
      </c>
      <c r="W434" s="1" t="s">
        <v>2498</v>
      </c>
      <c r="X434" s="1">
        <v>2018.0</v>
      </c>
      <c r="Y434" s="1" t="s">
        <v>2499</v>
      </c>
      <c r="Z434" s="1" t="s">
        <v>53</v>
      </c>
      <c r="AA434" s="1" t="s">
        <v>1409</v>
      </c>
      <c r="AB434" s="1" t="s">
        <v>970</v>
      </c>
      <c r="AC434" s="1" t="s">
        <v>1028</v>
      </c>
      <c r="AD434" s="1" t="s">
        <v>2500</v>
      </c>
      <c r="AF434" s="1" t="s">
        <v>75</v>
      </c>
    </row>
    <row r="435">
      <c r="A435" s="1" t="s">
        <v>2501</v>
      </c>
      <c r="B435" s="1" t="s">
        <v>2502</v>
      </c>
      <c r="C435" s="1" t="s">
        <v>632</v>
      </c>
      <c r="G435" s="1">
        <v>44.7</v>
      </c>
      <c r="H435" s="1">
        <v>52.9</v>
      </c>
      <c r="I435" s="1">
        <v>39.0</v>
      </c>
      <c r="J435" s="1">
        <v>53.1</v>
      </c>
      <c r="K435" s="1">
        <v>70.1</v>
      </c>
      <c r="L435" s="1">
        <v>22.8</v>
      </c>
      <c r="M435" s="1">
        <v>1.5</v>
      </c>
      <c r="N435" s="1">
        <v>1.4</v>
      </c>
      <c r="O435" s="1">
        <v>4.9</v>
      </c>
      <c r="P435" s="1">
        <v>0.3</v>
      </c>
      <c r="Q435" s="1">
        <v>29.7</v>
      </c>
      <c r="R435" s="1">
        <v>34.6</v>
      </c>
      <c r="S435" s="1">
        <v>48.7</v>
      </c>
      <c r="T435" s="1" t="s">
        <v>48</v>
      </c>
      <c r="U435" s="1" t="s">
        <v>970</v>
      </c>
      <c r="V435" s="1" t="s">
        <v>240</v>
      </c>
      <c r="W435" s="1" t="s">
        <v>2503</v>
      </c>
      <c r="Y435" s="1" t="s">
        <v>75</v>
      </c>
      <c r="AA435" s="1" t="s">
        <v>1409</v>
      </c>
      <c r="AB435" s="1" t="s">
        <v>49</v>
      </c>
      <c r="AC435" s="1" t="s">
        <v>639</v>
      </c>
      <c r="AD435" s="1" t="s">
        <v>2504</v>
      </c>
      <c r="AE435" s="1">
        <v>2020.0</v>
      </c>
      <c r="AF435" s="1" t="s">
        <v>75</v>
      </c>
    </row>
    <row r="436">
      <c r="A436" s="1" t="s">
        <v>2505</v>
      </c>
      <c r="B436" s="1" t="s">
        <v>2506</v>
      </c>
      <c r="C436" s="1" t="s">
        <v>43</v>
      </c>
      <c r="G436" s="1">
        <v>45.5</v>
      </c>
      <c r="H436" s="1">
        <v>51.6</v>
      </c>
      <c r="I436" s="1">
        <v>41.6</v>
      </c>
      <c r="J436" s="1">
        <v>50.6</v>
      </c>
      <c r="K436" s="1">
        <v>92.3</v>
      </c>
      <c r="L436" s="1">
        <v>1.4</v>
      </c>
      <c r="M436" s="1">
        <v>1.6</v>
      </c>
      <c r="N436" s="1">
        <v>1.2</v>
      </c>
      <c r="O436" s="1">
        <v>2.7</v>
      </c>
      <c r="P436" s="1">
        <v>0.1</v>
      </c>
      <c r="Q436" s="1">
        <v>25.8</v>
      </c>
      <c r="R436" s="1">
        <v>25.7</v>
      </c>
      <c r="S436" s="1">
        <v>70.9</v>
      </c>
      <c r="T436" s="1" t="s">
        <v>48</v>
      </c>
      <c r="U436" s="1" t="s">
        <v>49</v>
      </c>
      <c r="V436" s="1" t="s">
        <v>88</v>
      </c>
      <c r="W436" s="1" t="s">
        <v>2507</v>
      </c>
      <c r="X436" s="1">
        <v>2018.0</v>
      </c>
      <c r="Y436" s="1" t="s">
        <v>75</v>
      </c>
      <c r="Z436" s="1" t="s">
        <v>53</v>
      </c>
      <c r="AA436" s="1" t="s">
        <v>1409</v>
      </c>
      <c r="AB436" s="1" t="s">
        <v>970</v>
      </c>
      <c r="AC436" s="1" t="s">
        <v>1474</v>
      </c>
      <c r="AD436" s="1" t="s">
        <v>2508</v>
      </c>
      <c r="AE436" s="1" t="s">
        <v>2509</v>
      </c>
      <c r="AF436" s="1" t="s">
        <v>75</v>
      </c>
    </row>
    <row r="437">
      <c r="A437" s="1" t="s">
        <v>2510</v>
      </c>
      <c r="B437" s="1" t="s">
        <v>2511</v>
      </c>
      <c r="C437" s="1" t="s">
        <v>632</v>
      </c>
      <c r="G437" s="1">
        <v>52.6</v>
      </c>
      <c r="H437" s="1">
        <v>45.2</v>
      </c>
      <c r="I437" s="1">
        <v>47.9</v>
      </c>
      <c r="J437" s="1">
        <v>45.8</v>
      </c>
      <c r="K437" s="1">
        <v>79.1</v>
      </c>
      <c r="L437" s="1">
        <v>4.7</v>
      </c>
      <c r="M437" s="1">
        <v>9.8</v>
      </c>
      <c r="N437" s="1">
        <v>4.3</v>
      </c>
      <c r="O437" s="1">
        <v>2.0</v>
      </c>
      <c r="P437" s="1">
        <v>0.1</v>
      </c>
      <c r="Q437" s="1">
        <v>32.4</v>
      </c>
      <c r="R437" s="1">
        <v>34.2</v>
      </c>
      <c r="S437" s="1">
        <v>55.6</v>
      </c>
      <c r="T437" s="1" t="s">
        <v>48</v>
      </c>
      <c r="U437" s="1" t="s">
        <v>159</v>
      </c>
      <c r="V437" s="1" t="s">
        <v>2512</v>
      </c>
      <c r="W437" s="1" t="s">
        <v>2513</v>
      </c>
      <c r="Y437" s="1" t="s">
        <v>75</v>
      </c>
      <c r="Z437" s="1" t="s">
        <v>53</v>
      </c>
      <c r="AA437" s="1" t="s">
        <v>1409</v>
      </c>
      <c r="AB437" s="1" t="s">
        <v>159</v>
      </c>
      <c r="AC437" s="1" t="s">
        <v>2514</v>
      </c>
      <c r="AD437" s="1" t="s">
        <v>524</v>
      </c>
      <c r="AF437" s="1" t="s">
        <v>75</v>
      </c>
    </row>
    <row r="438">
      <c r="A438" s="1" t="s">
        <v>2515</v>
      </c>
      <c r="B438" s="1" t="s">
        <v>2516</v>
      </c>
      <c r="C438" s="1" t="s">
        <v>395</v>
      </c>
      <c r="G438" s="1">
        <v>55.2</v>
      </c>
      <c r="H438" s="1">
        <v>42.1</v>
      </c>
      <c r="I438" s="1">
        <v>47.4</v>
      </c>
      <c r="J438" s="1">
        <v>40.7</v>
      </c>
      <c r="K438" s="1">
        <v>70.9</v>
      </c>
      <c r="L438" s="1">
        <v>17.4</v>
      </c>
      <c r="M438" s="1">
        <v>2.0</v>
      </c>
      <c r="N438" s="1">
        <v>5.1</v>
      </c>
      <c r="O438" s="1">
        <v>4.1</v>
      </c>
      <c r="P438" s="1">
        <v>1.1</v>
      </c>
      <c r="Q438" s="1">
        <v>33.2</v>
      </c>
      <c r="R438" s="1">
        <v>36.5</v>
      </c>
      <c r="S438" s="1">
        <v>50.7</v>
      </c>
      <c r="T438" s="1" t="s">
        <v>48</v>
      </c>
      <c r="U438" s="1" t="s">
        <v>159</v>
      </c>
      <c r="V438" s="1" t="s">
        <v>2518</v>
      </c>
      <c r="W438" s="1" t="s">
        <v>2519</v>
      </c>
      <c r="Y438" s="1" t="s">
        <v>83</v>
      </c>
      <c r="Z438" s="1" t="s">
        <v>53</v>
      </c>
      <c r="AA438" s="1" t="s">
        <v>1409</v>
      </c>
      <c r="AB438" s="1" t="s">
        <v>159</v>
      </c>
      <c r="AC438" s="1" t="s">
        <v>95</v>
      </c>
      <c r="AD438" s="1" t="s">
        <v>2520</v>
      </c>
      <c r="AF438" s="1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8.5"/>
    <col customWidth="1" min="2" max="2" width="5.5"/>
    <col customWidth="1" min="3" max="3" width="17.38"/>
    <col customWidth="1" min="4" max="4" width="17.5"/>
    <col customWidth="1" min="5" max="5" width="6.5"/>
    <col customWidth="1" min="6" max="7" width="7.88"/>
    <col customWidth="1" min="8" max="8" width="8.75"/>
    <col customWidth="1" min="9" max="9" width="24.25"/>
    <col customWidth="1" min="10" max="14" width="17.63"/>
    <col customWidth="1" min="15" max="15" width="24.75"/>
    <col customWidth="1" min="16" max="16" width="14.38"/>
    <col customWidth="1" min="17" max="17" width="22.38"/>
    <col customWidth="1" min="18" max="19" width="19.88"/>
    <col customWidth="1" min="20" max="20" width="18.5"/>
    <col customWidth="1" min="21" max="21" width="16.88"/>
    <col customWidth="1" min="22" max="22" width="20.63"/>
    <col customWidth="1" min="23" max="23" width="21.5"/>
    <col customWidth="1" min="24" max="24" width="16.5"/>
    <col customWidth="1" min="25" max="25" width="19.75"/>
    <col customWidth="1" min="26" max="26" width="17.0"/>
    <col customWidth="1" min="27" max="27" width="20.13"/>
    <col customWidth="1" min="28" max="28" width="23.0"/>
    <col customWidth="1" min="29" max="29" width="14.88"/>
    <col customWidth="1" min="30" max="30" width="15.63"/>
    <col customWidth="1" min="31" max="31" width="19.88"/>
    <col customWidth="1" min="32" max="32" width="18.88"/>
    <col customWidth="1" min="33" max="36" width="14.88"/>
    <col customWidth="1" min="37" max="37" width="19.0"/>
    <col customWidth="1" min="38" max="38" width="18.25"/>
    <col customWidth="1" min="39" max="39" width="16.63"/>
    <col customWidth="1" min="40" max="40" width="21.25"/>
    <col customWidth="1" min="41" max="41" width="29.75"/>
    <col customWidth="1" min="42" max="43" width="17.63"/>
    <col customWidth="1" min="44" max="46" width="14.88"/>
    <col customWidth="1" min="47" max="47" width="19.63"/>
    <col customWidth="1" min="48" max="48" width="15.13"/>
    <col customWidth="1" min="49" max="49" width="19.0"/>
    <col customWidth="1" min="50" max="50" width="15.25"/>
    <col customWidth="1" min="51" max="51" width="22.5"/>
    <col customWidth="1" min="52" max="52" width="15.13"/>
    <col customWidth="1" min="53" max="54" width="14.88"/>
    <col customWidth="1" min="55" max="55" width="16.5"/>
    <col customWidth="1" min="56" max="57" width="14.88"/>
    <col customWidth="1" min="58" max="58" width="17.0"/>
    <col customWidth="1" min="59" max="59" width="15.13"/>
    <col customWidth="1" min="60" max="68" width="14.88"/>
    <col customWidth="1" hidden="1" min="69" max="69" width="11.38"/>
    <col customWidth="1" hidden="1" min="70" max="70" width="14.25"/>
    <col customWidth="1" hidden="1" min="71" max="71" width="15.63"/>
    <col customWidth="1" hidden="1" min="72" max="72" width="5.63"/>
    <col customWidth="1" hidden="1" min="73" max="73" width="13.13"/>
    <col customWidth="1" hidden="1" min="74" max="74" width="13.0"/>
    <col customWidth="1" hidden="1" min="75" max="75" width="18.5"/>
    <col customWidth="1" hidden="1" min="76" max="76" width="13.0"/>
    <col customWidth="1" hidden="1" min="77" max="77" width="13.38"/>
    <col customWidth="1" hidden="1" min="78" max="81" width="10.25"/>
  </cols>
  <sheetData>
    <row r="1" ht="68.25" customHeight="1">
      <c r="A1" s="6" t="s">
        <v>8</v>
      </c>
      <c r="B1" s="7" t="s">
        <v>39</v>
      </c>
      <c r="C1" s="8" t="s">
        <v>40</v>
      </c>
      <c r="D1" s="8" t="s">
        <v>46</v>
      </c>
      <c r="E1" s="10" t="s">
        <v>47</v>
      </c>
      <c r="F1" s="12" t="s">
        <v>50</v>
      </c>
      <c r="G1" s="12" t="s">
        <v>56</v>
      </c>
      <c r="H1" s="14" t="s">
        <v>59</v>
      </c>
      <c r="I1" s="15" t="s">
        <v>61</v>
      </c>
      <c r="J1" s="17" t="s">
        <v>62</v>
      </c>
      <c r="K1" s="17" t="s">
        <v>77</v>
      </c>
      <c r="L1" s="17" t="s">
        <v>93</v>
      </c>
      <c r="M1" s="17" t="s">
        <v>102</v>
      </c>
      <c r="N1" s="17" t="s">
        <v>118</v>
      </c>
      <c r="O1" s="19" t="s">
        <v>101</v>
      </c>
      <c r="P1" s="22" t="s">
        <v>134</v>
      </c>
      <c r="Q1" s="6" t="s">
        <v>147</v>
      </c>
      <c r="R1" s="6" t="s">
        <v>156</v>
      </c>
      <c r="S1" s="6" t="s">
        <v>167</v>
      </c>
      <c r="T1" s="6" t="s">
        <v>180</v>
      </c>
      <c r="U1" s="6" t="s">
        <v>190</v>
      </c>
      <c r="V1" s="6" t="s">
        <v>198</v>
      </c>
      <c r="W1" s="6" t="s">
        <v>205</v>
      </c>
      <c r="X1" s="23" t="s">
        <v>211</v>
      </c>
      <c r="Y1" s="6" t="s">
        <v>222</v>
      </c>
      <c r="Z1" s="23" t="s">
        <v>231</v>
      </c>
      <c r="AA1" s="6" t="s">
        <v>239</v>
      </c>
      <c r="AB1" s="6" t="s">
        <v>250</v>
      </c>
      <c r="AC1" s="6" t="s">
        <v>257</v>
      </c>
      <c r="AD1" s="6" t="s">
        <v>267</v>
      </c>
      <c r="AE1" s="6" t="s">
        <v>279</v>
      </c>
      <c r="AF1" s="6" t="s">
        <v>291</v>
      </c>
      <c r="AG1" s="23" t="s">
        <v>231</v>
      </c>
      <c r="AH1" s="23" t="s">
        <v>310</v>
      </c>
      <c r="AI1" s="23" t="s">
        <v>323</v>
      </c>
      <c r="AJ1" s="23" t="s">
        <v>334</v>
      </c>
      <c r="AK1" s="6" t="s">
        <v>346</v>
      </c>
      <c r="AL1" s="6" t="s">
        <v>355</v>
      </c>
      <c r="AM1" s="6" t="s">
        <v>361</v>
      </c>
      <c r="AN1" s="6" t="s">
        <v>365</v>
      </c>
      <c r="AO1" s="6" t="s">
        <v>369</v>
      </c>
      <c r="AP1" s="24" t="s">
        <v>245</v>
      </c>
      <c r="AQ1" s="6" t="s">
        <v>376</v>
      </c>
      <c r="AR1" s="6" t="s">
        <v>383</v>
      </c>
      <c r="AS1" s="6" t="s">
        <v>385</v>
      </c>
      <c r="AT1" s="6" t="s">
        <v>390</v>
      </c>
      <c r="AU1" s="6" t="s">
        <v>403</v>
      </c>
      <c r="AV1" s="6" t="s">
        <v>410</v>
      </c>
      <c r="AW1" s="6" t="s">
        <v>415</v>
      </c>
      <c r="AX1" s="6" t="s">
        <v>421</v>
      </c>
      <c r="AY1" s="6" t="s">
        <v>425</v>
      </c>
      <c r="AZ1" s="6" t="s">
        <v>431</v>
      </c>
      <c r="BA1" s="6" t="s">
        <v>437</v>
      </c>
      <c r="BB1" s="6" t="s">
        <v>442</v>
      </c>
      <c r="BC1" s="6" t="s">
        <v>450</v>
      </c>
      <c r="BD1" s="6" t="s">
        <v>460</v>
      </c>
      <c r="BE1" s="6" t="s">
        <v>466</v>
      </c>
      <c r="BF1" s="6" t="s">
        <v>474</v>
      </c>
      <c r="BG1" s="6" t="s">
        <v>481</v>
      </c>
      <c r="BH1" s="6" t="s">
        <v>485</v>
      </c>
      <c r="BI1" s="6" t="s">
        <v>494</v>
      </c>
      <c r="BJ1" s="25" t="s">
        <v>502</v>
      </c>
      <c r="BK1" s="6" t="s">
        <v>509</v>
      </c>
      <c r="BL1" s="6" t="s">
        <v>515</v>
      </c>
      <c r="BM1" s="6" t="s">
        <v>521</v>
      </c>
      <c r="BN1" s="6" t="s">
        <v>526</v>
      </c>
      <c r="BO1" s="6" t="s">
        <v>533</v>
      </c>
      <c r="BP1" s="6" t="s">
        <v>540</v>
      </c>
      <c r="BQ1" s="69" t="s">
        <v>546</v>
      </c>
      <c r="BR1" s="71" t="s">
        <v>547</v>
      </c>
      <c r="BS1" s="71" t="s">
        <v>555</v>
      </c>
      <c r="BT1" s="73"/>
      <c r="BU1" s="73" t="s">
        <v>567</v>
      </c>
      <c r="BV1" s="74" t="s">
        <v>568</v>
      </c>
      <c r="BW1" s="74" t="s">
        <v>569</v>
      </c>
      <c r="BX1" s="75" t="s">
        <v>573</v>
      </c>
      <c r="BY1" s="75" t="s">
        <v>576</v>
      </c>
      <c r="BZ1" s="76" t="s">
        <v>578</v>
      </c>
      <c r="CA1" s="76" t="s">
        <v>585</v>
      </c>
      <c r="CB1" s="76" t="s">
        <v>592</v>
      </c>
      <c r="CC1" s="76" t="s">
        <v>596</v>
      </c>
    </row>
    <row r="2">
      <c r="C2" s="79" t="s">
        <v>483</v>
      </c>
      <c r="J2" s="30" t="s">
        <v>350</v>
      </c>
      <c r="K2" s="30" t="s">
        <v>347</v>
      </c>
      <c r="L2" s="30" t="s">
        <v>347</v>
      </c>
      <c r="M2" s="30" t="s">
        <v>350</v>
      </c>
      <c r="N2" s="30" t="s">
        <v>350</v>
      </c>
      <c r="O2" s="31" t="s">
        <v>347</v>
      </c>
      <c r="P2" s="32" t="s">
        <v>362</v>
      </c>
      <c r="Q2" s="32" t="s">
        <v>362</v>
      </c>
      <c r="R2" s="32" t="s">
        <v>354</v>
      </c>
      <c r="S2" s="32" t="s">
        <v>347</v>
      </c>
      <c r="T2" s="32" t="s">
        <v>347</v>
      </c>
      <c r="U2" s="32" t="s">
        <v>362</v>
      </c>
      <c r="V2" s="32" t="s">
        <v>612</v>
      </c>
      <c r="W2" s="32" t="s">
        <v>612</v>
      </c>
      <c r="X2" s="32" t="s">
        <v>354</v>
      </c>
      <c r="Y2" s="32" t="s">
        <v>350</v>
      </c>
      <c r="Z2" s="32" t="s">
        <v>347</v>
      </c>
      <c r="AA2" s="32" t="s">
        <v>362</v>
      </c>
      <c r="AB2" s="32" t="s">
        <v>347</v>
      </c>
      <c r="AC2" s="32" t="s">
        <v>350</v>
      </c>
      <c r="AD2" s="32" t="s">
        <v>347</v>
      </c>
      <c r="AE2" s="32" t="s">
        <v>347</v>
      </c>
      <c r="AF2" s="32" t="s">
        <v>347</v>
      </c>
      <c r="AG2" s="32" t="s">
        <v>347</v>
      </c>
      <c r="AH2" s="32" t="s">
        <v>347</v>
      </c>
      <c r="AI2" s="32" t="s">
        <v>347</v>
      </c>
      <c r="AJ2" s="32" t="s">
        <v>347</v>
      </c>
      <c r="AK2" s="32" t="s">
        <v>347</v>
      </c>
      <c r="AL2" s="32" t="s">
        <v>350</v>
      </c>
      <c r="AM2" s="32" t="s">
        <v>350</v>
      </c>
      <c r="AN2" s="32" t="s">
        <v>347</v>
      </c>
      <c r="AO2" s="32" t="s">
        <v>347</v>
      </c>
      <c r="AP2" s="32" t="s">
        <v>347</v>
      </c>
      <c r="AQ2" s="32" t="s">
        <v>350</v>
      </c>
      <c r="AR2" s="32" t="s">
        <v>347</v>
      </c>
      <c r="AS2" s="32" t="s">
        <v>347</v>
      </c>
      <c r="AT2" s="32" t="s">
        <v>350</v>
      </c>
      <c r="AU2" s="32" t="s">
        <v>347</v>
      </c>
      <c r="AV2" s="32" t="s">
        <v>350</v>
      </c>
      <c r="AW2" s="32" t="s">
        <v>354</v>
      </c>
      <c r="AX2" s="32" t="s">
        <v>350</v>
      </c>
      <c r="AY2" s="32" t="s">
        <v>347</v>
      </c>
      <c r="AZ2" s="32" t="s">
        <v>350</v>
      </c>
      <c r="BA2" s="32" t="s">
        <v>350</v>
      </c>
      <c r="BB2" s="32" t="s">
        <v>347</v>
      </c>
      <c r="BC2" s="32" t="s">
        <v>347</v>
      </c>
      <c r="BD2" s="32" t="s">
        <v>350</v>
      </c>
      <c r="BE2" s="32" t="s">
        <v>347</v>
      </c>
      <c r="BF2" s="32" t="s">
        <v>350</v>
      </c>
      <c r="BG2" s="32" t="s">
        <v>347</v>
      </c>
      <c r="BH2" s="32" t="s">
        <v>350</v>
      </c>
      <c r="BI2" s="32" t="s">
        <v>362</v>
      </c>
      <c r="BJ2" s="32" t="s">
        <v>347</v>
      </c>
      <c r="BK2" s="32" t="s">
        <v>350</v>
      </c>
      <c r="BL2" s="32" t="s">
        <v>347</v>
      </c>
      <c r="BM2" s="32" t="s">
        <v>350</v>
      </c>
      <c r="BN2" s="32" t="s">
        <v>350</v>
      </c>
      <c r="BO2" s="32" t="s">
        <v>350</v>
      </c>
      <c r="BP2" s="32" t="s">
        <v>350</v>
      </c>
      <c r="BQ2" s="83"/>
      <c r="BR2" s="83"/>
      <c r="BS2" s="83"/>
    </row>
    <row r="3">
      <c r="J3" s="30" t="s">
        <v>370</v>
      </c>
      <c r="K3" s="30" t="s">
        <v>370</v>
      </c>
      <c r="L3" s="30" t="s">
        <v>370</v>
      </c>
      <c r="M3" s="30" t="s">
        <v>370</v>
      </c>
      <c r="N3" s="30" t="s">
        <v>651</v>
      </c>
      <c r="O3" s="31" t="s">
        <v>370</v>
      </c>
      <c r="P3" s="38">
        <v>46225.0</v>
      </c>
      <c r="Q3" s="38">
        <v>46218.0</v>
      </c>
      <c r="R3" s="38">
        <v>46218.0</v>
      </c>
      <c r="S3" s="38">
        <v>46056.0</v>
      </c>
      <c r="T3" s="38">
        <v>46036.0</v>
      </c>
      <c r="U3" s="38">
        <v>46001.0</v>
      </c>
      <c r="V3" s="38">
        <v>45918.0</v>
      </c>
      <c r="W3" s="38">
        <v>45918.0</v>
      </c>
      <c r="X3" s="38">
        <v>45856.0</v>
      </c>
      <c r="Y3" s="39">
        <v>45817.0</v>
      </c>
      <c r="Z3" s="38">
        <v>45666.0</v>
      </c>
      <c r="AA3" s="38">
        <v>45637.0</v>
      </c>
      <c r="AB3" s="38">
        <v>45617.0</v>
      </c>
      <c r="AC3" s="38">
        <v>45616.0</v>
      </c>
      <c r="AD3" s="38">
        <v>45608.0</v>
      </c>
      <c r="AE3" s="38">
        <v>45553.0</v>
      </c>
      <c r="AF3" s="38">
        <v>45470.0</v>
      </c>
      <c r="AG3" s="39">
        <v>45447.0</v>
      </c>
      <c r="AH3" s="39">
        <v>45428.0</v>
      </c>
      <c r="AI3" s="39">
        <v>45413.0</v>
      </c>
      <c r="AJ3" s="39">
        <v>45402.0</v>
      </c>
      <c r="AK3" s="38">
        <v>45401.0</v>
      </c>
      <c r="AL3" s="39">
        <v>45399.0</v>
      </c>
      <c r="AM3" s="39">
        <v>45398.0</v>
      </c>
      <c r="AN3" s="39">
        <v>45398.0</v>
      </c>
      <c r="AO3" s="39">
        <v>45397.0</v>
      </c>
      <c r="AP3" s="39">
        <v>45373.0</v>
      </c>
      <c r="AQ3" s="38">
        <v>45336.0</v>
      </c>
      <c r="AR3" s="38">
        <v>45328.0</v>
      </c>
      <c r="AS3" s="39">
        <v>45322.0</v>
      </c>
      <c r="AT3" s="40">
        <v>45273.0</v>
      </c>
      <c r="AU3" s="40">
        <v>45266.0</v>
      </c>
      <c r="AV3" s="40">
        <v>45265.0</v>
      </c>
      <c r="AW3" s="40">
        <v>45260.0</v>
      </c>
      <c r="AX3" s="40">
        <v>45258.0</v>
      </c>
      <c r="AY3" s="40">
        <v>45245.0</v>
      </c>
      <c r="AZ3" s="40">
        <v>45237.0</v>
      </c>
      <c r="BA3" s="40">
        <v>45232.0</v>
      </c>
      <c r="BB3" s="40">
        <v>45232.0</v>
      </c>
      <c r="BC3" s="40">
        <v>45231.0</v>
      </c>
      <c r="BD3" s="40">
        <v>45224.0</v>
      </c>
      <c r="BE3" s="39">
        <v>45197.0</v>
      </c>
      <c r="BF3" s="38">
        <v>45125.0</v>
      </c>
      <c r="BG3" s="38">
        <v>45090.0</v>
      </c>
      <c r="BH3" s="38">
        <v>45041.0</v>
      </c>
      <c r="BI3" s="40">
        <v>44903.0</v>
      </c>
      <c r="BJ3" s="40">
        <v>44629.0</v>
      </c>
      <c r="BK3" s="40">
        <v>44462.0</v>
      </c>
      <c r="BL3" s="40">
        <v>44405.0</v>
      </c>
      <c r="BM3" s="85">
        <v>43805.0</v>
      </c>
      <c r="BN3" s="40">
        <v>43669.0</v>
      </c>
      <c r="BO3" s="40">
        <v>42740.0</v>
      </c>
      <c r="BP3" s="40">
        <v>40731.0</v>
      </c>
      <c r="BQ3" s="83">
        <v>45666.0</v>
      </c>
      <c r="BR3" s="83">
        <v>45237.0</v>
      </c>
      <c r="BS3" s="83">
        <v>45215.0</v>
      </c>
    </row>
    <row r="4">
      <c r="A4" s="7"/>
      <c r="B4" s="7"/>
      <c r="C4" s="79"/>
      <c r="D4" s="79"/>
      <c r="E4" s="79"/>
      <c r="F4" s="12"/>
      <c r="G4" s="12"/>
      <c r="H4" s="86" t="s">
        <v>683</v>
      </c>
      <c r="I4" s="15"/>
      <c r="J4" s="41">
        <f t="shared" ref="J4:N4" si="1">COUNTIF(J5:J243, "Sponsor")/((COUNTIF(J5:J243, "Sponsor")+(COUNTIF(J5:J243, "Not sponsoring"))))</f>
        <v>0.5849056604</v>
      </c>
      <c r="K4" s="41">
        <f t="shared" si="1"/>
        <v>0.3679245283</v>
      </c>
      <c r="L4" s="41">
        <f t="shared" si="1"/>
        <v>0.3773584906</v>
      </c>
      <c r="M4" s="41">
        <f t="shared" si="1"/>
        <v>0.1037735849</v>
      </c>
      <c r="N4" s="41">
        <f t="shared" si="1"/>
        <v>0.06603773585</v>
      </c>
      <c r="O4" s="41">
        <f>COUNTIF(O5:O243, "Not sponsoring (correct)")/((COUNTIF(O5:O243, "Sponsor (incorrect)")+(COUNTIF(O5:O243, "Not sponsoring (correct)"))))</f>
        <v>0.5896226415</v>
      </c>
      <c r="P4" s="43">
        <f t="shared" ref="P4:BP4" si="2">(COUNTIF(P5:P9080, "No")+COUNTIF(P5:P9080, "Yes (correct)"))/(COUNTIF(P5:P9080, "Yes")+COUNTIF(P5:P9080, "No")+COUNTIF(P5:P9080, "Yes (correct)")+COUNTIF(P5:P9080, "No (incorrect)"))</f>
        <v>0.971563981</v>
      </c>
      <c r="Q4" s="43">
        <f t="shared" si="2"/>
        <v>0.995215311</v>
      </c>
      <c r="R4" s="43">
        <f t="shared" si="2"/>
        <v>0.5125628141</v>
      </c>
      <c r="S4" s="43">
        <f t="shared" si="2"/>
        <v>0.9052132701</v>
      </c>
      <c r="T4" s="43">
        <f t="shared" si="2"/>
        <v>0.2753623188</v>
      </c>
      <c r="U4" s="43">
        <f t="shared" si="2"/>
        <v>0.4514563107</v>
      </c>
      <c r="V4" s="43">
        <f t="shared" si="2"/>
        <v>0.2857142857</v>
      </c>
      <c r="W4" s="43">
        <f t="shared" si="2"/>
        <v>0.2380952381</v>
      </c>
      <c r="X4" s="43">
        <f t="shared" si="2"/>
        <v>0.01951219512</v>
      </c>
      <c r="Y4" s="43">
        <f t="shared" si="2"/>
        <v>0</v>
      </c>
      <c r="Z4" s="43">
        <f t="shared" si="2"/>
        <v>0.7582417582</v>
      </c>
      <c r="AA4" s="43">
        <f t="shared" si="2"/>
        <v>0.6279069767</v>
      </c>
      <c r="AB4" s="43">
        <f t="shared" si="2"/>
        <v>0.9226190476</v>
      </c>
      <c r="AC4" s="43">
        <f t="shared" si="2"/>
        <v>0.01169590643</v>
      </c>
      <c r="AD4" s="43">
        <f t="shared" si="2"/>
        <v>0.7185628743</v>
      </c>
      <c r="AE4" s="43">
        <f t="shared" si="2"/>
        <v>0.9127906977</v>
      </c>
      <c r="AF4" s="43">
        <f t="shared" si="2"/>
        <v>0.7023809524</v>
      </c>
      <c r="AG4" s="43">
        <f t="shared" si="2"/>
        <v>0.8012048193</v>
      </c>
      <c r="AH4" s="43">
        <f t="shared" si="2"/>
        <v>0.921686747</v>
      </c>
      <c r="AI4" s="43">
        <f t="shared" si="2"/>
        <v>0.3668639053</v>
      </c>
      <c r="AJ4" s="43">
        <f t="shared" si="2"/>
        <v>0.1849710983</v>
      </c>
      <c r="AK4" s="43">
        <f t="shared" si="2"/>
        <v>0.2058823529</v>
      </c>
      <c r="AL4" s="43">
        <f t="shared" si="2"/>
        <v>0.05813953488</v>
      </c>
      <c r="AM4" s="43">
        <f t="shared" si="2"/>
        <v>0.2294117647</v>
      </c>
      <c r="AN4" s="43">
        <f t="shared" si="2"/>
        <v>0.01162790698</v>
      </c>
      <c r="AO4" s="43">
        <f t="shared" si="2"/>
        <v>0.05031446541</v>
      </c>
      <c r="AP4" s="43">
        <f t="shared" si="2"/>
        <v>0.1111111111</v>
      </c>
      <c r="AQ4" s="43">
        <f t="shared" si="2"/>
        <v>0</v>
      </c>
      <c r="AR4" s="43">
        <f t="shared" si="2"/>
        <v>0.7803468208</v>
      </c>
      <c r="AS4" s="43">
        <f t="shared" si="2"/>
        <v>0.005847953216</v>
      </c>
      <c r="AT4" s="43">
        <f t="shared" si="2"/>
        <v>0.6390532544</v>
      </c>
      <c r="AU4" s="43">
        <f t="shared" si="2"/>
        <v>0.2111801242</v>
      </c>
      <c r="AV4" s="43">
        <f t="shared" si="2"/>
        <v>0.1097560976</v>
      </c>
      <c r="AW4" s="43">
        <f t="shared" si="2"/>
        <v>0.04733727811</v>
      </c>
      <c r="AX4" s="43">
        <f t="shared" si="2"/>
        <v>0</v>
      </c>
      <c r="AY4" s="43">
        <f t="shared" si="2"/>
        <v>0.2603550296</v>
      </c>
      <c r="AZ4" s="43">
        <f t="shared" si="2"/>
        <v>0.8823529412</v>
      </c>
      <c r="BA4" s="43">
        <f t="shared" si="2"/>
        <v>0.100591716</v>
      </c>
      <c r="BB4" s="43">
        <f t="shared" si="2"/>
        <v>0.9294117647</v>
      </c>
      <c r="BC4" s="43">
        <f t="shared" si="2"/>
        <v>0.2363636364</v>
      </c>
      <c r="BD4" s="43">
        <f t="shared" si="2"/>
        <v>0.04268292683</v>
      </c>
      <c r="BE4" s="43">
        <f t="shared" si="2"/>
        <v>0.3431952663</v>
      </c>
      <c r="BF4" s="43">
        <f t="shared" si="2"/>
        <v>0.0421686747</v>
      </c>
      <c r="BG4" s="43">
        <f t="shared" si="2"/>
        <v>0.04705882353</v>
      </c>
      <c r="BH4" s="43">
        <f t="shared" si="2"/>
        <v>0.08982035928</v>
      </c>
      <c r="BI4" s="43">
        <f t="shared" si="2"/>
        <v>0.1985815603</v>
      </c>
      <c r="BJ4" s="43">
        <f t="shared" si="2"/>
        <v>0.07857142857</v>
      </c>
      <c r="BK4" s="43">
        <f t="shared" si="2"/>
        <v>0.03649635036</v>
      </c>
      <c r="BL4" s="43">
        <f t="shared" si="2"/>
        <v>0.01438848921</v>
      </c>
      <c r="BM4" s="43">
        <f t="shared" si="2"/>
        <v>0.03174603175</v>
      </c>
      <c r="BN4" s="43">
        <f t="shared" si="2"/>
        <v>0.09917355372</v>
      </c>
      <c r="BO4" s="43">
        <f t="shared" si="2"/>
        <v>0.4255319149</v>
      </c>
      <c r="BP4" s="43">
        <f t="shared" si="2"/>
        <v>0</v>
      </c>
      <c r="BQ4" s="83"/>
      <c r="BR4" s="83"/>
      <c r="BS4" s="83"/>
      <c r="BT4" s="73"/>
      <c r="BU4" s="73"/>
      <c r="BV4" s="74"/>
      <c r="BW4" s="74"/>
      <c r="BX4" s="75"/>
      <c r="BY4" s="75"/>
      <c r="BZ4" s="15"/>
      <c r="CA4" s="15"/>
      <c r="CB4" s="15"/>
      <c r="CC4" s="15"/>
    </row>
    <row r="5">
      <c r="A5" s="44" t="str">
        <f>LOOKUP(H5,'Letter grades'!$A$1:$B$6)</f>
        <v>A</v>
      </c>
      <c r="B5" s="44">
        <f t="shared" ref="B5:B214" si="3">RANK(H5,H:H)</f>
        <v>1</v>
      </c>
      <c r="C5" s="44" t="s">
        <v>769</v>
      </c>
      <c r="D5" s="44" t="s">
        <v>770</v>
      </c>
      <c r="E5" s="98" t="s">
        <v>771</v>
      </c>
      <c r="F5" s="47">
        <f t="shared" ref="F5:F214" si="4">((COUNTIF($J5:$BP5,"Sponsor")+COUNTIF($J5:$BP5, "Not sponsoring (correct)"))/(COUNTIF($J5:$BP5,"Sponsor")+COUNTIF($J5:$BP5,"Not sponsoring")+COUNTIF($J5:$BP5, "Not sponsoring (correct)")+COUNTIF($J5:$BP5, "Sponsor (incorrect)")))</f>
        <v>1</v>
      </c>
      <c r="G5" s="47">
        <f t="shared" ref="G5:G214" si="5">(COUNTIF($K5:$BP5,"No")+COUNTIF($K5:$BP5,"Yes (correct)")+(COUNTIF($K5:$BP5,"Present")*0.5))/(COUNTIF($K5:$BP5,"Yes")+COUNTIF($K5:$BP5,"No")+COUNTIF($K5:$BP5,"Yes (correct)")+COUNTIF($K5:$BP5,"No (incorrect)")+COUNTIF($K5:$BP5,"Present"))</f>
        <v>0.96875</v>
      </c>
      <c r="H5" s="105">
        <f t="shared" ref="H5:H214" si="6">((F5*(1/3))+(G5*(2/3)))</f>
        <v>0.9791666667</v>
      </c>
      <c r="I5" s="13" t="s">
        <v>787</v>
      </c>
      <c r="J5" s="53" t="s">
        <v>487</v>
      </c>
      <c r="K5" s="53" t="s">
        <v>487</v>
      </c>
      <c r="L5" s="107" t="s">
        <v>487</v>
      </c>
      <c r="M5" s="53" t="s">
        <v>487</v>
      </c>
      <c r="N5" s="107" t="s">
        <v>487</v>
      </c>
      <c r="O5" s="53" t="s">
        <v>490</v>
      </c>
      <c r="P5" s="108" t="s">
        <v>53</v>
      </c>
      <c r="Q5" s="110" t="s">
        <v>53</v>
      </c>
      <c r="R5" s="108" t="s">
        <v>491</v>
      </c>
      <c r="S5" s="107" t="s">
        <v>53</v>
      </c>
      <c r="T5" s="107" t="s">
        <v>53</v>
      </c>
      <c r="U5" s="107" t="s">
        <v>53</v>
      </c>
      <c r="V5" s="107" t="s">
        <v>796</v>
      </c>
      <c r="W5" s="107" t="s">
        <v>796</v>
      </c>
      <c r="X5" s="53" t="s">
        <v>491</v>
      </c>
      <c r="Y5" s="107" t="s">
        <v>799</v>
      </c>
      <c r="Z5" s="53" t="s">
        <v>53</v>
      </c>
      <c r="AA5" s="107" t="s">
        <v>53</v>
      </c>
      <c r="AB5" s="53" t="s">
        <v>53</v>
      </c>
      <c r="AC5" s="107" t="s">
        <v>53</v>
      </c>
      <c r="AD5" s="107" t="s">
        <v>53</v>
      </c>
      <c r="AE5" s="107" t="s">
        <v>53</v>
      </c>
      <c r="AF5" s="107" t="s">
        <v>53</v>
      </c>
      <c r="AG5" s="107" t="s">
        <v>801</v>
      </c>
      <c r="AH5" s="107" t="s">
        <v>53</v>
      </c>
      <c r="AI5" s="107" t="s">
        <v>53</v>
      </c>
      <c r="AJ5" s="107" t="s">
        <v>53</v>
      </c>
      <c r="AK5" s="107" t="s">
        <v>53</v>
      </c>
      <c r="AL5" s="107" t="s">
        <v>53</v>
      </c>
      <c r="AM5" s="107" t="s">
        <v>53</v>
      </c>
      <c r="AN5" s="53" t="s">
        <v>53</v>
      </c>
      <c r="AO5" s="107" t="s">
        <v>53</v>
      </c>
      <c r="AP5" s="53" t="s">
        <v>53</v>
      </c>
      <c r="AQ5" s="53" t="s">
        <v>799</v>
      </c>
      <c r="AR5" s="53" t="s">
        <v>53</v>
      </c>
      <c r="AS5" s="53" t="s">
        <v>53</v>
      </c>
      <c r="AT5" s="53" t="s">
        <v>53</v>
      </c>
      <c r="AU5" s="53" t="s">
        <v>53</v>
      </c>
      <c r="AV5" s="53" t="s">
        <v>53</v>
      </c>
      <c r="AW5" s="53" t="s">
        <v>53</v>
      </c>
      <c r="AX5" s="53" t="s">
        <v>799</v>
      </c>
      <c r="AY5" s="53" t="s">
        <v>53</v>
      </c>
      <c r="AZ5" s="53" t="s">
        <v>53</v>
      </c>
      <c r="BA5" s="53" t="s">
        <v>53</v>
      </c>
      <c r="BB5" s="53" t="s">
        <v>53</v>
      </c>
      <c r="BC5" s="53" t="s">
        <v>53</v>
      </c>
      <c r="BD5" s="53" t="s">
        <v>53</v>
      </c>
      <c r="BE5" s="53" t="s">
        <v>53</v>
      </c>
      <c r="BF5" s="53" t="s">
        <v>53</v>
      </c>
      <c r="BG5" s="53" t="s">
        <v>53</v>
      </c>
      <c r="BH5" s="53" t="s">
        <v>53</v>
      </c>
      <c r="BI5" s="107" t="s">
        <v>53</v>
      </c>
      <c r="BJ5" s="107" t="s">
        <v>53</v>
      </c>
      <c r="BK5" s="53" t="s">
        <v>53</v>
      </c>
      <c r="BL5" s="53" t="s">
        <v>53</v>
      </c>
      <c r="BM5" s="53" t="s">
        <v>53</v>
      </c>
      <c r="BN5" s="53" t="s">
        <v>53</v>
      </c>
      <c r="BO5" s="53" t="s">
        <v>600</v>
      </c>
      <c r="BP5" s="53" t="s">
        <v>600</v>
      </c>
      <c r="BQ5" s="118" t="s">
        <v>821</v>
      </c>
      <c r="BR5" s="118" t="s">
        <v>821</v>
      </c>
      <c r="BS5" s="118" t="s">
        <v>821</v>
      </c>
      <c r="BT5" s="122"/>
      <c r="BU5" s="122">
        <f t="shared" ref="BU5:BU10" si="7">SUM(BV5:BY5)</f>
        <v>0</v>
      </c>
      <c r="BV5" s="126"/>
      <c r="BW5" s="126"/>
      <c r="BX5" s="127"/>
      <c r="BY5" s="127"/>
      <c r="BZ5" s="13" t="s">
        <v>561</v>
      </c>
      <c r="CA5" s="13"/>
      <c r="CB5" s="13"/>
      <c r="CC5" s="13"/>
    </row>
    <row r="6">
      <c r="A6" s="44" t="str">
        <f>LOOKUP(H6,'Letter grades'!$A$1:$B$6)</f>
        <v>A</v>
      </c>
      <c r="B6" s="44">
        <f t="shared" si="3"/>
        <v>2</v>
      </c>
      <c r="C6" s="44" t="s">
        <v>832</v>
      </c>
      <c r="D6" s="44" t="s">
        <v>834</v>
      </c>
      <c r="E6" s="98" t="s">
        <v>836</v>
      </c>
      <c r="F6" s="47">
        <f t="shared" si="4"/>
        <v>1</v>
      </c>
      <c r="G6" s="47">
        <f t="shared" si="5"/>
        <v>0.9166666667</v>
      </c>
      <c r="H6" s="105">
        <f t="shared" si="6"/>
        <v>0.9444444444</v>
      </c>
      <c r="I6" s="13" t="s">
        <v>840</v>
      </c>
      <c r="J6" s="53" t="s">
        <v>487</v>
      </c>
      <c r="K6" s="53" t="s">
        <v>487</v>
      </c>
      <c r="L6" s="107" t="s">
        <v>487</v>
      </c>
      <c r="M6" s="53" t="s">
        <v>487</v>
      </c>
      <c r="N6" s="107" t="s">
        <v>487</v>
      </c>
      <c r="O6" s="53" t="s">
        <v>490</v>
      </c>
      <c r="P6" s="108" t="s">
        <v>53</v>
      </c>
      <c r="Q6" s="110" t="s">
        <v>53</v>
      </c>
      <c r="R6" s="108" t="s">
        <v>491</v>
      </c>
      <c r="S6" s="107" t="s">
        <v>53</v>
      </c>
      <c r="T6" s="107" t="s">
        <v>53</v>
      </c>
      <c r="U6" s="107" t="s">
        <v>53</v>
      </c>
      <c r="V6" s="107" t="s">
        <v>796</v>
      </c>
      <c r="W6" s="107" t="s">
        <v>796</v>
      </c>
      <c r="X6" s="53" t="s">
        <v>491</v>
      </c>
      <c r="Y6" s="107" t="s">
        <v>561</v>
      </c>
      <c r="Z6" s="53" t="s">
        <v>53</v>
      </c>
      <c r="AA6" s="107" t="s">
        <v>53</v>
      </c>
      <c r="AB6" s="53" t="s">
        <v>53</v>
      </c>
      <c r="AC6" s="107" t="s">
        <v>53</v>
      </c>
      <c r="AD6" s="107" t="s">
        <v>53</v>
      </c>
      <c r="AE6" s="107" t="s">
        <v>53</v>
      </c>
      <c r="AF6" s="107" t="s">
        <v>53</v>
      </c>
      <c r="AG6" s="107" t="s">
        <v>53</v>
      </c>
      <c r="AH6" s="107" t="s">
        <v>53</v>
      </c>
      <c r="AI6" s="107" t="s">
        <v>53</v>
      </c>
      <c r="AJ6" s="107" t="s">
        <v>53</v>
      </c>
      <c r="AK6" s="107" t="s">
        <v>53</v>
      </c>
      <c r="AL6" s="107" t="s">
        <v>53</v>
      </c>
      <c r="AM6" s="107" t="s">
        <v>53</v>
      </c>
      <c r="AN6" s="53" t="s">
        <v>53</v>
      </c>
      <c r="AO6" s="107" t="s">
        <v>53</v>
      </c>
      <c r="AP6" s="53" t="s">
        <v>53</v>
      </c>
      <c r="AQ6" s="53" t="s">
        <v>801</v>
      </c>
      <c r="AR6" s="53" t="s">
        <v>53</v>
      </c>
      <c r="AS6" s="53" t="s">
        <v>561</v>
      </c>
      <c r="AT6" s="53" t="s">
        <v>53</v>
      </c>
      <c r="AU6" s="53" t="s">
        <v>53</v>
      </c>
      <c r="AV6" s="53" t="s">
        <v>53</v>
      </c>
      <c r="AW6" s="53" t="s">
        <v>53</v>
      </c>
      <c r="AX6" s="53" t="s">
        <v>561</v>
      </c>
      <c r="AY6" s="53" t="s">
        <v>53</v>
      </c>
      <c r="AZ6" s="53" t="s">
        <v>53</v>
      </c>
      <c r="BA6" s="53" t="s">
        <v>53</v>
      </c>
      <c r="BB6" s="53" t="s">
        <v>53</v>
      </c>
      <c r="BC6" s="53" t="s">
        <v>53</v>
      </c>
      <c r="BD6" s="53" t="s">
        <v>53</v>
      </c>
      <c r="BE6" s="53" t="s">
        <v>53</v>
      </c>
      <c r="BF6" s="53" t="s">
        <v>53</v>
      </c>
      <c r="BG6" s="53" t="s">
        <v>53</v>
      </c>
      <c r="BH6" s="53" t="s">
        <v>53</v>
      </c>
      <c r="BI6" s="107" t="s">
        <v>53</v>
      </c>
      <c r="BJ6" s="107" t="s">
        <v>53</v>
      </c>
      <c r="BK6" s="53" t="s">
        <v>53</v>
      </c>
      <c r="BL6" s="53" t="s">
        <v>561</v>
      </c>
      <c r="BM6" s="53" t="s">
        <v>53</v>
      </c>
      <c r="BN6" s="53" t="s">
        <v>53</v>
      </c>
      <c r="BO6" s="53" t="s">
        <v>600</v>
      </c>
      <c r="BP6" s="53" t="s">
        <v>600</v>
      </c>
      <c r="BQ6" s="118" t="s">
        <v>821</v>
      </c>
      <c r="BR6" s="118" t="s">
        <v>821</v>
      </c>
      <c r="BS6" s="118" t="s">
        <v>821</v>
      </c>
      <c r="BT6" s="122"/>
      <c r="BU6" s="122">
        <f t="shared" si="7"/>
        <v>0</v>
      </c>
      <c r="BV6" s="126"/>
      <c r="BW6" s="126"/>
      <c r="BX6" s="127"/>
      <c r="BY6" s="127"/>
      <c r="BZ6" s="13" t="s">
        <v>561</v>
      </c>
      <c r="CA6" s="13"/>
      <c r="CB6" s="13"/>
      <c r="CC6" s="13"/>
    </row>
    <row r="7">
      <c r="A7" s="44" t="str">
        <f>LOOKUP(H7,'Letter grades'!$A$1:$B$6)</f>
        <v>A</v>
      </c>
      <c r="B7" s="44">
        <f t="shared" si="3"/>
        <v>3</v>
      </c>
      <c r="C7" s="44" t="s">
        <v>579</v>
      </c>
      <c r="D7" s="44" t="s">
        <v>580</v>
      </c>
      <c r="E7" s="98" t="s">
        <v>575</v>
      </c>
      <c r="F7" s="47">
        <f t="shared" si="4"/>
        <v>1</v>
      </c>
      <c r="G7" s="47">
        <f t="shared" si="5"/>
        <v>0.869047619</v>
      </c>
      <c r="H7" s="105">
        <f t="shared" si="6"/>
        <v>0.9126984127</v>
      </c>
      <c r="I7" s="13" t="s">
        <v>901</v>
      </c>
      <c r="J7" s="53" t="s">
        <v>487</v>
      </c>
      <c r="K7" s="53" t="s">
        <v>487</v>
      </c>
      <c r="L7" s="107" t="s">
        <v>487</v>
      </c>
      <c r="M7" s="53" t="s">
        <v>487</v>
      </c>
      <c r="N7" s="107" t="s">
        <v>487</v>
      </c>
      <c r="O7" s="53" t="s">
        <v>490</v>
      </c>
      <c r="P7" s="108" t="s">
        <v>53</v>
      </c>
      <c r="Q7" s="110" t="s">
        <v>53</v>
      </c>
      <c r="R7" s="108" t="s">
        <v>491</v>
      </c>
      <c r="S7" s="107" t="s">
        <v>53</v>
      </c>
      <c r="T7" s="107" t="s">
        <v>53</v>
      </c>
      <c r="U7" s="107" t="s">
        <v>53</v>
      </c>
      <c r="V7" s="107" t="s">
        <v>796</v>
      </c>
      <c r="W7" s="107" t="s">
        <v>796</v>
      </c>
      <c r="X7" s="53" t="s">
        <v>801</v>
      </c>
      <c r="Y7" s="107" t="s">
        <v>561</v>
      </c>
      <c r="Z7" s="53" t="s">
        <v>53</v>
      </c>
      <c r="AA7" s="107" t="s">
        <v>53</v>
      </c>
      <c r="AB7" s="53" t="s">
        <v>53</v>
      </c>
      <c r="AC7" s="53" t="s">
        <v>561</v>
      </c>
      <c r="AD7" s="107" t="s">
        <v>53</v>
      </c>
      <c r="AE7" s="107" t="s">
        <v>53</v>
      </c>
      <c r="AF7" s="107" t="s">
        <v>53</v>
      </c>
      <c r="AG7" s="107" t="s">
        <v>53</v>
      </c>
      <c r="AH7" s="107" t="s">
        <v>53</v>
      </c>
      <c r="AI7" s="107" t="s">
        <v>53</v>
      </c>
      <c r="AJ7" s="107" t="s">
        <v>53</v>
      </c>
      <c r="AK7" s="107" t="s">
        <v>53</v>
      </c>
      <c r="AL7" s="107" t="s">
        <v>53</v>
      </c>
      <c r="AM7" s="107" t="s">
        <v>53</v>
      </c>
      <c r="AN7" s="53" t="s">
        <v>561</v>
      </c>
      <c r="AO7" s="107" t="s">
        <v>53</v>
      </c>
      <c r="AP7" s="53" t="s">
        <v>53</v>
      </c>
      <c r="AQ7" s="53" t="s">
        <v>561</v>
      </c>
      <c r="AR7" s="53" t="s">
        <v>53</v>
      </c>
      <c r="AS7" s="107" t="s">
        <v>799</v>
      </c>
      <c r="AT7" s="53" t="s">
        <v>53</v>
      </c>
      <c r="AU7" s="53" t="s">
        <v>53</v>
      </c>
      <c r="AV7" s="53" t="s">
        <v>53</v>
      </c>
      <c r="AW7" s="53" t="s">
        <v>53</v>
      </c>
      <c r="AX7" s="53" t="s">
        <v>561</v>
      </c>
      <c r="AY7" s="53" t="s">
        <v>53</v>
      </c>
      <c r="AZ7" s="53" t="s">
        <v>53</v>
      </c>
      <c r="BA7" s="53" t="s">
        <v>53</v>
      </c>
      <c r="BB7" s="53" t="s">
        <v>53</v>
      </c>
      <c r="BC7" s="53" t="s">
        <v>53</v>
      </c>
      <c r="BD7" s="53" t="s">
        <v>53</v>
      </c>
      <c r="BE7" s="53" t="s">
        <v>53</v>
      </c>
      <c r="BF7" s="53" t="s">
        <v>53</v>
      </c>
      <c r="BG7" s="53" t="s">
        <v>53</v>
      </c>
      <c r="BH7" s="53" t="s">
        <v>53</v>
      </c>
      <c r="BI7" s="107" t="s">
        <v>600</v>
      </c>
      <c r="BJ7" s="107" t="s">
        <v>600</v>
      </c>
      <c r="BK7" s="53" t="s">
        <v>600</v>
      </c>
      <c r="BL7" s="53" t="s">
        <v>600</v>
      </c>
      <c r="BM7" s="53" t="s">
        <v>600</v>
      </c>
      <c r="BN7" s="53" t="s">
        <v>600</v>
      </c>
      <c r="BO7" s="53" t="s">
        <v>600</v>
      </c>
      <c r="BP7" s="53" t="s">
        <v>600</v>
      </c>
      <c r="BQ7" s="118" t="s">
        <v>821</v>
      </c>
      <c r="BR7" s="118" t="s">
        <v>821</v>
      </c>
      <c r="BS7" s="118" t="s">
        <v>821</v>
      </c>
      <c r="BT7" s="122"/>
      <c r="BU7" s="122">
        <f t="shared" si="7"/>
        <v>-157223</v>
      </c>
      <c r="BV7" s="126"/>
      <c r="BW7" s="126"/>
      <c r="BX7" s="127"/>
      <c r="BY7" s="127">
        <v>-157223.0</v>
      </c>
      <c r="BZ7" s="13"/>
      <c r="CA7" s="13" t="s">
        <v>561</v>
      </c>
      <c r="CB7" s="13"/>
      <c r="CC7" s="13"/>
    </row>
    <row r="8">
      <c r="A8" s="44" t="str">
        <f>LOOKUP(H8,'Letter grades'!$A$1:$B$6)</f>
        <v>A</v>
      </c>
      <c r="B8" s="44">
        <f t="shared" si="3"/>
        <v>4</v>
      </c>
      <c r="C8" s="44" t="s">
        <v>945</v>
      </c>
      <c r="D8" s="44" t="s">
        <v>144</v>
      </c>
      <c r="E8" s="98" t="s">
        <v>946</v>
      </c>
      <c r="F8" s="47">
        <f t="shared" si="4"/>
        <v>1</v>
      </c>
      <c r="G8" s="47">
        <f t="shared" si="5"/>
        <v>0.8604651163</v>
      </c>
      <c r="H8" s="105">
        <f t="shared" si="6"/>
        <v>0.9069767442</v>
      </c>
      <c r="I8" s="13" t="s">
        <v>840</v>
      </c>
      <c r="J8" s="53" t="s">
        <v>487</v>
      </c>
      <c r="K8" s="53" t="s">
        <v>487</v>
      </c>
      <c r="L8" s="107" t="s">
        <v>487</v>
      </c>
      <c r="M8" s="53" t="s">
        <v>487</v>
      </c>
      <c r="N8" s="107" t="s">
        <v>487</v>
      </c>
      <c r="O8" s="53" t="s">
        <v>490</v>
      </c>
      <c r="P8" s="108" t="s">
        <v>53</v>
      </c>
      <c r="Q8" s="110" t="s">
        <v>53</v>
      </c>
      <c r="R8" s="108" t="s">
        <v>491</v>
      </c>
      <c r="S8" s="107" t="s">
        <v>53</v>
      </c>
      <c r="T8" s="107" t="s">
        <v>53</v>
      </c>
      <c r="U8" s="107" t="s">
        <v>53</v>
      </c>
      <c r="V8" s="107" t="s">
        <v>796</v>
      </c>
      <c r="W8" s="107" t="s">
        <v>796</v>
      </c>
      <c r="X8" s="53" t="s">
        <v>491</v>
      </c>
      <c r="Y8" s="107" t="s">
        <v>561</v>
      </c>
      <c r="Z8" s="53" t="s">
        <v>53</v>
      </c>
      <c r="AA8" s="107" t="s">
        <v>53</v>
      </c>
      <c r="AB8" s="53" t="s">
        <v>53</v>
      </c>
      <c r="AC8" s="53" t="s">
        <v>561</v>
      </c>
      <c r="AD8" s="107" t="s">
        <v>53</v>
      </c>
      <c r="AE8" s="107" t="s">
        <v>53</v>
      </c>
      <c r="AF8" s="107" t="s">
        <v>53</v>
      </c>
      <c r="AG8" s="107" t="s">
        <v>53</v>
      </c>
      <c r="AH8" s="107" t="s">
        <v>53</v>
      </c>
      <c r="AI8" s="107" t="s">
        <v>53</v>
      </c>
      <c r="AJ8" s="107" t="s">
        <v>53</v>
      </c>
      <c r="AK8" s="107" t="s">
        <v>53</v>
      </c>
      <c r="AL8" s="107" t="s">
        <v>53</v>
      </c>
      <c r="AM8" s="107" t="s">
        <v>53</v>
      </c>
      <c r="AN8" s="53" t="s">
        <v>561</v>
      </c>
      <c r="AO8" s="107" t="s">
        <v>53</v>
      </c>
      <c r="AP8" s="53" t="s">
        <v>53</v>
      </c>
      <c r="AQ8" s="53" t="s">
        <v>561</v>
      </c>
      <c r="AR8" s="53" t="s">
        <v>53</v>
      </c>
      <c r="AS8" s="53" t="s">
        <v>561</v>
      </c>
      <c r="AT8" s="53" t="s">
        <v>53</v>
      </c>
      <c r="AU8" s="53" t="s">
        <v>53</v>
      </c>
      <c r="AV8" s="53" t="s">
        <v>53</v>
      </c>
      <c r="AW8" s="53" t="s">
        <v>53</v>
      </c>
      <c r="AX8" s="53" t="s">
        <v>561</v>
      </c>
      <c r="AY8" s="53" t="s">
        <v>53</v>
      </c>
      <c r="AZ8" s="53" t="s">
        <v>53</v>
      </c>
      <c r="BA8" s="53" t="s">
        <v>53</v>
      </c>
      <c r="BB8" s="53" t="s">
        <v>53</v>
      </c>
      <c r="BC8" s="53" t="s">
        <v>53</v>
      </c>
      <c r="BD8" s="53" t="s">
        <v>53</v>
      </c>
      <c r="BE8" s="53" t="s">
        <v>53</v>
      </c>
      <c r="BF8" s="53" t="s">
        <v>53</v>
      </c>
      <c r="BG8" s="53" t="s">
        <v>53</v>
      </c>
      <c r="BH8" s="53" t="s">
        <v>53</v>
      </c>
      <c r="BI8" s="107" t="s">
        <v>600</v>
      </c>
      <c r="BJ8" s="107" t="s">
        <v>600</v>
      </c>
      <c r="BK8" s="53" t="s">
        <v>600</v>
      </c>
      <c r="BL8" s="53" t="s">
        <v>600</v>
      </c>
      <c r="BM8" s="53" t="s">
        <v>600</v>
      </c>
      <c r="BN8" s="53" t="s">
        <v>600</v>
      </c>
      <c r="BO8" s="53" t="s">
        <v>600</v>
      </c>
      <c r="BP8" s="53" t="s">
        <v>600</v>
      </c>
      <c r="BQ8" s="118" t="s">
        <v>821</v>
      </c>
      <c r="BR8" s="118" t="s">
        <v>821</v>
      </c>
      <c r="BS8" s="118" t="s">
        <v>821</v>
      </c>
      <c r="BT8" s="122"/>
      <c r="BU8" s="122">
        <f t="shared" si="7"/>
        <v>-5099105</v>
      </c>
      <c r="BV8" s="126">
        <v>-699642.0</v>
      </c>
      <c r="BW8" s="126">
        <f>-3924473</f>
        <v>-3924473</v>
      </c>
      <c r="BX8" s="127">
        <f>-2000</f>
        <v>-2000</v>
      </c>
      <c r="BY8" s="127">
        <v>-472990.0</v>
      </c>
      <c r="BZ8" s="13"/>
      <c r="CA8" s="13" t="s">
        <v>561</v>
      </c>
      <c r="CB8" s="13"/>
      <c r="CC8" s="13"/>
    </row>
    <row r="9">
      <c r="A9" s="44" t="str">
        <f>LOOKUP(H9,'Letter grades'!$A$1:$B$6)</f>
        <v>B</v>
      </c>
      <c r="B9" s="44">
        <f t="shared" si="3"/>
        <v>5</v>
      </c>
      <c r="C9" s="44" t="s">
        <v>995</v>
      </c>
      <c r="D9" s="44" t="s">
        <v>996</v>
      </c>
      <c r="E9" s="98" t="s">
        <v>997</v>
      </c>
      <c r="F9" s="47">
        <f t="shared" si="4"/>
        <v>1</v>
      </c>
      <c r="G9" s="47">
        <f t="shared" si="5"/>
        <v>0.84375</v>
      </c>
      <c r="H9" s="105">
        <f t="shared" si="6"/>
        <v>0.8958333333</v>
      </c>
      <c r="I9" s="13" t="s">
        <v>1025</v>
      </c>
      <c r="J9" s="53" t="s">
        <v>487</v>
      </c>
      <c r="K9" s="53" t="s">
        <v>487</v>
      </c>
      <c r="L9" s="107" t="s">
        <v>487</v>
      </c>
      <c r="M9" s="53" t="s">
        <v>487</v>
      </c>
      <c r="N9" s="107" t="s">
        <v>487</v>
      </c>
      <c r="O9" s="53" t="s">
        <v>490</v>
      </c>
      <c r="P9" s="108" t="s">
        <v>53</v>
      </c>
      <c r="Q9" s="110" t="s">
        <v>53</v>
      </c>
      <c r="R9" s="108" t="s">
        <v>491</v>
      </c>
      <c r="S9" s="107" t="s">
        <v>53</v>
      </c>
      <c r="T9" s="107" t="s">
        <v>53</v>
      </c>
      <c r="U9" s="107" t="s">
        <v>53</v>
      </c>
      <c r="V9" s="107" t="s">
        <v>796</v>
      </c>
      <c r="W9" s="107" t="s">
        <v>796</v>
      </c>
      <c r="X9" s="53" t="s">
        <v>766</v>
      </c>
      <c r="Y9" s="107" t="s">
        <v>561</v>
      </c>
      <c r="Z9" s="53" t="s">
        <v>53</v>
      </c>
      <c r="AA9" s="107" t="s">
        <v>53</v>
      </c>
      <c r="AB9" s="53" t="s">
        <v>53</v>
      </c>
      <c r="AC9" s="53" t="s">
        <v>561</v>
      </c>
      <c r="AD9" s="107" t="s">
        <v>53</v>
      </c>
      <c r="AE9" s="107" t="s">
        <v>53</v>
      </c>
      <c r="AF9" s="107" t="s">
        <v>53</v>
      </c>
      <c r="AG9" s="107" t="s">
        <v>53</v>
      </c>
      <c r="AH9" s="107" t="s">
        <v>53</v>
      </c>
      <c r="AI9" s="107" t="s">
        <v>53</v>
      </c>
      <c r="AJ9" s="107" t="s">
        <v>53</v>
      </c>
      <c r="AK9" s="107" t="s">
        <v>53</v>
      </c>
      <c r="AL9" s="107" t="s">
        <v>53</v>
      </c>
      <c r="AM9" s="107" t="s">
        <v>53</v>
      </c>
      <c r="AN9" s="53" t="s">
        <v>561</v>
      </c>
      <c r="AO9" s="107" t="s">
        <v>53</v>
      </c>
      <c r="AP9" s="53" t="s">
        <v>53</v>
      </c>
      <c r="AQ9" s="53" t="s">
        <v>561</v>
      </c>
      <c r="AR9" s="53" t="s">
        <v>53</v>
      </c>
      <c r="AS9" s="53" t="s">
        <v>561</v>
      </c>
      <c r="AT9" s="53" t="s">
        <v>53</v>
      </c>
      <c r="AU9" s="53" t="s">
        <v>53</v>
      </c>
      <c r="AV9" s="53" t="s">
        <v>53</v>
      </c>
      <c r="AW9" s="107" t="s">
        <v>801</v>
      </c>
      <c r="AX9" s="53" t="s">
        <v>561</v>
      </c>
      <c r="AY9" s="53" t="s">
        <v>53</v>
      </c>
      <c r="AZ9" s="53" t="s">
        <v>53</v>
      </c>
      <c r="BA9" s="53" t="s">
        <v>53</v>
      </c>
      <c r="BB9" s="53" t="s">
        <v>53</v>
      </c>
      <c r="BC9" s="53" t="s">
        <v>53</v>
      </c>
      <c r="BD9" s="53" t="s">
        <v>53</v>
      </c>
      <c r="BE9" s="53" t="s">
        <v>53</v>
      </c>
      <c r="BF9" s="53" t="s">
        <v>53</v>
      </c>
      <c r="BG9" s="53" t="s">
        <v>53</v>
      </c>
      <c r="BH9" s="53" t="s">
        <v>53</v>
      </c>
      <c r="BI9" s="107" t="s">
        <v>53</v>
      </c>
      <c r="BJ9" s="107" t="s">
        <v>53</v>
      </c>
      <c r="BK9" s="53" t="s">
        <v>799</v>
      </c>
      <c r="BL9" s="53" t="s">
        <v>53</v>
      </c>
      <c r="BM9" s="53" t="s">
        <v>53</v>
      </c>
      <c r="BN9" s="53" t="s">
        <v>53</v>
      </c>
      <c r="BO9" s="53" t="s">
        <v>600</v>
      </c>
      <c r="BP9" s="53" t="s">
        <v>600</v>
      </c>
      <c r="BQ9" s="118" t="s">
        <v>821</v>
      </c>
      <c r="BR9" s="118" t="s">
        <v>821</v>
      </c>
      <c r="BS9" s="118" t="s">
        <v>821</v>
      </c>
      <c r="BT9" s="122"/>
      <c r="BU9" s="122">
        <f t="shared" si="7"/>
        <v>0</v>
      </c>
      <c r="BV9" s="126"/>
      <c r="BW9" s="126"/>
      <c r="BX9" s="127"/>
      <c r="BY9" s="127"/>
      <c r="BZ9" s="13" t="s">
        <v>561</v>
      </c>
      <c r="CA9" s="13"/>
      <c r="CB9" s="13"/>
      <c r="CC9" s="13"/>
    </row>
    <row r="10">
      <c r="A10" s="44" t="str">
        <f>LOOKUP(H10,'Letter grades'!$A$1:$B$6)</f>
        <v>B</v>
      </c>
      <c r="B10" s="44">
        <f t="shared" si="3"/>
        <v>6</v>
      </c>
      <c r="C10" s="44" t="s">
        <v>776</v>
      </c>
      <c r="D10" s="44" t="s">
        <v>777</v>
      </c>
      <c r="E10" s="145" t="s">
        <v>773</v>
      </c>
      <c r="F10" s="47">
        <f t="shared" si="4"/>
        <v>1</v>
      </c>
      <c r="G10" s="47">
        <f t="shared" si="5"/>
        <v>0.8020833333</v>
      </c>
      <c r="H10" s="105">
        <f t="shared" si="6"/>
        <v>0.8680555556</v>
      </c>
      <c r="I10" s="13" t="s">
        <v>94</v>
      </c>
      <c r="J10" s="53" t="s">
        <v>487</v>
      </c>
      <c r="K10" s="53" t="s">
        <v>487</v>
      </c>
      <c r="L10" s="107" t="s">
        <v>487</v>
      </c>
      <c r="M10" s="53" t="s">
        <v>487</v>
      </c>
      <c r="N10" s="107" t="s">
        <v>487</v>
      </c>
      <c r="O10" s="53" t="s">
        <v>490</v>
      </c>
      <c r="P10" s="108" t="s">
        <v>53</v>
      </c>
      <c r="Q10" s="110" t="s">
        <v>53</v>
      </c>
      <c r="R10" s="108" t="s">
        <v>491</v>
      </c>
      <c r="S10" s="107" t="s">
        <v>53</v>
      </c>
      <c r="T10" s="107" t="s">
        <v>53</v>
      </c>
      <c r="U10" s="107" t="s">
        <v>53</v>
      </c>
      <c r="V10" s="107" t="s">
        <v>796</v>
      </c>
      <c r="W10" s="107" t="s">
        <v>796</v>
      </c>
      <c r="X10" s="53" t="s">
        <v>766</v>
      </c>
      <c r="Y10" s="107" t="s">
        <v>561</v>
      </c>
      <c r="Z10" s="53" t="s">
        <v>53</v>
      </c>
      <c r="AA10" s="107" t="s">
        <v>53</v>
      </c>
      <c r="AB10" s="53" t="s">
        <v>53</v>
      </c>
      <c r="AC10" s="53" t="s">
        <v>561</v>
      </c>
      <c r="AD10" s="107" t="s">
        <v>53</v>
      </c>
      <c r="AE10" s="107" t="s">
        <v>53</v>
      </c>
      <c r="AF10" s="107" t="s">
        <v>53</v>
      </c>
      <c r="AG10" s="107" t="s">
        <v>53</v>
      </c>
      <c r="AH10" s="107" t="s">
        <v>53</v>
      </c>
      <c r="AI10" s="107" t="s">
        <v>53</v>
      </c>
      <c r="AJ10" s="107" t="s">
        <v>53</v>
      </c>
      <c r="AK10" s="107" t="s">
        <v>53</v>
      </c>
      <c r="AL10" s="107" t="s">
        <v>53</v>
      </c>
      <c r="AM10" s="107" t="s">
        <v>53</v>
      </c>
      <c r="AN10" s="53" t="s">
        <v>561</v>
      </c>
      <c r="AO10" s="107" t="s">
        <v>53</v>
      </c>
      <c r="AP10" s="53" t="s">
        <v>801</v>
      </c>
      <c r="AQ10" s="53" t="s">
        <v>561</v>
      </c>
      <c r="AR10" s="53" t="s">
        <v>53</v>
      </c>
      <c r="AS10" s="53" t="s">
        <v>561</v>
      </c>
      <c r="AT10" s="53" t="s">
        <v>53</v>
      </c>
      <c r="AU10" s="53" t="s">
        <v>53</v>
      </c>
      <c r="AV10" s="53" t="s">
        <v>53</v>
      </c>
      <c r="AW10" s="53" t="s">
        <v>53</v>
      </c>
      <c r="AX10" s="53" t="s">
        <v>561</v>
      </c>
      <c r="AY10" s="53" t="s">
        <v>53</v>
      </c>
      <c r="AZ10" s="53" t="s">
        <v>53</v>
      </c>
      <c r="BA10" s="53" t="s">
        <v>53</v>
      </c>
      <c r="BB10" s="53" t="s">
        <v>53</v>
      </c>
      <c r="BC10" s="53" t="s">
        <v>53</v>
      </c>
      <c r="BD10" s="53" t="s">
        <v>799</v>
      </c>
      <c r="BE10" s="53" t="s">
        <v>53</v>
      </c>
      <c r="BF10" s="53" t="s">
        <v>53</v>
      </c>
      <c r="BG10" s="53" t="s">
        <v>53</v>
      </c>
      <c r="BH10" s="53" t="s">
        <v>53</v>
      </c>
      <c r="BI10" s="107" t="s">
        <v>53</v>
      </c>
      <c r="BJ10" s="107" t="s">
        <v>53</v>
      </c>
      <c r="BK10" s="53" t="s">
        <v>53</v>
      </c>
      <c r="BL10" s="53" t="s">
        <v>561</v>
      </c>
      <c r="BM10" s="53" t="s">
        <v>53</v>
      </c>
      <c r="BN10" s="53" t="s">
        <v>561</v>
      </c>
      <c r="BO10" s="53" t="s">
        <v>600</v>
      </c>
      <c r="BP10" s="53" t="s">
        <v>600</v>
      </c>
      <c r="BQ10" s="118" t="s">
        <v>821</v>
      </c>
      <c r="BR10" s="118" t="s">
        <v>821</v>
      </c>
      <c r="BS10" s="118" t="s">
        <v>821</v>
      </c>
      <c r="BT10" s="122"/>
      <c r="BU10" s="122">
        <f t="shared" si="7"/>
        <v>0</v>
      </c>
      <c r="BV10" s="126"/>
      <c r="BW10" s="126"/>
      <c r="BX10" s="127"/>
      <c r="BY10" s="127"/>
      <c r="BZ10" s="13"/>
      <c r="CA10" s="13"/>
      <c r="CB10" s="13"/>
      <c r="CC10" s="13"/>
    </row>
    <row r="11">
      <c r="A11" s="44" t="str">
        <f>LOOKUP(H11,'Letter grades'!$A$1:$B$6)</f>
        <v>B</v>
      </c>
      <c r="B11" s="44">
        <f t="shared" si="3"/>
        <v>7</v>
      </c>
      <c r="C11" s="107" t="s">
        <v>1150</v>
      </c>
      <c r="D11" s="107" t="s">
        <v>1151</v>
      </c>
      <c r="E11" s="148" t="s">
        <v>140</v>
      </c>
      <c r="F11" s="47">
        <f t="shared" si="4"/>
        <v>1</v>
      </c>
      <c r="G11" s="47">
        <f t="shared" si="5"/>
        <v>0.7777777778</v>
      </c>
      <c r="H11" s="105">
        <f t="shared" si="6"/>
        <v>0.8518518519</v>
      </c>
      <c r="I11" s="13" t="s">
        <v>108</v>
      </c>
      <c r="J11" s="53" t="s">
        <v>487</v>
      </c>
      <c r="K11" s="53" t="s">
        <v>487</v>
      </c>
      <c r="L11" s="107" t="s">
        <v>487</v>
      </c>
      <c r="M11" s="53" t="s">
        <v>487</v>
      </c>
      <c r="N11" s="107" t="s">
        <v>487</v>
      </c>
      <c r="O11" s="53" t="s">
        <v>490</v>
      </c>
      <c r="P11" s="108" t="s">
        <v>53</v>
      </c>
      <c r="Q11" s="110" t="s">
        <v>53</v>
      </c>
      <c r="R11" s="108" t="s">
        <v>491</v>
      </c>
      <c r="S11" s="107" t="s">
        <v>53</v>
      </c>
      <c r="T11" s="107" t="s">
        <v>53</v>
      </c>
      <c r="U11" s="107" t="s">
        <v>53</v>
      </c>
      <c r="V11" s="107" t="s">
        <v>796</v>
      </c>
      <c r="W11" s="107" t="s">
        <v>796</v>
      </c>
      <c r="X11" s="53" t="s">
        <v>766</v>
      </c>
      <c r="Y11" s="107" t="s">
        <v>561</v>
      </c>
      <c r="Z11" s="53" t="s">
        <v>53</v>
      </c>
      <c r="AA11" s="53" t="s">
        <v>600</v>
      </c>
      <c r="AB11" s="53" t="s">
        <v>600</v>
      </c>
      <c r="AC11" s="53" t="s">
        <v>600</v>
      </c>
      <c r="AD11" s="53" t="s">
        <v>600</v>
      </c>
      <c r="AE11" s="53" t="s">
        <v>600</v>
      </c>
      <c r="AF11" s="53" t="s">
        <v>600</v>
      </c>
      <c r="AG11" s="53" t="s">
        <v>600</v>
      </c>
      <c r="AH11" s="53" t="s">
        <v>600</v>
      </c>
      <c r="AI11" s="53" t="s">
        <v>600</v>
      </c>
      <c r="AJ11" s="53" t="s">
        <v>600</v>
      </c>
      <c r="AK11" s="53" t="s">
        <v>600</v>
      </c>
      <c r="AL11" s="53" t="s">
        <v>600</v>
      </c>
      <c r="AM11" s="53" t="s">
        <v>600</v>
      </c>
      <c r="AN11" s="53" t="s">
        <v>600</v>
      </c>
      <c r="AO11" s="53" t="s">
        <v>600</v>
      </c>
      <c r="AP11" s="53" t="s">
        <v>600</v>
      </c>
      <c r="AQ11" s="53" t="s">
        <v>600</v>
      </c>
      <c r="AR11" s="53" t="s">
        <v>600</v>
      </c>
      <c r="AS11" s="53" t="s">
        <v>600</v>
      </c>
      <c r="AT11" s="53" t="s">
        <v>600</v>
      </c>
      <c r="AU11" s="53" t="s">
        <v>600</v>
      </c>
      <c r="AV11" s="53" t="s">
        <v>600</v>
      </c>
      <c r="AW11" s="53" t="s">
        <v>600</v>
      </c>
      <c r="AX11" s="53" t="s">
        <v>600</v>
      </c>
      <c r="AY11" s="53" t="s">
        <v>600</v>
      </c>
      <c r="AZ11" s="53" t="s">
        <v>600</v>
      </c>
      <c r="BA11" s="53" t="s">
        <v>600</v>
      </c>
      <c r="BB11" s="53" t="s">
        <v>600</v>
      </c>
      <c r="BC11" s="53" t="s">
        <v>600</v>
      </c>
      <c r="BD11" s="53" t="s">
        <v>600</v>
      </c>
      <c r="BE11" s="53" t="s">
        <v>600</v>
      </c>
      <c r="BF11" s="53" t="s">
        <v>600</v>
      </c>
      <c r="BG11" s="53" t="s">
        <v>600</v>
      </c>
      <c r="BH11" s="53" t="s">
        <v>600</v>
      </c>
      <c r="BI11" s="107" t="s">
        <v>600</v>
      </c>
      <c r="BJ11" s="107" t="s">
        <v>600</v>
      </c>
      <c r="BK11" s="53" t="s">
        <v>600</v>
      </c>
      <c r="BL11" s="53" t="s">
        <v>600</v>
      </c>
      <c r="BM11" s="53" t="s">
        <v>600</v>
      </c>
      <c r="BN11" s="53" t="s">
        <v>600</v>
      </c>
      <c r="BO11" s="53" t="s">
        <v>600</v>
      </c>
      <c r="BP11" s="53" t="s">
        <v>600</v>
      </c>
      <c r="BQ11" s="118" t="s">
        <v>821</v>
      </c>
      <c r="BR11" s="53" t="s">
        <v>600</v>
      </c>
      <c r="BS11" s="53" t="s">
        <v>600</v>
      </c>
      <c r="BT11" s="122"/>
      <c r="BU11" s="122"/>
      <c r="BV11" s="126"/>
      <c r="BW11" s="126"/>
      <c r="BX11" s="127"/>
      <c r="BY11" s="127"/>
      <c r="BZ11" s="13"/>
      <c r="CA11" s="13"/>
      <c r="CB11" s="13"/>
      <c r="CC11" s="13"/>
    </row>
    <row r="12">
      <c r="A12" s="44" t="str">
        <f>LOOKUP(H12,'Letter grades'!$A$1:$B$6)</f>
        <v>B</v>
      </c>
      <c r="B12" s="44">
        <f t="shared" si="3"/>
        <v>8</v>
      </c>
      <c r="C12" s="44" t="s">
        <v>588</v>
      </c>
      <c r="D12" s="44" t="s">
        <v>589</v>
      </c>
      <c r="E12" s="98" t="s">
        <v>582</v>
      </c>
      <c r="F12" s="47">
        <f t="shared" si="4"/>
        <v>1</v>
      </c>
      <c r="G12" s="47">
        <f t="shared" si="5"/>
        <v>0.7755102041</v>
      </c>
      <c r="H12" s="105">
        <f t="shared" si="6"/>
        <v>0.8503401361</v>
      </c>
      <c r="I12" s="13" t="s">
        <v>108</v>
      </c>
      <c r="J12" s="53" t="s">
        <v>487</v>
      </c>
      <c r="K12" s="53" t="s">
        <v>487</v>
      </c>
      <c r="L12" s="107" t="s">
        <v>487</v>
      </c>
      <c r="M12" s="53" t="s">
        <v>487</v>
      </c>
      <c r="N12" s="53" t="s">
        <v>487</v>
      </c>
      <c r="O12" s="53" t="s">
        <v>490</v>
      </c>
      <c r="P12" s="108" t="s">
        <v>53</v>
      </c>
      <c r="Q12" s="110" t="s">
        <v>53</v>
      </c>
      <c r="R12" s="108" t="s">
        <v>491</v>
      </c>
      <c r="S12" s="107" t="s">
        <v>53</v>
      </c>
      <c r="T12" s="107" t="s">
        <v>53</v>
      </c>
      <c r="U12" s="107" t="s">
        <v>53</v>
      </c>
      <c r="V12" s="107" t="s">
        <v>796</v>
      </c>
      <c r="W12" s="107" t="s">
        <v>796</v>
      </c>
      <c r="X12" s="53" t="s">
        <v>766</v>
      </c>
      <c r="Y12" s="107" t="s">
        <v>561</v>
      </c>
      <c r="Z12" s="53" t="s">
        <v>53</v>
      </c>
      <c r="AA12" s="107" t="s">
        <v>53</v>
      </c>
      <c r="AB12" s="53" t="s">
        <v>53</v>
      </c>
      <c r="AC12" s="53" t="s">
        <v>561</v>
      </c>
      <c r="AD12" s="107" t="s">
        <v>53</v>
      </c>
      <c r="AE12" s="107" t="s">
        <v>53</v>
      </c>
      <c r="AF12" s="107" t="s">
        <v>53</v>
      </c>
      <c r="AG12" s="107" t="s">
        <v>53</v>
      </c>
      <c r="AH12" s="107" t="s">
        <v>53</v>
      </c>
      <c r="AI12" s="107" t="s">
        <v>53</v>
      </c>
      <c r="AJ12" s="107" t="s">
        <v>53</v>
      </c>
      <c r="AK12" s="107" t="s">
        <v>53</v>
      </c>
      <c r="AL12" s="107" t="s">
        <v>561</v>
      </c>
      <c r="AM12" s="107" t="s">
        <v>53</v>
      </c>
      <c r="AN12" s="53" t="s">
        <v>561</v>
      </c>
      <c r="AO12" s="107" t="s">
        <v>53</v>
      </c>
      <c r="AP12" s="53" t="s">
        <v>53</v>
      </c>
      <c r="AQ12" s="53" t="s">
        <v>561</v>
      </c>
      <c r="AR12" s="53" t="s">
        <v>53</v>
      </c>
      <c r="AS12" s="53" t="s">
        <v>561</v>
      </c>
      <c r="AT12" s="53" t="s">
        <v>53</v>
      </c>
      <c r="AU12" s="53" t="s">
        <v>53</v>
      </c>
      <c r="AV12" s="53" t="s">
        <v>53</v>
      </c>
      <c r="AW12" s="53" t="s">
        <v>53</v>
      </c>
      <c r="AX12" s="53" t="s">
        <v>561</v>
      </c>
      <c r="AY12" s="53" t="s">
        <v>53</v>
      </c>
      <c r="AZ12" s="53" t="s">
        <v>53</v>
      </c>
      <c r="BA12" s="53" t="s">
        <v>53</v>
      </c>
      <c r="BB12" s="53" t="s">
        <v>53</v>
      </c>
      <c r="BC12" s="53" t="s">
        <v>53</v>
      </c>
      <c r="BD12" s="53" t="s">
        <v>799</v>
      </c>
      <c r="BE12" s="53" t="s">
        <v>53</v>
      </c>
      <c r="BF12" s="53" t="s">
        <v>561</v>
      </c>
      <c r="BG12" s="53" t="s">
        <v>53</v>
      </c>
      <c r="BH12" s="53" t="s">
        <v>53</v>
      </c>
      <c r="BI12" s="107" t="s">
        <v>53</v>
      </c>
      <c r="BJ12" s="107" t="s">
        <v>53</v>
      </c>
      <c r="BK12" s="53" t="s">
        <v>53</v>
      </c>
      <c r="BL12" s="53" t="s">
        <v>561</v>
      </c>
      <c r="BM12" s="53" t="s">
        <v>799</v>
      </c>
      <c r="BN12" s="53" t="s">
        <v>53</v>
      </c>
      <c r="BO12" s="53" t="s">
        <v>600</v>
      </c>
      <c r="BP12" s="53" t="s">
        <v>600</v>
      </c>
      <c r="BQ12" s="118" t="s">
        <v>821</v>
      </c>
      <c r="BR12" s="118" t="s">
        <v>821</v>
      </c>
      <c r="BS12" s="118" t="s">
        <v>821</v>
      </c>
      <c r="BT12" s="122"/>
      <c r="BU12" s="122">
        <f>SUM(BV12:BY12)</f>
        <v>0</v>
      </c>
      <c r="BV12" s="126"/>
      <c r="BW12" s="126"/>
      <c r="BX12" s="127"/>
      <c r="BY12" s="127"/>
      <c r="BZ12" s="13" t="s">
        <v>561</v>
      </c>
      <c r="CA12" s="13" t="s">
        <v>561</v>
      </c>
      <c r="CB12" s="13"/>
      <c r="CC12" s="13"/>
    </row>
    <row r="13">
      <c r="A13" s="44" t="str">
        <f>LOOKUP(H13,'Letter grades'!$A$1:$B$6)</f>
        <v>C</v>
      </c>
      <c r="B13" s="44">
        <f t="shared" si="3"/>
        <v>9</v>
      </c>
      <c r="C13" s="107" t="s">
        <v>320</v>
      </c>
      <c r="D13" s="107" t="s">
        <v>1214</v>
      </c>
      <c r="E13" s="148" t="s">
        <v>1137</v>
      </c>
      <c r="F13" s="47">
        <f t="shared" si="4"/>
        <v>0.8333333333</v>
      </c>
      <c r="G13" s="47">
        <f t="shared" si="5"/>
        <v>0.7777777778</v>
      </c>
      <c r="H13" s="105">
        <f t="shared" si="6"/>
        <v>0.7962962963</v>
      </c>
      <c r="I13" s="13"/>
      <c r="J13" s="53" t="s">
        <v>487</v>
      </c>
      <c r="K13" s="53" t="s">
        <v>487</v>
      </c>
      <c r="L13" s="107" t="s">
        <v>487</v>
      </c>
      <c r="M13" s="53" t="s">
        <v>487</v>
      </c>
      <c r="N13" s="107" t="s">
        <v>594</v>
      </c>
      <c r="O13" s="53" t="s">
        <v>490</v>
      </c>
      <c r="P13" s="108" t="s">
        <v>53</v>
      </c>
      <c r="Q13" s="110" t="s">
        <v>53</v>
      </c>
      <c r="R13" s="108" t="s">
        <v>491</v>
      </c>
      <c r="S13" s="107" t="s">
        <v>53</v>
      </c>
      <c r="T13" s="107" t="s">
        <v>53</v>
      </c>
      <c r="U13" s="107" t="s">
        <v>53</v>
      </c>
      <c r="V13" s="107" t="s">
        <v>796</v>
      </c>
      <c r="W13" s="107" t="s">
        <v>796</v>
      </c>
      <c r="X13" s="53" t="s">
        <v>766</v>
      </c>
      <c r="Y13" s="107" t="s">
        <v>561</v>
      </c>
      <c r="Z13" s="53" t="s">
        <v>53</v>
      </c>
      <c r="AA13" s="53" t="s">
        <v>600</v>
      </c>
      <c r="AB13" s="53" t="s">
        <v>600</v>
      </c>
      <c r="AC13" s="53" t="s">
        <v>600</v>
      </c>
      <c r="AD13" s="53" t="s">
        <v>600</v>
      </c>
      <c r="AE13" s="53" t="s">
        <v>600</v>
      </c>
      <c r="AF13" s="53" t="s">
        <v>600</v>
      </c>
      <c r="AG13" s="53" t="s">
        <v>600</v>
      </c>
      <c r="AH13" s="53" t="s">
        <v>600</v>
      </c>
      <c r="AI13" s="53" t="s">
        <v>600</v>
      </c>
      <c r="AJ13" s="53" t="s">
        <v>600</v>
      </c>
      <c r="AK13" s="53" t="s">
        <v>600</v>
      </c>
      <c r="AL13" s="53" t="s">
        <v>600</v>
      </c>
      <c r="AM13" s="53" t="s">
        <v>600</v>
      </c>
      <c r="AN13" s="53" t="s">
        <v>600</v>
      </c>
      <c r="AO13" s="53" t="s">
        <v>600</v>
      </c>
      <c r="AP13" s="53" t="s">
        <v>600</v>
      </c>
      <c r="AQ13" s="53" t="s">
        <v>600</v>
      </c>
      <c r="AR13" s="53" t="s">
        <v>600</v>
      </c>
      <c r="AS13" s="53" t="s">
        <v>600</v>
      </c>
      <c r="AT13" s="53" t="s">
        <v>600</v>
      </c>
      <c r="AU13" s="53" t="s">
        <v>600</v>
      </c>
      <c r="AV13" s="53" t="s">
        <v>600</v>
      </c>
      <c r="AW13" s="53" t="s">
        <v>600</v>
      </c>
      <c r="AX13" s="53" t="s">
        <v>600</v>
      </c>
      <c r="AY13" s="53" t="s">
        <v>600</v>
      </c>
      <c r="AZ13" s="53" t="s">
        <v>600</v>
      </c>
      <c r="BA13" s="53" t="s">
        <v>600</v>
      </c>
      <c r="BB13" s="53" t="s">
        <v>600</v>
      </c>
      <c r="BC13" s="53" t="s">
        <v>600</v>
      </c>
      <c r="BD13" s="53" t="s">
        <v>600</v>
      </c>
      <c r="BE13" s="53" t="s">
        <v>600</v>
      </c>
      <c r="BF13" s="53" t="s">
        <v>600</v>
      </c>
      <c r="BG13" s="53" t="s">
        <v>600</v>
      </c>
      <c r="BH13" s="53" t="s">
        <v>600</v>
      </c>
      <c r="BI13" s="107" t="s">
        <v>600</v>
      </c>
      <c r="BJ13" s="107" t="s">
        <v>600</v>
      </c>
      <c r="BK13" s="53" t="s">
        <v>600</v>
      </c>
      <c r="BL13" s="53" t="s">
        <v>600</v>
      </c>
      <c r="BM13" s="53" t="s">
        <v>600</v>
      </c>
      <c r="BN13" s="53" t="s">
        <v>600</v>
      </c>
      <c r="BO13" s="53" t="s">
        <v>600</v>
      </c>
      <c r="BP13" s="53" t="s">
        <v>600</v>
      </c>
      <c r="BQ13" s="118" t="s">
        <v>821</v>
      </c>
      <c r="BR13" s="53" t="s">
        <v>600</v>
      </c>
      <c r="BS13" s="53" t="s">
        <v>600</v>
      </c>
      <c r="BT13" s="122"/>
      <c r="BU13" s="122"/>
      <c r="BV13" s="126"/>
      <c r="BW13" s="126"/>
      <c r="BX13" s="127"/>
      <c r="BY13" s="127"/>
      <c r="BZ13" s="13"/>
      <c r="CA13" s="13"/>
      <c r="CB13" s="13"/>
      <c r="CC13" s="13"/>
    </row>
    <row r="14">
      <c r="A14" s="44" t="str">
        <f>LOOKUP(H14,'Letter grades'!$A$1:$B$6)</f>
        <v>C</v>
      </c>
      <c r="B14" s="44">
        <f t="shared" si="3"/>
        <v>10</v>
      </c>
      <c r="C14" s="152" t="s">
        <v>1240</v>
      </c>
      <c r="D14" s="152" t="s">
        <v>82</v>
      </c>
      <c r="E14" s="54" t="s">
        <v>78</v>
      </c>
      <c r="F14" s="47">
        <f t="shared" si="4"/>
        <v>0.3333333333</v>
      </c>
      <c r="G14" s="47">
        <f t="shared" si="5"/>
        <v>1</v>
      </c>
      <c r="H14" s="105">
        <f t="shared" si="6"/>
        <v>0.7777777778</v>
      </c>
      <c r="I14" s="13" t="s">
        <v>108</v>
      </c>
      <c r="J14" s="53" t="s">
        <v>594</v>
      </c>
      <c r="K14" s="53" t="s">
        <v>594</v>
      </c>
      <c r="L14" s="53" t="s">
        <v>487</v>
      </c>
      <c r="M14" s="53" t="s">
        <v>594</v>
      </c>
      <c r="N14" s="53" t="s">
        <v>594</v>
      </c>
      <c r="O14" s="53" t="s">
        <v>490</v>
      </c>
      <c r="P14" s="108" t="s">
        <v>53</v>
      </c>
      <c r="Q14" s="110" t="s">
        <v>53</v>
      </c>
      <c r="R14" s="108" t="s">
        <v>491</v>
      </c>
      <c r="S14" s="107" t="s">
        <v>53</v>
      </c>
      <c r="T14" s="107" t="s">
        <v>53</v>
      </c>
      <c r="U14" s="107" t="s">
        <v>53</v>
      </c>
      <c r="V14" s="53" t="s">
        <v>600</v>
      </c>
      <c r="W14" s="53" t="s">
        <v>600</v>
      </c>
      <c r="X14" s="53" t="s">
        <v>600</v>
      </c>
      <c r="Y14" s="53" t="s">
        <v>600</v>
      </c>
      <c r="Z14" s="53" t="s">
        <v>600</v>
      </c>
      <c r="AA14" s="53" t="s">
        <v>600</v>
      </c>
      <c r="AB14" s="53" t="s">
        <v>600</v>
      </c>
      <c r="AC14" s="53" t="s">
        <v>600</v>
      </c>
      <c r="AD14" s="53" t="s">
        <v>600</v>
      </c>
      <c r="AE14" s="53" t="s">
        <v>600</v>
      </c>
      <c r="AF14" s="53" t="s">
        <v>600</v>
      </c>
      <c r="AG14" s="53" t="s">
        <v>600</v>
      </c>
      <c r="AH14" s="53" t="s">
        <v>600</v>
      </c>
      <c r="AI14" s="53" t="s">
        <v>600</v>
      </c>
      <c r="AJ14" s="53" t="s">
        <v>600</v>
      </c>
      <c r="AK14" s="53" t="s">
        <v>600</v>
      </c>
      <c r="AL14" s="53" t="s">
        <v>600</v>
      </c>
      <c r="AM14" s="53" t="s">
        <v>600</v>
      </c>
      <c r="AN14" s="53" t="s">
        <v>600</v>
      </c>
      <c r="AO14" s="53" t="s">
        <v>600</v>
      </c>
      <c r="AP14" s="53" t="s">
        <v>600</v>
      </c>
      <c r="AQ14" s="53" t="s">
        <v>600</v>
      </c>
      <c r="AR14" s="53" t="s">
        <v>600</v>
      </c>
      <c r="AS14" s="53" t="s">
        <v>600</v>
      </c>
      <c r="AT14" s="53" t="s">
        <v>600</v>
      </c>
      <c r="AU14" s="53" t="s">
        <v>600</v>
      </c>
      <c r="AV14" s="53" t="s">
        <v>600</v>
      </c>
      <c r="AW14" s="53" t="s">
        <v>600</v>
      </c>
      <c r="AX14" s="53" t="s">
        <v>600</v>
      </c>
      <c r="AY14" s="53" t="s">
        <v>600</v>
      </c>
      <c r="AZ14" s="53" t="s">
        <v>600</v>
      </c>
      <c r="BA14" s="53" t="s">
        <v>600</v>
      </c>
      <c r="BB14" s="53" t="s">
        <v>600</v>
      </c>
      <c r="BC14" s="53" t="s">
        <v>600</v>
      </c>
      <c r="BD14" s="53" t="s">
        <v>600</v>
      </c>
      <c r="BE14" s="53" t="s">
        <v>600</v>
      </c>
      <c r="BF14" s="53" t="s">
        <v>600</v>
      </c>
      <c r="BG14" s="53" t="s">
        <v>600</v>
      </c>
      <c r="BH14" s="53" t="s">
        <v>600</v>
      </c>
      <c r="BI14" s="107" t="s">
        <v>600</v>
      </c>
      <c r="BJ14" s="107" t="s">
        <v>600</v>
      </c>
      <c r="BK14" s="53" t="s">
        <v>600</v>
      </c>
      <c r="BL14" s="53" t="s">
        <v>600</v>
      </c>
      <c r="BM14" s="53" t="s">
        <v>600</v>
      </c>
      <c r="BN14" s="53" t="s">
        <v>600</v>
      </c>
      <c r="BO14" s="53" t="s">
        <v>600</v>
      </c>
      <c r="BP14" s="53" t="s">
        <v>600</v>
      </c>
      <c r="BQ14" s="53" t="s">
        <v>600</v>
      </c>
      <c r="BR14" s="53" t="s">
        <v>600</v>
      </c>
      <c r="BS14" s="53" t="s">
        <v>600</v>
      </c>
      <c r="BT14" s="122"/>
      <c r="BU14" s="122"/>
      <c r="BV14" s="126"/>
      <c r="BW14" s="126"/>
      <c r="BX14" s="127"/>
      <c r="BY14" s="127"/>
      <c r="BZ14" s="13"/>
      <c r="CA14" s="13"/>
      <c r="CB14" s="13"/>
      <c r="CC14" s="13"/>
    </row>
    <row r="15">
      <c r="A15" s="44" t="str">
        <f>LOOKUP(H15,'Letter grades'!$A$1:$B$6)</f>
        <v>C</v>
      </c>
      <c r="B15" s="44">
        <f t="shared" si="3"/>
        <v>11</v>
      </c>
      <c r="C15" s="44" t="s">
        <v>657</v>
      </c>
      <c r="D15" s="44" t="s">
        <v>658</v>
      </c>
      <c r="E15" s="98" t="s">
        <v>655</v>
      </c>
      <c r="F15" s="47">
        <f t="shared" si="4"/>
        <v>1</v>
      </c>
      <c r="G15" s="47">
        <f t="shared" si="5"/>
        <v>0.66</v>
      </c>
      <c r="H15" s="105">
        <f t="shared" si="6"/>
        <v>0.7733333333</v>
      </c>
      <c r="I15" s="13" t="s">
        <v>108</v>
      </c>
      <c r="J15" s="53" t="s">
        <v>487</v>
      </c>
      <c r="K15" s="53" t="s">
        <v>487</v>
      </c>
      <c r="L15" s="107" t="s">
        <v>487</v>
      </c>
      <c r="M15" s="53" t="s">
        <v>487</v>
      </c>
      <c r="N15" s="107" t="s">
        <v>487</v>
      </c>
      <c r="O15" s="53" t="s">
        <v>490</v>
      </c>
      <c r="P15" s="108" t="s">
        <v>53</v>
      </c>
      <c r="Q15" s="110" t="s">
        <v>53</v>
      </c>
      <c r="R15" s="108" t="s">
        <v>491</v>
      </c>
      <c r="S15" s="107" t="s">
        <v>53</v>
      </c>
      <c r="T15" s="107" t="s">
        <v>53</v>
      </c>
      <c r="U15" s="107" t="s">
        <v>53</v>
      </c>
      <c r="V15" s="107" t="s">
        <v>796</v>
      </c>
      <c r="W15" s="107" t="s">
        <v>796</v>
      </c>
      <c r="X15" s="53" t="s">
        <v>766</v>
      </c>
      <c r="Y15" s="107" t="s">
        <v>561</v>
      </c>
      <c r="Z15" s="53" t="s">
        <v>53</v>
      </c>
      <c r="AA15" s="107" t="s">
        <v>53</v>
      </c>
      <c r="AB15" s="53" t="s">
        <v>53</v>
      </c>
      <c r="AC15" s="53" t="s">
        <v>561</v>
      </c>
      <c r="AD15" s="107" t="s">
        <v>53</v>
      </c>
      <c r="AE15" s="107" t="s">
        <v>53</v>
      </c>
      <c r="AF15" s="107" t="s">
        <v>53</v>
      </c>
      <c r="AG15" s="107" t="s">
        <v>53</v>
      </c>
      <c r="AH15" s="107" t="s">
        <v>801</v>
      </c>
      <c r="AI15" s="107" t="s">
        <v>53</v>
      </c>
      <c r="AJ15" s="107" t="s">
        <v>53</v>
      </c>
      <c r="AK15" s="107" t="s">
        <v>53</v>
      </c>
      <c r="AL15" s="107" t="s">
        <v>561</v>
      </c>
      <c r="AM15" s="107" t="s">
        <v>53</v>
      </c>
      <c r="AN15" s="53" t="s">
        <v>561</v>
      </c>
      <c r="AO15" s="107" t="s">
        <v>561</v>
      </c>
      <c r="AP15" s="53" t="s">
        <v>53</v>
      </c>
      <c r="AQ15" s="53" t="s">
        <v>561</v>
      </c>
      <c r="AR15" s="53" t="s">
        <v>53</v>
      </c>
      <c r="AS15" s="53" t="s">
        <v>561</v>
      </c>
      <c r="AT15" s="53" t="s">
        <v>53</v>
      </c>
      <c r="AU15" s="53" t="s">
        <v>53</v>
      </c>
      <c r="AV15" s="53" t="s">
        <v>799</v>
      </c>
      <c r="AW15" s="53" t="s">
        <v>561</v>
      </c>
      <c r="AX15" s="53" t="s">
        <v>561</v>
      </c>
      <c r="AY15" s="53" t="s">
        <v>561</v>
      </c>
      <c r="AZ15" s="53" t="s">
        <v>53</v>
      </c>
      <c r="BA15" s="53" t="s">
        <v>53</v>
      </c>
      <c r="BB15" s="53" t="s">
        <v>53</v>
      </c>
      <c r="BC15" s="53" t="s">
        <v>53</v>
      </c>
      <c r="BD15" s="53" t="s">
        <v>53</v>
      </c>
      <c r="BE15" s="53" t="s">
        <v>53</v>
      </c>
      <c r="BF15" s="53" t="s">
        <v>53</v>
      </c>
      <c r="BG15" s="53" t="s">
        <v>561</v>
      </c>
      <c r="BH15" s="53" t="s">
        <v>53</v>
      </c>
      <c r="BI15" s="107" t="s">
        <v>561</v>
      </c>
      <c r="BJ15" s="107" t="s">
        <v>561</v>
      </c>
      <c r="BK15" s="53" t="s">
        <v>53</v>
      </c>
      <c r="BL15" s="53" t="s">
        <v>561</v>
      </c>
      <c r="BM15" s="53" t="s">
        <v>561</v>
      </c>
      <c r="BN15" s="53" t="s">
        <v>53</v>
      </c>
      <c r="BO15" s="53" t="s">
        <v>53</v>
      </c>
      <c r="BP15" s="53" t="s">
        <v>799</v>
      </c>
      <c r="BQ15" s="118" t="s">
        <v>821</v>
      </c>
      <c r="BR15" s="118" t="s">
        <v>821</v>
      </c>
      <c r="BS15" s="118" t="s">
        <v>821</v>
      </c>
      <c r="BT15" s="122"/>
      <c r="BU15" s="122">
        <f t="shared" ref="BU15:BU21" si="8">SUM(BV15:BY15)</f>
        <v>0</v>
      </c>
      <c r="BV15" s="155"/>
      <c r="BW15" s="155"/>
      <c r="BX15" s="127"/>
      <c r="BY15" s="127"/>
      <c r="BZ15" s="13" t="s">
        <v>561</v>
      </c>
      <c r="CA15" s="13" t="s">
        <v>561</v>
      </c>
      <c r="CB15" s="13"/>
      <c r="CC15" s="13"/>
    </row>
    <row r="16">
      <c r="A16" s="44" t="str">
        <f>LOOKUP(H16,'Letter grades'!$A$1:$B$6)</f>
        <v>C</v>
      </c>
      <c r="B16" s="44">
        <f t="shared" si="3"/>
        <v>12</v>
      </c>
      <c r="C16" s="44" t="s">
        <v>1200</v>
      </c>
      <c r="D16" s="44" t="s">
        <v>1201</v>
      </c>
      <c r="E16" s="98" t="s">
        <v>1202</v>
      </c>
      <c r="F16" s="47">
        <f t="shared" si="4"/>
        <v>0.8333333333</v>
      </c>
      <c r="G16" s="47">
        <f t="shared" si="5"/>
        <v>0.7211538462</v>
      </c>
      <c r="H16" s="105">
        <f t="shared" si="6"/>
        <v>0.7585470085</v>
      </c>
      <c r="I16" s="13" t="s">
        <v>1375</v>
      </c>
      <c r="J16" s="53" t="s">
        <v>487</v>
      </c>
      <c r="K16" s="53" t="s">
        <v>487</v>
      </c>
      <c r="L16" s="107" t="s">
        <v>487</v>
      </c>
      <c r="M16" s="53" t="s">
        <v>487</v>
      </c>
      <c r="N16" s="107" t="s">
        <v>594</v>
      </c>
      <c r="O16" s="53" t="s">
        <v>490</v>
      </c>
      <c r="P16" s="108" t="s">
        <v>53</v>
      </c>
      <c r="Q16" s="110" t="s">
        <v>53</v>
      </c>
      <c r="R16" s="108" t="s">
        <v>491</v>
      </c>
      <c r="S16" s="107" t="s">
        <v>53</v>
      </c>
      <c r="T16" s="107" t="s">
        <v>53</v>
      </c>
      <c r="U16" s="107" t="s">
        <v>53</v>
      </c>
      <c r="V16" s="107" t="s">
        <v>491</v>
      </c>
      <c r="W16" s="107" t="s">
        <v>491</v>
      </c>
      <c r="X16" s="53" t="s">
        <v>766</v>
      </c>
      <c r="Y16" s="107" t="s">
        <v>561</v>
      </c>
      <c r="Z16" s="53" t="s">
        <v>53</v>
      </c>
      <c r="AA16" s="107" t="s">
        <v>53</v>
      </c>
      <c r="AB16" s="53" t="s">
        <v>53</v>
      </c>
      <c r="AC16" s="53" t="s">
        <v>561</v>
      </c>
      <c r="AD16" s="107" t="s">
        <v>53</v>
      </c>
      <c r="AE16" s="107" t="s">
        <v>53</v>
      </c>
      <c r="AF16" s="107" t="s">
        <v>53</v>
      </c>
      <c r="AG16" s="107" t="s">
        <v>53</v>
      </c>
      <c r="AH16" s="107" t="s">
        <v>53</v>
      </c>
      <c r="AI16" s="107" t="s">
        <v>53</v>
      </c>
      <c r="AJ16" s="107" t="s">
        <v>53</v>
      </c>
      <c r="AK16" s="107" t="s">
        <v>53</v>
      </c>
      <c r="AL16" s="107" t="s">
        <v>53</v>
      </c>
      <c r="AM16" s="107" t="s">
        <v>53</v>
      </c>
      <c r="AN16" s="53" t="s">
        <v>561</v>
      </c>
      <c r="AO16" s="107" t="s">
        <v>561</v>
      </c>
      <c r="AP16" s="53" t="s">
        <v>53</v>
      </c>
      <c r="AQ16" s="53" t="s">
        <v>561</v>
      </c>
      <c r="AR16" s="53" t="s">
        <v>53</v>
      </c>
      <c r="AS16" s="53" t="s">
        <v>561</v>
      </c>
      <c r="AT16" s="53" t="s">
        <v>53</v>
      </c>
      <c r="AU16" s="53" t="s">
        <v>53</v>
      </c>
      <c r="AV16" s="53" t="s">
        <v>53</v>
      </c>
      <c r="AW16" s="53" t="s">
        <v>561</v>
      </c>
      <c r="AX16" s="53" t="s">
        <v>561</v>
      </c>
      <c r="AY16" s="53" t="s">
        <v>53</v>
      </c>
      <c r="AZ16" s="53" t="s">
        <v>53</v>
      </c>
      <c r="BA16" s="53" t="s">
        <v>53</v>
      </c>
      <c r="BB16" s="53" t="s">
        <v>53</v>
      </c>
      <c r="BC16" s="53" t="s">
        <v>53</v>
      </c>
      <c r="BD16" s="53" t="s">
        <v>799</v>
      </c>
      <c r="BE16" s="53" t="s">
        <v>53</v>
      </c>
      <c r="BF16" s="53" t="s">
        <v>561</v>
      </c>
      <c r="BG16" s="53" t="s">
        <v>561</v>
      </c>
      <c r="BH16" s="53" t="s">
        <v>53</v>
      </c>
      <c r="BI16" s="107" t="s">
        <v>53</v>
      </c>
      <c r="BJ16" s="107" t="s">
        <v>53</v>
      </c>
      <c r="BK16" s="53" t="s">
        <v>561</v>
      </c>
      <c r="BL16" s="53" t="s">
        <v>561</v>
      </c>
      <c r="BM16" s="53" t="s">
        <v>561</v>
      </c>
      <c r="BN16" s="53" t="s">
        <v>53</v>
      </c>
      <c r="BO16" s="53" t="s">
        <v>53</v>
      </c>
      <c r="BP16" s="53" t="s">
        <v>600</v>
      </c>
      <c r="BQ16" s="118" t="s">
        <v>821</v>
      </c>
      <c r="BR16" s="118" t="s">
        <v>821</v>
      </c>
      <c r="BS16" s="118" t="s">
        <v>821</v>
      </c>
      <c r="BT16" s="122"/>
      <c r="BU16" s="122">
        <f t="shared" si="8"/>
        <v>0</v>
      </c>
      <c r="BV16" s="126"/>
      <c r="BW16" s="126"/>
      <c r="BX16" s="127"/>
      <c r="BY16" s="127"/>
      <c r="BZ16" s="13" t="s">
        <v>561</v>
      </c>
      <c r="CA16" s="13" t="s">
        <v>561</v>
      </c>
      <c r="CB16" s="13"/>
      <c r="CC16" s="13"/>
    </row>
    <row r="17">
      <c r="A17" s="44" t="str">
        <f>LOOKUP(H17,'Letter grades'!$A$1:$B$6)</f>
        <v>C</v>
      </c>
      <c r="B17" s="44">
        <f t="shared" si="3"/>
        <v>13</v>
      </c>
      <c r="C17" s="44" t="s">
        <v>73</v>
      </c>
      <c r="D17" s="44" t="s">
        <v>1209</v>
      </c>
      <c r="E17" s="98" t="s">
        <v>1210</v>
      </c>
      <c r="F17" s="47">
        <f t="shared" si="4"/>
        <v>0.8333333333</v>
      </c>
      <c r="G17" s="47">
        <f t="shared" si="5"/>
        <v>0.6904761905</v>
      </c>
      <c r="H17" s="105">
        <f t="shared" si="6"/>
        <v>0.7380952381</v>
      </c>
      <c r="I17" s="13" t="s">
        <v>1375</v>
      </c>
      <c r="J17" s="53" t="s">
        <v>487</v>
      </c>
      <c r="K17" s="53" t="s">
        <v>487</v>
      </c>
      <c r="L17" s="107" t="s">
        <v>487</v>
      </c>
      <c r="M17" s="53" t="s">
        <v>487</v>
      </c>
      <c r="N17" s="107" t="s">
        <v>594</v>
      </c>
      <c r="O17" s="53" t="s">
        <v>490</v>
      </c>
      <c r="P17" s="108" t="s">
        <v>53</v>
      </c>
      <c r="Q17" s="110" t="s">
        <v>53</v>
      </c>
      <c r="R17" s="108" t="s">
        <v>491</v>
      </c>
      <c r="S17" s="107" t="s">
        <v>53</v>
      </c>
      <c r="T17" s="107" t="s">
        <v>801</v>
      </c>
      <c r="U17" s="107" t="s">
        <v>53</v>
      </c>
      <c r="V17" s="107" t="s">
        <v>796</v>
      </c>
      <c r="W17" s="107" t="s">
        <v>796</v>
      </c>
      <c r="X17" s="53" t="s">
        <v>766</v>
      </c>
      <c r="Y17" s="107" t="s">
        <v>561</v>
      </c>
      <c r="Z17" s="53" t="s">
        <v>53</v>
      </c>
      <c r="AA17" s="107" t="s">
        <v>53</v>
      </c>
      <c r="AB17" s="53" t="s">
        <v>53</v>
      </c>
      <c r="AC17" s="53" t="s">
        <v>561</v>
      </c>
      <c r="AD17" s="107" t="s">
        <v>53</v>
      </c>
      <c r="AE17" s="107" t="s">
        <v>53</v>
      </c>
      <c r="AF17" s="107" t="s">
        <v>53</v>
      </c>
      <c r="AG17" s="107" t="s">
        <v>53</v>
      </c>
      <c r="AH17" s="107" t="s">
        <v>53</v>
      </c>
      <c r="AI17" s="107" t="s">
        <v>53</v>
      </c>
      <c r="AJ17" s="107" t="s">
        <v>53</v>
      </c>
      <c r="AK17" s="107" t="s">
        <v>53</v>
      </c>
      <c r="AL17" s="107" t="s">
        <v>53</v>
      </c>
      <c r="AM17" s="107" t="s">
        <v>53</v>
      </c>
      <c r="AN17" s="53" t="s">
        <v>561</v>
      </c>
      <c r="AO17" s="107" t="s">
        <v>561</v>
      </c>
      <c r="AP17" s="53" t="s">
        <v>53</v>
      </c>
      <c r="AQ17" s="53" t="s">
        <v>561</v>
      </c>
      <c r="AR17" s="53" t="s">
        <v>53</v>
      </c>
      <c r="AS17" s="53" t="s">
        <v>561</v>
      </c>
      <c r="AT17" s="53" t="s">
        <v>53</v>
      </c>
      <c r="AU17" s="53" t="s">
        <v>53</v>
      </c>
      <c r="AV17" s="53" t="s">
        <v>799</v>
      </c>
      <c r="AW17" s="53" t="s">
        <v>53</v>
      </c>
      <c r="AX17" s="53" t="s">
        <v>561</v>
      </c>
      <c r="AY17" s="53" t="s">
        <v>53</v>
      </c>
      <c r="AZ17" s="53" t="s">
        <v>53</v>
      </c>
      <c r="BA17" s="53" t="s">
        <v>561</v>
      </c>
      <c r="BB17" s="53" t="s">
        <v>53</v>
      </c>
      <c r="BC17" s="53" t="s">
        <v>53</v>
      </c>
      <c r="BD17" s="53" t="s">
        <v>799</v>
      </c>
      <c r="BE17" s="53" t="s">
        <v>53</v>
      </c>
      <c r="BF17" s="53" t="s">
        <v>561</v>
      </c>
      <c r="BG17" s="53" t="s">
        <v>561</v>
      </c>
      <c r="BH17" s="53" t="s">
        <v>561</v>
      </c>
      <c r="BI17" s="107" t="s">
        <v>600</v>
      </c>
      <c r="BJ17" s="107" t="s">
        <v>600</v>
      </c>
      <c r="BK17" s="53" t="s">
        <v>600</v>
      </c>
      <c r="BL17" s="53" t="s">
        <v>600</v>
      </c>
      <c r="BM17" s="53" t="s">
        <v>600</v>
      </c>
      <c r="BN17" s="53" t="s">
        <v>600</v>
      </c>
      <c r="BO17" s="53" t="s">
        <v>600</v>
      </c>
      <c r="BP17" s="53" t="s">
        <v>600</v>
      </c>
      <c r="BQ17" s="118" t="s">
        <v>821</v>
      </c>
      <c r="BR17" s="118" t="s">
        <v>821</v>
      </c>
      <c r="BS17" s="118" t="s">
        <v>821</v>
      </c>
      <c r="BT17" s="122"/>
      <c r="BU17" s="122">
        <f t="shared" si="8"/>
        <v>0</v>
      </c>
      <c r="BV17" s="155"/>
      <c r="BW17" s="155"/>
      <c r="BX17" s="127"/>
      <c r="BY17" s="127"/>
      <c r="BZ17" s="13"/>
      <c r="CA17" s="13" t="s">
        <v>561</v>
      </c>
      <c r="CB17" s="13"/>
      <c r="CC17" s="13"/>
    </row>
    <row r="18">
      <c r="A18" s="44" t="str">
        <f>LOOKUP(H18,'Letter grades'!$A$1:$B$6)</f>
        <v>C</v>
      </c>
      <c r="B18" s="44">
        <f t="shared" si="3"/>
        <v>14</v>
      </c>
      <c r="C18" s="44" t="s">
        <v>960</v>
      </c>
      <c r="D18" s="44" t="s">
        <v>961</v>
      </c>
      <c r="E18" s="98" t="s">
        <v>958</v>
      </c>
      <c r="F18" s="47">
        <f t="shared" si="4"/>
        <v>1</v>
      </c>
      <c r="G18" s="47">
        <f t="shared" si="5"/>
        <v>0.5957446809</v>
      </c>
      <c r="H18" s="105">
        <f t="shared" si="6"/>
        <v>0.7304964539</v>
      </c>
      <c r="I18" s="13" t="s">
        <v>108</v>
      </c>
      <c r="J18" s="53" t="s">
        <v>487</v>
      </c>
      <c r="K18" s="53" t="s">
        <v>487</v>
      </c>
      <c r="L18" s="107" t="s">
        <v>487</v>
      </c>
      <c r="M18" s="53" t="s">
        <v>487</v>
      </c>
      <c r="N18" s="107" t="s">
        <v>487</v>
      </c>
      <c r="O18" s="53" t="s">
        <v>490</v>
      </c>
      <c r="P18" s="108" t="s">
        <v>53</v>
      </c>
      <c r="Q18" s="110" t="s">
        <v>53</v>
      </c>
      <c r="R18" s="108" t="s">
        <v>491</v>
      </c>
      <c r="S18" s="107" t="s">
        <v>53</v>
      </c>
      <c r="T18" s="107" t="s">
        <v>53</v>
      </c>
      <c r="U18" s="107" t="s">
        <v>53</v>
      </c>
      <c r="V18" s="107" t="s">
        <v>796</v>
      </c>
      <c r="W18" s="107" t="s">
        <v>796</v>
      </c>
      <c r="X18" s="53" t="s">
        <v>766</v>
      </c>
      <c r="Y18" s="107" t="s">
        <v>561</v>
      </c>
      <c r="Z18" s="53" t="s">
        <v>53</v>
      </c>
      <c r="AA18" s="107" t="s">
        <v>53</v>
      </c>
      <c r="AB18" s="53" t="s">
        <v>53</v>
      </c>
      <c r="AC18" s="53" t="s">
        <v>561</v>
      </c>
      <c r="AD18" s="107" t="s">
        <v>53</v>
      </c>
      <c r="AE18" s="107" t="s">
        <v>53</v>
      </c>
      <c r="AF18" s="107" t="s">
        <v>801</v>
      </c>
      <c r="AG18" s="107" t="s">
        <v>801</v>
      </c>
      <c r="AH18" s="107" t="s">
        <v>53</v>
      </c>
      <c r="AI18" s="107" t="s">
        <v>53</v>
      </c>
      <c r="AJ18" s="107" t="s">
        <v>53</v>
      </c>
      <c r="AK18" s="107" t="s">
        <v>53</v>
      </c>
      <c r="AL18" s="107" t="s">
        <v>561</v>
      </c>
      <c r="AM18" s="107" t="s">
        <v>53</v>
      </c>
      <c r="AN18" s="53" t="s">
        <v>561</v>
      </c>
      <c r="AO18" s="107" t="s">
        <v>561</v>
      </c>
      <c r="AP18" s="53" t="s">
        <v>561</v>
      </c>
      <c r="AQ18" s="53" t="s">
        <v>561</v>
      </c>
      <c r="AR18" s="53" t="s">
        <v>53</v>
      </c>
      <c r="AS18" s="53" t="s">
        <v>561</v>
      </c>
      <c r="AT18" s="53" t="s">
        <v>53</v>
      </c>
      <c r="AU18" s="53" t="s">
        <v>53</v>
      </c>
      <c r="AV18" s="53" t="s">
        <v>53</v>
      </c>
      <c r="AW18" s="53" t="s">
        <v>561</v>
      </c>
      <c r="AX18" s="53" t="s">
        <v>561</v>
      </c>
      <c r="AY18" s="53" t="s">
        <v>53</v>
      </c>
      <c r="AZ18" s="53" t="s">
        <v>53</v>
      </c>
      <c r="BA18" s="53" t="s">
        <v>53</v>
      </c>
      <c r="BB18" s="53" t="s">
        <v>53</v>
      </c>
      <c r="BC18" s="53" t="s">
        <v>561</v>
      </c>
      <c r="BD18" s="53" t="s">
        <v>561</v>
      </c>
      <c r="BE18" s="53" t="s">
        <v>561</v>
      </c>
      <c r="BF18" s="53" t="s">
        <v>561</v>
      </c>
      <c r="BG18" s="53" t="s">
        <v>561</v>
      </c>
      <c r="BH18" s="53" t="s">
        <v>801</v>
      </c>
      <c r="BI18" s="107" t="s">
        <v>53</v>
      </c>
      <c r="BJ18" s="107" t="s">
        <v>53</v>
      </c>
      <c r="BK18" s="53" t="s">
        <v>561</v>
      </c>
      <c r="BL18" s="53" t="s">
        <v>561</v>
      </c>
      <c r="BM18" s="53" t="s">
        <v>561</v>
      </c>
      <c r="BN18" s="53" t="s">
        <v>53</v>
      </c>
      <c r="BO18" s="53" t="s">
        <v>53</v>
      </c>
      <c r="BP18" s="53" t="s">
        <v>600</v>
      </c>
      <c r="BQ18" s="118" t="s">
        <v>821</v>
      </c>
      <c r="BR18" s="118" t="s">
        <v>821</v>
      </c>
      <c r="BS18" s="118" t="s">
        <v>821</v>
      </c>
      <c r="BT18" s="122"/>
      <c r="BU18" s="122">
        <f t="shared" si="8"/>
        <v>0</v>
      </c>
      <c r="BV18" s="126"/>
      <c r="BW18" s="126"/>
      <c r="BX18" s="127"/>
      <c r="BY18" s="127"/>
      <c r="BZ18" s="13"/>
      <c r="CA18" s="13" t="s">
        <v>561</v>
      </c>
      <c r="CB18" s="13"/>
      <c r="CC18" s="13"/>
    </row>
    <row r="19">
      <c r="A19" s="44" t="str">
        <f>LOOKUP(H19,'Letter grades'!$A$1:$B$6)</f>
        <v>C</v>
      </c>
      <c r="B19" s="44">
        <f t="shared" si="3"/>
        <v>15</v>
      </c>
      <c r="C19" s="44" t="s">
        <v>1357</v>
      </c>
      <c r="D19" s="44" t="s">
        <v>452</v>
      </c>
      <c r="E19" s="98" t="s">
        <v>448</v>
      </c>
      <c r="F19" s="47">
        <f t="shared" si="4"/>
        <v>0.8333333333</v>
      </c>
      <c r="G19" s="47">
        <f t="shared" si="5"/>
        <v>0.6279069767</v>
      </c>
      <c r="H19" s="105">
        <f t="shared" si="6"/>
        <v>0.6963824289</v>
      </c>
      <c r="I19" s="13"/>
      <c r="J19" s="53" t="s">
        <v>487</v>
      </c>
      <c r="K19" s="53" t="s">
        <v>487</v>
      </c>
      <c r="L19" s="107" t="s">
        <v>487</v>
      </c>
      <c r="M19" s="53" t="s">
        <v>487</v>
      </c>
      <c r="N19" s="107" t="s">
        <v>594</v>
      </c>
      <c r="O19" s="53" t="s">
        <v>490</v>
      </c>
      <c r="P19" s="108" t="s">
        <v>53</v>
      </c>
      <c r="Q19" s="110" t="s">
        <v>53</v>
      </c>
      <c r="R19" s="108" t="s">
        <v>491</v>
      </c>
      <c r="S19" s="107" t="s">
        <v>53</v>
      </c>
      <c r="T19" s="107" t="s">
        <v>53</v>
      </c>
      <c r="U19" s="107" t="s">
        <v>53</v>
      </c>
      <c r="V19" s="107" t="s">
        <v>796</v>
      </c>
      <c r="W19" s="107" t="s">
        <v>796</v>
      </c>
      <c r="X19" s="53" t="s">
        <v>766</v>
      </c>
      <c r="Y19" s="107" t="s">
        <v>561</v>
      </c>
      <c r="Z19" s="53" t="s">
        <v>53</v>
      </c>
      <c r="AA19" s="107" t="s">
        <v>53</v>
      </c>
      <c r="AB19" s="53" t="s">
        <v>53</v>
      </c>
      <c r="AC19" s="53" t="s">
        <v>561</v>
      </c>
      <c r="AD19" s="107" t="s">
        <v>53</v>
      </c>
      <c r="AE19" s="107" t="s">
        <v>53</v>
      </c>
      <c r="AF19" s="107" t="s">
        <v>53</v>
      </c>
      <c r="AG19" s="107" t="s">
        <v>53</v>
      </c>
      <c r="AH19" s="107" t="s">
        <v>53</v>
      </c>
      <c r="AI19" s="107" t="s">
        <v>53</v>
      </c>
      <c r="AJ19" s="107" t="s">
        <v>53</v>
      </c>
      <c r="AK19" s="107" t="s">
        <v>53</v>
      </c>
      <c r="AL19" s="107" t="s">
        <v>561</v>
      </c>
      <c r="AM19" s="107" t="s">
        <v>53</v>
      </c>
      <c r="AN19" s="53" t="s">
        <v>561</v>
      </c>
      <c r="AO19" s="107" t="s">
        <v>561</v>
      </c>
      <c r="AP19" s="53" t="s">
        <v>53</v>
      </c>
      <c r="AQ19" s="53" t="s">
        <v>561</v>
      </c>
      <c r="AR19" s="53" t="s">
        <v>53</v>
      </c>
      <c r="AS19" s="53" t="s">
        <v>561</v>
      </c>
      <c r="AT19" s="53" t="s">
        <v>53</v>
      </c>
      <c r="AU19" s="53" t="s">
        <v>53</v>
      </c>
      <c r="AV19" s="53" t="s">
        <v>561</v>
      </c>
      <c r="AW19" s="53" t="s">
        <v>561</v>
      </c>
      <c r="AX19" s="53" t="s">
        <v>561</v>
      </c>
      <c r="AY19" s="53" t="s">
        <v>561</v>
      </c>
      <c r="AZ19" s="53" t="s">
        <v>53</v>
      </c>
      <c r="BA19" s="53" t="s">
        <v>53</v>
      </c>
      <c r="BB19" s="53" t="s">
        <v>53</v>
      </c>
      <c r="BC19" s="53" t="s">
        <v>53</v>
      </c>
      <c r="BD19" s="53" t="s">
        <v>561</v>
      </c>
      <c r="BE19" s="53" t="s">
        <v>53</v>
      </c>
      <c r="BF19" s="53" t="s">
        <v>561</v>
      </c>
      <c r="BG19" s="53" t="s">
        <v>561</v>
      </c>
      <c r="BH19" s="53" t="s">
        <v>561</v>
      </c>
      <c r="BI19" s="107" t="s">
        <v>600</v>
      </c>
      <c r="BJ19" s="107" t="s">
        <v>600</v>
      </c>
      <c r="BK19" s="53" t="s">
        <v>600</v>
      </c>
      <c r="BL19" s="53" t="s">
        <v>600</v>
      </c>
      <c r="BM19" s="53" t="s">
        <v>600</v>
      </c>
      <c r="BN19" s="53" t="s">
        <v>600</v>
      </c>
      <c r="BO19" s="53" t="s">
        <v>600</v>
      </c>
      <c r="BP19" s="53" t="s">
        <v>600</v>
      </c>
      <c r="BQ19" s="118" t="s">
        <v>821</v>
      </c>
      <c r="BR19" s="118" t="s">
        <v>821</v>
      </c>
      <c r="BS19" s="118" t="s">
        <v>821</v>
      </c>
      <c r="BT19" s="122"/>
      <c r="BU19" s="122">
        <f t="shared" si="8"/>
        <v>0</v>
      </c>
      <c r="BV19" s="126"/>
      <c r="BW19" s="126"/>
      <c r="BX19" s="127"/>
      <c r="BY19" s="127"/>
      <c r="BZ19" s="13"/>
      <c r="CA19" s="13"/>
      <c r="CB19" s="13"/>
      <c r="CC19" s="13"/>
    </row>
    <row r="20">
      <c r="A20" s="44" t="str">
        <f>LOOKUP(H20,'Letter grades'!$A$1:$B$6)</f>
        <v>C</v>
      </c>
      <c r="B20" s="44">
        <f t="shared" si="3"/>
        <v>16</v>
      </c>
      <c r="C20" s="44" t="s">
        <v>127</v>
      </c>
      <c r="D20" s="44" t="s">
        <v>1280</v>
      </c>
      <c r="E20" s="98" t="s">
        <v>1281</v>
      </c>
      <c r="F20" s="47">
        <f t="shared" si="4"/>
        <v>0.8333333333</v>
      </c>
      <c r="G20" s="47">
        <f t="shared" si="5"/>
        <v>0.6224489796</v>
      </c>
      <c r="H20" s="105">
        <f t="shared" si="6"/>
        <v>0.6927437642</v>
      </c>
      <c r="I20" s="13" t="s">
        <v>108</v>
      </c>
      <c r="J20" s="53" t="s">
        <v>487</v>
      </c>
      <c r="K20" s="53" t="s">
        <v>487</v>
      </c>
      <c r="L20" s="107" t="s">
        <v>487</v>
      </c>
      <c r="M20" s="53" t="s">
        <v>487</v>
      </c>
      <c r="N20" s="107" t="s">
        <v>594</v>
      </c>
      <c r="O20" s="53" t="s">
        <v>490</v>
      </c>
      <c r="P20" s="108" t="s">
        <v>53</v>
      </c>
      <c r="Q20" s="110" t="s">
        <v>53</v>
      </c>
      <c r="R20" s="108" t="s">
        <v>491</v>
      </c>
      <c r="S20" s="107" t="s">
        <v>53</v>
      </c>
      <c r="T20" s="107" t="s">
        <v>53</v>
      </c>
      <c r="U20" s="107" t="s">
        <v>53</v>
      </c>
      <c r="V20" s="107" t="s">
        <v>796</v>
      </c>
      <c r="W20" s="107" t="s">
        <v>796</v>
      </c>
      <c r="X20" s="53" t="s">
        <v>766</v>
      </c>
      <c r="Y20" s="107" t="s">
        <v>561</v>
      </c>
      <c r="Z20" s="53" t="s">
        <v>53</v>
      </c>
      <c r="AA20" s="107" t="s">
        <v>53</v>
      </c>
      <c r="AB20" s="53" t="s">
        <v>53</v>
      </c>
      <c r="AC20" s="53" t="s">
        <v>561</v>
      </c>
      <c r="AD20" s="107" t="s">
        <v>53</v>
      </c>
      <c r="AE20" s="107" t="s">
        <v>53</v>
      </c>
      <c r="AF20" s="107" t="s">
        <v>801</v>
      </c>
      <c r="AG20" s="107" t="s">
        <v>53</v>
      </c>
      <c r="AH20" s="107" t="s">
        <v>53</v>
      </c>
      <c r="AI20" s="107" t="s">
        <v>53</v>
      </c>
      <c r="AJ20" s="107" t="s">
        <v>53</v>
      </c>
      <c r="AK20" s="107" t="s">
        <v>53</v>
      </c>
      <c r="AL20" s="107" t="s">
        <v>561</v>
      </c>
      <c r="AM20" s="107" t="s">
        <v>53</v>
      </c>
      <c r="AN20" s="53" t="s">
        <v>561</v>
      </c>
      <c r="AO20" s="107" t="s">
        <v>561</v>
      </c>
      <c r="AP20" s="53" t="s">
        <v>561</v>
      </c>
      <c r="AQ20" s="53" t="s">
        <v>561</v>
      </c>
      <c r="AR20" s="53" t="s">
        <v>53</v>
      </c>
      <c r="AS20" s="53" t="s">
        <v>561</v>
      </c>
      <c r="AT20" s="53" t="s">
        <v>53</v>
      </c>
      <c r="AU20" s="53" t="s">
        <v>53</v>
      </c>
      <c r="AV20" s="53" t="s">
        <v>799</v>
      </c>
      <c r="AW20" s="53" t="s">
        <v>561</v>
      </c>
      <c r="AX20" s="53" t="s">
        <v>561</v>
      </c>
      <c r="AY20" s="53" t="s">
        <v>53</v>
      </c>
      <c r="AZ20" s="53" t="s">
        <v>53</v>
      </c>
      <c r="BA20" s="53" t="s">
        <v>561</v>
      </c>
      <c r="BB20" s="53" t="s">
        <v>53</v>
      </c>
      <c r="BC20" s="53" t="s">
        <v>53</v>
      </c>
      <c r="BD20" s="53" t="s">
        <v>561</v>
      </c>
      <c r="BE20" s="53" t="s">
        <v>53</v>
      </c>
      <c r="BF20" s="53" t="s">
        <v>561</v>
      </c>
      <c r="BG20" s="53" t="s">
        <v>561</v>
      </c>
      <c r="BH20" s="53" t="s">
        <v>53</v>
      </c>
      <c r="BI20" s="107" t="s">
        <v>53</v>
      </c>
      <c r="BJ20" s="107" t="s">
        <v>53</v>
      </c>
      <c r="BK20" s="53" t="s">
        <v>561</v>
      </c>
      <c r="BL20" s="53" t="s">
        <v>561</v>
      </c>
      <c r="BM20" s="53" t="s">
        <v>561</v>
      </c>
      <c r="BN20" s="53" t="s">
        <v>53</v>
      </c>
      <c r="BO20" s="53" t="s">
        <v>53</v>
      </c>
      <c r="BP20" s="53" t="s">
        <v>600</v>
      </c>
      <c r="BQ20" s="118" t="s">
        <v>821</v>
      </c>
      <c r="BR20" s="118" t="s">
        <v>821</v>
      </c>
      <c r="BS20" s="118" t="s">
        <v>821</v>
      </c>
      <c r="BT20" s="122"/>
      <c r="BU20" s="122">
        <f t="shared" si="8"/>
        <v>0</v>
      </c>
      <c r="BV20" s="126"/>
      <c r="BW20" s="126"/>
      <c r="BX20" s="127"/>
      <c r="BY20" s="127"/>
      <c r="BZ20" s="13" t="s">
        <v>561</v>
      </c>
      <c r="CA20" s="13" t="s">
        <v>561</v>
      </c>
      <c r="CB20" s="13"/>
      <c r="CC20" s="13"/>
    </row>
    <row r="21">
      <c r="A21" s="44" t="str">
        <f>LOOKUP(H21,'Letter grades'!$A$1:$B$6)</f>
        <v>C</v>
      </c>
      <c r="B21" s="44">
        <f t="shared" si="3"/>
        <v>17</v>
      </c>
      <c r="C21" s="44" t="s">
        <v>516</v>
      </c>
      <c r="D21" s="44" t="s">
        <v>517</v>
      </c>
      <c r="E21" s="98" t="s">
        <v>513</v>
      </c>
      <c r="F21" s="47">
        <f t="shared" si="4"/>
        <v>1</v>
      </c>
      <c r="G21" s="47">
        <f t="shared" si="5"/>
        <v>0.53</v>
      </c>
      <c r="H21" s="105">
        <f t="shared" si="6"/>
        <v>0.6866666667</v>
      </c>
      <c r="I21" s="13" t="s">
        <v>108</v>
      </c>
      <c r="J21" s="53" t="s">
        <v>487</v>
      </c>
      <c r="K21" s="53" t="s">
        <v>487</v>
      </c>
      <c r="L21" s="107" t="s">
        <v>487</v>
      </c>
      <c r="M21" s="53" t="s">
        <v>487</v>
      </c>
      <c r="N21" s="53" t="s">
        <v>487</v>
      </c>
      <c r="O21" s="53" t="s">
        <v>490</v>
      </c>
      <c r="P21" s="108" t="s">
        <v>53</v>
      </c>
      <c r="Q21" s="110" t="s">
        <v>53</v>
      </c>
      <c r="R21" s="108" t="s">
        <v>491</v>
      </c>
      <c r="S21" s="107" t="s">
        <v>53</v>
      </c>
      <c r="T21" s="107" t="s">
        <v>561</v>
      </c>
      <c r="U21" s="107" t="s">
        <v>53</v>
      </c>
      <c r="V21" s="107" t="s">
        <v>796</v>
      </c>
      <c r="W21" s="107" t="s">
        <v>796</v>
      </c>
      <c r="X21" s="53" t="s">
        <v>766</v>
      </c>
      <c r="Y21" s="107" t="s">
        <v>561</v>
      </c>
      <c r="Z21" s="53" t="s">
        <v>53</v>
      </c>
      <c r="AA21" s="107" t="s">
        <v>53</v>
      </c>
      <c r="AB21" s="53" t="s">
        <v>53</v>
      </c>
      <c r="AC21" s="53" t="s">
        <v>561</v>
      </c>
      <c r="AD21" s="107" t="s">
        <v>53</v>
      </c>
      <c r="AE21" s="107" t="s">
        <v>53</v>
      </c>
      <c r="AF21" s="107" t="s">
        <v>53</v>
      </c>
      <c r="AG21" s="107" t="s">
        <v>53</v>
      </c>
      <c r="AH21" s="107" t="s">
        <v>53</v>
      </c>
      <c r="AI21" s="107" t="s">
        <v>53</v>
      </c>
      <c r="AJ21" s="107" t="s">
        <v>53</v>
      </c>
      <c r="AK21" s="107" t="s">
        <v>561</v>
      </c>
      <c r="AL21" s="107" t="s">
        <v>53</v>
      </c>
      <c r="AM21" s="107" t="s">
        <v>53</v>
      </c>
      <c r="AN21" s="53" t="s">
        <v>561</v>
      </c>
      <c r="AO21" s="107" t="s">
        <v>561</v>
      </c>
      <c r="AP21" s="53" t="s">
        <v>561</v>
      </c>
      <c r="AQ21" s="53" t="s">
        <v>561</v>
      </c>
      <c r="AR21" s="53" t="s">
        <v>53</v>
      </c>
      <c r="AS21" s="53" t="s">
        <v>561</v>
      </c>
      <c r="AT21" s="53" t="s">
        <v>53</v>
      </c>
      <c r="AU21" s="107" t="s">
        <v>801</v>
      </c>
      <c r="AV21" s="53" t="s">
        <v>799</v>
      </c>
      <c r="AW21" s="53" t="s">
        <v>561</v>
      </c>
      <c r="AX21" s="53" t="s">
        <v>561</v>
      </c>
      <c r="AY21" s="53" t="s">
        <v>53</v>
      </c>
      <c r="AZ21" s="53" t="s">
        <v>53</v>
      </c>
      <c r="BA21" s="53" t="s">
        <v>561</v>
      </c>
      <c r="BB21" s="53" t="s">
        <v>53</v>
      </c>
      <c r="BC21" s="53" t="s">
        <v>561</v>
      </c>
      <c r="BD21" s="53" t="s">
        <v>561</v>
      </c>
      <c r="BE21" s="53" t="s">
        <v>53</v>
      </c>
      <c r="BF21" s="53" t="s">
        <v>561</v>
      </c>
      <c r="BG21" s="53" t="s">
        <v>561</v>
      </c>
      <c r="BH21" s="53" t="s">
        <v>53</v>
      </c>
      <c r="BI21" s="107" t="s">
        <v>561</v>
      </c>
      <c r="BJ21" s="107" t="s">
        <v>561</v>
      </c>
      <c r="BK21" s="53" t="s">
        <v>799</v>
      </c>
      <c r="BL21" s="53" t="s">
        <v>561</v>
      </c>
      <c r="BM21" s="53" t="s">
        <v>561</v>
      </c>
      <c r="BN21" s="53" t="s">
        <v>799</v>
      </c>
      <c r="BO21" s="53" t="s">
        <v>53</v>
      </c>
      <c r="BP21" s="53" t="s">
        <v>561</v>
      </c>
      <c r="BQ21" s="118" t="s">
        <v>821</v>
      </c>
      <c r="BR21" s="118" t="s">
        <v>821</v>
      </c>
      <c r="BS21" s="118" t="s">
        <v>821</v>
      </c>
      <c r="BT21" s="122"/>
      <c r="BU21" s="122">
        <f t="shared" si="8"/>
        <v>0</v>
      </c>
      <c r="BV21" s="126"/>
      <c r="BW21" s="126"/>
      <c r="BX21" s="127"/>
      <c r="BY21" s="127"/>
      <c r="BZ21" s="13"/>
      <c r="CA21" s="13" t="s">
        <v>561</v>
      </c>
      <c r="CB21" s="13"/>
      <c r="CC21" s="13"/>
    </row>
    <row r="22">
      <c r="A22" s="44" t="str">
        <f>LOOKUP(H22,'Letter grades'!$A$1:$B$6)</f>
        <v>C</v>
      </c>
      <c r="B22" s="44">
        <f t="shared" si="3"/>
        <v>18</v>
      </c>
      <c r="C22" s="107" t="s">
        <v>1673</v>
      </c>
      <c r="D22" s="107" t="s">
        <v>1676</v>
      </c>
      <c r="E22" s="148" t="s">
        <v>1373</v>
      </c>
      <c r="F22" s="47">
        <f t="shared" si="4"/>
        <v>0.5</v>
      </c>
      <c r="G22" s="47">
        <f t="shared" si="5"/>
        <v>0.7777777778</v>
      </c>
      <c r="H22" s="105">
        <f t="shared" si="6"/>
        <v>0.6851851852</v>
      </c>
      <c r="I22" s="13" t="s">
        <v>108</v>
      </c>
      <c r="J22" s="53" t="s">
        <v>487</v>
      </c>
      <c r="K22" s="53" t="s">
        <v>487</v>
      </c>
      <c r="L22" s="107" t="s">
        <v>594</v>
      </c>
      <c r="M22" s="53" t="s">
        <v>594</v>
      </c>
      <c r="N22" s="107" t="s">
        <v>594</v>
      </c>
      <c r="O22" s="53" t="s">
        <v>490</v>
      </c>
      <c r="P22" s="108" t="s">
        <v>53</v>
      </c>
      <c r="Q22" s="110" t="s">
        <v>53</v>
      </c>
      <c r="R22" s="108" t="s">
        <v>491</v>
      </c>
      <c r="S22" s="107" t="s">
        <v>53</v>
      </c>
      <c r="T22" s="107" t="s">
        <v>53</v>
      </c>
      <c r="U22" s="107" t="s">
        <v>53</v>
      </c>
      <c r="V22" s="107" t="s">
        <v>796</v>
      </c>
      <c r="W22" s="107" t="s">
        <v>796</v>
      </c>
      <c r="X22" s="53" t="s">
        <v>766</v>
      </c>
      <c r="Y22" s="107" t="s">
        <v>561</v>
      </c>
      <c r="Z22" s="53" t="s">
        <v>53</v>
      </c>
      <c r="AA22" s="53" t="s">
        <v>600</v>
      </c>
      <c r="AB22" s="53" t="s">
        <v>600</v>
      </c>
      <c r="AC22" s="53" t="s">
        <v>600</v>
      </c>
      <c r="AD22" s="53" t="s">
        <v>600</v>
      </c>
      <c r="AE22" s="53" t="s">
        <v>600</v>
      </c>
      <c r="AF22" s="53" t="s">
        <v>600</v>
      </c>
      <c r="AG22" s="53" t="s">
        <v>600</v>
      </c>
      <c r="AH22" s="53" t="s">
        <v>600</v>
      </c>
      <c r="AI22" s="53" t="s">
        <v>600</v>
      </c>
      <c r="AJ22" s="53" t="s">
        <v>600</v>
      </c>
      <c r="AK22" s="53" t="s">
        <v>600</v>
      </c>
      <c r="AL22" s="53" t="s">
        <v>600</v>
      </c>
      <c r="AM22" s="53" t="s">
        <v>600</v>
      </c>
      <c r="AN22" s="53" t="s">
        <v>600</v>
      </c>
      <c r="AO22" s="53" t="s">
        <v>600</v>
      </c>
      <c r="AP22" s="53" t="s">
        <v>600</v>
      </c>
      <c r="AQ22" s="53" t="s">
        <v>600</v>
      </c>
      <c r="AR22" s="53" t="s">
        <v>600</v>
      </c>
      <c r="AS22" s="53" t="s">
        <v>600</v>
      </c>
      <c r="AT22" s="53" t="s">
        <v>600</v>
      </c>
      <c r="AU22" s="53" t="s">
        <v>600</v>
      </c>
      <c r="AV22" s="53" t="s">
        <v>600</v>
      </c>
      <c r="AW22" s="53" t="s">
        <v>600</v>
      </c>
      <c r="AX22" s="53" t="s">
        <v>600</v>
      </c>
      <c r="AY22" s="53" t="s">
        <v>600</v>
      </c>
      <c r="AZ22" s="53" t="s">
        <v>600</v>
      </c>
      <c r="BA22" s="53" t="s">
        <v>600</v>
      </c>
      <c r="BB22" s="53" t="s">
        <v>600</v>
      </c>
      <c r="BC22" s="53" t="s">
        <v>600</v>
      </c>
      <c r="BD22" s="53" t="s">
        <v>600</v>
      </c>
      <c r="BE22" s="53" t="s">
        <v>600</v>
      </c>
      <c r="BF22" s="53" t="s">
        <v>600</v>
      </c>
      <c r="BG22" s="53" t="s">
        <v>600</v>
      </c>
      <c r="BH22" s="53" t="s">
        <v>600</v>
      </c>
      <c r="BI22" s="107" t="s">
        <v>600</v>
      </c>
      <c r="BJ22" s="107" t="s">
        <v>600</v>
      </c>
      <c r="BK22" s="53" t="s">
        <v>600</v>
      </c>
      <c r="BL22" s="53" t="s">
        <v>600</v>
      </c>
      <c r="BM22" s="53" t="s">
        <v>600</v>
      </c>
      <c r="BN22" s="53" t="s">
        <v>600</v>
      </c>
      <c r="BO22" s="53" t="s">
        <v>600</v>
      </c>
      <c r="BP22" s="53" t="s">
        <v>600</v>
      </c>
      <c r="BQ22" s="118" t="s">
        <v>821</v>
      </c>
      <c r="BR22" s="53" t="s">
        <v>600</v>
      </c>
      <c r="BS22" s="53" t="s">
        <v>600</v>
      </c>
      <c r="BT22" s="122"/>
      <c r="BU22" s="122"/>
      <c r="BV22" s="126"/>
      <c r="BW22" s="126"/>
      <c r="BX22" s="127"/>
      <c r="BY22" s="127"/>
      <c r="BZ22" s="13"/>
      <c r="CA22" s="13"/>
      <c r="CB22" s="13"/>
      <c r="CC22" s="13"/>
    </row>
    <row r="23">
      <c r="A23" s="44" t="str">
        <f>LOOKUP(H23,'Letter grades'!$A$1:$B$6)</f>
        <v>C</v>
      </c>
      <c r="B23" s="44">
        <f t="shared" si="3"/>
        <v>19</v>
      </c>
      <c r="C23" s="44" t="s">
        <v>1317</v>
      </c>
      <c r="D23" s="44" t="s">
        <v>1318</v>
      </c>
      <c r="E23" s="98" t="s">
        <v>1315</v>
      </c>
      <c r="F23" s="47">
        <f t="shared" si="4"/>
        <v>0.8333333333</v>
      </c>
      <c r="G23" s="47">
        <f t="shared" si="5"/>
        <v>0.6071428571</v>
      </c>
      <c r="H23" s="105">
        <f t="shared" si="6"/>
        <v>0.6825396825</v>
      </c>
      <c r="I23" s="13" t="s">
        <v>108</v>
      </c>
      <c r="J23" s="53" t="s">
        <v>487</v>
      </c>
      <c r="K23" s="53" t="s">
        <v>487</v>
      </c>
      <c r="L23" s="107" t="s">
        <v>487</v>
      </c>
      <c r="M23" s="53" t="s">
        <v>487</v>
      </c>
      <c r="N23" s="107" t="s">
        <v>594</v>
      </c>
      <c r="O23" s="53" t="s">
        <v>490</v>
      </c>
      <c r="P23" s="108" t="s">
        <v>53</v>
      </c>
      <c r="Q23" s="110" t="s">
        <v>53</v>
      </c>
      <c r="R23" s="108" t="s">
        <v>491</v>
      </c>
      <c r="S23" s="107" t="s">
        <v>53</v>
      </c>
      <c r="T23" s="107" t="s">
        <v>53</v>
      </c>
      <c r="U23" s="107" t="s">
        <v>53</v>
      </c>
      <c r="V23" s="107" t="s">
        <v>796</v>
      </c>
      <c r="W23" s="107" t="s">
        <v>796</v>
      </c>
      <c r="X23" s="53" t="s">
        <v>766</v>
      </c>
      <c r="Y23" s="107" t="s">
        <v>561</v>
      </c>
      <c r="Z23" s="53" t="s">
        <v>53</v>
      </c>
      <c r="AA23" s="107" t="s">
        <v>53</v>
      </c>
      <c r="AB23" s="53" t="s">
        <v>53</v>
      </c>
      <c r="AC23" s="53" t="s">
        <v>561</v>
      </c>
      <c r="AD23" s="107" t="s">
        <v>53</v>
      </c>
      <c r="AE23" s="107" t="s">
        <v>53</v>
      </c>
      <c r="AF23" s="107" t="s">
        <v>53</v>
      </c>
      <c r="AG23" s="107" t="s">
        <v>53</v>
      </c>
      <c r="AH23" s="107" t="s">
        <v>53</v>
      </c>
      <c r="AI23" s="107" t="s">
        <v>53</v>
      </c>
      <c r="AJ23" s="107" t="s">
        <v>53</v>
      </c>
      <c r="AK23" s="107" t="s">
        <v>53</v>
      </c>
      <c r="AL23" s="107" t="s">
        <v>561</v>
      </c>
      <c r="AM23" s="107" t="s">
        <v>53</v>
      </c>
      <c r="AN23" s="53" t="s">
        <v>561</v>
      </c>
      <c r="AO23" s="107" t="s">
        <v>561</v>
      </c>
      <c r="AP23" s="53" t="s">
        <v>53</v>
      </c>
      <c r="AQ23" s="53" t="s">
        <v>561</v>
      </c>
      <c r="AR23" s="53" t="s">
        <v>53</v>
      </c>
      <c r="AS23" s="53" t="s">
        <v>561</v>
      </c>
      <c r="AT23" s="53" t="s">
        <v>53</v>
      </c>
      <c r="AU23" s="107" t="s">
        <v>801</v>
      </c>
      <c r="AV23" s="53" t="s">
        <v>799</v>
      </c>
      <c r="AW23" s="53" t="s">
        <v>561</v>
      </c>
      <c r="AX23" s="53" t="s">
        <v>561</v>
      </c>
      <c r="AY23" s="53" t="s">
        <v>53</v>
      </c>
      <c r="AZ23" s="53" t="s">
        <v>53</v>
      </c>
      <c r="BA23" s="53" t="s">
        <v>561</v>
      </c>
      <c r="BB23" s="53" t="s">
        <v>53</v>
      </c>
      <c r="BC23" s="53" t="s">
        <v>53</v>
      </c>
      <c r="BD23" s="53" t="s">
        <v>561</v>
      </c>
      <c r="BE23" s="53" t="s">
        <v>561</v>
      </c>
      <c r="BF23" s="53" t="s">
        <v>561</v>
      </c>
      <c r="BG23" s="53" t="s">
        <v>561</v>
      </c>
      <c r="BH23" s="53" t="s">
        <v>561</v>
      </c>
      <c r="BI23" s="107" t="s">
        <v>600</v>
      </c>
      <c r="BJ23" s="107" t="s">
        <v>600</v>
      </c>
      <c r="BK23" s="53" t="s">
        <v>600</v>
      </c>
      <c r="BL23" s="53" t="s">
        <v>600</v>
      </c>
      <c r="BM23" s="53" t="s">
        <v>600</v>
      </c>
      <c r="BN23" s="53" t="s">
        <v>600</v>
      </c>
      <c r="BO23" s="53" t="s">
        <v>600</v>
      </c>
      <c r="BP23" s="53" t="s">
        <v>600</v>
      </c>
      <c r="BQ23" s="118" t="s">
        <v>821</v>
      </c>
      <c r="BR23" s="118" t="s">
        <v>821</v>
      </c>
      <c r="BS23" s="118" t="s">
        <v>821</v>
      </c>
      <c r="BT23" s="122"/>
      <c r="BU23" s="122">
        <f>SUM(BV23:BY23)</f>
        <v>0</v>
      </c>
      <c r="BV23" s="155"/>
      <c r="BW23" s="155"/>
      <c r="BX23" s="127"/>
      <c r="BY23" s="127"/>
      <c r="BZ23" s="13"/>
      <c r="CA23" s="13" t="s">
        <v>561</v>
      </c>
      <c r="CB23" s="13"/>
      <c r="CC23" s="13"/>
    </row>
    <row r="24">
      <c r="A24" s="44" t="str">
        <f>LOOKUP(H24,'Letter grades'!$A$1:$B$6)</f>
        <v>C</v>
      </c>
      <c r="B24" s="44">
        <f t="shared" si="3"/>
        <v>20</v>
      </c>
      <c r="C24" s="107" t="s">
        <v>1769</v>
      </c>
      <c r="D24" s="107" t="s">
        <v>1770</v>
      </c>
      <c r="E24" s="98" t="s">
        <v>943</v>
      </c>
      <c r="F24" s="47">
        <f t="shared" si="4"/>
        <v>0.5</v>
      </c>
      <c r="G24" s="47">
        <f t="shared" si="5"/>
        <v>0.7692307692</v>
      </c>
      <c r="H24" s="105">
        <f t="shared" si="6"/>
        <v>0.6794871795</v>
      </c>
      <c r="I24" s="53"/>
      <c r="J24" s="53" t="s">
        <v>487</v>
      </c>
      <c r="K24" s="53" t="s">
        <v>594</v>
      </c>
      <c r="L24" s="53" t="s">
        <v>487</v>
      </c>
      <c r="M24" s="53" t="s">
        <v>594</v>
      </c>
      <c r="N24" s="107" t="s">
        <v>594</v>
      </c>
      <c r="O24" s="53" t="s">
        <v>490</v>
      </c>
      <c r="P24" s="108" t="s">
        <v>53</v>
      </c>
      <c r="Q24" s="110" t="s">
        <v>53</v>
      </c>
      <c r="R24" s="108" t="s">
        <v>491</v>
      </c>
      <c r="S24" s="107" t="s">
        <v>53</v>
      </c>
      <c r="T24" s="107" t="s">
        <v>53</v>
      </c>
      <c r="U24" s="107" t="s">
        <v>53</v>
      </c>
      <c r="V24" s="107" t="s">
        <v>796</v>
      </c>
      <c r="W24" s="107" t="s">
        <v>796</v>
      </c>
      <c r="X24" s="53" t="s">
        <v>766</v>
      </c>
      <c r="Y24" s="107" t="s">
        <v>561</v>
      </c>
      <c r="Z24" s="53" t="s">
        <v>53</v>
      </c>
      <c r="AA24" s="107" t="s">
        <v>53</v>
      </c>
      <c r="AB24" s="53" t="s">
        <v>53</v>
      </c>
      <c r="AC24" s="53" t="s">
        <v>561</v>
      </c>
      <c r="AD24" s="107" t="s">
        <v>53</v>
      </c>
      <c r="AE24" s="53" t="s">
        <v>600</v>
      </c>
      <c r="AF24" s="53" t="s">
        <v>600</v>
      </c>
      <c r="AG24" s="53" t="s">
        <v>600</v>
      </c>
      <c r="AH24" s="53" t="s">
        <v>600</v>
      </c>
      <c r="AI24" s="53" t="s">
        <v>600</v>
      </c>
      <c r="AJ24" s="53" t="s">
        <v>600</v>
      </c>
      <c r="AK24" s="53" t="s">
        <v>600</v>
      </c>
      <c r="AL24" s="53" t="s">
        <v>600</v>
      </c>
      <c r="AM24" s="53" t="s">
        <v>600</v>
      </c>
      <c r="AN24" s="53" t="s">
        <v>600</v>
      </c>
      <c r="AO24" s="53" t="s">
        <v>600</v>
      </c>
      <c r="AP24" s="53" t="s">
        <v>600</v>
      </c>
      <c r="AQ24" s="53" t="s">
        <v>600</v>
      </c>
      <c r="AR24" s="53" t="s">
        <v>600</v>
      </c>
      <c r="AS24" s="53" t="s">
        <v>600</v>
      </c>
      <c r="AT24" s="53" t="s">
        <v>600</v>
      </c>
      <c r="AU24" s="53" t="s">
        <v>600</v>
      </c>
      <c r="AV24" s="53" t="s">
        <v>600</v>
      </c>
      <c r="AW24" s="53" t="s">
        <v>600</v>
      </c>
      <c r="AX24" s="53" t="s">
        <v>600</v>
      </c>
      <c r="AY24" s="53" t="s">
        <v>600</v>
      </c>
      <c r="AZ24" s="53" t="s">
        <v>600</v>
      </c>
      <c r="BA24" s="53" t="s">
        <v>600</v>
      </c>
      <c r="BB24" s="53" t="s">
        <v>600</v>
      </c>
      <c r="BC24" s="53" t="s">
        <v>600</v>
      </c>
      <c r="BD24" s="53" t="s">
        <v>600</v>
      </c>
      <c r="BE24" s="53" t="s">
        <v>600</v>
      </c>
      <c r="BF24" s="53" t="s">
        <v>600</v>
      </c>
      <c r="BG24" s="53" t="s">
        <v>600</v>
      </c>
      <c r="BH24" s="53" t="s">
        <v>600</v>
      </c>
      <c r="BI24" s="107" t="s">
        <v>600</v>
      </c>
      <c r="BJ24" s="107" t="s">
        <v>600</v>
      </c>
      <c r="BK24" s="53" t="s">
        <v>600</v>
      </c>
      <c r="BL24" s="53" t="s">
        <v>600</v>
      </c>
      <c r="BM24" s="53" t="s">
        <v>600</v>
      </c>
      <c r="BN24" s="53" t="s">
        <v>600</v>
      </c>
      <c r="BO24" s="53" t="s">
        <v>600</v>
      </c>
      <c r="BP24" s="53" t="s">
        <v>600</v>
      </c>
      <c r="BQ24" s="118" t="s">
        <v>821</v>
      </c>
      <c r="BR24" s="53" t="s">
        <v>600</v>
      </c>
      <c r="BS24" s="53" t="s">
        <v>600</v>
      </c>
      <c r="BT24" s="53"/>
      <c r="BU24" s="53" t="s">
        <v>600</v>
      </c>
      <c r="BV24" s="53" t="s">
        <v>600</v>
      </c>
      <c r="BW24" s="53" t="s">
        <v>600</v>
      </c>
      <c r="BX24" s="53" t="s">
        <v>600</v>
      </c>
      <c r="BY24" s="53" t="s">
        <v>600</v>
      </c>
      <c r="BZ24" s="53" t="s">
        <v>600</v>
      </c>
      <c r="CA24" s="53" t="s">
        <v>600</v>
      </c>
      <c r="CB24" s="53" t="s">
        <v>600</v>
      </c>
      <c r="CC24" s="53" t="s">
        <v>600</v>
      </c>
    </row>
    <row r="25">
      <c r="A25" s="44" t="str">
        <f>LOOKUP(H25,'Letter grades'!$A$1:$B$6)</f>
        <v>C</v>
      </c>
      <c r="B25" s="44">
        <f t="shared" si="3"/>
        <v>21</v>
      </c>
      <c r="C25" s="44" t="s">
        <v>1251</v>
      </c>
      <c r="D25" s="44" t="s">
        <v>1252</v>
      </c>
      <c r="E25" s="98" t="s">
        <v>1247</v>
      </c>
      <c r="F25" s="47">
        <f t="shared" si="4"/>
        <v>1</v>
      </c>
      <c r="G25" s="47">
        <f t="shared" si="5"/>
        <v>0.51</v>
      </c>
      <c r="H25" s="105">
        <f t="shared" si="6"/>
        <v>0.6733333333</v>
      </c>
      <c r="I25" s="13"/>
      <c r="J25" s="53" t="s">
        <v>487</v>
      </c>
      <c r="K25" s="53" t="s">
        <v>487</v>
      </c>
      <c r="L25" s="107" t="s">
        <v>487</v>
      </c>
      <c r="M25" s="53" t="s">
        <v>487</v>
      </c>
      <c r="N25" s="53" t="s">
        <v>487</v>
      </c>
      <c r="O25" s="53" t="s">
        <v>490</v>
      </c>
      <c r="P25" s="108" t="s">
        <v>53</v>
      </c>
      <c r="Q25" s="110" t="s">
        <v>53</v>
      </c>
      <c r="R25" s="108" t="s">
        <v>491</v>
      </c>
      <c r="S25" s="107" t="s">
        <v>53</v>
      </c>
      <c r="T25" s="107" t="s">
        <v>561</v>
      </c>
      <c r="U25" s="107" t="s">
        <v>53</v>
      </c>
      <c r="V25" s="107" t="s">
        <v>796</v>
      </c>
      <c r="W25" s="107" t="s">
        <v>796</v>
      </c>
      <c r="X25" s="53" t="s">
        <v>491</v>
      </c>
      <c r="Y25" s="107" t="s">
        <v>561</v>
      </c>
      <c r="Z25" s="53" t="s">
        <v>53</v>
      </c>
      <c r="AA25" s="107" t="s">
        <v>53</v>
      </c>
      <c r="AB25" s="53" t="s">
        <v>53</v>
      </c>
      <c r="AC25" s="53" t="s">
        <v>561</v>
      </c>
      <c r="AD25" s="107" t="s">
        <v>53</v>
      </c>
      <c r="AE25" s="107" t="s">
        <v>53</v>
      </c>
      <c r="AF25" s="107" t="s">
        <v>53</v>
      </c>
      <c r="AG25" s="107" t="s">
        <v>53</v>
      </c>
      <c r="AH25" s="107" t="s">
        <v>53</v>
      </c>
      <c r="AI25" s="107" t="s">
        <v>53</v>
      </c>
      <c r="AJ25" s="107" t="s">
        <v>53</v>
      </c>
      <c r="AK25" s="107" t="s">
        <v>561</v>
      </c>
      <c r="AL25" s="107" t="s">
        <v>561</v>
      </c>
      <c r="AM25" s="107" t="s">
        <v>53</v>
      </c>
      <c r="AN25" s="53" t="s">
        <v>561</v>
      </c>
      <c r="AO25" s="107" t="s">
        <v>801</v>
      </c>
      <c r="AP25" s="53" t="s">
        <v>561</v>
      </c>
      <c r="AQ25" s="53" t="s">
        <v>561</v>
      </c>
      <c r="AR25" s="53" t="s">
        <v>53</v>
      </c>
      <c r="AS25" s="53" t="s">
        <v>561</v>
      </c>
      <c r="AT25" s="53" t="s">
        <v>53</v>
      </c>
      <c r="AU25" s="53" t="s">
        <v>561</v>
      </c>
      <c r="AV25" s="53" t="s">
        <v>799</v>
      </c>
      <c r="AW25" s="53" t="s">
        <v>53</v>
      </c>
      <c r="AX25" s="53" t="s">
        <v>561</v>
      </c>
      <c r="AY25" s="53" t="s">
        <v>53</v>
      </c>
      <c r="AZ25" s="53" t="s">
        <v>53</v>
      </c>
      <c r="BA25" s="53" t="s">
        <v>561</v>
      </c>
      <c r="BB25" s="53" t="s">
        <v>53</v>
      </c>
      <c r="BC25" s="53" t="s">
        <v>561</v>
      </c>
      <c r="BD25" s="165" t="s">
        <v>53</v>
      </c>
      <c r="BE25" s="53" t="s">
        <v>561</v>
      </c>
      <c r="BF25" s="53" t="s">
        <v>561</v>
      </c>
      <c r="BG25" s="53" t="s">
        <v>561</v>
      </c>
      <c r="BH25" s="53" t="s">
        <v>561</v>
      </c>
      <c r="BI25" s="107" t="s">
        <v>561</v>
      </c>
      <c r="BJ25" s="107" t="s">
        <v>561</v>
      </c>
      <c r="BK25" s="53" t="s">
        <v>561</v>
      </c>
      <c r="BL25" s="53" t="s">
        <v>561</v>
      </c>
      <c r="BM25" s="53" t="s">
        <v>561</v>
      </c>
      <c r="BN25" s="53" t="s">
        <v>561</v>
      </c>
      <c r="BO25" s="53" t="s">
        <v>53</v>
      </c>
      <c r="BP25" s="53" t="s">
        <v>561</v>
      </c>
      <c r="BQ25" s="118" t="s">
        <v>821</v>
      </c>
      <c r="BR25" s="118" t="s">
        <v>821</v>
      </c>
      <c r="BS25" s="118" t="s">
        <v>821</v>
      </c>
      <c r="BT25" s="122"/>
      <c r="BU25" s="122">
        <f t="shared" ref="BU25:BU32" si="9">SUM(BV25:BY25)</f>
        <v>0</v>
      </c>
      <c r="BV25" s="126"/>
      <c r="BW25" s="126"/>
      <c r="BX25" s="127"/>
      <c r="BY25" s="127"/>
      <c r="BZ25" s="13"/>
      <c r="CA25" s="13" t="s">
        <v>561</v>
      </c>
      <c r="CB25" s="13"/>
      <c r="CC25" s="13"/>
    </row>
    <row r="26">
      <c r="A26" s="44" t="str">
        <f>LOOKUP(H26,'Letter grades'!$A$1:$B$6)</f>
        <v>C</v>
      </c>
      <c r="B26" s="44">
        <f t="shared" si="3"/>
        <v>22</v>
      </c>
      <c r="C26" s="44" t="s">
        <v>999</v>
      </c>
      <c r="D26" s="44" t="s">
        <v>1000</v>
      </c>
      <c r="E26" s="98" t="s">
        <v>993</v>
      </c>
      <c r="F26" s="47">
        <f t="shared" si="4"/>
        <v>0.8333333333</v>
      </c>
      <c r="G26" s="47">
        <f t="shared" si="5"/>
        <v>0.5882352941</v>
      </c>
      <c r="H26" s="105">
        <f t="shared" si="6"/>
        <v>0.6699346405</v>
      </c>
      <c r="I26" s="13" t="s">
        <v>108</v>
      </c>
      <c r="J26" s="53" t="s">
        <v>487</v>
      </c>
      <c r="K26" s="53" t="s">
        <v>487</v>
      </c>
      <c r="L26" s="107" t="s">
        <v>487</v>
      </c>
      <c r="M26" s="53" t="s">
        <v>487</v>
      </c>
      <c r="N26" s="107" t="s">
        <v>594</v>
      </c>
      <c r="O26" s="53" t="s">
        <v>490</v>
      </c>
      <c r="P26" s="108" t="s">
        <v>53</v>
      </c>
      <c r="Q26" s="110" t="s">
        <v>53</v>
      </c>
      <c r="R26" s="108" t="s">
        <v>491</v>
      </c>
      <c r="S26" s="107" t="s">
        <v>53</v>
      </c>
      <c r="T26" s="107" t="s">
        <v>53</v>
      </c>
      <c r="U26" s="107" t="s">
        <v>53</v>
      </c>
      <c r="V26" s="107" t="s">
        <v>796</v>
      </c>
      <c r="W26" s="107" t="s">
        <v>796</v>
      </c>
      <c r="X26" s="53" t="s">
        <v>766</v>
      </c>
      <c r="Y26" s="107" t="s">
        <v>561</v>
      </c>
      <c r="Z26" s="53" t="s">
        <v>53</v>
      </c>
      <c r="AA26" s="107" t="s">
        <v>53</v>
      </c>
      <c r="AB26" s="53" t="s">
        <v>53</v>
      </c>
      <c r="AC26" s="53" t="s">
        <v>561</v>
      </c>
      <c r="AD26" s="107" t="s">
        <v>53</v>
      </c>
      <c r="AE26" s="107" t="s">
        <v>53</v>
      </c>
      <c r="AF26" s="107" t="s">
        <v>53</v>
      </c>
      <c r="AG26" s="107" t="s">
        <v>53</v>
      </c>
      <c r="AH26" s="107" t="s">
        <v>53</v>
      </c>
      <c r="AI26" s="107" t="s">
        <v>53</v>
      </c>
      <c r="AJ26" s="107" t="s">
        <v>53</v>
      </c>
      <c r="AK26" s="107" t="s">
        <v>561</v>
      </c>
      <c r="AL26" s="107" t="s">
        <v>561</v>
      </c>
      <c r="AM26" s="107" t="s">
        <v>53</v>
      </c>
      <c r="AN26" s="53" t="s">
        <v>561</v>
      </c>
      <c r="AO26" s="107" t="s">
        <v>561</v>
      </c>
      <c r="AP26" s="53" t="s">
        <v>53</v>
      </c>
      <c r="AQ26" s="53" t="s">
        <v>561</v>
      </c>
      <c r="AR26" s="53" t="s">
        <v>53</v>
      </c>
      <c r="AS26" s="53" t="s">
        <v>561</v>
      </c>
      <c r="AT26" s="53" t="s">
        <v>53</v>
      </c>
      <c r="AU26" s="53" t="s">
        <v>53</v>
      </c>
      <c r="AV26" s="53" t="s">
        <v>799</v>
      </c>
      <c r="AW26" s="53" t="s">
        <v>561</v>
      </c>
      <c r="AX26" s="53" t="s">
        <v>561</v>
      </c>
      <c r="AY26" s="53" t="s">
        <v>53</v>
      </c>
      <c r="AZ26" s="53" t="s">
        <v>53</v>
      </c>
      <c r="BA26" s="53" t="s">
        <v>53</v>
      </c>
      <c r="BB26" s="53" t="s">
        <v>53</v>
      </c>
      <c r="BC26" s="53" t="s">
        <v>53</v>
      </c>
      <c r="BD26" s="53" t="s">
        <v>799</v>
      </c>
      <c r="BE26" s="53" t="s">
        <v>53</v>
      </c>
      <c r="BF26" s="53" t="s">
        <v>561</v>
      </c>
      <c r="BG26" s="53" t="s">
        <v>561</v>
      </c>
      <c r="BH26" s="53" t="s">
        <v>53</v>
      </c>
      <c r="BI26" s="107" t="s">
        <v>53</v>
      </c>
      <c r="BJ26" s="107" t="s">
        <v>561</v>
      </c>
      <c r="BK26" s="53" t="s">
        <v>561</v>
      </c>
      <c r="BL26" s="53" t="s">
        <v>561</v>
      </c>
      <c r="BM26" s="53" t="s">
        <v>561</v>
      </c>
      <c r="BN26" s="53" t="s">
        <v>561</v>
      </c>
      <c r="BO26" s="53" t="s">
        <v>561</v>
      </c>
      <c r="BP26" s="53" t="s">
        <v>561</v>
      </c>
      <c r="BQ26" s="118" t="s">
        <v>821</v>
      </c>
      <c r="BR26" s="118" t="s">
        <v>821</v>
      </c>
      <c r="BS26" s="118" t="s">
        <v>821</v>
      </c>
      <c r="BT26" s="122"/>
      <c r="BU26" s="122">
        <f t="shared" si="9"/>
        <v>0</v>
      </c>
      <c r="BV26" s="126"/>
      <c r="BW26" s="126"/>
      <c r="BX26" s="127"/>
      <c r="BY26" s="127"/>
      <c r="BZ26" s="13"/>
      <c r="CA26" s="13" t="s">
        <v>561</v>
      </c>
      <c r="CB26" s="13"/>
      <c r="CC26" s="13"/>
    </row>
    <row r="27">
      <c r="A27" s="44" t="str">
        <f>LOOKUP(H27,'Letter grades'!$A$1:$B$6)</f>
        <v>C</v>
      </c>
      <c r="B27" s="44">
        <f t="shared" si="3"/>
        <v>23</v>
      </c>
      <c r="C27" s="44" t="s">
        <v>426</v>
      </c>
      <c r="D27" s="44" t="s">
        <v>735</v>
      </c>
      <c r="E27" s="145" t="s">
        <v>733</v>
      </c>
      <c r="F27" s="47">
        <f t="shared" si="4"/>
        <v>0.8333333333</v>
      </c>
      <c r="G27" s="47">
        <f t="shared" si="5"/>
        <v>0.55</v>
      </c>
      <c r="H27" s="105">
        <f t="shared" si="6"/>
        <v>0.6444444444</v>
      </c>
      <c r="I27" s="13" t="s">
        <v>108</v>
      </c>
      <c r="J27" s="53" t="s">
        <v>487</v>
      </c>
      <c r="K27" s="53" t="s">
        <v>487</v>
      </c>
      <c r="L27" s="107" t="s">
        <v>487</v>
      </c>
      <c r="M27" s="53" t="s">
        <v>487</v>
      </c>
      <c r="N27" s="107" t="s">
        <v>594</v>
      </c>
      <c r="O27" s="53" t="s">
        <v>490</v>
      </c>
      <c r="P27" s="108" t="s">
        <v>53</v>
      </c>
      <c r="Q27" s="110" t="s">
        <v>53</v>
      </c>
      <c r="R27" s="108" t="s">
        <v>491</v>
      </c>
      <c r="S27" s="107" t="s">
        <v>53</v>
      </c>
      <c r="T27" s="107" t="s">
        <v>53</v>
      </c>
      <c r="U27" s="107" t="s">
        <v>53</v>
      </c>
      <c r="V27" s="107" t="s">
        <v>796</v>
      </c>
      <c r="W27" s="107" t="s">
        <v>796</v>
      </c>
      <c r="X27" s="53" t="s">
        <v>766</v>
      </c>
      <c r="Y27" s="107" t="s">
        <v>561</v>
      </c>
      <c r="Z27" s="53" t="s">
        <v>53</v>
      </c>
      <c r="AA27" s="107" t="s">
        <v>801</v>
      </c>
      <c r="AB27" s="53" t="s">
        <v>53</v>
      </c>
      <c r="AC27" s="53" t="s">
        <v>561</v>
      </c>
      <c r="AD27" s="107" t="s">
        <v>53</v>
      </c>
      <c r="AE27" s="107" t="s">
        <v>53</v>
      </c>
      <c r="AF27" s="107" t="s">
        <v>53</v>
      </c>
      <c r="AG27" s="107" t="s">
        <v>53</v>
      </c>
      <c r="AH27" s="107" t="s">
        <v>53</v>
      </c>
      <c r="AI27" s="107" t="s">
        <v>53</v>
      </c>
      <c r="AJ27" s="107" t="s">
        <v>53</v>
      </c>
      <c r="AK27" s="107" t="s">
        <v>561</v>
      </c>
      <c r="AL27" s="107" t="s">
        <v>561</v>
      </c>
      <c r="AM27" s="107" t="s">
        <v>53</v>
      </c>
      <c r="AN27" s="53" t="s">
        <v>561</v>
      </c>
      <c r="AO27" s="107" t="s">
        <v>561</v>
      </c>
      <c r="AP27" s="53" t="s">
        <v>53</v>
      </c>
      <c r="AQ27" s="53" t="s">
        <v>561</v>
      </c>
      <c r="AR27" s="53" t="s">
        <v>53</v>
      </c>
      <c r="AS27" s="53" t="s">
        <v>561</v>
      </c>
      <c r="AT27" s="53" t="s">
        <v>53</v>
      </c>
      <c r="AU27" s="53" t="s">
        <v>561</v>
      </c>
      <c r="AV27" s="53" t="s">
        <v>799</v>
      </c>
      <c r="AW27" s="53" t="s">
        <v>561</v>
      </c>
      <c r="AX27" s="53" t="s">
        <v>561</v>
      </c>
      <c r="AY27" s="53" t="s">
        <v>561</v>
      </c>
      <c r="AZ27" s="53" t="s">
        <v>53</v>
      </c>
      <c r="BA27" s="53" t="s">
        <v>53</v>
      </c>
      <c r="BB27" s="53" t="s">
        <v>53</v>
      </c>
      <c r="BC27" s="53" t="s">
        <v>53</v>
      </c>
      <c r="BD27" s="53" t="s">
        <v>561</v>
      </c>
      <c r="BE27" s="53" t="s">
        <v>53</v>
      </c>
      <c r="BF27" s="53" t="s">
        <v>561</v>
      </c>
      <c r="BG27" s="53" t="s">
        <v>561</v>
      </c>
      <c r="BH27" s="53" t="s">
        <v>561</v>
      </c>
      <c r="BI27" s="107" t="s">
        <v>53</v>
      </c>
      <c r="BJ27" s="107" t="s">
        <v>53</v>
      </c>
      <c r="BK27" s="53" t="s">
        <v>561</v>
      </c>
      <c r="BL27" s="53" t="s">
        <v>561</v>
      </c>
      <c r="BM27" s="53" t="s">
        <v>561</v>
      </c>
      <c r="BN27" s="53" t="s">
        <v>561</v>
      </c>
      <c r="BO27" s="53" t="s">
        <v>53</v>
      </c>
      <c r="BP27" s="53" t="s">
        <v>561</v>
      </c>
      <c r="BQ27" s="118" t="s">
        <v>821</v>
      </c>
      <c r="BR27" s="118" t="s">
        <v>821</v>
      </c>
      <c r="BS27" s="118" t="s">
        <v>821</v>
      </c>
      <c r="BT27" s="122"/>
      <c r="BU27" s="122">
        <f t="shared" si="9"/>
        <v>0</v>
      </c>
      <c r="BV27" s="126"/>
      <c r="BW27" s="126"/>
      <c r="BX27" s="127"/>
      <c r="BY27" s="127"/>
      <c r="BZ27" s="13"/>
      <c r="CA27" s="13" t="s">
        <v>561</v>
      </c>
      <c r="CB27" s="13"/>
      <c r="CC27" s="13"/>
    </row>
    <row r="28">
      <c r="A28" s="44" t="str">
        <f>LOOKUP(H28,'Letter grades'!$A$1:$B$6)</f>
        <v>C</v>
      </c>
      <c r="B28" s="44">
        <f t="shared" si="3"/>
        <v>24</v>
      </c>
      <c r="C28" s="44" t="s">
        <v>176</v>
      </c>
      <c r="D28" s="44" t="s">
        <v>178</v>
      </c>
      <c r="E28" s="98" t="s">
        <v>173</v>
      </c>
      <c r="F28" s="47">
        <f t="shared" si="4"/>
        <v>1</v>
      </c>
      <c r="G28" s="47">
        <f t="shared" si="5"/>
        <v>0.4591836735</v>
      </c>
      <c r="H28" s="105">
        <f t="shared" si="6"/>
        <v>0.6394557823</v>
      </c>
      <c r="I28" s="13" t="s">
        <v>1375</v>
      </c>
      <c r="J28" s="53" t="s">
        <v>487</v>
      </c>
      <c r="K28" s="53" t="s">
        <v>487</v>
      </c>
      <c r="L28" s="107" t="s">
        <v>487</v>
      </c>
      <c r="M28" s="53" t="s">
        <v>487</v>
      </c>
      <c r="N28" s="53" t="s">
        <v>487</v>
      </c>
      <c r="O28" s="53" t="s">
        <v>490</v>
      </c>
      <c r="P28" s="108" t="s">
        <v>53</v>
      </c>
      <c r="Q28" s="110" t="s">
        <v>53</v>
      </c>
      <c r="R28" s="108" t="s">
        <v>491</v>
      </c>
      <c r="S28" s="107" t="s">
        <v>53</v>
      </c>
      <c r="T28" s="107" t="s">
        <v>561</v>
      </c>
      <c r="U28" s="107" t="s">
        <v>53</v>
      </c>
      <c r="V28" s="107" t="s">
        <v>796</v>
      </c>
      <c r="W28" s="107" t="s">
        <v>796</v>
      </c>
      <c r="X28" s="53" t="s">
        <v>766</v>
      </c>
      <c r="Y28" s="107" t="s">
        <v>561</v>
      </c>
      <c r="Z28" s="53" t="s">
        <v>53</v>
      </c>
      <c r="AA28" s="107" t="s">
        <v>53</v>
      </c>
      <c r="AB28" s="53" t="s">
        <v>53</v>
      </c>
      <c r="AC28" s="53" t="s">
        <v>561</v>
      </c>
      <c r="AD28" s="107" t="s">
        <v>53</v>
      </c>
      <c r="AE28" s="107" t="s">
        <v>53</v>
      </c>
      <c r="AF28" s="107" t="s">
        <v>53</v>
      </c>
      <c r="AG28" s="107" t="s">
        <v>53</v>
      </c>
      <c r="AH28" s="107" t="s">
        <v>801</v>
      </c>
      <c r="AI28" s="107" t="s">
        <v>53</v>
      </c>
      <c r="AJ28" s="107" t="s">
        <v>53</v>
      </c>
      <c r="AK28" s="107" t="s">
        <v>53</v>
      </c>
      <c r="AL28" s="107" t="s">
        <v>561</v>
      </c>
      <c r="AM28" s="107" t="s">
        <v>561</v>
      </c>
      <c r="AN28" s="53" t="s">
        <v>561</v>
      </c>
      <c r="AO28" s="107" t="s">
        <v>561</v>
      </c>
      <c r="AP28" s="53" t="s">
        <v>53</v>
      </c>
      <c r="AQ28" s="53" t="s">
        <v>561</v>
      </c>
      <c r="AR28" s="53" t="s">
        <v>53</v>
      </c>
      <c r="AS28" s="53" t="s">
        <v>561</v>
      </c>
      <c r="AT28" s="53" t="s">
        <v>53</v>
      </c>
      <c r="AU28" s="53" t="s">
        <v>561</v>
      </c>
      <c r="AV28" s="53" t="s">
        <v>799</v>
      </c>
      <c r="AW28" s="53" t="s">
        <v>561</v>
      </c>
      <c r="AX28" s="53" t="s">
        <v>561</v>
      </c>
      <c r="AY28" s="53" t="s">
        <v>561</v>
      </c>
      <c r="AZ28" s="53" t="s">
        <v>53</v>
      </c>
      <c r="BA28" s="53" t="s">
        <v>561</v>
      </c>
      <c r="BB28" s="53" t="s">
        <v>53</v>
      </c>
      <c r="BC28" s="53" t="s">
        <v>561</v>
      </c>
      <c r="BD28" s="53" t="s">
        <v>561</v>
      </c>
      <c r="BE28" s="53" t="s">
        <v>53</v>
      </c>
      <c r="BF28" s="53" t="s">
        <v>561</v>
      </c>
      <c r="BG28" s="53" t="s">
        <v>561</v>
      </c>
      <c r="BH28" s="53" t="s">
        <v>561</v>
      </c>
      <c r="BI28" s="107" t="s">
        <v>53</v>
      </c>
      <c r="BJ28" s="107" t="s">
        <v>561</v>
      </c>
      <c r="BK28" s="53" t="s">
        <v>561</v>
      </c>
      <c r="BL28" s="53" t="s">
        <v>561</v>
      </c>
      <c r="BM28" s="53" t="s">
        <v>561</v>
      </c>
      <c r="BN28" s="53" t="s">
        <v>561</v>
      </c>
      <c r="BO28" s="53" t="s">
        <v>561</v>
      </c>
      <c r="BP28" s="53" t="s">
        <v>600</v>
      </c>
      <c r="BQ28" s="118" t="s">
        <v>821</v>
      </c>
      <c r="BR28" s="118" t="s">
        <v>821</v>
      </c>
      <c r="BS28" s="118" t="s">
        <v>821</v>
      </c>
      <c r="BT28" s="122"/>
      <c r="BU28" s="122">
        <f t="shared" si="9"/>
        <v>0</v>
      </c>
      <c r="BV28" s="126"/>
      <c r="BW28" s="126"/>
      <c r="BX28" s="127"/>
      <c r="BY28" s="127"/>
      <c r="BZ28" s="13"/>
      <c r="CA28" s="13" t="s">
        <v>561</v>
      </c>
      <c r="CB28" s="13"/>
      <c r="CC28" s="13"/>
    </row>
    <row r="29">
      <c r="A29" s="44" t="str">
        <f>LOOKUP(H29,'Letter grades'!$A$1:$B$6)</f>
        <v>C</v>
      </c>
      <c r="B29" s="44">
        <f t="shared" si="3"/>
        <v>25</v>
      </c>
      <c r="C29" s="44" t="s">
        <v>852</v>
      </c>
      <c r="D29" s="44" t="s">
        <v>853</v>
      </c>
      <c r="E29" s="98" t="s">
        <v>847</v>
      </c>
      <c r="F29" s="47">
        <f t="shared" si="4"/>
        <v>0.8333333333</v>
      </c>
      <c r="G29" s="47">
        <f t="shared" si="5"/>
        <v>0.5392156863</v>
      </c>
      <c r="H29" s="105">
        <f t="shared" si="6"/>
        <v>0.637254902</v>
      </c>
      <c r="I29" s="13" t="s">
        <v>108</v>
      </c>
      <c r="J29" s="53" t="s">
        <v>487</v>
      </c>
      <c r="K29" s="53" t="s">
        <v>487</v>
      </c>
      <c r="L29" s="107" t="s">
        <v>487</v>
      </c>
      <c r="M29" s="53" t="s">
        <v>594</v>
      </c>
      <c r="N29" s="53" t="s">
        <v>487</v>
      </c>
      <c r="O29" s="53" t="s">
        <v>490</v>
      </c>
      <c r="P29" s="108" t="s">
        <v>53</v>
      </c>
      <c r="Q29" s="110" t="s">
        <v>53</v>
      </c>
      <c r="R29" s="108" t="s">
        <v>799</v>
      </c>
      <c r="S29" s="107" t="s">
        <v>53</v>
      </c>
      <c r="T29" s="107" t="s">
        <v>561</v>
      </c>
      <c r="U29" s="107" t="s">
        <v>53</v>
      </c>
      <c r="V29" s="107" t="s">
        <v>796</v>
      </c>
      <c r="W29" s="107" t="s">
        <v>796</v>
      </c>
      <c r="X29" s="53" t="s">
        <v>766</v>
      </c>
      <c r="Y29" s="107" t="s">
        <v>561</v>
      </c>
      <c r="Z29" s="53" t="s">
        <v>53</v>
      </c>
      <c r="AA29" s="107" t="s">
        <v>53</v>
      </c>
      <c r="AB29" s="53" t="s">
        <v>53</v>
      </c>
      <c r="AC29" s="53" t="s">
        <v>561</v>
      </c>
      <c r="AD29" s="107" t="s">
        <v>53</v>
      </c>
      <c r="AE29" s="107" t="s">
        <v>53</v>
      </c>
      <c r="AF29" s="107" t="s">
        <v>53</v>
      </c>
      <c r="AG29" s="107" t="s">
        <v>53</v>
      </c>
      <c r="AH29" s="107" t="s">
        <v>53</v>
      </c>
      <c r="AI29" s="107" t="s">
        <v>53</v>
      </c>
      <c r="AJ29" s="107" t="s">
        <v>561</v>
      </c>
      <c r="AK29" s="107" t="s">
        <v>561</v>
      </c>
      <c r="AL29" s="107" t="s">
        <v>561</v>
      </c>
      <c r="AM29" s="107" t="s">
        <v>561</v>
      </c>
      <c r="AN29" s="53" t="s">
        <v>561</v>
      </c>
      <c r="AO29" s="107" t="s">
        <v>561</v>
      </c>
      <c r="AP29" s="53" t="s">
        <v>561</v>
      </c>
      <c r="AQ29" s="53" t="s">
        <v>561</v>
      </c>
      <c r="AR29" s="53" t="s">
        <v>53</v>
      </c>
      <c r="AS29" s="53" t="s">
        <v>561</v>
      </c>
      <c r="AT29" s="53" t="s">
        <v>53</v>
      </c>
      <c r="AU29" s="53" t="s">
        <v>53</v>
      </c>
      <c r="AV29" s="53" t="s">
        <v>799</v>
      </c>
      <c r="AW29" s="53" t="s">
        <v>561</v>
      </c>
      <c r="AX29" s="53" t="s">
        <v>561</v>
      </c>
      <c r="AY29" s="53" t="s">
        <v>53</v>
      </c>
      <c r="AZ29" s="53" t="s">
        <v>53</v>
      </c>
      <c r="BA29" s="53" t="s">
        <v>561</v>
      </c>
      <c r="BB29" s="53" t="s">
        <v>53</v>
      </c>
      <c r="BC29" s="53" t="s">
        <v>53</v>
      </c>
      <c r="BD29" s="53" t="s">
        <v>561</v>
      </c>
      <c r="BE29" s="53" t="s">
        <v>53</v>
      </c>
      <c r="BF29" s="53" t="s">
        <v>799</v>
      </c>
      <c r="BG29" s="53" t="s">
        <v>53</v>
      </c>
      <c r="BH29" s="53" t="s">
        <v>53</v>
      </c>
      <c r="BI29" s="107" t="s">
        <v>561</v>
      </c>
      <c r="BJ29" s="107" t="s">
        <v>561</v>
      </c>
      <c r="BK29" s="53" t="s">
        <v>561</v>
      </c>
      <c r="BL29" s="53" t="s">
        <v>561</v>
      </c>
      <c r="BM29" s="53" t="s">
        <v>799</v>
      </c>
      <c r="BN29" s="53" t="s">
        <v>53</v>
      </c>
      <c r="BO29" s="53" t="s">
        <v>53</v>
      </c>
      <c r="BP29" s="53" t="s">
        <v>799</v>
      </c>
      <c r="BQ29" s="118" t="s">
        <v>821</v>
      </c>
      <c r="BR29" s="118" t="s">
        <v>821</v>
      </c>
      <c r="BS29" s="118" t="s">
        <v>821</v>
      </c>
      <c r="BT29" s="122"/>
      <c r="BU29" s="122">
        <f t="shared" si="9"/>
        <v>0</v>
      </c>
      <c r="BV29" s="126"/>
      <c r="BW29" s="126"/>
      <c r="BX29" s="127"/>
      <c r="BY29" s="127"/>
      <c r="BZ29" s="13" t="s">
        <v>561</v>
      </c>
      <c r="CA29" s="13" t="s">
        <v>561</v>
      </c>
      <c r="CB29" s="13"/>
      <c r="CC29" s="13"/>
    </row>
    <row r="30">
      <c r="A30" s="44" t="str">
        <f>LOOKUP(H30,'Letter grades'!$A$1:$B$6)</f>
        <v>C</v>
      </c>
      <c r="B30" s="44">
        <f t="shared" si="3"/>
        <v>26</v>
      </c>
      <c r="C30" s="107" t="s">
        <v>1984</v>
      </c>
      <c r="D30" s="107" t="s">
        <v>1985</v>
      </c>
      <c r="E30" s="148" t="s">
        <v>435</v>
      </c>
      <c r="F30" s="47">
        <f t="shared" si="4"/>
        <v>0.3333333333</v>
      </c>
      <c r="G30" s="47">
        <f t="shared" si="5"/>
        <v>0.7777777778</v>
      </c>
      <c r="H30" s="105">
        <f t="shared" si="6"/>
        <v>0.6296296296</v>
      </c>
      <c r="I30" s="13" t="s">
        <v>108</v>
      </c>
      <c r="J30" s="53" t="s">
        <v>487</v>
      </c>
      <c r="K30" s="53" t="s">
        <v>487</v>
      </c>
      <c r="L30" s="107" t="s">
        <v>594</v>
      </c>
      <c r="M30" s="53" t="s">
        <v>594</v>
      </c>
      <c r="N30" s="107" t="s">
        <v>594</v>
      </c>
      <c r="O30" s="53" t="s">
        <v>1065</v>
      </c>
      <c r="P30" s="108" t="s">
        <v>53</v>
      </c>
      <c r="Q30" s="110" t="s">
        <v>53</v>
      </c>
      <c r="R30" s="108" t="s">
        <v>491</v>
      </c>
      <c r="S30" s="107" t="s">
        <v>53</v>
      </c>
      <c r="T30" s="107" t="s">
        <v>53</v>
      </c>
      <c r="U30" s="107" t="s">
        <v>53</v>
      </c>
      <c r="V30" s="107" t="s">
        <v>801</v>
      </c>
      <c r="W30" s="107" t="s">
        <v>801</v>
      </c>
      <c r="X30" s="53" t="s">
        <v>766</v>
      </c>
      <c r="Y30" s="107" t="s">
        <v>561</v>
      </c>
      <c r="Z30" s="53" t="s">
        <v>53</v>
      </c>
      <c r="AA30" s="53" t="s">
        <v>600</v>
      </c>
      <c r="AB30" s="53" t="s">
        <v>600</v>
      </c>
      <c r="AC30" s="53" t="s">
        <v>600</v>
      </c>
      <c r="AD30" s="53" t="s">
        <v>600</v>
      </c>
      <c r="AE30" s="53" t="s">
        <v>600</v>
      </c>
      <c r="AF30" s="53" t="s">
        <v>600</v>
      </c>
      <c r="AG30" s="53" t="s">
        <v>600</v>
      </c>
      <c r="AH30" s="53" t="s">
        <v>600</v>
      </c>
      <c r="AI30" s="53" t="s">
        <v>600</v>
      </c>
      <c r="AJ30" s="53" t="s">
        <v>600</v>
      </c>
      <c r="AK30" s="53" t="s">
        <v>600</v>
      </c>
      <c r="AL30" s="53" t="s">
        <v>600</v>
      </c>
      <c r="AM30" s="53" t="s">
        <v>600</v>
      </c>
      <c r="AN30" s="53" t="s">
        <v>600</v>
      </c>
      <c r="AO30" s="53" t="s">
        <v>600</v>
      </c>
      <c r="AP30" s="53" t="s">
        <v>600</v>
      </c>
      <c r="AQ30" s="53" t="s">
        <v>600</v>
      </c>
      <c r="AR30" s="53" t="s">
        <v>600</v>
      </c>
      <c r="AS30" s="53" t="s">
        <v>600</v>
      </c>
      <c r="AT30" s="53" t="s">
        <v>600</v>
      </c>
      <c r="AU30" s="53" t="s">
        <v>600</v>
      </c>
      <c r="AV30" s="53" t="s">
        <v>600</v>
      </c>
      <c r="AW30" s="53" t="s">
        <v>600</v>
      </c>
      <c r="AX30" s="53" t="s">
        <v>600</v>
      </c>
      <c r="AY30" s="53" t="s">
        <v>600</v>
      </c>
      <c r="AZ30" s="53" t="s">
        <v>600</v>
      </c>
      <c r="BA30" s="53" t="s">
        <v>600</v>
      </c>
      <c r="BB30" s="53" t="s">
        <v>600</v>
      </c>
      <c r="BC30" s="53" t="s">
        <v>600</v>
      </c>
      <c r="BD30" s="53" t="s">
        <v>600</v>
      </c>
      <c r="BE30" s="53" t="s">
        <v>600</v>
      </c>
      <c r="BF30" s="53" t="s">
        <v>600</v>
      </c>
      <c r="BG30" s="53" t="s">
        <v>600</v>
      </c>
      <c r="BH30" s="53" t="s">
        <v>600</v>
      </c>
      <c r="BI30" s="107" t="s">
        <v>600</v>
      </c>
      <c r="BJ30" s="107" t="s">
        <v>600</v>
      </c>
      <c r="BK30" s="53" t="s">
        <v>600</v>
      </c>
      <c r="BL30" s="53" t="s">
        <v>600</v>
      </c>
      <c r="BM30" s="53" t="s">
        <v>600</v>
      </c>
      <c r="BN30" s="53" t="s">
        <v>600</v>
      </c>
      <c r="BO30" s="53" t="s">
        <v>600</v>
      </c>
      <c r="BP30" s="53" t="s">
        <v>600</v>
      </c>
      <c r="BQ30" s="180" t="s">
        <v>1832</v>
      </c>
      <c r="BR30" s="180" t="s">
        <v>1832</v>
      </c>
      <c r="BS30" s="180" t="s">
        <v>1832</v>
      </c>
      <c r="BT30" s="122"/>
      <c r="BU30" s="122">
        <f t="shared" si="9"/>
        <v>54240</v>
      </c>
      <c r="BV30" s="126">
        <v>54240.0</v>
      </c>
      <c r="BW30" s="126"/>
      <c r="BX30" s="127"/>
      <c r="BY30" s="127"/>
      <c r="BZ30" s="13"/>
      <c r="CA30" s="13"/>
      <c r="CB30" s="13"/>
      <c r="CC30" s="13" t="s">
        <v>561</v>
      </c>
    </row>
    <row r="31">
      <c r="A31" s="44" t="str">
        <f>LOOKUP(H31,'Letter grades'!$A$1:$B$6)</f>
        <v>C</v>
      </c>
      <c r="B31" s="44">
        <f t="shared" si="3"/>
        <v>27</v>
      </c>
      <c r="C31" s="44" t="s">
        <v>684</v>
      </c>
      <c r="D31" s="44" t="s">
        <v>685</v>
      </c>
      <c r="E31" s="98" t="s">
        <v>681</v>
      </c>
      <c r="F31" s="47">
        <f t="shared" si="4"/>
        <v>0.8333333333</v>
      </c>
      <c r="G31" s="47">
        <f t="shared" si="5"/>
        <v>0.5102040816</v>
      </c>
      <c r="H31" s="105">
        <f t="shared" si="6"/>
        <v>0.6179138322</v>
      </c>
      <c r="I31" s="13" t="s">
        <v>108</v>
      </c>
      <c r="J31" s="53" t="s">
        <v>487</v>
      </c>
      <c r="K31" s="53" t="s">
        <v>487</v>
      </c>
      <c r="L31" s="107" t="s">
        <v>487</v>
      </c>
      <c r="M31" s="53" t="s">
        <v>487</v>
      </c>
      <c r="N31" s="107" t="s">
        <v>594</v>
      </c>
      <c r="O31" s="53" t="s">
        <v>490</v>
      </c>
      <c r="P31" s="108" t="s">
        <v>53</v>
      </c>
      <c r="Q31" s="110" t="s">
        <v>53</v>
      </c>
      <c r="R31" s="108" t="s">
        <v>491</v>
      </c>
      <c r="S31" s="107" t="s">
        <v>53</v>
      </c>
      <c r="T31" s="107" t="s">
        <v>561</v>
      </c>
      <c r="U31" s="107" t="s">
        <v>561</v>
      </c>
      <c r="V31" s="107" t="s">
        <v>796</v>
      </c>
      <c r="W31" s="107" t="s">
        <v>796</v>
      </c>
      <c r="X31" s="53" t="s">
        <v>766</v>
      </c>
      <c r="Y31" s="107" t="s">
        <v>801</v>
      </c>
      <c r="Z31" s="53" t="s">
        <v>801</v>
      </c>
      <c r="AA31" s="107" t="s">
        <v>53</v>
      </c>
      <c r="AB31" s="53" t="s">
        <v>53</v>
      </c>
      <c r="AC31" s="53" t="s">
        <v>561</v>
      </c>
      <c r="AD31" s="107" t="s">
        <v>53</v>
      </c>
      <c r="AE31" s="107" t="s">
        <v>53</v>
      </c>
      <c r="AF31" s="107" t="s">
        <v>53</v>
      </c>
      <c r="AG31" s="107" t="s">
        <v>53</v>
      </c>
      <c r="AH31" s="107" t="s">
        <v>53</v>
      </c>
      <c r="AI31" s="107" t="s">
        <v>53</v>
      </c>
      <c r="AJ31" s="107" t="s">
        <v>53</v>
      </c>
      <c r="AK31" s="107" t="s">
        <v>53</v>
      </c>
      <c r="AL31" s="107" t="s">
        <v>561</v>
      </c>
      <c r="AM31" s="107" t="s">
        <v>53</v>
      </c>
      <c r="AN31" s="53" t="s">
        <v>561</v>
      </c>
      <c r="AO31" s="107" t="s">
        <v>561</v>
      </c>
      <c r="AP31" s="53" t="s">
        <v>561</v>
      </c>
      <c r="AQ31" s="53" t="s">
        <v>561</v>
      </c>
      <c r="AR31" s="53" t="s">
        <v>53</v>
      </c>
      <c r="AS31" s="53" t="s">
        <v>561</v>
      </c>
      <c r="AT31" s="53" t="s">
        <v>53</v>
      </c>
      <c r="AU31" s="53" t="s">
        <v>53</v>
      </c>
      <c r="AV31" s="53" t="s">
        <v>799</v>
      </c>
      <c r="AW31" s="53" t="s">
        <v>561</v>
      </c>
      <c r="AX31" s="53" t="s">
        <v>561</v>
      </c>
      <c r="AY31" s="53" t="s">
        <v>53</v>
      </c>
      <c r="AZ31" s="53" t="s">
        <v>53</v>
      </c>
      <c r="BA31" s="53" t="s">
        <v>561</v>
      </c>
      <c r="BB31" s="53" t="s">
        <v>53</v>
      </c>
      <c r="BC31" s="53" t="s">
        <v>561</v>
      </c>
      <c r="BD31" s="53" t="s">
        <v>561</v>
      </c>
      <c r="BE31" s="53" t="s">
        <v>53</v>
      </c>
      <c r="BF31" s="53" t="s">
        <v>561</v>
      </c>
      <c r="BG31" s="53" t="s">
        <v>561</v>
      </c>
      <c r="BH31" s="53" t="s">
        <v>561</v>
      </c>
      <c r="BI31" s="107" t="s">
        <v>561</v>
      </c>
      <c r="BJ31" s="107" t="s">
        <v>561</v>
      </c>
      <c r="BK31" s="53" t="s">
        <v>561</v>
      </c>
      <c r="BL31" s="53" t="s">
        <v>561</v>
      </c>
      <c r="BM31" s="53" t="s">
        <v>561</v>
      </c>
      <c r="BN31" s="53" t="s">
        <v>53</v>
      </c>
      <c r="BO31" s="53" t="s">
        <v>53</v>
      </c>
      <c r="BP31" s="53" t="s">
        <v>799</v>
      </c>
      <c r="BQ31" s="118" t="s">
        <v>821</v>
      </c>
      <c r="BR31" s="118" t="s">
        <v>821</v>
      </c>
      <c r="BS31" s="118" t="s">
        <v>821</v>
      </c>
      <c r="BT31" s="122"/>
      <c r="BU31" s="122">
        <f t="shared" si="9"/>
        <v>0</v>
      </c>
      <c r="BV31" s="126"/>
      <c r="BW31" s="126"/>
      <c r="BX31" s="127"/>
      <c r="BY31" s="127"/>
      <c r="BZ31" s="13"/>
      <c r="CA31" s="13" t="s">
        <v>561</v>
      </c>
      <c r="CB31" s="13"/>
      <c r="CC31" s="13"/>
    </row>
    <row r="32">
      <c r="A32" s="44" t="str">
        <f>LOOKUP(H32,'Letter grades'!$A$1:$B$6)</f>
        <v>C</v>
      </c>
      <c r="B32" s="44">
        <f t="shared" si="3"/>
        <v>28</v>
      </c>
      <c r="C32" s="44" t="s">
        <v>562</v>
      </c>
      <c r="D32" s="44" t="s">
        <v>563</v>
      </c>
      <c r="E32" s="98" t="s">
        <v>559</v>
      </c>
      <c r="F32" s="47">
        <f t="shared" si="4"/>
        <v>0.5</v>
      </c>
      <c r="G32" s="47">
        <f t="shared" si="5"/>
        <v>0.6704545455</v>
      </c>
      <c r="H32" s="105">
        <f t="shared" si="6"/>
        <v>0.6136363636</v>
      </c>
      <c r="I32" s="13" t="s">
        <v>108</v>
      </c>
      <c r="J32" s="53" t="s">
        <v>487</v>
      </c>
      <c r="K32" s="53" t="s">
        <v>487</v>
      </c>
      <c r="L32" s="107" t="s">
        <v>487</v>
      </c>
      <c r="M32" s="53" t="s">
        <v>594</v>
      </c>
      <c r="N32" s="107" t="s">
        <v>594</v>
      </c>
      <c r="O32" s="53" t="s">
        <v>1065</v>
      </c>
      <c r="P32" s="108" t="s">
        <v>53</v>
      </c>
      <c r="Q32" s="110" t="s">
        <v>53</v>
      </c>
      <c r="R32" s="108" t="s">
        <v>491</v>
      </c>
      <c r="S32" s="107" t="s">
        <v>53</v>
      </c>
      <c r="T32" s="107" t="s">
        <v>53</v>
      </c>
      <c r="U32" s="107" t="s">
        <v>53</v>
      </c>
      <c r="V32" s="107" t="s">
        <v>491</v>
      </c>
      <c r="W32" s="107" t="s">
        <v>491</v>
      </c>
      <c r="X32" s="53" t="s">
        <v>766</v>
      </c>
      <c r="Y32" s="107" t="s">
        <v>561</v>
      </c>
      <c r="Z32" s="53" t="s">
        <v>53</v>
      </c>
      <c r="AA32" s="107" t="s">
        <v>53</v>
      </c>
      <c r="AB32" s="53" t="s">
        <v>53</v>
      </c>
      <c r="AC32" s="53" t="s">
        <v>561</v>
      </c>
      <c r="AD32" s="107" t="s">
        <v>53</v>
      </c>
      <c r="AE32" s="107" t="s">
        <v>53</v>
      </c>
      <c r="AF32" s="107" t="s">
        <v>561</v>
      </c>
      <c r="AG32" s="107" t="s">
        <v>53</v>
      </c>
      <c r="AH32" s="107" t="s">
        <v>53</v>
      </c>
      <c r="AI32" s="107" t="s">
        <v>53</v>
      </c>
      <c r="AJ32" s="107" t="s">
        <v>53</v>
      </c>
      <c r="AK32" s="107" t="s">
        <v>53</v>
      </c>
      <c r="AL32" s="107" t="s">
        <v>53</v>
      </c>
      <c r="AM32" s="107" t="s">
        <v>53</v>
      </c>
      <c r="AN32" s="53" t="s">
        <v>561</v>
      </c>
      <c r="AO32" s="107" t="s">
        <v>561</v>
      </c>
      <c r="AP32" s="53" t="s">
        <v>53</v>
      </c>
      <c r="AQ32" s="53" t="s">
        <v>561</v>
      </c>
      <c r="AR32" s="53" t="s">
        <v>53</v>
      </c>
      <c r="AS32" s="53" t="s">
        <v>561</v>
      </c>
      <c r="AT32" s="53" t="s">
        <v>53</v>
      </c>
      <c r="AU32" s="53" t="s">
        <v>53</v>
      </c>
      <c r="AV32" s="53" t="s">
        <v>799</v>
      </c>
      <c r="AW32" s="53" t="s">
        <v>561</v>
      </c>
      <c r="AX32" s="53" t="s">
        <v>561</v>
      </c>
      <c r="AY32" s="53" t="s">
        <v>53</v>
      </c>
      <c r="AZ32" s="53" t="s">
        <v>53</v>
      </c>
      <c r="BA32" s="53" t="s">
        <v>53</v>
      </c>
      <c r="BB32" s="53" t="s">
        <v>53</v>
      </c>
      <c r="BC32" s="53" t="s">
        <v>53</v>
      </c>
      <c r="BD32" s="53" t="s">
        <v>561</v>
      </c>
      <c r="BE32" s="53" t="s">
        <v>561</v>
      </c>
      <c r="BF32" s="53" t="s">
        <v>801</v>
      </c>
      <c r="BG32" s="53" t="s">
        <v>561</v>
      </c>
      <c r="BH32" s="53" t="s">
        <v>561</v>
      </c>
      <c r="BI32" s="107" t="s">
        <v>600</v>
      </c>
      <c r="BJ32" s="107" t="s">
        <v>600</v>
      </c>
      <c r="BK32" s="53" t="s">
        <v>600</v>
      </c>
      <c r="BL32" s="53" t="s">
        <v>600</v>
      </c>
      <c r="BM32" s="53" t="s">
        <v>600</v>
      </c>
      <c r="BN32" s="53" t="s">
        <v>600</v>
      </c>
      <c r="BO32" s="53" t="s">
        <v>600</v>
      </c>
      <c r="BP32" s="53" t="s">
        <v>600</v>
      </c>
      <c r="BQ32" s="118" t="s">
        <v>821</v>
      </c>
      <c r="BR32" s="118" t="s">
        <v>821</v>
      </c>
      <c r="BS32" s="118" t="s">
        <v>821</v>
      </c>
      <c r="BT32" s="122"/>
      <c r="BU32" s="122">
        <f t="shared" si="9"/>
        <v>20800</v>
      </c>
      <c r="BV32" s="126">
        <v>20800.0</v>
      </c>
      <c r="BW32" s="126"/>
      <c r="BX32" s="127"/>
      <c r="BY32" s="127"/>
      <c r="BZ32" s="13"/>
      <c r="CA32" s="13"/>
      <c r="CB32" s="13"/>
      <c r="CC32" s="13"/>
    </row>
    <row r="33">
      <c r="A33" s="44" t="str">
        <f>LOOKUP(H33,'Letter grades'!$A$1:$B$6)</f>
        <v>C</v>
      </c>
      <c r="B33" s="44">
        <f t="shared" si="3"/>
        <v>29</v>
      </c>
      <c r="C33" s="107" t="s">
        <v>2110</v>
      </c>
      <c r="D33" s="107" t="s">
        <v>2112</v>
      </c>
      <c r="E33" s="148" t="s">
        <v>57</v>
      </c>
      <c r="F33" s="47">
        <f t="shared" si="4"/>
        <v>0.5</v>
      </c>
      <c r="G33" s="47">
        <f t="shared" si="5"/>
        <v>0.6666666667</v>
      </c>
      <c r="H33" s="105">
        <f t="shared" si="6"/>
        <v>0.6111111111</v>
      </c>
      <c r="I33" s="13"/>
      <c r="J33" s="53" t="s">
        <v>487</v>
      </c>
      <c r="K33" s="53" t="s">
        <v>594</v>
      </c>
      <c r="L33" s="53" t="s">
        <v>487</v>
      </c>
      <c r="M33" s="53" t="s">
        <v>594</v>
      </c>
      <c r="N33" s="107" t="s">
        <v>594</v>
      </c>
      <c r="O33" s="53" t="s">
        <v>490</v>
      </c>
      <c r="P33" s="108" t="s">
        <v>53</v>
      </c>
      <c r="Q33" s="110" t="s">
        <v>53</v>
      </c>
      <c r="R33" s="108" t="s">
        <v>491</v>
      </c>
      <c r="S33" s="107" t="s">
        <v>53</v>
      </c>
      <c r="T33" s="107" t="s">
        <v>53</v>
      </c>
      <c r="U33" s="107" t="s">
        <v>53</v>
      </c>
      <c r="V33" s="107" t="s">
        <v>796</v>
      </c>
      <c r="W33" s="107" t="s">
        <v>796</v>
      </c>
      <c r="X33" s="53" t="s">
        <v>766</v>
      </c>
      <c r="Y33" s="107" t="s">
        <v>561</v>
      </c>
      <c r="Z33" s="107" t="s">
        <v>561</v>
      </c>
      <c r="AA33" s="53" t="s">
        <v>600</v>
      </c>
      <c r="AB33" s="53" t="s">
        <v>600</v>
      </c>
      <c r="AC33" s="53" t="s">
        <v>600</v>
      </c>
      <c r="AD33" s="53" t="s">
        <v>600</v>
      </c>
      <c r="AE33" s="53" t="s">
        <v>600</v>
      </c>
      <c r="AF33" s="53" t="s">
        <v>600</v>
      </c>
      <c r="AG33" s="53" t="s">
        <v>600</v>
      </c>
      <c r="AH33" s="53" t="s">
        <v>600</v>
      </c>
      <c r="AI33" s="53" t="s">
        <v>600</v>
      </c>
      <c r="AJ33" s="53" t="s">
        <v>600</v>
      </c>
      <c r="AK33" s="53" t="s">
        <v>600</v>
      </c>
      <c r="AL33" s="53" t="s">
        <v>600</v>
      </c>
      <c r="AM33" s="53" t="s">
        <v>600</v>
      </c>
      <c r="AN33" s="53" t="s">
        <v>600</v>
      </c>
      <c r="AO33" s="53" t="s">
        <v>600</v>
      </c>
      <c r="AP33" s="53" t="s">
        <v>600</v>
      </c>
      <c r="AQ33" s="53" t="s">
        <v>600</v>
      </c>
      <c r="AR33" s="53" t="s">
        <v>600</v>
      </c>
      <c r="AS33" s="53" t="s">
        <v>600</v>
      </c>
      <c r="AT33" s="53" t="s">
        <v>600</v>
      </c>
      <c r="AU33" s="53" t="s">
        <v>600</v>
      </c>
      <c r="AV33" s="53" t="s">
        <v>600</v>
      </c>
      <c r="AW33" s="53" t="s">
        <v>600</v>
      </c>
      <c r="AX33" s="53" t="s">
        <v>600</v>
      </c>
      <c r="AY33" s="53" t="s">
        <v>600</v>
      </c>
      <c r="AZ33" s="53" t="s">
        <v>600</v>
      </c>
      <c r="BA33" s="53" t="s">
        <v>600</v>
      </c>
      <c r="BB33" s="53" t="s">
        <v>600</v>
      </c>
      <c r="BC33" s="53" t="s">
        <v>600</v>
      </c>
      <c r="BD33" s="53" t="s">
        <v>600</v>
      </c>
      <c r="BE33" s="53" t="s">
        <v>600</v>
      </c>
      <c r="BF33" s="53" t="s">
        <v>600</v>
      </c>
      <c r="BG33" s="53" t="s">
        <v>600</v>
      </c>
      <c r="BH33" s="53" t="s">
        <v>600</v>
      </c>
      <c r="BI33" s="107" t="s">
        <v>600</v>
      </c>
      <c r="BJ33" s="107" t="s">
        <v>600</v>
      </c>
      <c r="BK33" s="53" t="s">
        <v>600</v>
      </c>
      <c r="BL33" s="53" t="s">
        <v>600</v>
      </c>
      <c r="BM33" s="53" t="s">
        <v>600</v>
      </c>
      <c r="BN33" s="53" t="s">
        <v>600</v>
      </c>
      <c r="BO33" s="53" t="s">
        <v>600</v>
      </c>
      <c r="BP33" s="53" t="s">
        <v>600</v>
      </c>
      <c r="BQ33" s="118" t="s">
        <v>821</v>
      </c>
      <c r="BR33" s="53" t="s">
        <v>600</v>
      </c>
      <c r="BS33" s="53" t="s">
        <v>600</v>
      </c>
      <c r="BT33" s="122"/>
      <c r="BU33" s="122"/>
      <c r="BV33" s="126"/>
      <c r="BW33" s="126"/>
      <c r="BX33" s="127"/>
      <c r="BY33" s="127"/>
      <c r="BZ33" s="13"/>
      <c r="CA33" s="13"/>
      <c r="CB33" s="13"/>
      <c r="CC33" s="13"/>
    </row>
    <row r="34">
      <c r="A34" s="44" t="str">
        <f>LOOKUP(H34,'Letter grades'!$A$1:$B$6)</f>
        <v>C</v>
      </c>
      <c r="B34" s="44">
        <f t="shared" si="3"/>
        <v>30</v>
      </c>
      <c r="C34" s="44" t="s">
        <v>1267</v>
      </c>
      <c r="D34" s="44" t="s">
        <v>1268</v>
      </c>
      <c r="E34" s="98" t="s">
        <v>1265</v>
      </c>
      <c r="F34" s="47">
        <f t="shared" si="4"/>
        <v>0.6666666667</v>
      </c>
      <c r="G34" s="47">
        <f t="shared" si="5"/>
        <v>0.5714285714</v>
      </c>
      <c r="H34" s="105">
        <f t="shared" si="6"/>
        <v>0.6031746032</v>
      </c>
      <c r="I34" s="13" t="s">
        <v>108</v>
      </c>
      <c r="J34" s="53" t="s">
        <v>487</v>
      </c>
      <c r="K34" s="53" t="s">
        <v>487</v>
      </c>
      <c r="L34" s="107" t="s">
        <v>487</v>
      </c>
      <c r="M34" s="53" t="s">
        <v>594</v>
      </c>
      <c r="N34" s="107" t="s">
        <v>594</v>
      </c>
      <c r="O34" s="53" t="s">
        <v>490</v>
      </c>
      <c r="P34" s="108" t="s">
        <v>53</v>
      </c>
      <c r="Q34" s="110" t="s">
        <v>53</v>
      </c>
      <c r="R34" s="108" t="s">
        <v>491</v>
      </c>
      <c r="S34" s="107" t="s">
        <v>53</v>
      </c>
      <c r="T34" s="107" t="s">
        <v>53</v>
      </c>
      <c r="U34" s="107" t="s">
        <v>53</v>
      </c>
      <c r="V34" s="107" t="s">
        <v>491</v>
      </c>
      <c r="W34" s="107" t="s">
        <v>491</v>
      </c>
      <c r="X34" s="53" t="s">
        <v>766</v>
      </c>
      <c r="Y34" s="107" t="s">
        <v>561</v>
      </c>
      <c r="Z34" s="53" t="s">
        <v>53</v>
      </c>
      <c r="AA34" s="107" t="s">
        <v>53</v>
      </c>
      <c r="AB34" s="53" t="s">
        <v>53</v>
      </c>
      <c r="AC34" s="53" t="s">
        <v>561</v>
      </c>
      <c r="AD34" s="107" t="s">
        <v>53</v>
      </c>
      <c r="AE34" s="107" t="s">
        <v>53</v>
      </c>
      <c r="AF34" s="107" t="s">
        <v>53</v>
      </c>
      <c r="AG34" s="107" t="s">
        <v>53</v>
      </c>
      <c r="AH34" s="107" t="s">
        <v>53</v>
      </c>
      <c r="AI34" s="107" t="s">
        <v>53</v>
      </c>
      <c r="AJ34" s="107" t="s">
        <v>53</v>
      </c>
      <c r="AK34" s="53" t="s">
        <v>801</v>
      </c>
      <c r="AL34" s="107" t="s">
        <v>561</v>
      </c>
      <c r="AM34" s="107" t="s">
        <v>801</v>
      </c>
      <c r="AN34" s="53" t="s">
        <v>561</v>
      </c>
      <c r="AO34" s="107" t="s">
        <v>561</v>
      </c>
      <c r="AP34" s="53" t="s">
        <v>53</v>
      </c>
      <c r="AQ34" s="53" t="s">
        <v>561</v>
      </c>
      <c r="AR34" s="53" t="s">
        <v>53</v>
      </c>
      <c r="AS34" s="53" t="s">
        <v>561</v>
      </c>
      <c r="AT34" s="53" t="s">
        <v>53</v>
      </c>
      <c r="AU34" s="53" t="s">
        <v>53</v>
      </c>
      <c r="AV34" s="53" t="s">
        <v>799</v>
      </c>
      <c r="AW34" s="53" t="s">
        <v>561</v>
      </c>
      <c r="AX34" s="53" t="s">
        <v>561</v>
      </c>
      <c r="AY34" s="53" t="s">
        <v>561</v>
      </c>
      <c r="AZ34" s="53" t="s">
        <v>53</v>
      </c>
      <c r="BA34" s="53" t="s">
        <v>801</v>
      </c>
      <c r="BB34" s="53" t="s">
        <v>53</v>
      </c>
      <c r="BC34" s="53" t="s">
        <v>53</v>
      </c>
      <c r="BD34" s="53" t="s">
        <v>799</v>
      </c>
      <c r="BE34" s="53" t="s">
        <v>53</v>
      </c>
      <c r="BF34" s="53" t="s">
        <v>561</v>
      </c>
      <c r="BG34" s="53" t="s">
        <v>561</v>
      </c>
      <c r="BH34" s="53" t="s">
        <v>561</v>
      </c>
      <c r="BI34" s="107" t="s">
        <v>561</v>
      </c>
      <c r="BJ34" s="107" t="s">
        <v>561</v>
      </c>
      <c r="BK34" s="53" t="s">
        <v>561</v>
      </c>
      <c r="BL34" s="53" t="s">
        <v>561</v>
      </c>
      <c r="BM34" s="53" t="s">
        <v>561</v>
      </c>
      <c r="BN34" s="53" t="s">
        <v>561</v>
      </c>
      <c r="BO34" s="53" t="s">
        <v>53</v>
      </c>
      <c r="BP34" s="53" t="s">
        <v>600</v>
      </c>
      <c r="BQ34" s="118" t="s">
        <v>821</v>
      </c>
      <c r="BR34" s="118" t="s">
        <v>821</v>
      </c>
      <c r="BS34" s="118" t="s">
        <v>821</v>
      </c>
      <c r="BT34" s="122"/>
      <c r="BU34" s="122">
        <f t="shared" ref="BU34:BU46" si="10">SUM(BV34:BY34)</f>
        <v>0</v>
      </c>
      <c r="BV34" s="155"/>
      <c r="BW34" s="155"/>
      <c r="BX34" s="127"/>
      <c r="BY34" s="127"/>
      <c r="BZ34" s="13"/>
      <c r="CA34" s="13" t="s">
        <v>561</v>
      </c>
      <c r="CB34" s="13"/>
      <c r="CC34" s="13"/>
    </row>
    <row r="35">
      <c r="A35" s="44" t="str">
        <f>LOOKUP(H35,'Letter grades'!$A$1:$B$6)</f>
        <v>D</v>
      </c>
      <c r="B35" s="44">
        <f t="shared" si="3"/>
        <v>31</v>
      </c>
      <c r="C35" s="44" t="s">
        <v>127</v>
      </c>
      <c r="D35" s="44" t="s">
        <v>129</v>
      </c>
      <c r="E35" s="98" t="s">
        <v>125</v>
      </c>
      <c r="F35" s="47">
        <f t="shared" si="4"/>
        <v>0.6666666667</v>
      </c>
      <c r="G35" s="47">
        <f t="shared" si="5"/>
        <v>0.5520833333</v>
      </c>
      <c r="H35" s="105">
        <f t="shared" si="6"/>
        <v>0.5902777778</v>
      </c>
      <c r="I35" s="13" t="s">
        <v>108</v>
      </c>
      <c r="J35" s="53" t="s">
        <v>487</v>
      </c>
      <c r="K35" s="53" t="s">
        <v>487</v>
      </c>
      <c r="L35" s="107" t="s">
        <v>487</v>
      </c>
      <c r="M35" s="53" t="s">
        <v>594</v>
      </c>
      <c r="N35" s="107" t="s">
        <v>594</v>
      </c>
      <c r="O35" s="53" t="s">
        <v>490</v>
      </c>
      <c r="P35" s="108" t="s">
        <v>53</v>
      </c>
      <c r="Q35" s="110" t="s">
        <v>53</v>
      </c>
      <c r="R35" s="108" t="s">
        <v>491</v>
      </c>
      <c r="S35" s="107" t="s">
        <v>53</v>
      </c>
      <c r="T35" s="107" t="s">
        <v>561</v>
      </c>
      <c r="U35" s="107" t="s">
        <v>53</v>
      </c>
      <c r="V35" s="107" t="s">
        <v>796</v>
      </c>
      <c r="W35" s="107" t="s">
        <v>796</v>
      </c>
      <c r="X35" s="53" t="s">
        <v>766</v>
      </c>
      <c r="Y35" s="107" t="s">
        <v>561</v>
      </c>
      <c r="Z35" s="53" t="s">
        <v>53</v>
      </c>
      <c r="AA35" s="107" t="s">
        <v>53</v>
      </c>
      <c r="AB35" s="53" t="s">
        <v>53</v>
      </c>
      <c r="AC35" s="53" t="s">
        <v>561</v>
      </c>
      <c r="AD35" s="107" t="s">
        <v>53</v>
      </c>
      <c r="AE35" s="107" t="s">
        <v>53</v>
      </c>
      <c r="AF35" s="107" t="s">
        <v>53</v>
      </c>
      <c r="AG35" s="107" t="s">
        <v>53</v>
      </c>
      <c r="AH35" s="107" t="s">
        <v>53</v>
      </c>
      <c r="AI35" s="107" t="s">
        <v>53</v>
      </c>
      <c r="AJ35" s="107" t="s">
        <v>53</v>
      </c>
      <c r="AK35" s="107" t="s">
        <v>53</v>
      </c>
      <c r="AL35" s="107" t="s">
        <v>561</v>
      </c>
      <c r="AM35" s="107" t="s">
        <v>53</v>
      </c>
      <c r="AN35" s="53" t="s">
        <v>561</v>
      </c>
      <c r="AO35" s="107" t="s">
        <v>561</v>
      </c>
      <c r="AP35" s="53" t="s">
        <v>561</v>
      </c>
      <c r="AQ35" s="53" t="s">
        <v>561</v>
      </c>
      <c r="AR35" s="53" t="s">
        <v>53</v>
      </c>
      <c r="AS35" s="53" t="s">
        <v>561</v>
      </c>
      <c r="AT35" s="53" t="s">
        <v>53</v>
      </c>
      <c r="AU35" s="53" t="s">
        <v>53</v>
      </c>
      <c r="AV35" s="53" t="s">
        <v>799</v>
      </c>
      <c r="AW35" s="53" t="s">
        <v>561</v>
      </c>
      <c r="AX35" s="53" t="s">
        <v>561</v>
      </c>
      <c r="AY35" s="53" t="s">
        <v>561</v>
      </c>
      <c r="AZ35" s="53" t="s">
        <v>53</v>
      </c>
      <c r="BA35" s="53" t="s">
        <v>801</v>
      </c>
      <c r="BB35" s="53" t="s">
        <v>801</v>
      </c>
      <c r="BC35" s="53" t="s">
        <v>53</v>
      </c>
      <c r="BD35" s="53" t="s">
        <v>561</v>
      </c>
      <c r="BE35" s="53" t="s">
        <v>53</v>
      </c>
      <c r="BF35" s="53" t="s">
        <v>561</v>
      </c>
      <c r="BG35" s="53" t="s">
        <v>561</v>
      </c>
      <c r="BH35" s="53" t="s">
        <v>53</v>
      </c>
      <c r="BI35" s="107" t="s">
        <v>53</v>
      </c>
      <c r="BJ35" s="107" t="s">
        <v>561</v>
      </c>
      <c r="BK35" s="53" t="s">
        <v>561</v>
      </c>
      <c r="BL35" s="53" t="s">
        <v>561</v>
      </c>
      <c r="BM35" s="53" t="s">
        <v>561</v>
      </c>
      <c r="BN35" s="53" t="s">
        <v>561</v>
      </c>
      <c r="BO35" s="53" t="s">
        <v>53</v>
      </c>
      <c r="BP35" s="53" t="s">
        <v>600</v>
      </c>
      <c r="BQ35" s="118" t="s">
        <v>821</v>
      </c>
      <c r="BR35" s="118" t="s">
        <v>821</v>
      </c>
      <c r="BS35" s="118" t="s">
        <v>821</v>
      </c>
      <c r="BT35" s="122"/>
      <c r="BU35" s="122">
        <f t="shared" si="10"/>
        <v>0</v>
      </c>
      <c r="BV35" s="126"/>
      <c r="BW35" s="126"/>
      <c r="BX35" s="127"/>
      <c r="BY35" s="127"/>
      <c r="BZ35" s="13"/>
      <c r="CA35" s="13" t="s">
        <v>561</v>
      </c>
      <c r="CB35" s="13"/>
      <c r="CC35" s="13"/>
    </row>
    <row r="36">
      <c r="A36" s="44" t="str">
        <f>LOOKUP(H36,'Letter grades'!$A$1:$B$6)</f>
        <v>D</v>
      </c>
      <c r="B36" s="44">
        <f t="shared" si="3"/>
        <v>32</v>
      </c>
      <c r="C36" s="44" t="s">
        <v>320</v>
      </c>
      <c r="D36" s="44" t="s">
        <v>321</v>
      </c>
      <c r="E36" s="98" t="s">
        <v>316</v>
      </c>
      <c r="F36" s="47">
        <f t="shared" si="4"/>
        <v>0.6666666667</v>
      </c>
      <c r="G36" s="47">
        <f t="shared" si="5"/>
        <v>0.54</v>
      </c>
      <c r="H36" s="105">
        <f t="shared" si="6"/>
        <v>0.5822222222</v>
      </c>
      <c r="I36" s="13"/>
      <c r="J36" s="53" t="s">
        <v>487</v>
      </c>
      <c r="K36" s="53" t="s">
        <v>487</v>
      </c>
      <c r="L36" s="107" t="s">
        <v>487</v>
      </c>
      <c r="M36" s="53" t="s">
        <v>594</v>
      </c>
      <c r="N36" s="107" t="s">
        <v>594</v>
      </c>
      <c r="O36" s="53" t="s">
        <v>490</v>
      </c>
      <c r="P36" s="108" t="s">
        <v>53</v>
      </c>
      <c r="Q36" s="110" t="s">
        <v>53</v>
      </c>
      <c r="R36" s="108" t="s">
        <v>491</v>
      </c>
      <c r="S36" s="107" t="s">
        <v>53</v>
      </c>
      <c r="T36" s="107" t="s">
        <v>561</v>
      </c>
      <c r="U36" s="107" t="s">
        <v>53</v>
      </c>
      <c r="V36" s="107" t="s">
        <v>796</v>
      </c>
      <c r="W36" s="107" t="s">
        <v>796</v>
      </c>
      <c r="X36" s="53" t="s">
        <v>766</v>
      </c>
      <c r="Y36" s="107" t="s">
        <v>561</v>
      </c>
      <c r="Z36" s="53" t="s">
        <v>53</v>
      </c>
      <c r="AA36" s="107" t="s">
        <v>53</v>
      </c>
      <c r="AB36" s="53" t="s">
        <v>53</v>
      </c>
      <c r="AC36" s="53" t="s">
        <v>561</v>
      </c>
      <c r="AD36" s="107" t="s">
        <v>53</v>
      </c>
      <c r="AE36" s="107" t="s">
        <v>53</v>
      </c>
      <c r="AF36" s="107" t="s">
        <v>53</v>
      </c>
      <c r="AG36" s="107" t="s">
        <v>53</v>
      </c>
      <c r="AH36" s="107" t="s">
        <v>53</v>
      </c>
      <c r="AI36" s="107" t="s">
        <v>53</v>
      </c>
      <c r="AJ36" s="107" t="s">
        <v>53</v>
      </c>
      <c r="AK36" s="107" t="s">
        <v>53</v>
      </c>
      <c r="AL36" s="107" t="s">
        <v>561</v>
      </c>
      <c r="AM36" s="107" t="s">
        <v>53</v>
      </c>
      <c r="AN36" s="53" t="s">
        <v>561</v>
      </c>
      <c r="AO36" s="107" t="s">
        <v>801</v>
      </c>
      <c r="AP36" s="53" t="s">
        <v>561</v>
      </c>
      <c r="AQ36" s="53" t="s">
        <v>561</v>
      </c>
      <c r="AR36" s="53" t="s">
        <v>53</v>
      </c>
      <c r="AS36" s="53" t="s">
        <v>561</v>
      </c>
      <c r="AT36" s="53" t="s">
        <v>53</v>
      </c>
      <c r="AU36" s="53" t="s">
        <v>53</v>
      </c>
      <c r="AV36" s="53" t="s">
        <v>799</v>
      </c>
      <c r="AW36" s="53" t="s">
        <v>561</v>
      </c>
      <c r="AX36" s="53" t="s">
        <v>561</v>
      </c>
      <c r="AY36" s="53" t="s">
        <v>561</v>
      </c>
      <c r="AZ36" s="53" t="s">
        <v>53</v>
      </c>
      <c r="BA36" s="53" t="s">
        <v>53</v>
      </c>
      <c r="BB36" s="53" t="s">
        <v>53</v>
      </c>
      <c r="BC36" s="53" t="s">
        <v>53</v>
      </c>
      <c r="BD36" s="53" t="s">
        <v>561</v>
      </c>
      <c r="BE36" s="53" t="s">
        <v>53</v>
      </c>
      <c r="BF36" s="53" t="s">
        <v>561</v>
      </c>
      <c r="BG36" s="53" t="s">
        <v>561</v>
      </c>
      <c r="BH36" s="53" t="s">
        <v>561</v>
      </c>
      <c r="BI36" s="107" t="s">
        <v>561</v>
      </c>
      <c r="BJ36" s="107" t="s">
        <v>561</v>
      </c>
      <c r="BK36" s="53" t="s">
        <v>561</v>
      </c>
      <c r="BL36" s="53" t="s">
        <v>561</v>
      </c>
      <c r="BM36" s="53" t="s">
        <v>561</v>
      </c>
      <c r="BN36" s="53" t="s">
        <v>561</v>
      </c>
      <c r="BO36" s="53" t="s">
        <v>53</v>
      </c>
      <c r="BP36" s="53" t="s">
        <v>799</v>
      </c>
      <c r="BQ36" s="118" t="s">
        <v>821</v>
      </c>
      <c r="BR36" s="118" t="s">
        <v>821</v>
      </c>
      <c r="BS36" s="118" t="s">
        <v>821</v>
      </c>
      <c r="BT36" s="122"/>
      <c r="BU36" s="122">
        <f t="shared" si="10"/>
        <v>0</v>
      </c>
      <c r="BV36" s="126"/>
      <c r="BW36" s="126"/>
      <c r="BX36" s="127"/>
      <c r="BY36" s="127"/>
      <c r="BZ36" s="13"/>
      <c r="CA36" s="13"/>
      <c r="CB36" s="13"/>
      <c r="CC36" s="13"/>
    </row>
    <row r="37">
      <c r="A37" s="44" t="str">
        <f>LOOKUP(H37,'Letter grades'!$A$1:$B$6)</f>
        <v>D</v>
      </c>
      <c r="B37" s="44">
        <f t="shared" si="3"/>
        <v>33</v>
      </c>
      <c r="C37" s="44" t="s">
        <v>1082</v>
      </c>
      <c r="D37" s="44" t="s">
        <v>1084</v>
      </c>
      <c r="E37" s="98" t="s">
        <v>1079</v>
      </c>
      <c r="F37" s="47">
        <f t="shared" si="4"/>
        <v>0.6666666667</v>
      </c>
      <c r="G37" s="47">
        <f t="shared" si="5"/>
        <v>0.525</v>
      </c>
      <c r="H37" s="105">
        <f t="shared" si="6"/>
        <v>0.5722222222</v>
      </c>
      <c r="I37" s="13"/>
      <c r="J37" s="53" t="s">
        <v>487</v>
      </c>
      <c r="K37" s="53" t="s">
        <v>487</v>
      </c>
      <c r="L37" s="107" t="s">
        <v>487</v>
      </c>
      <c r="M37" s="53" t="s">
        <v>594</v>
      </c>
      <c r="N37" s="107" t="s">
        <v>594</v>
      </c>
      <c r="O37" s="53" t="s">
        <v>490</v>
      </c>
      <c r="P37" s="108" t="s">
        <v>53</v>
      </c>
      <c r="Q37" s="110" t="s">
        <v>53</v>
      </c>
      <c r="R37" s="108" t="s">
        <v>491</v>
      </c>
      <c r="S37" s="107" t="s">
        <v>53</v>
      </c>
      <c r="T37" s="107" t="s">
        <v>53</v>
      </c>
      <c r="U37" s="107" t="s">
        <v>53</v>
      </c>
      <c r="V37" s="107" t="s">
        <v>796</v>
      </c>
      <c r="W37" s="107" t="s">
        <v>796</v>
      </c>
      <c r="X37" s="53" t="s">
        <v>766</v>
      </c>
      <c r="Y37" s="107" t="s">
        <v>801</v>
      </c>
      <c r="Z37" s="53" t="s">
        <v>53</v>
      </c>
      <c r="AA37" s="107" t="s">
        <v>53</v>
      </c>
      <c r="AB37" s="53" t="s">
        <v>801</v>
      </c>
      <c r="AC37" s="53" t="s">
        <v>561</v>
      </c>
      <c r="AD37" s="107" t="s">
        <v>53</v>
      </c>
      <c r="AE37" s="107" t="s">
        <v>53</v>
      </c>
      <c r="AF37" s="107" t="s">
        <v>53</v>
      </c>
      <c r="AG37" s="107" t="s">
        <v>53</v>
      </c>
      <c r="AH37" s="107" t="s">
        <v>53</v>
      </c>
      <c r="AI37" s="107" t="s">
        <v>53</v>
      </c>
      <c r="AJ37" s="107" t="s">
        <v>561</v>
      </c>
      <c r="AK37" s="107" t="s">
        <v>561</v>
      </c>
      <c r="AL37" s="107" t="s">
        <v>561</v>
      </c>
      <c r="AM37" s="107" t="s">
        <v>53</v>
      </c>
      <c r="AN37" s="53" t="s">
        <v>561</v>
      </c>
      <c r="AO37" s="107" t="s">
        <v>561</v>
      </c>
      <c r="AP37" s="53" t="s">
        <v>561</v>
      </c>
      <c r="AQ37" s="53" t="s">
        <v>561</v>
      </c>
      <c r="AR37" s="53" t="s">
        <v>53</v>
      </c>
      <c r="AS37" s="53" t="s">
        <v>561</v>
      </c>
      <c r="AT37" s="53" t="s">
        <v>53</v>
      </c>
      <c r="AU37" s="53" t="s">
        <v>53</v>
      </c>
      <c r="AV37" s="53" t="s">
        <v>801</v>
      </c>
      <c r="AW37" s="53" t="s">
        <v>561</v>
      </c>
      <c r="AX37" s="53" t="s">
        <v>561</v>
      </c>
      <c r="AY37" s="53" t="s">
        <v>561</v>
      </c>
      <c r="AZ37" s="53" t="s">
        <v>53</v>
      </c>
      <c r="BA37" s="53" t="s">
        <v>561</v>
      </c>
      <c r="BB37" s="53" t="s">
        <v>53</v>
      </c>
      <c r="BC37" s="53" t="s">
        <v>53</v>
      </c>
      <c r="BD37" s="53" t="s">
        <v>561</v>
      </c>
      <c r="BE37" s="53" t="s">
        <v>561</v>
      </c>
      <c r="BF37" s="53" t="s">
        <v>561</v>
      </c>
      <c r="BG37" s="53" t="s">
        <v>561</v>
      </c>
      <c r="BH37" s="53" t="s">
        <v>561</v>
      </c>
      <c r="BI37" s="107" t="s">
        <v>600</v>
      </c>
      <c r="BJ37" s="107" t="s">
        <v>600</v>
      </c>
      <c r="BK37" s="53" t="s">
        <v>600</v>
      </c>
      <c r="BL37" s="53" t="s">
        <v>600</v>
      </c>
      <c r="BM37" s="53" t="s">
        <v>600</v>
      </c>
      <c r="BN37" s="53" t="s">
        <v>600</v>
      </c>
      <c r="BO37" s="53" t="s">
        <v>600</v>
      </c>
      <c r="BP37" s="53" t="s">
        <v>600</v>
      </c>
      <c r="BQ37" s="118" t="s">
        <v>821</v>
      </c>
      <c r="BR37" s="118" t="s">
        <v>821</v>
      </c>
      <c r="BS37" s="118" t="s">
        <v>821</v>
      </c>
      <c r="BT37" s="122"/>
      <c r="BU37" s="122">
        <f t="shared" si="10"/>
        <v>2891619</v>
      </c>
      <c r="BV37" s="126">
        <v>471294.0</v>
      </c>
      <c r="BW37" s="126">
        <v>2128194.0</v>
      </c>
      <c r="BX37" s="127">
        <f>2000</f>
        <v>2000</v>
      </c>
      <c r="BY37" s="127">
        <v>290131.0</v>
      </c>
      <c r="BZ37" s="13"/>
      <c r="CA37" s="13"/>
      <c r="CB37" s="13" t="s">
        <v>561</v>
      </c>
      <c r="CC37" s="13" t="s">
        <v>561</v>
      </c>
    </row>
    <row r="38">
      <c r="A38" s="44" t="str">
        <f>LOOKUP(H38,'Letter grades'!$A$1:$B$6)</f>
        <v>D</v>
      </c>
      <c r="B38" s="44">
        <f t="shared" si="3"/>
        <v>34</v>
      </c>
      <c r="C38" s="44" t="s">
        <v>556</v>
      </c>
      <c r="D38" s="44" t="s">
        <v>557</v>
      </c>
      <c r="E38" s="98" t="s">
        <v>552</v>
      </c>
      <c r="F38" s="47">
        <f t="shared" si="4"/>
        <v>0.6666666667</v>
      </c>
      <c r="G38" s="47">
        <f t="shared" si="5"/>
        <v>0.523255814</v>
      </c>
      <c r="H38" s="105">
        <f t="shared" si="6"/>
        <v>0.5710594315</v>
      </c>
      <c r="I38" s="13" t="s">
        <v>108</v>
      </c>
      <c r="J38" s="53" t="s">
        <v>487</v>
      </c>
      <c r="K38" s="53" t="s">
        <v>487</v>
      </c>
      <c r="L38" s="107" t="s">
        <v>487</v>
      </c>
      <c r="M38" s="53" t="s">
        <v>594</v>
      </c>
      <c r="N38" s="107" t="s">
        <v>594</v>
      </c>
      <c r="O38" s="53" t="s">
        <v>490</v>
      </c>
      <c r="P38" s="108" t="s">
        <v>53</v>
      </c>
      <c r="Q38" s="110" t="s">
        <v>53</v>
      </c>
      <c r="R38" s="108" t="s">
        <v>491</v>
      </c>
      <c r="S38" s="107" t="s">
        <v>53</v>
      </c>
      <c r="T38" s="107" t="s">
        <v>561</v>
      </c>
      <c r="U38" s="107" t="s">
        <v>561</v>
      </c>
      <c r="V38" s="107" t="s">
        <v>796</v>
      </c>
      <c r="W38" s="107" t="s">
        <v>796</v>
      </c>
      <c r="X38" s="53" t="s">
        <v>766</v>
      </c>
      <c r="Y38" s="107" t="s">
        <v>561</v>
      </c>
      <c r="Z38" s="53" t="s">
        <v>53</v>
      </c>
      <c r="AA38" s="107" t="s">
        <v>53</v>
      </c>
      <c r="AB38" s="53" t="s">
        <v>53</v>
      </c>
      <c r="AC38" s="53" t="s">
        <v>561</v>
      </c>
      <c r="AD38" s="107" t="s">
        <v>53</v>
      </c>
      <c r="AE38" s="107" t="s">
        <v>53</v>
      </c>
      <c r="AF38" s="107" t="s">
        <v>53</v>
      </c>
      <c r="AG38" s="107" t="s">
        <v>53</v>
      </c>
      <c r="AH38" s="107" t="s">
        <v>53</v>
      </c>
      <c r="AI38" s="107" t="s">
        <v>53</v>
      </c>
      <c r="AJ38" s="107" t="s">
        <v>53</v>
      </c>
      <c r="AK38" s="107" t="s">
        <v>561</v>
      </c>
      <c r="AL38" s="107" t="s">
        <v>561</v>
      </c>
      <c r="AM38" s="107" t="s">
        <v>53</v>
      </c>
      <c r="AN38" s="53" t="s">
        <v>561</v>
      </c>
      <c r="AO38" s="107" t="s">
        <v>561</v>
      </c>
      <c r="AP38" s="53" t="s">
        <v>561</v>
      </c>
      <c r="AQ38" s="53" t="s">
        <v>561</v>
      </c>
      <c r="AR38" s="53" t="s">
        <v>53</v>
      </c>
      <c r="AS38" s="53" t="s">
        <v>561</v>
      </c>
      <c r="AT38" s="53" t="s">
        <v>53</v>
      </c>
      <c r="AU38" s="53" t="s">
        <v>53</v>
      </c>
      <c r="AV38" s="53" t="s">
        <v>799</v>
      </c>
      <c r="AW38" s="53" t="s">
        <v>561</v>
      </c>
      <c r="AX38" s="53" t="s">
        <v>561</v>
      </c>
      <c r="AY38" s="53" t="s">
        <v>53</v>
      </c>
      <c r="AZ38" s="53" t="s">
        <v>53</v>
      </c>
      <c r="BA38" s="53" t="s">
        <v>561</v>
      </c>
      <c r="BB38" s="53" t="s">
        <v>53</v>
      </c>
      <c r="BC38" s="53" t="s">
        <v>53</v>
      </c>
      <c r="BD38" s="53" t="s">
        <v>561</v>
      </c>
      <c r="BE38" s="53" t="s">
        <v>561</v>
      </c>
      <c r="BF38" s="53" t="s">
        <v>561</v>
      </c>
      <c r="BG38" s="53" t="s">
        <v>561</v>
      </c>
      <c r="BH38" s="53" t="s">
        <v>561</v>
      </c>
      <c r="BI38" s="107" t="s">
        <v>600</v>
      </c>
      <c r="BJ38" s="107" t="s">
        <v>600</v>
      </c>
      <c r="BK38" s="53" t="s">
        <v>600</v>
      </c>
      <c r="BL38" s="53" t="s">
        <v>600</v>
      </c>
      <c r="BM38" s="53" t="s">
        <v>600</v>
      </c>
      <c r="BN38" s="53" t="s">
        <v>600</v>
      </c>
      <c r="BO38" s="53" t="s">
        <v>600</v>
      </c>
      <c r="BP38" s="53" t="s">
        <v>600</v>
      </c>
      <c r="BQ38" s="118" t="s">
        <v>821</v>
      </c>
      <c r="BR38" s="118" t="s">
        <v>821</v>
      </c>
      <c r="BS38" s="180" t="s">
        <v>1832</v>
      </c>
      <c r="BT38" s="122"/>
      <c r="BU38" s="122">
        <f t="shared" si="10"/>
        <v>18500</v>
      </c>
      <c r="BV38" s="126">
        <v>18500.0</v>
      </c>
      <c r="BW38" s="126"/>
      <c r="BX38" s="127"/>
      <c r="BY38" s="127"/>
      <c r="BZ38" s="13"/>
      <c r="CA38" s="13"/>
      <c r="CB38" s="13"/>
      <c r="CC38" s="13"/>
    </row>
    <row r="39">
      <c r="A39" s="44" t="str">
        <f>LOOKUP(H39,'Letter grades'!$A$1:$B$6)</f>
        <v>D</v>
      </c>
      <c r="B39" s="44">
        <f t="shared" si="3"/>
        <v>35</v>
      </c>
      <c r="C39" s="44" t="s">
        <v>127</v>
      </c>
      <c r="D39" s="44" t="s">
        <v>303</v>
      </c>
      <c r="E39" s="98" t="s">
        <v>298</v>
      </c>
      <c r="F39" s="47">
        <f t="shared" si="4"/>
        <v>0.6666666667</v>
      </c>
      <c r="G39" s="47">
        <f t="shared" si="5"/>
        <v>0.5204081633</v>
      </c>
      <c r="H39" s="105">
        <f t="shared" si="6"/>
        <v>0.5691609977</v>
      </c>
      <c r="I39" s="13" t="s">
        <v>108</v>
      </c>
      <c r="J39" s="53" t="s">
        <v>487</v>
      </c>
      <c r="K39" s="53" t="s">
        <v>487</v>
      </c>
      <c r="L39" s="107" t="s">
        <v>487</v>
      </c>
      <c r="M39" s="53" t="s">
        <v>594</v>
      </c>
      <c r="N39" s="107" t="s">
        <v>594</v>
      </c>
      <c r="O39" s="53" t="s">
        <v>490</v>
      </c>
      <c r="P39" s="108" t="s">
        <v>53</v>
      </c>
      <c r="Q39" s="110" t="s">
        <v>53</v>
      </c>
      <c r="R39" s="108" t="s">
        <v>491</v>
      </c>
      <c r="S39" s="107" t="s">
        <v>53</v>
      </c>
      <c r="T39" s="107" t="s">
        <v>53</v>
      </c>
      <c r="U39" s="107" t="s">
        <v>53</v>
      </c>
      <c r="V39" s="107" t="s">
        <v>796</v>
      </c>
      <c r="W39" s="107" t="s">
        <v>796</v>
      </c>
      <c r="X39" s="53" t="s">
        <v>766</v>
      </c>
      <c r="Y39" s="107" t="s">
        <v>561</v>
      </c>
      <c r="Z39" s="53" t="s">
        <v>53</v>
      </c>
      <c r="AA39" s="107" t="s">
        <v>53</v>
      </c>
      <c r="AB39" s="53" t="s">
        <v>53</v>
      </c>
      <c r="AC39" s="53" t="s">
        <v>561</v>
      </c>
      <c r="AD39" s="107" t="s">
        <v>53</v>
      </c>
      <c r="AE39" s="107" t="s">
        <v>801</v>
      </c>
      <c r="AF39" s="107" t="s">
        <v>53</v>
      </c>
      <c r="AG39" s="107" t="s">
        <v>53</v>
      </c>
      <c r="AH39" s="107" t="s">
        <v>53</v>
      </c>
      <c r="AI39" s="107" t="s">
        <v>53</v>
      </c>
      <c r="AJ39" s="107" t="s">
        <v>53</v>
      </c>
      <c r="AK39" s="107" t="s">
        <v>561</v>
      </c>
      <c r="AL39" s="107" t="s">
        <v>561</v>
      </c>
      <c r="AM39" s="107" t="s">
        <v>561</v>
      </c>
      <c r="AN39" s="53" t="s">
        <v>561</v>
      </c>
      <c r="AO39" s="107" t="s">
        <v>561</v>
      </c>
      <c r="AP39" s="53" t="s">
        <v>561</v>
      </c>
      <c r="AQ39" s="53" t="s">
        <v>561</v>
      </c>
      <c r="AR39" s="53" t="s">
        <v>53</v>
      </c>
      <c r="AS39" s="53" t="s">
        <v>561</v>
      </c>
      <c r="AT39" s="53" t="s">
        <v>53</v>
      </c>
      <c r="AU39" s="53" t="s">
        <v>53</v>
      </c>
      <c r="AV39" s="53" t="s">
        <v>799</v>
      </c>
      <c r="AW39" s="53" t="s">
        <v>561</v>
      </c>
      <c r="AX39" s="53" t="s">
        <v>561</v>
      </c>
      <c r="AY39" s="53" t="s">
        <v>53</v>
      </c>
      <c r="AZ39" s="53" t="s">
        <v>53</v>
      </c>
      <c r="BA39" s="53" t="s">
        <v>53</v>
      </c>
      <c r="BB39" s="53" t="s">
        <v>53</v>
      </c>
      <c r="BC39" s="53" t="s">
        <v>53</v>
      </c>
      <c r="BD39" s="53" t="s">
        <v>561</v>
      </c>
      <c r="BE39" s="53" t="s">
        <v>561</v>
      </c>
      <c r="BF39" s="53" t="s">
        <v>561</v>
      </c>
      <c r="BG39" s="53" t="s">
        <v>561</v>
      </c>
      <c r="BH39" s="53" t="s">
        <v>561</v>
      </c>
      <c r="BI39" s="107" t="s">
        <v>53</v>
      </c>
      <c r="BJ39" s="107" t="s">
        <v>561</v>
      </c>
      <c r="BK39" s="53" t="s">
        <v>561</v>
      </c>
      <c r="BL39" s="53" t="s">
        <v>561</v>
      </c>
      <c r="BM39" s="53" t="s">
        <v>561</v>
      </c>
      <c r="BN39" s="53" t="s">
        <v>561</v>
      </c>
      <c r="BO39" s="53" t="s">
        <v>53</v>
      </c>
      <c r="BP39" s="53" t="s">
        <v>600</v>
      </c>
      <c r="BQ39" s="118" t="s">
        <v>821</v>
      </c>
      <c r="BR39" s="118" t="s">
        <v>821</v>
      </c>
      <c r="BS39" s="118" t="s">
        <v>821</v>
      </c>
      <c r="BT39" s="122"/>
      <c r="BU39" s="122">
        <f t="shared" si="10"/>
        <v>0</v>
      </c>
      <c r="BV39" s="126"/>
      <c r="BW39" s="126"/>
      <c r="BX39" s="127"/>
      <c r="BY39" s="127"/>
      <c r="BZ39" s="13"/>
      <c r="CA39" s="13" t="s">
        <v>561</v>
      </c>
      <c r="CB39" s="13"/>
      <c r="CC39" s="13"/>
    </row>
    <row r="40">
      <c r="A40" s="44" t="str">
        <f>LOOKUP(H40,'Letter grades'!$A$1:$B$6)</f>
        <v>D</v>
      </c>
      <c r="B40" s="44">
        <f t="shared" si="3"/>
        <v>36</v>
      </c>
      <c r="C40" s="44" t="s">
        <v>223</v>
      </c>
      <c r="D40" s="44" t="s">
        <v>224</v>
      </c>
      <c r="E40" s="98" t="s">
        <v>219</v>
      </c>
      <c r="F40" s="47">
        <f t="shared" si="4"/>
        <v>0.6666666667</v>
      </c>
      <c r="G40" s="47">
        <f t="shared" si="5"/>
        <v>0.5</v>
      </c>
      <c r="H40" s="105">
        <f t="shared" si="6"/>
        <v>0.5555555556</v>
      </c>
      <c r="I40" s="13" t="s">
        <v>108</v>
      </c>
      <c r="J40" s="53" t="s">
        <v>487</v>
      </c>
      <c r="K40" s="53" t="s">
        <v>487</v>
      </c>
      <c r="L40" s="107" t="s">
        <v>487</v>
      </c>
      <c r="M40" s="53" t="s">
        <v>594</v>
      </c>
      <c r="N40" s="107" t="s">
        <v>594</v>
      </c>
      <c r="O40" s="53" t="s">
        <v>490</v>
      </c>
      <c r="P40" s="108" t="s">
        <v>53</v>
      </c>
      <c r="Q40" s="110" t="s">
        <v>53</v>
      </c>
      <c r="R40" s="108" t="s">
        <v>491</v>
      </c>
      <c r="S40" s="107" t="s">
        <v>53</v>
      </c>
      <c r="T40" s="107" t="s">
        <v>561</v>
      </c>
      <c r="U40" s="107" t="s">
        <v>53</v>
      </c>
      <c r="V40" s="107" t="s">
        <v>796</v>
      </c>
      <c r="W40" s="107" t="s">
        <v>796</v>
      </c>
      <c r="X40" s="53" t="s">
        <v>766</v>
      </c>
      <c r="Y40" s="107" t="s">
        <v>561</v>
      </c>
      <c r="Z40" s="53" t="s">
        <v>801</v>
      </c>
      <c r="AA40" s="107" t="s">
        <v>53</v>
      </c>
      <c r="AB40" s="53" t="s">
        <v>53</v>
      </c>
      <c r="AC40" s="53" t="s">
        <v>561</v>
      </c>
      <c r="AD40" s="107" t="s">
        <v>53</v>
      </c>
      <c r="AE40" s="107" t="s">
        <v>53</v>
      </c>
      <c r="AF40" s="107" t="s">
        <v>53</v>
      </c>
      <c r="AG40" s="107" t="s">
        <v>53</v>
      </c>
      <c r="AH40" s="107" t="s">
        <v>53</v>
      </c>
      <c r="AI40" s="107" t="s">
        <v>561</v>
      </c>
      <c r="AJ40" s="107" t="s">
        <v>53</v>
      </c>
      <c r="AK40" s="107" t="s">
        <v>561</v>
      </c>
      <c r="AL40" s="107" t="s">
        <v>561</v>
      </c>
      <c r="AM40" s="107" t="s">
        <v>53</v>
      </c>
      <c r="AN40" s="53" t="s">
        <v>561</v>
      </c>
      <c r="AO40" s="107" t="s">
        <v>561</v>
      </c>
      <c r="AP40" s="53" t="s">
        <v>561</v>
      </c>
      <c r="AQ40" s="53" t="s">
        <v>801</v>
      </c>
      <c r="AR40" s="53" t="s">
        <v>53</v>
      </c>
      <c r="AS40" s="53" t="s">
        <v>561</v>
      </c>
      <c r="AT40" s="53" t="s">
        <v>53</v>
      </c>
      <c r="AU40" s="53" t="s">
        <v>53</v>
      </c>
      <c r="AV40" s="53" t="s">
        <v>799</v>
      </c>
      <c r="AW40" s="53" t="s">
        <v>561</v>
      </c>
      <c r="AX40" s="53" t="s">
        <v>561</v>
      </c>
      <c r="AY40" s="53" t="s">
        <v>53</v>
      </c>
      <c r="AZ40" s="53" t="s">
        <v>53</v>
      </c>
      <c r="BA40" s="53" t="s">
        <v>561</v>
      </c>
      <c r="BB40" s="53" t="s">
        <v>53</v>
      </c>
      <c r="BC40" s="53" t="s">
        <v>53</v>
      </c>
      <c r="BD40" s="53" t="s">
        <v>561</v>
      </c>
      <c r="BE40" s="53" t="s">
        <v>53</v>
      </c>
      <c r="BF40" s="53" t="s">
        <v>561</v>
      </c>
      <c r="BG40" s="53" t="s">
        <v>561</v>
      </c>
      <c r="BH40" s="53" t="s">
        <v>561</v>
      </c>
      <c r="BI40" s="107" t="s">
        <v>53</v>
      </c>
      <c r="BJ40" s="107" t="s">
        <v>561</v>
      </c>
      <c r="BK40" s="53" t="s">
        <v>561</v>
      </c>
      <c r="BL40" s="53" t="s">
        <v>561</v>
      </c>
      <c r="BM40" s="53" t="s">
        <v>561</v>
      </c>
      <c r="BN40" s="53" t="s">
        <v>561</v>
      </c>
      <c r="BO40" s="53" t="s">
        <v>53</v>
      </c>
      <c r="BP40" s="53" t="s">
        <v>561</v>
      </c>
      <c r="BQ40" s="118" t="s">
        <v>821</v>
      </c>
      <c r="BR40" s="118" t="s">
        <v>821</v>
      </c>
      <c r="BS40" s="118" t="s">
        <v>821</v>
      </c>
      <c r="BT40" s="122"/>
      <c r="BU40" s="122">
        <f t="shared" si="10"/>
        <v>0</v>
      </c>
      <c r="BV40" s="155"/>
      <c r="BW40" s="155"/>
      <c r="BX40" s="127"/>
      <c r="BY40" s="127"/>
      <c r="BZ40" s="13"/>
      <c r="CA40" s="13" t="s">
        <v>561</v>
      </c>
      <c r="CB40" s="13"/>
      <c r="CC40" s="13"/>
    </row>
    <row r="41">
      <c r="A41" s="44" t="str">
        <f>LOOKUP(H41,'Letter grades'!$A$1:$B$6)</f>
        <v>D</v>
      </c>
      <c r="B41" s="44">
        <f t="shared" si="3"/>
        <v>36</v>
      </c>
      <c r="C41" s="44" t="s">
        <v>312</v>
      </c>
      <c r="D41" s="44" t="s">
        <v>313</v>
      </c>
      <c r="E41" s="98" t="s">
        <v>306</v>
      </c>
      <c r="F41" s="47">
        <f t="shared" si="4"/>
        <v>0.6666666667</v>
      </c>
      <c r="G41" s="47">
        <f t="shared" si="5"/>
        <v>0.5</v>
      </c>
      <c r="H41" s="105">
        <f t="shared" si="6"/>
        <v>0.5555555556</v>
      </c>
      <c r="I41" s="13" t="s">
        <v>108</v>
      </c>
      <c r="J41" s="53" t="s">
        <v>487</v>
      </c>
      <c r="K41" s="53" t="s">
        <v>487</v>
      </c>
      <c r="L41" s="107" t="s">
        <v>487</v>
      </c>
      <c r="M41" s="53" t="s">
        <v>594</v>
      </c>
      <c r="N41" s="107" t="s">
        <v>594</v>
      </c>
      <c r="O41" s="194" t="s">
        <v>490</v>
      </c>
      <c r="P41" s="108" t="s">
        <v>53</v>
      </c>
      <c r="Q41" s="110" t="s">
        <v>53</v>
      </c>
      <c r="R41" s="108" t="s">
        <v>491</v>
      </c>
      <c r="S41" s="107" t="s">
        <v>53</v>
      </c>
      <c r="T41" s="107" t="s">
        <v>53</v>
      </c>
      <c r="U41" s="107" t="s">
        <v>53</v>
      </c>
      <c r="V41" s="107" t="s">
        <v>796</v>
      </c>
      <c r="W41" s="107" t="s">
        <v>796</v>
      </c>
      <c r="X41" s="53" t="s">
        <v>766</v>
      </c>
      <c r="Y41" s="107" t="s">
        <v>561</v>
      </c>
      <c r="Z41" s="53" t="s">
        <v>53</v>
      </c>
      <c r="AA41" s="107" t="s">
        <v>53</v>
      </c>
      <c r="AB41" s="53" t="s">
        <v>53</v>
      </c>
      <c r="AC41" s="53" t="s">
        <v>561</v>
      </c>
      <c r="AD41" s="107" t="s">
        <v>53</v>
      </c>
      <c r="AE41" s="107" t="s">
        <v>53</v>
      </c>
      <c r="AF41" s="107" t="s">
        <v>801</v>
      </c>
      <c r="AG41" s="107" t="s">
        <v>53</v>
      </c>
      <c r="AH41" s="107" t="s">
        <v>53</v>
      </c>
      <c r="AI41" s="107" t="s">
        <v>801</v>
      </c>
      <c r="AJ41" s="107" t="s">
        <v>561</v>
      </c>
      <c r="AK41" s="107" t="s">
        <v>53</v>
      </c>
      <c r="AL41" s="107" t="s">
        <v>561</v>
      </c>
      <c r="AM41" s="107" t="s">
        <v>53</v>
      </c>
      <c r="AN41" s="53" t="s">
        <v>561</v>
      </c>
      <c r="AO41" s="107" t="s">
        <v>561</v>
      </c>
      <c r="AP41" s="53" t="s">
        <v>561</v>
      </c>
      <c r="AQ41" s="53" t="s">
        <v>561</v>
      </c>
      <c r="AR41" s="53" t="s">
        <v>53</v>
      </c>
      <c r="AS41" s="53" t="s">
        <v>561</v>
      </c>
      <c r="AT41" s="53" t="s">
        <v>561</v>
      </c>
      <c r="AU41" s="53" t="s">
        <v>561</v>
      </c>
      <c r="AV41" s="53" t="s">
        <v>799</v>
      </c>
      <c r="AW41" s="53" t="s">
        <v>561</v>
      </c>
      <c r="AX41" s="53" t="s">
        <v>561</v>
      </c>
      <c r="AY41" s="53" t="s">
        <v>561</v>
      </c>
      <c r="AZ41" s="53" t="s">
        <v>53</v>
      </c>
      <c r="BA41" s="53" t="s">
        <v>561</v>
      </c>
      <c r="BB41" s="53" t="s">
        <v>53</v>
      </c>
      <c r="BC41" s="53" t="s">
        <v>53</v>
      </c>
      <c r="BD41" s="53" t="s">
        <v>561</v>
      </c>
      <c r="BE41" s="53" t="s">
        <v>53</v>
      </c>
      <c r="BF41" s="53" t="s">
        <v>561</v>
      </c>
      <c r="BG41" s="53" t="s">
        <v>561</v>
      </c>
      <c r="BH41" s="53" t="s">
        <v>561</v>
      </c>
      <c r="BI41" s="107" t="s">
        <v>600</v>
      </c>
      <c r="BJ41" s="107" t="s">
        <v>600</v>
      </c>
      <c r="BK41" s="53" t="s">
        <v>600</v>
      </c>
      <c r="BL41" s="53" t="s">
        <v>600</v>
      </c>
      <c r="BM41" s="53" t="s">
        <v>600</v>
      </c>
      <c r="BN41" s="53" t="s">
        <v>600</v>
      </c>
      <c r="BO41" s="53" t="s">
        <v>600</v>
      </c>
      <c r="BP41" s="53" t="s">
        <v>600</v>
      </c>
      <c r="BQ41" s="118" t="s">
        <v>821</v>
      </c>
      <c r="BR41" s="118" t="s">
        <v>821</v>
      </c>
      <c r="BS41" s="118" t="s">
        <v>821</v>
      </c>
      <c r="BT41" s="122"/>
      <c r="BU41" s="122">
        <f t="shared" si="10"/>
        <v>585594</v>
      </c>
      <c r="BV41" s="126">
        <v>68506.0</v>
      </c>
      <c r="BW41" s="126">
        <v>515088.0</v>
      </c>
      <c r="BX41" s="127">
        <f>2000</f>
        <v>2000</v>
      </c>
      <c r="BY41" s="127"/>
      <c r="BZ41" s="13"/>
      <c r="CA41" s="13"/>
      <c r="CB41" s="13" t="s">
        <v>561</v>
      </c>
      <c r="CC41" s="13" t="s">
        <v>561</v>
      </c>
    </row>
    <row r="42">
      <c r="A42" s="44" t="str">
        <f>LOOKUP(H42,'Letter grades'!$A$1:$B$6)</f>
        <v>D</v>
      </c>
      <c r="B42" s="44">
        <f t="shared" si="3"/>
        <v>38</v>
      </c>
      <c r="C42" s="44" t="s">
        <v>1072</v>
      </c>
      <c r="D42" s="44" t="s">
        <v>1340</v>
      </c>
      <c r="E42" s="98" t="s">
        <v>1337</v>
      </c>
      <c r="F42" s="47">
        <f t="shared" si="4"/>
        <v>0.6666666667</v>
      </c>
      <c r="G42" s="47">
        <f t="shared" si="5"/>
        <v>0.4895833333</v>
      </c>
      <c r="H42" s="105">
        <f t="shared" si="6"/>
        <v>0.5486111111</v>
      </c>
      <c r="I42" s="13" t="s">
        <v>108</v>
      </c>
      <c r="J42" s="53" t="s">
        <v>487</v>
      </c>
      <c r="K42" s="53" t="s">
        <v>487</v>
      </c>
      <c r="L42" s="107" t="s">
        <v>487</v>
      </c>
      <c r="M42" s="53" t="s">
        <v>594</v>
      </c>
      <c r="N42" s="107" t="s">
        <v>594</v>
      </c>
      <c r="O42" s="53" t="s">
        <v>490</v>
      </c>
      <c r="P42" s="108" t="s">
        <v>53</v>
      </c>
      <c r="Q42" s="110" t="s">
        <v>53</v>
      </c>
      <c r="R42" s="108" t="s">
        <v>491</v>
      </c>
      <c r="S42" s="107" t="s">
        <v>53</v>
      </c>
      <c r="T42" s="107" t="s">
        <v>53</v>
      </c>
      <c r="U42" s="107" t="s">
        <v>561</v>
      </c>
      <c r="V42" s="107" t="s">
        <v>796</v>
      </c>
      <c r="W42" s="107" t="s">
        <v>796</v>
      </c>
      <c r="X42" s="53" t="s">
        <v>766</v>
      </c>
      <c r="Y42" s="107" t="s">
        <v>561</v>
      </c>
      <c r="Z42" s="53" t="s">
        <v>53</v>
      </c>
      <c r="AA42" s="107" t="s">
        <v>801</v>
      </c>
      <c r="AB42" s="53" t="s">
        <v>53</v>
      </c>
      <c r="AC42" s="53" t="s">
        <v>801</v>
      </c>
      <c r="AD42" s="107" t="s">
        <v>53</v>
      </c>
      <c r="AE42" s="107" t="s">
        <v>53</v>
      </c>
      <c r="AF42" s="107" t="s">
        <v>53</v>
      </c>
      <c r="AG42" s="107" t="s">
        <v>53</v>
      </c>
      <c r="AH42" s="107" t="s">
        <v>53</v>
      </c>
      <c r="AI42" s="53" t="s">
        <v>53</v>
      </c>
      <c r="AJ42" s="107" t="s">
        <v>53</v>
      </c>
      <c r="AK42" s="107" t="s">
        <v>561</v>
      </c>
      <c r="AL42" s="107" t="s">
        <v>561</v>
      </c>
      <c r="AM42" s="107" t="s">
        <v>53</v>
      </c>
      <c r="AN42" s="53" t="s">
        <v>561</v>
      </c>
      <c r="AO42" s="107" t="s">
        <v>561</v>
      </c>
      <c r="AP42" s="53" t="s">
        <v>561</v>
      </c>
      <c r="AQ42" s="53" t="s">
        <v>561</v>
      </c>
      <c r="AR42" s="53" t="s">
        <v>53</v>
      </c>
      <c r="AS42" s="53" t="s">
        <v>561</v>
      </c>
      <c r="AT42" s="53" t="s">
        <v>53</v>
      </c>
      <c r="AU42" s="53" t="s">
        <v>53</v>
      </c>
      <c r="AV42" s="53" t="s">
        <v>799</v>
      </c>
      <c r="AW42" s="53" t="s">
        <v>561</v>
      </c>
      <c r="AX42" s="53" t="s">
        <v>561</v>
      </c>
      <c r="AY42" s="53" t="s">
        <v>53</v>
      </c>
      <c r="AZ42" s="53" t="s">
        <v>53</v>
      </c>
      <c r="BA42" s="53" t="s">
        <v>561</v>
      </c>
      <c r="BB42" s="53" t="s">
        <v>53</v>
      </c>
      <c r="BC42" s="53" t="s">
        <v>561</v>
      </c>
      <c r="BD42" s="53" t="s">
        <v>561</v>
      </c>
      <c r="BE42" s="53" t="s">
        <v>53</v>
      </c>
      <c r="BF42" s="53" t="s">
        <v>561</v>
      </c>
      <c r="BG42" s="53" t="s">
        <v>561</v>
      </c>
      <c r="BH42" s="53" t="s">
        <v>561</v>
      </c>
      <c r="BI42" s="107" t="s">
        <v>561</v>
      </c>
      <c r="BJ42" s="107" t="s">
        <v>561</v>
      </c>
      <c r="BK42" s="53" t="s">
        <v>561</v>
      </c>
      <c r="BL42" s="53" t="s">
        <v>561</v>
      </c>
      <c r="BM42" s="53" t="s">
        <v>561</v>
      </c>
      <c r="BN42" s="53" t="s">
        <v>561</v>
      </c>
      <c r="BO42" s="53" t="s">
        <v>53</v>
      </c>
      <c r="BP42" s="53" t="s">
        <v>600</v>
      </c>
      <c r="BQ42" s="118" t="s">
        <v>821</v>
      </c>
      <c r="BR42" s="118" t="s">
        <v>821</v>
      </c>
      <c r="BS42" s="118" t="s">
        <v>821</v>
      </c>
      <c r="BT42" s="122"/>
      <c r="BU42" s="122">
        <f t="shared" si="10"/>
        <v>0</v>
      </c>
      <c r="BV42" s="155"/>
      <c r="BW42" s="155"/>
      <c r="BX42" s="127"/>
      <c r="BY42" s="127"/>
      <c r="BZ42" s="13"/>
      <c r="CA42" s="13" t="s">
        <v>561</v>
      </c>
      <c r="CB42" s="13"/>
      <c r="CC42" s="13"/>
    </row>
    <row r="43">
      <c r="A43" s="44" t="str">
        <f>LOOKUP(H43,'Letter grades'!$A$1:$B$6)</f>
        <v>D</v>
      </c>
      <c r="B43" s="44">
        <f t="shared" si="3"/>
        <v>39</v>
      </c>
      <c r="C43" s="44" t="s">
        <v>619</v>
      </c>
      <c r="D43" s="44" t="s">
        <v>620</v>
      </c>
      <c r="E43" s="98" t="s">
        <v>617</v>
      </c>
      <c r="F43" s="47">
        <f t="shared" si="4"/>
        <v>0.6666666667</v>
      </c>
      <c r="G43" s="47">
        <f t="shared" si="5"/>
        <v>0.4803921569</v>
      </c>
      <c r="H43" s="105">
        <f t="shared" si="6"/>
        <v>0.5424836601</v>
      </c>
      <c r="I43" s="13" t="s">
        <v>108</v>
      </c>
      <c r="J43" s="53" t="s">
        <v>487</v>
      </c>
      <c r="K43" s="53" t="s">
        <v>487</v>
      </c>
      <c r="L43" s="107" t="s">
        <v>487</v>
      </c>
      <c r="M43" s="53" t="s">
        <v>594</v>
      </c>
      <c r="N43" s="107" t="s">
        <v>594</v>
      </c>
      <c r="O43" s="53" t="s">
        <v>490</v>
      </c>
      <c r="P43" s="108" t="s">
        <v>53</v>
      </c>
      <c r="Q43" s="110" t="s">
        <v>53</v>
      </c>
      <c r="R43" s="108" t="s">
        <v>491</v>
      </c>
      <c r="S43" s="107" t="s">
        <v>53</v>
      </c>
      <c r="T43" s="107" t="s">
        <v>561</v>
      </c>
      <c r="U43" s="107" t="s">
        <v>53</v>
      </c>
      <c r="V43" s="107" t="s">
        <v>796</v>
      </c>
      <c r="W43" s="107" t="s">
        <v>796</v>
      </c>
      <c r="X43" s="53" t="s">
        <v>766</v>
      </c>
      <c r="Y43" s="107" t="s">
        <v>561</v>
      </c>
      <c r="Z43" s="53" t="s">
        <v>53</v>
      </c>
      <c r="AA43" s="107" t="s">
        <v>53</v>
      </c>
      <c r="AB43" s="53" t="s">
        <v>53</v>
      </c>
      <c r="AC43" s="53" t="s">
        <v>561</v>
      </c>
      <c r="AD43" s="107" t="s">
        <v>53</v>
      </c>
      <c r="AE43" s="107" t="s">
        <v>53</v>
      </c>
      <c r="AF43" s="107" t="s">
        <v>53</v>
      </c>
      <c r="AG43" s="107" t="s">
        <v>53</v>
      </c>
      <c r="AH43" s="107" t="s">
        <v>53</v>
      </c>
      <c r="AI43" s="107" t="s">
        <v>53</v>
      </c>
      <c r="AJ43" s="107" t="s">
        <v>561</v>
      </c>
      <c r="AK43" s="107" t="s">
        <v>561</v>
      </c>
      <c r="AL43" s="107" t="s">
        <v>561</v>
      </c>
      <c r="AM43" s="107" t="s">
        <v>53</v>
      </c>
      <c r="AN43" s="53" t="s">
        <v>561</v>
      </c>
      <c r="AO43" s="107" t="s">
        <v>53</v>
      </c>
      <c r="AP43" s="53" t="s">
        <v>561</v>
      </c>
      <c r="AQ43" s="53" t="s">
        <v>561</v>
      </c>
      <c r="AR43" s="53" t="s">
        <v>53</v>
      </c>
      <c r="AS43" s="53" t="s">
        <v>561</v>
      </c>
      <c r="AT43" s="53" t="s">
        <v>53</v>
      </c>
      <c r="AU43" s="53" t="s">
        <v>561</v>
      </c>
      <c r="AV43" s="53" t="s">
        <v>799</v>
      </c>
      <c r="AW43" s="53" t="s">
        <v>561</v>
      </c>
      <c r="AX43" s="53" t="s">
        <v>561</v>
      </c>
      <c r="AY43" s="53" t="s">
        <v>53</v>
      </c>
      <c r="AZ43" s="53" t="s">
        <v>53</v>
      </c>
      <c r="BA43" s="53" t="s">
        <v>561</v>
      </c>
      <c r="BB43" s="53" t="s">
        <v>53</v>
      </c>
      <c r="BC43" s="53" t="s">
        <v>53</v>
      </c>
      <c r="BD43" s="53" t="s">
        <v>561</v>
      </c>
      <c r="BE43" s="53" t="s">
        <v>561</v>
      </c>
      <c r="BF43" s="53" t="s">
        <v>561</v>
      </c>
      <c r="BG43" s="53" t="s">
        <v>561</v>
      </c>
      <c r="BH43" s="53" t="s">
        <v>561</v>
      </c>
      <c r="BI43" s="107" t="s">
        <v>53</v>
      </c>
      <c r="BJ43" s="107" t="s">
        <v>561</v>
      </c>
      <c r="BK43" s="53" t="s">
        <v>561</v>
      </c>
      <c r="BL43" s="53" t="s">
        <v>561</v>
      </c>
      <c r="BM43" s="53" t="s">
        <v>561</v>
      </c>
      <c r="BN43" s="53" t="s">
        <v>561</v>
      </c>
      <c r="BO43" s="53" t="s">
        <v>53</v>
      </c>
      <c r="BP43" s="53" t="s">
        <v>561</v>
      </c>
      <c r="BQ43" s="118" t="s">
        <v>821</v>
      </c>
      <c r="BR43" s="118" t="s">
        <v>821</v>
      </c>
      <c r="BS43" s="118" t="s">
        <v>821</v>
      </c>
      <c r="BT43" s="122"/>
      <c r="BU43" s="122">
        <f t="shared" si="10"/>
        <v>0</v>
      </c>
      <c r="BV43" s="126"/>
      <c r="BW43" s="126"/>
      <c r="BX43" s="127"/>
      <c r="BY43" s="127"/>
      <c r="BZ43" s="13"/>
      <c r="CA43" s="13" t="s">
        <v>561</v>
      </c>
      <c r="CB43" s="13"/>
      <c r="CC43" s="13"/>
    </row>
    <row r="44">
      <c r="A44" s="44" t="str">
        <f>LOOKUP(H44,'Letter grades'!$A$1:$B$6)</f>
        <v>D</v>
      </c>
      <c r="B44" s="44">
        <f t="shared" si="3"/>
        <v>40</v>
      </c>
      <c r="C44" s="44" t="s">
        <v>1312</v>
      </c>
      <c r="D44" s="44" t="s">
        <v>1313</v>
      </c>
      <c r="E44" s="98" t="s">
        <v>1309</v>
      </c>
      <c r="F44" s="47">
        <f t="shared" si="4"/>
        <v>0.6666666667</v>
      </c>
      <c r="G44" s="47">
        <f t="shared" si="5"/>
        <v>0.4795918367</v>
      </c>
      <c r="H44" s="105">
        <f t="shared" si="6"/>
        <v>0.5419501134</v>
      </c>
      <c r="I44" s="13" t="s">
        <v>108</v>
      </c>
      <c r="J44" s="53" t="s">
        <v>487</v>
      </c>
      <c r="K44" s="53" t="s">
        <v>487</v>
      </c>
      <c r="L44" s="107" t="s">
        <v>487</v>
      </c>
      <c r="M44" s="53" t="s">
        <v>594</v>
      </c>
      <c r="N44" s="107" t="s">
        <v>594</v>
      </c>
      <c r="O44" s="53" t="s">
        <v>490</v>
      </c>
      <c r="P44" s="108" t="s">
        <v>53</v>
      </c>
      <c r="Q44" s="110" t="s">
        <v>53</v>
      </c>
      <c r="R44" s="108" t="s">
        <v>491</v>
      </c>
      <c r="S44" s="107" t="s">
        <v>53</v>
      </c>
      <c r="T44" s="107" t="s">
        <v>53</v>
      </c>
      <c r="U44" s="107" t="s">
        <v>53</v>
      </c>
      <c r="V44" s="107" t="s">
        <v>796</v>
      </c>
      <c r="W44" s="107" t="s">
        <v>796</v>
      </c>
      <c r="X44" s="53" t="s">
        <v>766</v>
      </c>
      <c r="Y44" s="107" t="s">
        <v>561</v>
      </c>
      <c r="Z44" s="53" t="s">
        <v>53</v>
      </c>
      <c r="AA44" s="107" t="s">
        <v>53</v>
      </c>
      <c r="AB44" s="53" t="s">
        <v>53</v>
      </c>
      <c r="AC44" s="53" t="s">
        <v>561</v>
      </c>
      <c r="AD44" s="107" t="s">
        <v>53</v>
      </c>
      <c r="AE44" s="107" t="s">
        <v>53</v>
      </c>
      <c r="AF44" s="107" t="s">
        <v>53</v>
      </c>
      <c r="AG44" s="107" t="s">
        <v>801</v>
      </c>
      <c r="AH44" s="107" t="s">
        <v>53</v>
      </c>
      <c r="AI44" s="107" t="s">
        <v>53</v>
      </c>
      <c r="AJ44" s="107" t="s">
        <v>53</v>
      </c>
      <c r="AK44" s="107" t="s">
        <v>53</v>
      </c>
      <c r="AL44" s="107" t="s">
        <v>561</v>
      </c>
      <c r="AM44" s="107" t="s">
        <v>561</v>
      </c>
      <c r="AN44" s="53" t="s">
        <v>561</v>
      </c>
      <c r="AO44" s="107" t="s">
        <v>801</v>
      </c>
      <c r="AP44" s="53" t="s">
        <v>561</v>
      </c>
      <c r="AQ44" s="53" t="s">
        <v>561</v>
      </c>
      <c r="AR44" s="53" t="s">
        <v>53</v>
      </c>
      <c r="AS44" s="53" t="s">
        <v>561</v>
      </c>
      <c r="AT44" s="53" t="s">
        <v>53</v>
      </c>
      <c r="AU44" s="53" t="s">
        <v>53</v>
      </c>
      <c r="AV44" s="53" t="s">
        <v>799</v>
      </c>
      <c r="AW44" s="53" t="s">
        <v>561</v>
      </c>
      <c r="AX44" s="53" t="s">
        <v>561</v>
      </c>
      <c r="AY44" s="53" t="s">
        <v>561</v>
      </c>
      <c r="AZ44" s="53" t="s">
        <v>53</v>
      </c>
      <c r="BA44" s="53" t="s">
        <v>561</v>
      </c>
      <c r="BB44" s="53" t="s">
        <v>53</v>
      </c>
      <c r="BC44" s="53" t="s">
        <v>561</v>
      </c>
      <c r="BD44" s="53" t="s">
        <v>561</v>
      </c>
      <c r="BE44" s="53" t="s">
        <v>53</v>
      </c>
      <c r="BF44" s="53" t="s">
        <v>561</v>
      </c>
      <c r="BG44" s="53" t="s">
        <v>561</v>
      </c>
      <c r="BH44" s="53" t="s">
        <v>561</v>
      </c>
      <c r="BI44" s="107" t="s">
        <v>561</v>
      </c>
      <c r="BJ44" s="107" t="s">
        <v>561</v>
      </c>
      <c r="BK44" s="53" t="s">
        <v>561</v>
      </c>
      <c r="BL44" s="53" t="s">
        <v>561</v>
      </c>
      <c r="BM44" s="53" t="s">
        <v>561</v>
      </c>
      <c r="BN44" s="53" t="s">
        <v>561</v>
      </c>
      <c r="BO44" s="53" t="s">
        <v>53</v>
      </c>
      <c r="BP44" s="53" t="s">
        <v>561</v>
      </c>
      <c r="BQ44" s="118" t="s">
        <v>821</v>
      </c>
      <c r="BR44" s="180" t="s">
        <v>1832</v>
      </c>
      <c r="BS44" s="118" t="s">
        <v>821</v>
      </c>
      <c r="BT44" s="122"/>
      <c r="BU44" s="122">
        <f t="shared" si="10"/>
        <v>0</v>
      </c>
      <c r="BV44" s="126"/>
      <c r="BW44" s="126"/>
      <c r="BX44" s="127"/>
      <c r="BY44" s="127"/>
      <c r="BZ44" s="13"/>
      <c r="CA44" s="13" t="s">
        <v>561</v>
      </c>
      <c r="CB44" s="13"/>
      <c r="CC44" s="13"/>
    </row>
    <row r="45">
      <c r="A45" s="44" t="str">
        <f>LOOKUP(H45,'Letter grades'!$A$1:$B$6)</f>
        <v>D</v>
      </c>
      <c r="B45" s="44">
        <f t="shared" si="3"/>
        <v>41</v>
      </c>
      <c r="C45" s="44" t="s">
        <v>88</v>
      </c>
      <c r="D45" s="44" t="s">
        <v>89</v>
      </c>
      <c r="E45" s="98" t="s">
        <v>85</v>
      </c>
      <c r="F45" s="47">
        <f t="shared" si="4"/>
        <v>0.6666666667</v>
      </c>
      <c r="G45" s="47">
        <f t="shared" si="5"/>
        <v>0.4791666667</v>
      </c>
      <c r="H45" s="105">
        <f t="shared" si="6"/>
        <v>0.5416666667</v>
      </c>
      <c r="I45" s="13" t="s">
        <v>108</v>
      </c>
      <c r="J45" s="53" t="s">
        <v>487</v>
      </c>
      <c r="K45" s="53" t="s">
        <v>487</v>
      </c>
      <c r="L45" s="107" t="s">
        <v>487</v>
      </c>
      <c r="M45" s="53" t="s">
        <v>594</v>
      </c>
      <c r="N45" s="107" t="s">
        <v>594</v>
      </c>
      <c r="O45" s="53" t="s">
        <v>490</v>
      </c>
      <c r="P45" s="108" t="s">
        <v>53</v>
      </c>
      <c r="Q45" s="110" t="s">
        <v>53</v>
      </c>
      <c r="R45" s="108" t="s">
        <v>799</v>
      </c>
      <c r="S45" s="107" t="s">
        <v>53</v>
      </c>
      <c r="T45" s="107" t="s">
        <v>53</v>
      </c>
      <c r="U45" s="107" t="s">
        <v>53</v>
      </c>
      <c r="V45" s="107" t="s">
        <v>796</v>
      </c>
      <c r="W45" s="107" t="s">
        <v>796</v>
      </c>
      <c r="X45" s="53" t="s">
        <v>766</v>
      </c>
      <c r="Y45" s="107" t="s">
        <v>801</v>
      </c>
      <c r="Z45" s="53" t="s">
        <v>53</v>
      </c>
      <c r="AA45" s="107" t="s">
        <v>53</v>
      </c>
      <c r="AB45" s="53" t="s">
        <v>53</v>
      </c>
      <c r="AC45" s="53" t="s">
        <v>561</v>
      </c>
      <c r="AD45" s="107" t="s">
        <v>53</v>
      </c>
      <c r="AE45" s="107" t="s">
        <v>53</v>
      </c>
      <c r="AF45" s="107" t="s">
        <v>53</v>
      </c>
      <c r="AG45" s="107" t="s">
        <v>53</v>
      </c>
      <c r="AH45" s="107" t="s">
        <v>53</v>
      </c>
      <c r="AI45" s="107" t="s">
        <v>561</v>
      </c>
      <c r="AJ45" s="107" t="s">
        <v>561</v>
      </c>
      <c r="AK45" s="107" t="s">
        <v>561</v>
      </c>
      <c r="AL45" s="107" t="s">
        <v>561</v>
      </c>
      <c r="AM45" s="107" t="s">
        <v>53</v>
      </c>
      <c r="AN45" s="53" t="s">
        <v>561</v>
      </c>
      <c r="AO45" s="107" t="s">
        <v>801</v>
      </c>
      <c r="AP45" s="53" t="s">
        <v>561</v>
      </c>
      <c r="AQ45" s="53" t="s">
        <v>561</v>
      </c>
      <c r="AR45" s="53" t="s">
        <v>53</v>
      </c>
      <c r="AS45" s="53" t="s">
        <v>561</v>
      </c>
      <c r="AT45" s="53" t="s">
        <v>53</v>
      </c>
      <c r="AU45" s="53" t="s">
        <v>561</v>
      </c>
      <c r="AV45" s="53" t="s">
        <v>561</v>
      </c>
      <c r="AW45" s="53" t="s">
        <v>561</v>
      </c>
      <c r="AX45" s="53" t="s">
        <v>561</v>
      </c>
      <c r="AY45" s="53" t="s">
        <v>561</v>
      </c>
      <c r="AZ45" s="53" t="s">
        <v>53</v>
      </c>
      <c r="BA45" s="194" t="s">
        <v>561</v>
      </c>
      <c r="BB45" s="53" t="s">
        <v>53</v>
      </c>
      <c r="BC45" s="53" t="s">
        <v>53</v>
      </c>
      <c r="BD45" s="53" t="s">
        <v>561</v>
      </c>
      <c r="BE45" s="53" t="s">
        <v>53</v>
      </c>
      <c r="BF45" s="53" t="s">
        <v>561</v>
      </c>
      <c r="BG45" s="53" t="s">
        <v>561</v>
      </c>
      <c r="BH45" s="53" t="s">
        <v>53</v>
      </c>
      <c r="BI45" s="107" t="s">
        <v>561</v>
      </c>
      <c r="BJ45" s="107" t="s">
        <v>561</v>
      </c>
      <c r="BK45" s="53" t="s">
        <v>561</v>
      </c>
      <c r="BL45" s="53" t="s">
        <v>561</v>
      </c>
      <c r="BM45" s="53" t="s">
        <v>561</v>
      </c>
      <c r="BN45" s="53" t="s">
        <v>799</v>
      </c>
      <c r="BO45" s="53" t="s">
        <v>53</v>
      </c>
      <c r="BP45" s="53" t="s">
        <v>600</v>
      </c>
      <c r="BQ45" s="118" t="s">
        <v>821</v>
      </c>
      <c r="BR45" s="180" t="s">
        <v>1832</v>
      </c>
      <c r="BS45" s="118" t="s">
        <v>821</v>
      </c>
      <c r="BT45" s="122"/>
      <c r="BU45" s="122">
        <f t="shared" si="10"/>
        <v>0</v>
      </c>
      <c r="BV45" s="126"/>
      <c r="BW45" s="126"/>
      <c r="BX45" s="127"/>
      <c r="BY45" s="127"/>
      <c r="BZ45" s="13"/>
      <c r="CA45" s="13" t="s">
        <v>561</v>
      </c>
      <c r="CB45" s="13"/>
      <c r="CC45" s="13"/>
    </row>
    <row r="46">
      <c r="A46" s="44" t="str">
        <f>LOOKUP(H46,'Letter grades'!$A$1:$B$6)</f>
        <v>D</v>
      </c>
      <c r="B46" s="44">
        <f t="shared" si="3"/>
        <v>42</v>
      </c>
      <c r="C46" s="44" t="s">
        <v>1082</v>
      </c>
      <c r="D46" s="44" t="s">
        <v>1146</v>
      </c>
      <c r="E46" s="98" t="s">
        <v>1143</v>
      </c>
      <c r="F46" s="47">
        <f t="shared" si="4"/>
        <v>0.6666666667</v>
      </c>
      <c r="G46" s="47">
        <f t="shared" si="5"/>
        <v>0.476744186</v>
      </c>
      <c r="H46" s="105">
        <f t="shared" si="6"/>
        <v>0.5400516796</v>
      </c>
      <c r="I46" s="13" t="s">
        <v>108</v>
      </c>
      <c r="J46" s="53" t="s">
        <v>487</v>
      </c>
      <c r="K46" s="53" t="s">
        <v>487</v>
      </c>
      <c r="L46" s="107" t="s">
        <v>487</v>
      </c>
      <c r="M46" s="53" t="s">
        <v>594</v>
      </c>
      <c r="N46" s="107" t="s">
        <v>594</v>
      </c>
      <c r="O46" s="53" t="s">
        <v>490</v>
      </c>
      <c r="P46" s="108" t="s">
        <v>53</v>
      </c>
      <c r="Q46" s="110" t="s">
        <v>53</v>
      </c>
      <c r="R46" s="108" t="s">
        <v>491</v>
      </c>
      <c r="S46" s="107" t="s">
        <v>53</v>
      </c>
      <c r="T46" s="107" t="s">
        <v>53</v>
      </c>
      <c r="U46" s="107" t="s">
        <v>53</v>
      </c>
      <c r="V46" s="107" t="s">
        <v>796</v>
      </c>
      <c r="W46" s="107" t="s">
        <v>796</v>
      </c>
      <c r="X46" s="53" t="s">
        <v>766</v>
      </c>
      <c r="Y46" s="107" t="s">
        <v>561</v>
      </c>
      <c r="Z46" s="53" t="s">
        <v>53</v>
      </c>
      <c r="AA46" s="107" t="s">
        <v>53</v>
      </c>
      <c r="AB46" s="53" t="s">
        <v>53</v>
      </c>
      <c r="AC46" s="53" t="s">
        <v>561</v>
      </c>
      <c r="AD46" s="107" t="s">
        <v>53</v>
      </c>
      <c r="AE46" s="107" t="s">
        <v>53</v>
      </c>
      <c r="AF46" s="107" t="s">
        <v>53</v>
      </c>
      <c r="AG46" s="107" t="s">
        <v>53</v>
      </c>
      <c r="AH46" s="107" t="s">
        <v>53</v>
      </c>
      <c r="AI46" s="107" t="s">
        <v>53</v>
      </c>
      <c r="AJ46" s="107" t="s">
        <v>561</v>
      </c>
      <c r="AK46" s="107" t="s">
        <v>561</v>
      </c>
      <c r="AL46" s="107" t="s">
        <v>561</v>
      </c>
      <c r="AM46" s="107" t="s">
        <v>561</v>
      </c>
      <c r="AN46" s="53" t="s">
        <v>561</v>
      </c>
      <c r="AO46" s="107" t="s">
        <v>561</v>
      </c>
      <c r="AP46" s="53" t="s">
        <v>561</v>
      </c>
      <c r="AQ46" s="53" t="s">
        <v>561</v>
      </c>
      <c r="AR46" s="53" t="s">
        <v>53</v>
      </c>
      <c r="AS46" s="53" t="s">
        <v>561</v>
      </c>
      <c r="AT46" s="53" t="s">
        <v>53</v>
      </c>
      <c r="AU46" s="53" t="s">
        <v>561</v>
      </c>
      <c r="AV46" s="53" t="s">
        <v>799</v>
      </c>
      <c r="AW46" s="53" t="s">
        <v>561</v>
      </c>
      <c r="AX46" s="53" t="s">
        <v>561</v>
      </c>
      <c r="AY46" s="53" t="s">
        <v>53</v>
      </c>
      <c r="AZ46" s="53" t="s">
        <v>53</v>
      </c>
      <c r="BA46" s="53" t="s">
        <v>561</v>
      </c>
      <c r="BB46" s="53" t="s">
        <v>53</v>
      </c>
      <c r="BC46" s="53" t="s">
        <v>561</v>
      </c>
      <c r="BD46" s="53" t="s">
        <v>561</v>
      </c>
      <c r="BE46" s="53" t="s">
        <v>561</v>
      </c>
      <c r="BF46" s="53" t="s">
        <v>561</v>
      </c>
      <c r="BG46" s="53" t="s">
        <v>561</v>
      </c>
      <c r="BH46" s="53" t="s">
        <v>561</v>
      </c>
      <c r="BI46" s="107" t="s">
        <v>600</v>
      </c>
      <c r="BJ46" s="107" t="s">
        <v>600</v>
      </c>
      <c r="BK46" s="53" t="s">
        <v>600</v>
      </c>
      <c r="BL46" s="53" t="s">
        <v>600</v>
      </c>
      <c r="BM46" s="53" t="s">
        <v>600</v>
      </c>
      <c r="BN46" s="53" t="s">
        <v>600</v>
      </c>
      <c r="BO46" s="53" t="s">
        <v>600</v>
      </c>
      <c r="BP46" s="53" t="s">
        <v>600</v>
      </c>
      <c r="BQ46" s="118" t="s">
        <v>821</v>
      </c>
      <c r="BR46" s="118" t="s">
        <v>821</v>
      </c>
      <c r="BS46" s="180" t="s">
        <v>1832</v>
      </c>
      <c r="BT46" s="122"/>
      <c r="BU46" s="122">
        <f t="shared" si="10"/>
        <v>17170</v>
      </c>
      <c r="BV46" s="126">
        <v>15170.0</v>
      </c>
      <c r="BW46" s="126"/>
      <c r="BX46" s="127">
        <f>2000</f>
        <v>2000</v>
      </c>
      <c r="BY46" s="127"/>
      <c r="BZ46" s="13"/>
      <c r="CA46" s="13"/>
      <c r="CB46" s="13" t="s">
        <v>561</v>
      </c>
      <c r="CC46" s="13"/>
    </row>
    <row r="47">
      <c r="A47" s="44" t="str">
        <f>LOOKUP(H47,'Letter grades'!$A$1:$B$6)</f>
        <v>D</v>
      </c>
      <c r="B47" s="44">
        <f t="shared" si="3"/>
        <v>43</v>
      </c>
      <c r="C47" s="107" t="s">
        <v>1901</v>
      </c>
      <c r="D47" s="107" t="s">
        <v>2567</v>
      </c>
      <c r="E47" s="148" t="s">
        <v>164</v>
      </c>
      <c r="F47" s="47">
        <f t="shared" si="4"/>
        <v>0.5</v>
      </c>
      <c r="G47" s="47">
        <f t="shared" si="5"/>
        <v>0.5555555556</v>
      </c>
      <c r="H47" s="105">
        <f t="shared" si="6"/>
        <v>0.537037037</v>
      </c>
      <c r="I47" s="13" t="s">
        <v>108</v>
      </c>
      <c r="J47" s="53" t="s">
        <v>487</v>
      </c>
      <c r="K47" s="53" t="s">
        <v>594</v>
      </c>
      <c r="L47" s="53" t="s">
        <v>487</v>
      </c>
      <c r="M47" s="53" t="s">
        <v>594</v>
      </c>
      <c r="N47" s="107" t="s">
        <v>594</v>
      </c>
      <c r="O47" s="194" t="s">
        <v>490</v>
      </c>
      <c r="P47" s="108" t="s">
        <v>53</v>
      </c>
      <c r="Q47" s="110" t="s">
        <v>53</v>
      </c>
      <c r="R47" s="108" t="s">
        <v>766</v>
      </c>
      <c r="S47" s="107" t="s">
        <v>53</v>
      </c>
      <c r="T47" s="107" t="s">
        <v>561</v>
      </c>
      <c r="U47" s="107" t="s">
        <v>53</v>
      </c>
      <c r="V47" s="107" t="s">
        <v>796</v>
      </c>
      <c r="W47" s="107" t="s">
        <v>796</v>
      </c>
      <c r="X47" s="53" t="s">
        <v>766</v>
      </c>
      <c r="Y47" s="107" t="s">
        <v>561</v>
      </c>
      <c r="Z47" s="53" t="s">
        <v>53</v>
      </c>
      <c r="AA47" s="53" t="s">
        <v>600</v>
      </c>
      <c r="AB47" s="53" t="s">
        <v>600</v>
      </c>
      <c r="AC47" s="53" t="s">
        <v>600</v>
      </c>
      <c r="AD47" s="53" t="s">
        <v>600</v>
      </c>
      <c r="AE47" s="53" t="s">
        <v>600</v>
      </c>
      <c r="AF47" s="53" t="s">
        <v>600</v>
      </c>
      <c r="AG47" s="53" t="s">
        <v>600</v>
      </c>
      <c r="AH47" s="53" t="s">
        <v>600</v>
      </c>
      <c r="AI47" s="53" t="s">
        <v>600</v>
      </c>
      <c r="AJ47" s="53" t="s">
        <v>600</v>
      </c>
      <c r="AK47" s="53" t="s">
        <v>600</v>
      </c>
      <c r="AL47" s="53" t="s">
        <v>600</v>
      </c>
      <c r="AM47" s="53" t="s">
        <v>600</v>
      </c>
      <c r="AN47" s="53" t="s">
        <v>600</v>
      </c>
      <c r="AO47" s="53" t="s">
        <v>600</v>
      </c>
      <c r="AP47" s="53" t="s">
        <v>600</v>
      </c>
      <c r="AQ47" s="53" t="s">
        <v>600</v>
      </c>
      <c r="AR47" s="53" t="s">
        <v>600</v>
      </c>
      <c r="AS47" s="53" t="s">
        <v>600</v>
      </c>
      <c r="AT47" s="53" t="s">
        <v>600</v>
      </c>
      <c r="AU47" s="53" t="s">
        <v>600</v>
      </c>
      <c r="AV47" s="53" t="s">
        <v>600</v>
      </c>
      <c r="AW47" s="53" t="s">
        <v>600</v>
      </c>
      <c r="AX47" s="53" t="s">
        <v>600</v>
      </c>
      <c r="AY47" s="53" t="s">
        <v>600</v>
      </c>
      <c r="AZ47" s="53" t="s">
        <v>600</v>
      </c>
      <c r="BA47" s="53" t="s">
        <v>600</v>
      </c>
      <c r="BB47" s="53" t="s">
        <v>600</v>
      </c>
      <c r="BC47" s="53" t="s">
        <v>600</v>
      </c>
      <c r="BD47" s="53" t="s">
        <v>600</v>
      </c>
      <c r="BE47" s="53" t="s">
        <v>600</v>
      </c>
      <c r="BF47" s="53" t="s">
        <v>600</v>
      </c>
      <c r="BG47" s="53" t="s">
        <v>600</v>
      </c>
      <c r="BH47" s="53" t="s">
        <v>600</v>
      </c>
      <c r="BI47" s="107" t="s">
        <v>600</v>
      </c>
      <c r="BJ47" s="107" t="s">
        <v>600</v>
      </c>
      <c r="BK47" s="53" t="s">
        <v>600</v>
      </c>
      <c r="BL47" s="53" t="s">
        <v>600</v>
      </c>
      <c r="BM47" s="53" t="s">
        <v>600</v>
      </c>
      <c r="BN47" s="53" t="s">
        <v>600</v>
      </c>
      <c r="BO47" s="53" t="s">
        <v>600</v>
      </c>
      <c r="BP47" s="53" t="s">
        <v>600</v>
      </c>
      <c r="BQ47" s="118" t="s">
        <v>821</v>
      </c>
      <c r="BR47" s="53" t="s">
        <v>600</v>
      </c>
      <c r="BS47" s="53" t="s">
        <v>600</v>
      </c>
      <c r="BT47" s="122"/>
      <c r="BU47" s="122"/>
      <c r="BV47" s="126"/>
      <c r="BW47" s="126"/>
      <c r="BX47" s="127"/>
      <c r="BY47" s="127"/>
      <c r="BZ47" s="13"/>
      <c r="CA47" s="13"/>
      <c r="CB47" s="13"/>
      <c r="CC47" s="13"/>
    </row>
    <row r="48">
      <c r="A48" s="44" t="str">
        <f>LOOKUP(H48,'Letter grades'!$A$1:$B$6)</f>
        <v>D</v>
      </c>
      <c r="B48" s="44">
        <f t="shared" si="3"/>
        <v>43</v>
      </c>
      <c r="C48" s="107" t="s">
        <v>2076</v>
      </c>
      <c r="D48" s="107" t="s">
        <v>2571</v>
      </c>
      <c r="E48" s="148" t="s">
        <v>2492</v>
      </c>
      <c r="F48" s="47">
        <f t="shared" si="4"/>
        <v>0.5</v>
      </c>
      <c r="G48" s="47">
        <f t="shared" si="5"/>
        <v>0.5555555556</v>
      </c>
      <c r="H48" s="105">
        <f t="shared" si="6"/>
        <v>0.537037037</v>
      </c>
      <c r="I48" s="13" t="s">
        <v>108</v>
      </c>
      <c r="J48" s="53" t="s">
        <v>487</v>
      </c>
      <c r="K48" s="53" t="s">
        <v>594</v>
      </c>
      <c r="L48" s="53" t="s">
        <v>487</v>
      </c>
      <c r="M48" s="53" t="s">
        <v>594</v>
      </c>
      <c r="N48" s="107" t="s">
        <v>594</v>
      </c>
      <c r="O48" s="53" t="s">
        <v>490</v>
      </c>
      <c r="P48" s="108" t="s">
        <v>53</v>
      </c>
      <c r="Q48" s="110" t="s">
        <v>53</v>
      </c>
      <c r="R48" s="108" t="s">
        <v>491</v>
      </c>
      <c r="S48" s="107" t="s">
        <v>53</v>
      </c>
      <c r="T48" s="107" t="s">
        <v>561</v>
      </c>
      <c r="U48" s="107" t="s">
        <v>561</v>
      </c>
      <c r="V48" s="107" t="s">
        <v>796</v>
      </c>
      <c r="W48" s="107" t="s">
        <v>796</v>
      </c>
      <c r="X48" s="53" t="s">
        <v>766</v>
      </c>
      <c r="Y48" s="107" t="s">
        <v>561</v>
      </c>
      <c r="Z48" s="53" t="s">
        <v>53</v>
      </c>
      <c r="AA48" s="53" t="s">
        <v>600</v>
      </c>
      <c r="AB48" s="53" t="s">
        <v>600</v>
      </c>
      <c r="AC48" s="53" t="s">
        <v>600</v>
      </c>
      <c r="AD48" s="53" t="s">
        <v>600</v>
      </c>
      <c r="AE48" s="53" t="s">
        <v>600</v>
      </c>
      <c r="AF48" s="53" t="s">
        <v>600</v>
      </c>
      <c r="AG48" s="53" t="s">
        <v>600</v>
      </c>
      <c r="AH48" s="53" t="s">
        <v>600</v>
      </c>
      <c r="AI48" s="53" t="s">
        <v>600</v>
      </c>
      <c r="AJ48" s="53" t="s">
        <v>600</v>
      </c>
      <c r="AK48" s="53" t="s">
        <v>600</v>
      </c>
      <c r="AL48" s="53" t="s">
        <v>600</v>
      </c>
      <c r="AM48" s="53" t="s">
        <v>600</v>
      </c>
      <c r="AN48" s="53" t="s">
        <v>600</v>
      </c>
      <c r="AO48" s="53" t="s">
        <v>600</v>
      </c>
      <c r="AP48" s="53" t="s">
        <v>600</v>
      </c>
      <c r="AQ48" s="53" t="s">
        <v>600</v>
      </c>
      <c r="AR48" s="53" t="s">
        <v>600</v>
      </c>
      <c r="AS48" s="53" t="s">
        <v>600</v>
      </c>
      <c r="AT48" s="53" t="s">
        <v>600</v>
      </c>
      <c r="AU48" s="53" t="s">
        <v>600</v>
      </c>
      <c r="AV48" s="53" t="s">
        <v>600</v>
      </c>
      <c r="AW48" s="53" t="s">
        <v>600</v>
      </c>
      <c r="AX48" s="53" t="s">
        <v>600</v>
      </c>
      <c r="AY48" s="53" t="s">
        <v>600</v>
      </c>
      <c r="AZ48" s="53" t="s">
        <v>600</v>
      </c>
      <c r="BA48" s="53" t="s">
        <v>600</v>
      </c>
      <c r="BB48" s="53" t="s">
        <v>600</v>
      </c>
      <c r="BC48" s="53" t="s">
        <v>600</v>
      </c>
      <c r="BD48" s="53" t="s">
        <v>600</v>
      </c>
      <c r="BE48" s="53" t="s">
        <v>600</v>
      </c>
      <c r="BF48" s="53" t="s">
        <v>600</v>
      </c>
      <c r="BG48" s="53" t="s">
        <v>600</v>
      </c>
      <c r="BH48" s="53" t="s">
        <v>600</v>
      </c>
      <c r="BI48" s="107" t="s">
        <v>600</v>
      </c>
      <c r="BJ48" s="107" t="s">
        <v>600</v>
      </c>
      <c r="BK48" s="53" t="s">
        <v>600</v>
      </c>
      <c r="BL48" s="53" t="s">
        <v>600</v>
      </c>
      <c r="BM48" s="53" t="s">
        <v>600</v>
      </c>
      <c r="BN48" s="53" t="s">
        <v>600</v>
      </c>
      <c r="BO48" s="53" t="s">
        <v>600</v>
      </c>
      <c r="BP48" s="53" t="s">
        <v>600</v>
      </c>
      <c r="BQ48" s="118" t="s">
        <v>821</v>
      </c>
      <c r="BR48" s="53" t="s">
        <v>600</v>
      </c>
      <c r="BS48" s="53" t="s">
        <v>600</v>
      </c>
      <c r="BT48" s="122"/>
      <c r="BU48" s="122"/>
      <c r="BV48" s="126"/>
      <c r="BW48" s="126"/>
      <c r="BX48" s="127"/>
      <c r="BY48" s="127"/>
      <c r="BZ48" s="13"/>
      <c r="CA48" s="13"/>
      <c r="CB48" s="13"/>
      <c r="CC48" s="13"/>
    </row>
    <row r="49">
      <c r="A49" s="44" t="str">
        <f>LOOKUP(H49,'Letter grades'!$A$1:$B$6)</f>
        <v>D</v>
      </c>
      <c r="B49" s="44">
        <f t="shared" si="3"/>
        <v>43</v>
      </c>
      <c r="C49" s="107" t="s">
        <v>1376</v>
      </c>
      <c r="D49" s="107" t="s">
        <v>2577</v>
      </c>
      <c r="E49" s="148" t="s">
        <v>2488</v>
      </c>
      <c r="F49" s="47">
        <f t="shared" si="4"/>
        <v>0.5</v>
      </c>
      <c r="G49" s="47">
        <f t="shared" si="5"/>
        <v>0.5555555556</v>
      </c>
      <c r="H49" s="105">
        <f t="shared" si="6"/>
        <v>0.537037037</v>
      </c>
      <c r="I49" s="13" t="s">
        <v>108</v>
      </c>
      <c r="J49" s="53" t="s">
        <v>487</v>
      </c>
      <c r="K49" s="53" t="s">
        <v>594</v>
      </c>
      <c r="L49" s="53" t="s">
        <v>487</v>
      </c>
      <c r="M49" s="53" t="s">
        <v>594</v>
      </c>
      <c r="N49" s="107" t="s">
        <v>594</v>
      </c>
      <c r="O49" s="53" t="s">
        <v>490</v>
      </c>
      <c r="P49" s="108" t="s">
        <v>53</v>
      </c>
      <c r="Q49" s="110" t="s">
        <v>53</v>
      </c>
      <c r="R49" s="108" t="s">
        <v>491</v>
      </c>
      <c r="S49" s="107" t="s">
        <v>53</v>
      </c>
      <c r="T49" s="107" t="s">
        <v>561</v>
      </c>
      <c r="U49" s="107" t="s">
        <v>561</v>
      </c>
      <c r="V49" s="107" t="s">
        <v>796</v>
      </c>
      <c r="W49" s="107" t="s">
        <v>796</v>
      </c>
      <c r="X49" s="53" t="s">
        <v>766</v>
      </c>
      <c r="Y49" s="107" t="s">
        <v>561</v>
      </c>
      <c r="Z49" s="53" t="s">
        <v>53</v>
      </c>
      <c r="AA49" s="53" t="s">
        <v>600</v>
      </c>
      <c r="AB49" s="53" t="s">
        <v>600</v>
      </c>
      <c r="AC49" s="53" t="s">
        <v>600</v>
      </c>
      <c r="AD49" s="53" t="s">
        <v>600</v>
      </c>
      <c r="AE49" s="53" t="s">
        <v>600</v>
      </c>
      <c r="AF49" s="53" t="s">
        <v>600</v>
      </c>
      <c r="AG49" s="53" t="s">
        <v>600</v>
      </c>
      <c r="AH49" s="53" t="s">
        <v>600</v>
      </c>
      <c r="AI49" s="53" t="s">
        <v>600</v>
      </c>
      <c r="AJ49" s="53" t="s">
        <v>600</v>
      </c>
      <c r="AK49" s="53" t="s">
        <v>600</v>
      </c>
      <c r="AL49" s="53" t="s">
        <v>600</v>
      </c>
      <c r="AM49" s="53" t="s">
        <v>600</v>
      </c>
      <c r="AN49" s="53" t="s">
        <v>600</v>
      </c>
      <c r="AO49" s="53" t="s">
        <v>600</v>
      </c>
      <c r="AP49" s="53" t="s">
        <v>600</v>
      </c>
      <c r="AQ49" s="53" t="s">
        <v>600</v>
      </c>
      <c r="AR49" s="53" t="s">
        <v>600</v>
      </c>
      <c r="AS49" s="53" t="s">
        <v>600</v>
      </c>
      <c r="AT49" s="53" t="s">
        <v>600</v>
      </c>
      <c r="AU49" s="53" t="s">
        <v>600</v>
      </c>
      <c r="AV49" s="53" t="s">
        <v>600</v>
      </c>
      <c r="AW49" s="53" t="s">
        <v>600</v>
      </c>
      <c r="AX49" s="53" t="s">
        <v>600</v>
      </c>
      <c r="AY49" s="53" t="s">
        <v>600</v>
      </c>
      <c r="AZ49" s="53" t="s">
        <v>600</v>
      </c>
      <c r="BA49" s="53" t="s">
        <v>600</v>
      </c>
      <c r="BB49" s="53" t="s">
        <v>600</v>
      </c>
      <c r="BC49" s="53" t="s">
        <v>600</v>
      </c>
      <c r="BD49" s="53" t="s">
        <v>600</v>
      </c>
      <c r="BE49" s="53" t="s">
        <v>600</v>
      </c>
      <c r="BF49" s="53" t="s">
        <v>600</v>
      </c>
      <c r="BG49" s="53" t="s">
        <v>600</v>
      </c>
      <c r="BH49" s="53" t="s">
        <v>600</v>
      </c>
      <c r="BI49" s="107" t="s">
        <v>600</v>
      </c>
      <c r="BJ49" s="107" t="s">
        <v>600</v>
      </c>
      <c r="BK49" s="53" t="s">
        <v>600</v>
      </c>
      <c r="BL49" s="53" t="s">
        <v>600</v>
      </c>
      <c r="BM49" s="53" t="s">
        <v>600</v>
      </c>
      <c r="BN49" s="53" t="s">
        <v>600</v>
      </c>
      <c r="BO49" s="53" t="s">
        <v>600</v>
      </c>
      <c r="BP49" s="53" t="s">
        <v>600</v>
      </c>
      <c r="BQ49" s="118" t="s">
        <v>821</v>
      </c>
      <c r="BR49" s="53" t="s">
        <v>600</v>
      </c>
      <c r="BS49" s="53" t="s">
        <v>600</v>
      </c>
      <c r="BT49" s="122"/>
      <c r="BU49" s="122"/>
      <c r="BV49" s="126"/>
      <c r="BW49" s="126"/>
      <c r="BX49" s="127"/>
      <c r="BY49" s="127"/>
      <c r="BZ49" s="13"/>
      <c r="CA49" s="13"/>
      <c r="CB49" s="13"/>
      <c r="CC49" s="13"/>
    </row>
    <row r="50">
      <c r="A50" s="44" t="str">
        <f>LOOKUP(H50,'Letter grades'!$A$1:$B$6)</f>
        <v>D</v>
      </c>
      <c r="B50" s="44">
        <f t="shared" si="3"/>
        <v>46</v>
      </c>
      <c r="C50" s="44" t="s">
        <v>1404</v>
      </c>
      <c r="D50" s="44" t="s">
        <v>1405</v>
      </c>
      <c r="E50" s="98" t="s">
        <v>1402</v>
      </c>
      <c r="F50" s="47">
        <f t="shared" si="4"/>
        <v>0.5</v>
      </c>
      <c r="G50" s="47">
        <f t="shared" si="5"/>
        <v>0.5510204082</v>
      </c>
      <c r="H50" s="105">
        <f t="shared" si="6"/>
        <v>0.5340136054</v>
      </c>
      <c r="I50" s="13" t="s">
        <v>108</v>
      </c>
      <c r="J50" s="53" t="s">
        <v>487</v>
      </c>
      <c r="K50" s="53" t="s">
        <v>487</v>
      </c>
      <c r="L50" s="107" t="s">
        <v>594</v>
      </c>
      <c r="M50" s="53" t="s">
        <v>594</v>
      </c>
      <c r="N50" s="107" t="s">
        <v>594</v>
      </c>
      <c r="O50" s="53" t="s">
        <v>490</v>
      </c>
      <c r="P50" s="108" t="s">
        <v>53</v>
      </c>
      <c r="Q50" s="110" t="s">
        <v>53</v>
      </c>
      <c r="R50" s="108" t="s">
        <v>491</v>
      </c>
      <c r="S50" s="107" t="s">
        <v>53</v>
      </c>
      <c r="T50" s="107" t="s">
        <v>53</v>
      </c>
      <c r="U50" s="107" t="s">
        <v>53</v>
      </c>
      <c r="V50" s="107" t="s">
        <v>796</v>
      </c>
      <c r="W50" s="107" t="s">
        <v>796</v>
      </c>
      <c r="X50" s="53" t="s">
        <v>766</v>
      </c>
      <c r="Y50" s="107" t="s">
        <v>561</v>
      </c>
      <c r="Z50" s="53" t="s">
        <v>53</v>
      </c>
      <c r="AA50" s="107" t="s">
        <v>53</v>
      </c>
      <c r="AB50" s="53" t="s">
        <v>53</v>
      </c>
      <c r="AC50" s="53" t="s">
        <v>561</v>
      </c>
      <c r="AD50" s="107" t="s">
        <v>561</v>
      </c>
      <c r="AE50" s="107" t="s">
        <v>53</v>
      </c>
      <c r="AF50" s="107" t="s">
        <v>53</v>
      </c>
      <c r="AG50" s="107" t="s">
        <v>53</v>
      </c>
      <c r="AH50" s="107" t="s">
        <v>53</v>
      </c>
      <c r="AI50" s="107" t="s">
        <v>53</v>
      </c>
      <c r="AJ50" s="107" t="s">
        <v>561</v>
      </c>
      <c r="AK50" s="107" t="s">
        <v>561</v>
      </c>
      <c r="AL50" s="107" t="s">
        <v>561</v>
      </c>
      <c r="AM50" s="107" t="s">
        <v>53</v>
      </c>
      <c r="AN50" s="53" t="s">
        <v>561</v>
      </c>
      <c r="AO50" s="107" t="s">
        <v>801</v>
      </c>
      <c r="AP50" s="53" t="s">
        <v>53</v>
      </c>
      <c r="AQ50" s="53" t="s">
        <v>561</v>
      </c>
      <c r="AR50" s="53" t="s">
        <v>53</v>
      </c>
      <c r="AS50" s="53" t="s">
        <v>561</v>
      </c>
      <c r="AT50" s="53" t="s">
        <v>53</v>
      </c>
      <c r="AU50" s="53" t="s">
        <v>561</v>
      </c>
      <c r="AV50" s="53" t="s">
        <v>799</v>
      </c>
      <c r="AW50" s="107" t="s">
        <v>801</v>
      </c>
      <c r="AX50" s="53" t="s">
        <v>561</v>
      </c>
      <c r="AY50" s="53" t="s">
        <v>53</v>
      </c>
      <c r="AZ50" s="53" t="s">
        <v>53</v>
      </c>
      <c r="BA50" s="53" t="s">
        <v>561</v>
      </c>
      <c r="BB50" s="53" t="s">
        <v>53</v>
      </c>
      <c r="BC50" s="53" t="s">
        <v>53</v>
      </c>
      <c r="BD50" s="53" t="s">
        <v>561</v>
      </c>
      <c r="BE50" s="53" t="s">
        <v>53</v>
      </c>
      <c r="BF50" s="53" t="s">
        <v>561</v>
      </c>
      <c r="BG50" s="53" t="s">
        <v>561</v>
      </c>
      <c r="BH50" s="53" t="s">
        <v>561</v>
      </c>
      <c r="BI50" s="107" t="s">
        <v>53</v>
      </c>
      <c r="BJ50" s="107" t="s">
        <v>561</v>
      </c>
      <c r="BK50" s="53" t="s">
        <v>561</v>
      </c>
      <c r="BL50" s="53" t="s">
        <v>561</v>
      </c>
      <c r="BM50" s="53" t="s">
        <v>561</v>
      </c>
      <c r="BN50" s="53" t="s">
        <v>53</v>
      </c>
      <c r="BO50" s="53" t="s">
        <v>53</v>
      </c>
      <c r="BP50" s="53" t="s">
        <v>799</v>
      </c>
      <c r="BQ50" s="118" t="s">
        <v>821</v>
      </c>
      <c r="BR50" s="118" t="s">
        <v>821</v>
      </c>
      <c r="BS50" s="118" t="s">
        <v>821</v>
      </c>
      <c r="BT50" s="122"/>
      <c r="BU50" s="122">
        <f t="shared" ref="BU50:BU59" si="11">SUM(BV50:BY50)</f>
        <v>0</v>
      </c>
      <c r="BV50" s="126"/>
      <c r="BW50" s="126"/>
      <c r="BX50" s="127"/>
      <c r="BY50" s="127"/>
      <c r="BZ50" s="13"/>
      <c r="CA50" s="13" t="s">
        <v>561</v>
      </c>
      <c r="CB50" s="13"/>
      <c r="CC50" s="13"/>
    </row>
    <row r="51">
      <c r="A51" s="44" t="str">
        <f>LOOKUP(H51,'Letter grades'!$A$1:$B$6)</f>
        <v>D</v>
      </c>
      <c r="B51" s="44">
        <f t="shared" si="3"/>
        <v>47</v>
      </c>
      <c r="C51" s="44" t="s">
        <v>328</v>
      </c>
      <c r="D51" s="44" t="s">
        <v>329</v>
      </c>
      <c r="E51" s="98" t="s">
        <v>325</v>
      </c>
      <c r="F51" s="47">
        <f t="shared" si="4"/>
        <v>0.6666666667</v>
      </c>
      <c r="G51" s="47">
        <f t="shared" si="5"/>
        <v>0.4591836735</v>
      </c>
      <c r="H51" s="105">
        <f t="shared" si="6"/>
        <v>0.5283446712</v>
      </c>
      <c r="I51" s="13"/>
      <c r="J51" s="53" t="s">
        <v>487</v>
      </c>
      <c r="K51" s="53" t="s">
        <v>487</v>
      </c>
      <c r="L51" s="53" t="s">
        <v>487</v>
      </c>
      <c r="M51" s="53" t="s">
        <v>594</v>
      </c>
      <c r="N51" s="107" t="s">
        <v>594</v>
      </c>
      <c r="O51" s="53" t="s">
        <v>490</v>
      </c>
      <c r="P51" s="108" t="s">
        <v>53</v>
      </c>
      <c r="Q51" s="110" t="s">
        <v>53</v>
      </c>
      <c r="R51" s="108" t="s">
        <v>491</v>
      </c>
      <c r="S51" s="107" t="s">
        <v>53</v>
      </c>
      <c r="T51" s="107" t="s">
        <v>561</v>
      </c>
      <c r="U51" s="107" t="s">
        <v>53</v>
      </c>
      <c r="V51" s="107" t="s">
        <v>796</v>
      </c>
      <c r="W51" s="107" t="s">
        <v>796</v>
      </c>
      <c r="X51" s="53" t="s">
        <v>766</v>
      </c>
      <c r="Y51" s="107" t="s">
        <v>561</v>
      </c>
      <c r="Z51" s="53" t="s">
        <v>53</v>
      </c>
      <c r="AA51" s="107" t="s">
        <v>53</v>
      </c>
      <c r="AB51" s="53" t="s">
        <v>53</v>
      </c>
      <c r="AC51" s="53" t="s">
        <v>561</v>
      </c>
      <c r="AD51" s="107" t="s">
        <v>53</v>
      </c>
      <c r="AE51" s="107" t="s">
        <v>53</v>
      </c>
      <c r="AF51" s="107" t="s">
        <v>53</v>
      </c>
      <c r="AG51" s="107" t="s">
        <v>53</v>
      </c>
      <c r="AH51" s="107" t="s">
        <v>53</v>
      </c>
      <c r="AI51" s="107" t="s">
        <v>561</v>
      </c>
      <c r="AJ51" s="107" t="s">
        <v>561</v>
      </c>
      <c r="AK51" s="107" t="s">
        <v>53</v>
      </c>
      <c r="AL51" s="107" t="s">
        <v>561</v>
      </c>
      <c r="AM51" s="107" t="s">
        <v>561</v>
      </c>
      <c r="AN51" s="53" t="s">
        <v>561</v>
      </c>
      <c r="AO51" s="107" t="s">
        <v>801</v>
      </c>
      <c r="AP51" s="53" t="s">
        <v>561</v>
      </c>
      <c r="AQ51" s="53" t="s">
        <v>561</v>
      </c>
      <c r="AR51" s="53" t="s">
        <v>53</v>
      </c>
      <c r="AS51" s="53" t="s">
        <v>561</v>
      </c>
      <c r="AT51" s="53" t="s">
        <v>53</v>
      </c>
      <c r="AU51" s="53" t="s">
        <v>53</v>
      </c>
      <c r="AV51" s="53" t="s">
        <v>799</v>
      </c>
      <c r="AW51" s="53" t="s">
        <v>561</v>
      </c>
      <c r="AX51" s="53" t="s">
        <v>561</v>
      </c>
      <c r="AY51" s="53" t="s">
        <v>53</v>
      </c>
      <c r="AZ51" s="53" t="s">
        <v>53</v>
      </c>
      <c r="BA51" s="53" t="s">
        <v>561</v>
      </c>
      <c r="BB51" s="53" t="s">
        <v>53</v>
      </c>
      <c r="BC51" s="53" t="s">
        <v>561</v>
      </c>
      <c r="BD51" s="53" t="s">
        <v>561</v>
      </c>
      <c r="BE51" s="53" t="s">
        <v>53</v>
      </c>
      <c r="BF51" s="53" t="s">
        <v>561</v>
      </c>
      <c r="BG51" s="53" t="s">
        <v>561</v>
      </c>
      <c r="BH51" s="53" t="s">
        <v>561</v>
      </c>
      <c r="BI51" s="107" t="s">
        <v>53</v>
      </c>
      <c r="BJ51" s="107" t="s">
        <v>561</v>
      </c>
      <c r="BK51" s="53" t="s">
        <v>561</v>
      </c>
      <c r="BL51" s="53" t="s">
        <v>561</v>
      </c>
      <c r="BM51" s="53" t="s">
        <v>561</v>
      </c>
      <c r="BN51" s="53" t="s">
        <v>561</v>
      </c>
      <c r="BO51" s="53" t="s">
        <v>561</v>
      </c>
      <c r="BP51" s="53" t="s">
        <v>600</v>
      </c>
      <c r="BQ51" s="118" t="s">
        <v>821</v>
      </c>
      <c r="BR51" s="118" t="s">
        <v>821</v>
      </c>
      <c r="BS51" s="118" t="s">
        <v>821</v>
      </c>
      <c r="BT51" s="122"/>
      <c r="BU51" s="122">
        <f t="shared" si="11"/>
        <v>44441</v>
      </c>
      <c r="BV51" s="126">
        <v>44441.0</v>
      </c>
      <c r="BW51" s="126"/>
      <c r="BX51" s="127"/>
      <c r="BY51" s="127"/>
      <c r="BZ51" s="13"/>
      <c r="CA51" s="13"/>
      <c r="CB51" s="13"/>
      <c r="CC51" s="13" t="s">
        <v>561</v>
      </c>
    </row>
    <row r="52">
      <c r="A52" s="44" t="str">
        <f>LOOKUP(H52,'Letter grades'!$A$1:$B$6)</f>
        <v>D</v>
      </c>
      <c r="B52" s="44">
        <f t="shared" si="3"/>
        <v>47</v>
      </c>
      <c r="C52" s="44" t="s">
        <v>639</v>
      </c>
      <c r="D52" s="44" t="s">
        <v>640</v>
      </c>
      <c r="E52" s="98" t="s">
        <v>637</v>
      </c>
      <c r="F52" s="47">
        <f t="shared" si="4"/>
        <v>0.6666666667</v>
      </c>
      <c r="G52" s="47">
        <f t="shared" si="5"/>
        <v>0.4591836735</v>
      </c>
      <c r="H52" s="105">
        <f t="shared" si="6"/>
        <v>0.5283446712</v>
      </c>
      <c r="I52" s="13"/>
      <c r="J52" s="53" t="s">
        <v>487</v>
      </c>
      <c r="K52" s="53" t="s">
        <v>487</v>
      </c>
      <c r="L52" s="107" t="s">
        <v>487</v>
      </c>
      <c r="M52" s="53" t="s">
        <v>594</v>
      </c>
      <c r="N52" s="107" t="s">
        <v>594</v>
      </c>
      <c r="O52" s="53" t="s">
        <v>490</v>
      </c>
      <c r="P52" s="108" t="s">
        <v>53</v>
      </c>
      <c r="Q52" s="110" t="s">
        <v>53</v>
      </c>
      <c r="R52" s="108" t="s">
        <v>491</v>
      </c>
      <c r="S52" s="107" t="s">
        <v>53</v>
      </c>
      <c r="T52" s="107" t="s">
        <v>561</v>
      </c>
      <c r="U52" s="107" t="s">
        <v>561</v>
      </c>
      <c r="V52" s="107" t="s">
        <v>796</v>
      </c>
      <c r="W52" s="107" t="s">
        <v>796</v>
      </c>
      <c r="X52" s="53" t="s">
        <v>766</v>
      </c>
      <c r="Y52" s="107" t="s">
        <v>561</v>
      </c>
      <c r="Z52" s="53" t="s">
        <v>53</v>
      </c>
      <c r="AA52" s="107" t="s">
        <v>53</v>
      </c>
      <c r="AB52" s="53" t="s">
        <v>53</v>
      </c>
      <c r="AC52" s="53" t="s">
        <v>561</v>
      </c>
      <c r="AD52" s="107" t="s">
        <v>53</v>
      </c>
      <c r="AE52" s="107" t="s">
        <v>53</v>
      </c>
      <c r="AF52" s="107" t="s">
        <v>53</v>
      </c>
      <c r="AG52" s="107" t="s">
        <v>53</v>
      </c>
      <c r="AH52" s="107" t="s">
        <v>53</v>
      </c>
      <c r="AI52" s="107" t="s">
        <v>53</v>
      </c>
      <c r="AJ52" s="107" t="s">
        <v>561</v>
      </c>
      <c r="AK52" s="107" t="s">
        <v>53</v>
      </c>
      <c r="AL52" s="107" t="s">
        <v>561</v>
      </c>
      <c r="AM52" s="107" t="s">
        <v>53</v>
      </c>
      <c r="AN52" s="53" t="s">
        <v>561</v>
      </c>
      <c r="AO52" s="107" t="s">
        <v>561</v>
      </c>
      <c r="AP52" s="53" t="s">
        <v>561</v>
      </c>
      <c r="AQ52" s="53" t="s">
        <v>561</v>
      </c>
      <c r="AR52" s="53" t="s">
        <v>53</v>
      </c>
      <c r="AS52" s="53" t="s">
        <v>561</v>
      </c>
      <c r="AT52" s="53" t="s">
        <v>53</v>
      </c>
      <c r="AU52" s="53" t="s">
        <v>561</v>
      </c>
      <c r="AV52" s="53" t="s">
        <v>799</v>
      </c>
      <c r="AW52" s="53" t="s">
        <v>561</v>
      </c>
      <c r="AX52" s="53" t="s">
        <v>561</v>
      </c>
      <c r="AY52" s="53" t="s">
        <v>561</v>
      </c>
      <c r="AZ52" s="53" t="s">
        <v>53</v>
      </c>
      <c r="BA52" s="53" t="s">
        <v>53</v>
      </c>
      <c r="BB52" s="53" t="s">
        <v>53</v>
      </c>
      <c r="BC52" s="53" t="s">
        <v>53</v>
      </c>
      <c r="BD52" s="53" t="s">
        <v>561</v>
      </c>
      <c r="BE52" s="53" t="s">
        <v>53</v>
      </c>
      <c r="BF52" s="53" t="s">
        <v>561</v>
      </c>
      <c r="BG52" s="53" t="s">
        <v>561</v>
      </c>
      <c r="BH52" s="53" t="s">
        <v>561</v>
      </c>
      <c r="BI52" s="107" t="s">
        <v>561</v>
      </c>
      <c r="BJ52" s="107" t="s">
        <v>561</v>
      </c>
      <c r="BK52" s="53" t="s">
        <v>561</v>
      </c>
      <c r="BL52" s="53" t="s">
        <v>561</v>
      </c>
      <c r="BM52" s="53" t="s">
        <v>561</v>
      </c>
      <c r="BN52" s="53" t="s">
        <v>561</v>
      </c>
      <c r="BO52" s="53" t="s">
        <v>600</v>
      </c>
      <c r="BP52" s="53" t="s">
        <v>600</v>
      </c>
      <c r="BQ52" s="118" t="s">
        <v>821</v>
      </c>
      <c r="BR52" s="118" t="s">
        <v>821</v>
      </c>
      <c r="BS52" s="118" t="s">
        <v>821</v>
      </c>
      <c r="BT52" s="122"/>
      <c r="BU52" s="122">
        <f t="shared" si="11"/>
        <v>2000</v>
      </c>
      <c r="BV52" s="126"/>
      <c r="BW52" s="126"/>
      <c r="BX52" s="127">
        <f>2000</f>
        <v>2000</v>
      </c>
      <c r="BY52" s="127"/>
      <c r="BZ52" s="13"/>
      <c r="CA52" s="13"/>
      <c r="CB52" s="13"/>
      <c r="CC52" s="13"/>
    </row>
    <row r="53">
      <c r="A53" s="44" t="str">
        <f>LOOKUP(H53,'Letter grades'!$A$1:$B$6)</f>
        <v>D</v>
      </c>
      <c r="B53" s="44">
        <f t="shared" si="3"/>
        <v>49</v>
      </c>
      <c r="C53" s="44" t="s">
        <v>606</v>
      </c>
      <c r="D53" s="44" t="s">
        <v>607</v>
      </c>
      <c r="E53" s="98" t="s">
        <v>604</v>
      </c>
      <c r="F53" s="47">
        <f t="shared" si="4"/>
        <v>0.6666666667</v>
      </c>
      <c r="G53" s="47">
        <f t="shared" si="5"/>
        <v>0.4583333333</v>
      </c>
      <c r="H53" s="105">
        <f t="shared" si="6"/>
        <v>0.5277777778</v>
      </c>
      <c r="I53" s="13" t="s">
        <v>108</v>
      </c>
      <c r="J53" s="53" t="s">
        <v>487</v>
      </c>
      <c r="K53" s="53" t="s">
        <v>487</v>
      </c>
      <c r="L53" s="107" t="s">
        <v>487</v>
      </c>
      <c r="M53" s="53" t="s">
        <v>594</v>
      </c>
      <c r="N53" s="107" t="s">
        <v>594</v>
      </c>
      <c r="O53" s="53" t="s">
        <v>490</v>
      </c>
      <c r="P53" s="108" t="s">
        <v>53</v>
      </c>
      <c r="Q53" s="110" t="s">
        <v>53</v>
      </c>
      <c r="R53" s="108" t="s">
        <v>491</v>
      </c>
      <c r="S53" s="107" t="s">
        <v>53</v>
      </c>
      <c r="T53" s="107" t="s">
        <v>561</v>
      </c>
      <c r="U53" s="107" t="s">
        <v>53</v>
      </c>
      <c r="V53" s="107" t="s">
        <v>796</v>
      </c>
      <c r="W53" s="107" t="s">
        <v>796</v>
      </c>
      <c r="X53" s="53" t="s">
        <v>766</v>
      </c>
      <c r="Y53" s="107" t="s">
        <v>801</v>
      </c>
      <c r="Z53" s="53" t="s">
        <v>53</v>
      </c>
      <c r="AA53" s="107" t="s">
        <v>53</v>
      </c>
      <c r="AB53" s="53" t="s">
        <v>53</v>
      </c>
      <c r="AC53" s="53" t="s">
        <v>561</v>
      </c>
      <c r="AD53" s="53" t="s">
        <v>801</v>
      </c>
      <c r="AE53" s="107" t="s">
        <v>53</v>
      </c>
      <c r="AF53" s="107" t="s">
        <v>53</v>
      </c>
      <c r="AG53" s="107" t="s">
        <v>53</v>
      </c>
      <c r="AH53" s="107" t="s">
        <v>801</v>
      </c>
      <c r="AI53" s="107" t="s">
        <v>53</v>
      </c>
      <c r="AJ53" s="107" t="s">
        <v>561</v>
      </c>
      <c r="AK53" s="107" t="s">
        <v>53</v>
      </c>
      <c r="AL53" s="107" t="s">
        <v>561</v>
      </c>
      <c r="AM53" s="107" t="s">
        <v>53</v>
      </c>
      <c r="AN53" s="53" t="s">
        <v>561</v>
      </c>
      <c r="AO53" s="107" t="s">
        <v>561</v>
      </c>
      <c r="AP53" s="53" t="s">
        <v>561</v>
      </c>
      <c r="AQ53" s="53" t="s">
        <v>561</v>
      </c>
      <c r="AR53" s="53" t="s">
        <v>53</v>
      </c>
      <c r="AS53" s="53" t="s">
        <v>561</v>
      </c>
      <c r="AT53" s="53" t="s">
        <v>53</v>
      </c>
      <c r="AU53" s="53" t="s">
        <v>561</v>
      </c>
      <c r="AV53" s="53" t="s">
        <v>799</v>
      </c>
      <c r="AW53" s="53" t="s">
        <v>561</v>
      </c>
      <c r="AX53" s="53" t="s">
        <v>561</v>
      </c>
      <c r="AY53" s="53" t="s">
        <v>561</v>
      </c>
      <c r="AZ53" s="53" t="s">
        <v>53</v>
      </c>
      <c r="BA53" s="53" t="s">
        <v>561</v>
      </c>
      <c r="BB53" s="53" t="s">
        <v>53</v>
      </c>
      <c r="BC53" s="53" t="s">
        <v>561</v>
      </c>
      <c r="BD53" s="53" t="s">
        <v>561</v>
      </c>
      <c r="BE53" s="53" t="s">
        <v>53</v>
      </c>
      <c r="BF53" s="53" t="s">
        <v>561</v>
      </c>
      <c r="BG53" s="53" t="s">
        <v>561</v>
      </c>
      <c r="BH53" s="53" t="s">
        <v>561</v>
      </c>
      <c r="BI53" s="107" t="s">
        <v>53</v>
      </c>
      <c r="BJ53" s="107" t="s">
        <v>561</v>
      </c>
      <c r="BK53" s="53" t="s">
        <v>561</v>
      </c>
      <c r="BL53" s="53" t="s">
        <v>561</v>
      </c>
      <c r="BM53" s="53" t="s">
        <v>561</v>
      </c>
      <c r="BN53" s="53" t="s">
        <v>799</v>
      </c>
      <c r="BO53" s="53" t="s">
        <v>53</v>
      </c>
      <c r="BP53" s="53" t="s">
        <v>561</v>
      </c>
      <c r="BQ53" s="118" t="s">
        <v>821</v>
      </c>
      <c r="BR53" s="180" t="s">
        <v>1832</v>
      </c>
      <c r="BS53" s="118" t="s">
        <v>821</v>
      </c>
      <c r="BT53" s="122"/>
      <c r="BU53" s="122">
        <f t="shared" si="11"/>
        <v>0</v>
      </c>
      <c r="BV53" s="126"/>
      <c r="BW53" s="126"/>
      <c r="BX53" s="127"/>
      <c r="BY53" s="127"/>
      <c r="BZ53" s="13"/>
      <c r="CA53" s="13" t="s">
        <v>561</v>
      </c>
      <c r="CB53" s="13"/>
      <c r="CC53" s="13"/>
    </row>
    <row r="54">
      <c r="A54" s="44" t="str">
        <f>LOOKUP(H54,'Letter grades'!$A$1:$B$6)</f>
        <v>D</v>
      </c>
      <c r="B54" s="44">
        <f t="shared" si="3"/>
        <v>50</v>
      </c>
      <c r="C54" s="44" t="s">
        <v>356</v>
      </c>
      <c r="D54" s="44" t="s">
        <v>357</v>
      </c>
      <c r="E54" s="98" t="s">
        <v>352</v>
      </c>
      <c r="F54" s="47">
        <f t="shared" si="4"/>
        <v>0.5</v>
      </c>
      <c r="G54" s="47">
        <f t="shared" si="5"/>
        <v>0.5408163265</v>
      </c>
      <c r="H54" s="105">
        <f t="shared" si="6"/>
        <v>0.5272108844</v>
      </c>
      <c r="I54" s="13" t="s">
        <v>108</v>
      </c>
      <c r="J54" s="53" t="s">
        <v>594</v>
      </c>
      <c r="K54" s="53" t="s">
        <v>487</v>
      </c>
      <c r="L54" s="107" t="s">
        <v>487</v>
      </c>
      <c r="M54" s="53" t="s">
        <v>594</v>
      </c>
      <c r="N54" s="107" t="s">
        <v>594</v>
      </c>
      <c r="O54" s="53" t="s">
        <v>490</v>
      </c>
      <c r="P54" s="108" t="s">
        <v>53</v>
      </c>
      <c r="Q54" s="110" t="s">
        <v>53</v>
      </c>
      <c r="R54" s="108" t="s">
        <v>491</v>
      </c>
      <c r="S54" s="107" t="s">
        <v>53</v>
      </c>
      <c r="T54" s="107" t="s">
        <v>53</v>
      </c>
      <c r="U54" s="107" t="s">
        <v>53</v>
      </c>
      <c r="V54" s="107" t="s">
        <v>491</v>
      </c>
      <c r="W54" s="107" t="s">
        <v>491</v>
      </c>
      <c r="X54" s="53" t="s">
        <v>766</v>
      </c>
      <c r="Y54" s="107" t="s">
        <v>561</v>
      </c>
      <c r="Z54" s="53" t="s">
        <v>53</v>
      </c>
      <c r="AA54" s="107" t="s">
        <v>53</v>
      </c>
      <c r="AB54" s="53" t="s">
        <v>53</v>
      </c>
      <c r="AC54" s="53" t="s">
        <v>561</v>
      </c>
      <c r="AD54" s="107" t="s">
        <v>53</v>
      </c>
      <c r="AE54" s="107" t="s">
        <v>53</v>
      </c>
      <c r="AF54" s="107" t="s">
        <v>53</v>
      </c>
      <c r="AG54" s="107" t="s">
        <v>53</v>
      </c>
      <c r="AH54" s="107" t="s">
        <v>53</v>
      </c>
      <c r="AI54" s="107" t="s">
        <v>53</v>
      </c>
      <c r="AJ54" s="107" t="s">
        <v>561</v>
      </c>
      <c r="AK54" s="107" t="s">
        <v>561</v>
      </c>
      <c r="AL54" s="107" t="s">
        <v>561</v>
      </c>
      <c r="AM54" s="107" t="s">
        <v>53</v>
      </c>
      <c r="AN54" s="53" t="s">
        <v>561</v>
      </c>
      <c r="AO54" s="107" t="s">
        <v>561</v>
      </c>
      <c r="AP54" s="53" t="s">
        <v>561</v>
      </c>
      <c r="AQ54" s="53" t="s">
        <v>561</v>
      </c>
      <c r="AR54" s="53" t="s">
        <v>53</v>
      </c>
      <c r="AS54" s="53" t="s">
        <v>561</v>
      </c>
      <c r="AT54" s="53" t="s">
        <v>53</v>
      </c>
      <c r="AU54" s="53" t="s">
        <v>561</v>
      </c>
      <c r="AV54" s="53" t="s">
        <v>799</v>
      </c>
      <c r="AW54" s="53" t="s">
        <v>561</v>
      </c>
      <c r="AX54" s="53" t="s">
        <v>561</v>
      </c>
      <c r="AY54" s="53" t="s">
        <v>53</v>
      </c>
      <c r="AZ54" s="53" t="s">
        <v>53</v>
      </c>
      <c r="BA54" s="53" t="s">
        <v>561</v>
      </c>
      <c r="BB54" s="53" t="s">
        <v>53</v>
      </c>
      <c r="BC54" s="53" t="s">
        <v>53</v>
      </c>
      <c r="BD54" s="53" t="s">
        <v>561</v>
      </c>
      <c r="BE54" s="53" t="s">
        <v>53</v>
      </c>
      <c r="BF54" s="53" t="s">
        <v>561</v>
      </c>
      <c r="BG54" s="53" t="s">
        <v>561</v>
      </c>
      <c r="BH54" s="53" t="s">
        <v>561</v>
      </c>
      <c r="BI54" s="107" t="s">
        <v>561</v>
      </c>
      <c r="BJ54" s="107" t="s">
        <v>53</v>
      </c>
      <c r="BK54" s="53" t="s">
        <v>561</v>
      </c>
      <c r="BL54" s="53" t="s">
        <v>561</v>
      </c>
      <c r="BM54" s="53" t="s">
        <v>600</v>
      </c>
      <c r="BN54" s="53" t="s">
        <v>600</v>
      </c>
      <c r="BO54" s="53" t="s">
        <v>600</v>
      </c>
      <c r="BP54" s="53" t="s">
        <v>600</v>
      </c>
      <c r="BQ54" s="118" t="s">
        <v>821</v>
      </c>
      <c r="BR54" s="118" t="s">
        <v>821</v>
      </c>
      <c r="BS54" s="118" t="s">
        <v>821</v>
      </c>
      <c r="BT54" s="122"/>
      <c r="BU54" s="122">
        <f t="shared" si="11"/>
        <v>-471343</v>
      </c>
      <c r="BV54" s="126"/>
      <c r="BW54" s="126"/>
      <c r="BX54" s="127">
        <f>-5000</f>
        <v>-5000</v>
      </c>
      <c r="BY54" s="127">
        <v>-466343.0</v>
      </c>
      <c r="BZ54" s="13"/>
      <c r="CA54" s="13" t="s">
        <v>561</v>
      </c>
      <c r="CB54" s="13"/>
      <c r="CC54" s="13"/>
    </row>
    <row r="55">
      <c r="A55" s="44" t="str">
        <f>LOOKUP(H55,'Letter grades'!$A$1:$B$6)</f>
        <v>D</v>
      </c>
      <c r="B55" s="44">
        <f t="shared" si="3"/>
        <v>51</v>
      </c>
      <c r="C55" s="44" t="s">
        <v>570</v>
      </c>
      <c r="D55" s="44" t="s">
        <v>571</v>
      </c>
      <c r="E55" s="98" t="s">
        <v>565</v>
      </c>
      <c r="F55" s="47">
        <f t="shared" si="4"/>
        <v>0.6666666667</v>
      </c>
      <c r="G55" s="47">
        <f t="shared" si="5"/>
        <v>0.45</v>
      </c>
      <c r="H55" s="105">
        <f t="shared" si="6"/>
        <v>0.5222222222</v>
      </c>
      <c r="I55" s="13" t="s">
        <v>1208</v>
      </c>
      <c r="J55" s="53" t="s">
        <v>487</v>
      </c>
      <c r="K55" s="53" t="s">
        <v>487</v>
      </c>
      <c r="L55" s="107" t="s">
        <v>487</v>
      </c>
      <c r="M55" s="53" t="s">
        <v>594</v>
      </c>
      <c r="N55" s="107" t="s">
        <v>594</v>
      </c>
      <c r="O55" s="53" t="s">
        <v>490</v>
      </c>
      <c r="P55" s="108" t="s">
        <v>53</v>
      </c>
      <c r="Q55" s="110" t="s">
        <v>53</v>
      </c>
      <c r="R55" s="108" t="s">
        <v>491</v>
      </c>
      <c r="S55" s="107" t="s">
        <v>53</v>
      </c>
      <c r="T55" s="107" t="s">
        <v>53</v>
      </c>
      <c r="U55" s="107" t="s">
        <v>53</v>
      </c>
      <c r="V55" s="107" t="s">
        <v>796</v>
      </c>
      <c r="W55" s="107" t="s">
        <v>796</v>
      </c>
      <c r="X55" s="53" t="s">
        <v>766</v>
      </c>
      <c r="Y55" s="107" t="s">
        <v>561</v>
      </c>
      <c r="Z55" s="53" t="s">
        <v>53</v>
      </c>
      <c r="AA55" s="107" t="s">
        <v>53</v>
      </c>
      <c r="AB55" s="53" t="s">
        <v>53</v>
      </c>
      <c r="AC55" s="53" t="s">
        <v>561</v>
      </c>
      <c r="AD55" s="107" t="s">
        <v>53</v>
      </c>
      <c r="AE55" s="107" t="s">
        <v>53</v>
      </c>
      <c r="AF55" s="107" t="s">
        <v>53</v>
      </c>
      <c r="AG55" s="107" t="s">
        <v>53</v>
      </c>
      <c r="AH55" s="107" t="s">
        <v>53</v>
      </c>
      <c r="AI55" s="107" t="s">
        <v>53</v>
      </c>
      <c r="AJ55" s="107" t="s">
        <v>561</v>
      </c>
      <c r="AK55" s="107" t="s">
        <v>561</v>
      </c>
      <c r="AL55" s="107" t="s">
        <v>561</v>
      </c>
      <c r="AM55" s="107" t="s">
        <v>561</v>
      </c>
      <c r="AN55" s="53" t="s">
        <v>561</v>
      </c>
      <c r="AO55" s="107" t="s">
        <v>561</v>
      </c>
      <c r="AP55" s="53" t="s">
        <v>561</v>
      </c>
      <c r="AQ55" s="53" t="s">
        <v>561</v>
      </c>
      <c r="AR55" s="53" t="s">
        <v>53</v>
      </c>
      <c r="AS55" s="53" t="s">
        <v>561</v>
      </c>
      <c r="AT55" s="53" t="s">
        <v>53</v>
      </c>
      <c r="AU55" s="53" t="s">
        <v>561</v>
      </c>
      <c r="AV55" s="53" t="s">
        <v>799</v>
      </c>
      <c r="AW55" s="53" t="s">
        <v>561</v>
      </c>
      <c r="AX55" s="53" t="s">
        <v>561</v>
      </c>
      <c r="AY55" s="53" t="s">
        <v>561</v>
      </c>
      <c r="AZ55" s="53" t="s">
        <v>53</v>
      </c>
      <c r="BA55" s="53" t="s">
        <v>561</v>
      </c>
      <c r="BB55" s="53" t="s">
        <v>53</v>
      </c>
      <c r="BC55" s="53" t="s">
        <v>53</v>
      </c>
      <c r="BD55" s="53" t="s">
        <v>561</v>
      </c>
      <c r="BE55" s="53" t="s">
        <v>53</v>
      </c>
      <c r="BF55" s="53" t="s">
        <v>561</v>
      </c>
      <c r="BG55" s="53" t="s">
        <v>561</v>
      </c>
      <c r="BH55" s="53" t="s">
        <v>561</v>
      </c>
      <c r="BI55" s="107" t="s">
        <v>561</v>
      </c>
      <c r="BJ55" s="107" t="s">
        <v>561</v>
      </c>
      <c r="BK55" s="53" t="s">
        <v>561</v>
      </c>
      <c r="BL55" s="53" t="s">
        <v>561</v>
      </c>
      <c r="BM55" s="53" t="s">
        <v>561</v>
      </c>
      <c r="BN55" s="53" t="s">
        <v>561</v>
      </c>
      <c r="BO55" s="53" t="s">
        <v>53</v>
      </c>
      <c r="BP55" s="53" t="s">
        <v>600</v>
      </c>
      <c r="BQ55" s="118" t="s">
        <v>821</v>
      </c>
      <c r="BR55" s="118" t="s">
        <v>821</v>
      </c>
      <c r="BS55" s="118" t="s">
        <v>821</v>
      </c>
      <c r="BT55" s="122"/>
      <c r="BU55" s="122">
        <f t="shared" si="11"/>
        <v>0</v>
      </c>
      <c r="BV55" s="126"/>
      <c r="BW55" s="126"/>
      <c r="BX55" s="127"/>
      <c r="BY55" s="127"/>
      <c r="BZ55" s="13"/>
      <c r="CA55" s="13" t="s">
        <v>561</v>
      </c>
      <c r="CB55" s="13"/>
      <c r="CC55" s="13"/>
    </row>
    <row r="56">
      <c r="A56" s="44" t="str">
        <f>LOOKUP(H56,'Letter grades'!$A$1:$B$6)</f>
        <v>D</v>
      </c>
      <c r="B56" s="44">
        <f t="shared" si="3"/>
        <v>51</v>
      </c>
      <c r="C56" s="44" t="s">
        <v>1134</v>
      </c>
      <c r="D56" s="44" t="s">
        <v>1135</v>
      </c>
      <c r="E56" s="98" t="s">
        <v>1131</v>
      </c>
      <c r="F56" s="47">
        <f t="shared" si="4"/>
        <v>0.6666666667</v>
      </c>
      <c r="G56" s="47">
        <f t="shared" si="5"/>
        <v>0.45</v>
      </c>
      <c r="H56" s="105">
        <f t="shared" si="6"/>
        <v>0.5222222222</v>
      </c>
      <c r="I56" s="13" t="s">
        <v>108</v>
      </c>
      <c r="J56" s="53" t="s">
        <v>487</v>
      </c>
      <c r="K56" s="53" t="s">
        <v>487</v>
      </c>
      <c r="L56" s="107" t="s">
        <v>487</v>
      </c>
      <c r="M56" s="53" t="s">
        <v>594</v>
      </c>
      <c r="N56" s="107" t="s">
        <v>594</v>
      </c>
      <c r="O56" s="53" t="s">
        <v>490</v>
      </c>
      <c r="P56" s="108" t="s">
        <v>53</v>
      </c>
      <c r="Q56" s="110" t="s">
        <v>53</v>
      </c>
      <c r="R56" s="108" t="s">
        <v>491</v>
      </c>
      <c r="S56" s="107" t="s">
        <v>53</v>
      </c>
      <c r="T56" s="107" t="s">
        <v>561</v>
      </c>
      <c r="U56" s="107" t="s">
        <v>53</v>
      </c>
      <c r="V56" s="107" t="s">
        <v>796</v>
      </c>
      <c r="W56" s="107" t="s">
        <v>796</v>
      </c>
      <c r="X56" s="53" t="s">
        <v>766</v>
      </c>
      <c r="Y56" s="107" t="s">
        <v>561</v>
      </c>
      <c r="Z56" s="53" t="s">
        <v>53</v>
      </c>
      <c r="AA56" s="107" t="s">
        <v>53</v>
      </c>
      <c r="AB56" s="53" t="s">
        <v>53</v>
      </c>
      <c r="AC56" s="53" t="s">
        <v>561</v>
      </c>
      <c r="AD56" s="107" t="s">
        <v>53</v>
      </c>
      <c r="AE56" s="107" t="s">
        <v>53</v>
      </c>
      <c r="AF56" s="107" t="s">
        <v>53</v>
      </c>
      <c r="AG56" s="107" t="s">
        <v>53</v>
      </c>
      <c r="AH56" s="107" t="s">
        <v>53</v>
      </c>
      <c r="AI56" s="107" t="s">
        <v>53</v>
      </c>
      <c r="AJ56" s="107" t="s">
        <v>561</v>
      </c>
      <c r="AK56" s="107" t="s">
        <v>561</v>
      </c>
      <c r="AL56" s="107" t="s">
        <v>561</v>
      </c>
      <c r="AM56" s="107" t="s">
        <v>53</v>
      </c>
      <c r="AN56" s="53" t="s">
        <v>561</v>
      </c>
      <c r="AO56" s="107" t="s">
        <v>561</v>
      </c>
      <c r="AP56" s="53" t="s">
        <v>561</v>
      </c>
      <c r="AQ56" s="53" t="s">
        <v>561</v>
      </c>
      <c r="AR56" s="53" t="s">
        <v>53</v>
      </c>
      <c r="AS56" s="53" t="s">
        <v>561</v>
      </c>
      <c r="AT56" s="53" t="s">
        <v>53</v>
      </c>
      <c r="AU56" s="53" t="s">
        <v>561</v>
      </c>
      <c r="AV56" s="53" t="s">
        <v>799</v>
      </c>
      <c r="AW56" s="53" t="s">
        <v>561</v>
      </c>
      <c r="AX56" s="53" t="s">
        <v>561</v>
      </c>
      <c r="AY56" s="53" t="s">
        <v>53</v>
      </c>
      <c r="AZ56" s="53" t="s">
        <v>53</v>
      </c>
      <c r="BA56" s="53" t="s">
        <v>561</v>
      </c>
      <c r="BB56" s="53" t="s">
        <v>53</v>
      </c>
      <c r="BC56" s="53" t="s">
        <v>561</v>
      </c>
      <c r="BD56" s="53" t="s">
        <v>561</v>
      </c>
      <c r="BE56" s="53" t="s">
        <v>53</v>
      </c>
      <c r="BF56" s="53" t="s">
        <v>561</v>
      </c>
      <c r="BG56" s="53" t="s">
        <v>561</v>
      </c>
      <c r="BH56" s="53" t="s">
        <v>561</v>
      </c>
      <c r="BI56" s="107" t="s">
        <v>53</v>
      </c>
      <c r="BJ56" s="107" t="s">
        <v>561</v>
      </c>
      <c r="BK56" s="53" t="s">
        <v>561</v>
      </c>
      <c r="BL56" s="53" t="s">
        <v>561</v>
      </c>
      <c r="BM56" s="53" t="s">
        <v>561</v>
      </c>
      <c r="BN56" s="53" t="s">
        <v>561</v>
      </c>
      <c r="BO56" s="53" t="s">
        <v>561</v>
      </c>
      <c r="BP56" s="53" t="s">
        <v>600</v>
      </c>
      <c r="BQ56" s="118" t="s">
        <v>821</v>
      </c>
      <c r="BR56" s="118" t="s">
        <v>821</v>
      </c>
      <c r="BS56" s="118" t="s">
        <v>821</v>
      </c>
      <c r="BT56" s="122"/>
      <c r="BU56" s="122">
        <f t="shared" si="11"/>
        <v>20250</v>
      </c>
      <c r="BV56" s="126">
        <v>20250.0</v>
      </c>
      <c r="BW56" s="126"/>
      <c r="BX56" s="127"/>
      <c r="BY56" s="127"/>
      <c r="BZ56" s="13"/>
      <c r="CA56" s="13" t="s">
        <v>561</v>
      </c>
      <c r="CB56" s="13"/>
      <c r="CC56" s="13"/>
    </row>
    <row r="57">
      <c r="A57" s="44" t="str">
        <f>LOOKUP(H57,'Letter grades'!$A$1:$B$6)</f>
        <v>D</v>
      </c>
      <c r="B57" s="44">
        <f t="shared" si="3"/>
        <v>53</v>
      </c>
      <c r="C57" s="44" t="s">
        <v>1277</v>
      </c>
      <c r="D57" s="44" t="s">
        <v>313</v>
      </c>
      <c r="E57" s="98" t="s">
        <v>1275</v>
      </c>
      <c r="F57" s="47">
        <f t="shared" si="4"/>
        <v>0.6666666667</v>
      </c>
      <c r="G57" s="47">
        <f t="shared" si="5"/>
        <v>0.4347826087</v>
      </c>
      <c r="H57" s="105">
        <f t="shared" si="6"/>
        <v>0.5120772947</v>
      </c>
      <c r="I57" s="13" t="s">
        <v>108</v>
      </c>
      <c r="J57" s="53" t="s">
        <v>487</v>
      </c>
      <c r="K57" s="53" t="s">
        <v>487</v>
      </c>
      <c r="L57" s="53" t="s">
        <v>487</v>
      </c>
      <c r="M57" s="53" t="s">
        <v>594</v>
      </c>
      <c r="N57" s="107" t="s">
        <v>594</v>
      </c>
      <c r="O57" s="53" t="s">
        <v>490</v>
      </c>
      <c r="P57" s="108" t="s">
        <v>53</v>
      </c>
      <c r="Q57" s="110" t="s">
        <v>53</v>
      </c>
      <c r="R57" s="108" t="s">
        <v>491</v>
      </c>
      <c r="S57" s="107" t="s">
        <v>53</v>
      </c>
      <c r="T57" s="107" t="s">
        <v>561</v>
      </c>
      <c r="U57" s="107" t="s">
        <v>53</v>
      </c>
      <c r="V57" s="107" t="s">
        <v>796</v>
      </c>
      <c r="W57" s="107" t="s">
        <v>796</v>
      </c>
      <c r="X57" s="53" t="s">
        <v>766</v>
      </c>
      <c r="Y57" s="107" t="s">
        <v>561</v>
      </c>
      <c r="Z57" s="53" t="s">
        <v>801</v>
      </c>
      <c r="AA57" s="107" t="s">
        <v>53</v>
      </c>
      <c r="AB57" s="53" t="s">
        <v>53</v>
      </c>
      <c r="AC57" s="53" t="s">
        <v>561</v>
      </c>
      <c r="AD57" s="107" t="s">
        <v>53</v>
      </c>
      <c r="AE57" s="107" t="s">
        <v>53</v>
      </c>
      <c r="AF57" s="107" t="s">
        <v>53</v>
      </c>
      <c r="AG57" s="107" t="s">
        <v>53</v>
      </c>
      <c r="AH57" s="107" t="s">
        <v>53</v>
      </c>
      <c r="AI57" s="107" t="s">
        <v>53</v>
      </c>
      <c r="AJ57" s="107" t="s">
        <v>561</v>
      </c>
      <c r="AK57" s="107" t="s">
        <v>561</v>
      </c>
      <c r="AL57" s="107" t="s">
        <v>561</v>
      </c>
      <c r="AM57" s="107" t="s">
        <v>53</v>
      </c>
      <c r="AN57" s="53" t="s">
        <v>561</v>
      </c>
      <c r="AO57" s="107" t="s">
        <v>561</v>
      </c>
      <c r="AP57" s="53" t="s">
        <v>561</v>
      </c>
      <c r="AQ57" s="53" t="s">
        <v>561</v>
      </c>
      <c r="AR57" s="53" t="s">
        <v>53</v>
      </c>
      <c r="AS57" s="53" t="s">
        <v>561</v>
      </c>
      <c r="AT57" s="53" t="s">
        <v>53</v>
      </c>
      <c r="AU57" s="107" t="s">
        <v>801</v>
      </c>
      <c r="AV57" s="53" t="s">
        <v>801</v>
      </c>
      <c r="AW57" s="53" t="s">
        <v>561</v>
      </c>
      <c r="AX57" s="53" t="s">
        <v>561</v>
      </c>
      <c r="AY57" s="53" t="s">
        <v>561</v>
      </c>
      <c r="AZ57" s="53" t="s">
        <v>53</v>
      </c>
      <c r="BA57" s="53" t="s">
        <v>561</v>
      </c>
      <c r="BB57" s="53" t="s">
        <v>53</v>
      </c>
      <c r="BC57" s="53" t="s">
        <v>53</v>
      </c>
      <c r="BD57" s="53" t="s">
        <v>561</v>
      </c>
      <c r="BE57" s="53" t="s">
        <v>53</v>
      </c>
      <c r="BF57" s="53" t="s">
        <v>561</v>
      </c>
      <c r="BG57" s="53" t="s">
        <v>561</v>
      </c>
      <c r="BH57" s="53" t="s">
        <v>561</v>
      </c>
      <c r="BI57" s="107" t="s">
        <v>561</v>
      </c>
      <c r="BJ57" s="107" t="s">
        <v>561</v>
      </c>
      <c r="BK57" s="53" t="s">
        <v>561</v>
      </c>
      <c r="BL57" s="53" t="s">
        <v>561</v>
      </c>
      <c r="BM57" s="53" t="s">
        <v>561</v>
      </c>
      <c r="BN57" s="53" t="s">
        <v>561</v>
      </c>
      <c r="BO57" s="53" t="s">
        <v>600</v>
      </c>
      <c r="BP57" s="53" t="s">
        <v>600</v>
      </c>
      <c r="BQ57" s="118" t="s">
        <v>821</v>
      </c>
      <c r="BR57" s="118" t="s">
        <v>821</v>
      </c>
      <c r="BS57" s="180" t="s">
        <v>1832</v>
      </c>
      <c r="BT57" s="122"/>
      <c r="BU57" s="122">
        <f t="shared" si="11"/>
        <v>41510</v>
      </c>
      <c r="BV57" s="126">
        <v>41510.0</v>
      </c>
      <c r="BW57" s="126"/>
      <c r="BX57" s="127"/>
      <c r="BY57" s="127"/>
      <c r="BZ57" s="13"/>
      <c r="CA57" s="13"/>
      <c r="CB57" s="13"/>
      <c r="CC57" s="13" t="s">
        <v>561</v>
      </c>
    </row>
    <row r="58">
      <c r="A58" s="44" t="str">
        <f>LOOKUP(H58,'Letter grades'!$A$1:$B$6)</f>
        <v>D</v>
      </c>
      <c r="B58" s="44">
        <f t="shared" si="3"/>
        <v>54</v>
      </c>
      <c r="C58" s="44" t="s">
        <v>725</v>
      </c>
      <c r="D58" s="44" t="s">
        <v>726</v>
      </c>
      <c r="E58" s="98" t="s">
        <v>722</v>
      </c>
      <c r="F58" s="47">
        <f t="shared" si="4"/>
        <v>0.6666666667</v>
      </c>
      <c r="G58" s="47">
        <f t="shared" si="5"/>
        <v>0.43</v>
      </c>
      <c r="H58" s="105">
        <f t="shared" si="6"/>
        <v>0.5088888889</v>
      </c>
      <c r="I58" s="13" t="s">
        <v>108</v>
      </c>
      <c r="J58" s="53" t="s">
        <v>487</v>
      </c>
      <c r="K58" s="53" t="s">
        <v>487</v>
      </c>
      <c r="L58" s="107" t="s">
        <v>487</v>
      </c>
      <c r="M58" s="53" t="s">
        <v>594</v>
      </c>
      <c r="N58" s="107" t="s">
        <v>594</v>
      </c>
      <c r="O58" s="53" t="s">
        <v>490</v>
      </c>
      <c r="P58" s="108" t="s">
        <v>53</v>
      </c>
      <c r="Q58" s="110" t="s">
        <v>53</v>
      </c>
      <c r="R58" s="108" t="s">
        <v>491</v>
      </c>
      <c r="S58" s="107" t="s">
        <v>53</v>
      </c>
      <c r="T58" s="107" t="s">
        <v>53</v>
      </c>
      <c r="U58" s="107" t="s">
        <v>53</v>
      </c>
      <c r="V58" s="107" t="s">
        <v>796</v>
      </c>
      <c r="W58" s="107" t="s">
        <v>796</v>
      </c>
      <c r="X58" s="53" t="s">
        <v>766</v>
      </c>
      <c r="Y58" s="107" t="s">
        <v>561</v>
      </c>
      <c r="Z58" s="53" t="s">
        <v>53</v>
      </c>
      <c r="AA58" s="107" t="s">
        <v>53</v>
      </c>
      <c r="AB58" s="53" t="s">
        <v>53</v>
      </c>
      <c r="AC58" s="53" t="s">
        <v>561</v>
      </c>
      <c r="AD58" s="107" t="s">
        <v>53</v>
      </c>
      <c r="AE58" s="107" t="s">
        <v>53</v>
      </c>
      <c r="AF58" s="107" t="s">
        <v>53</v>
      </c>
      <c r="AG58" s="107" t="s">
        <v>53</v>
      </c>
      <c r="AH58" s="107" t="s">
        <v>53</v>
      </c>
      <c r="AI58" s="107" t="s">
        <v>561</v>
      </c>
      <c r="AJ58" s="107" t="s">
        <v>53</v>
      </c>
      <c r="AK58" s="107" t="s">
        <v>53</v>
      </c>
      <c r="AL58" s="107" t="s">
        <v>561</v>
      </c>
      <c r="AM58" s="107" t="s">
        <v>561</v>
      </c>
      <c r="AN58" s="53" t="s">
        <v>561</v>
      </c>
      <c r="AO58" s="107" t="s">
        <v>561</v>
      </c>
      <c r="AP58" s="53" t="s">
        <v>561</v>
      </c>
      <c r="AQ58" s="53" t="s">
        <v>561</v>
      </c>
      <c r="AR58" s="53" t="s">
        <v>53</v>
      </c>
      <c r="AS58" s="53" t="s">
        <v>561</v>
      </c>
      <c r="AT58" s="53" t="s">
        <v>53</v>
      </c>
      <c r="AU58" s="53" t="s">
        <v>561</v>
      </c>
      <c r="AV58" s="53" t="s">
        <v>799</v>
      </c>
      <c r="AW58" s="53" t="s">
        <v>561</v>
      </c>
      <c r="AX58" s="53" t="s">
        <v>561</v>
      </c>
      <c r="AY58" s="53" t="s">
        <v>561</v>
      </c>
      <c r="AZ58" s="53" t="s">
        <v>53</v>
      </c>
      <c r="BA58" s="53" t="s">
        <v>561</v>
      </c>
      <c r="BB58" s="53" t="s">
        <v>53</v>
      </c>
      <c r="BC58" s="53" t="s">
        <v>561</v>
      </c>
      <c r="BD58" s="53" t="s">
        <v>561</v>
      </c>
      <c r="BE58" s="53" t="s">
        <v>561</v>
      </c>
      <c r="BF58" s="53" t="s">
        <v>561</v>
      </c>
      <c r="BG58" s="53" t="s">
        <v>561</v>
      </c>
      <c r="BH58" s="53" t="s">
        <v>561</v>
      </c>
      <c r="BI58" s="107" t="s">
        <v>53</v>
      </c>
      <c r="BJ58" s="107" t="s">
        <v>561</v>
      </c>
      <c r="BK58" s="53" t="s">
        <v>561</v>
      </c>
      <c r="BL58" s="53" t="s">
        <v>561</v>
      </c>
      <c r="BM58" s="53" t="s">
        <v>561</v>
      </c>
      <c r="BN58" s="53" t="s">
        <v>561</v>
      </c>
      <c r="BO58" s="53" t="s">
        <v>561</v>
      </c>
      <c r="BP58" s="53" t="s">
        <v>600</v>
      </c>
      <c r="BQ58" s="118" t="s">
        <v>821</v>
      </c>
      <c r="BR58" s="118" t="s">
        <v>821</v>
      </c>
      <c r="BS58" s="118" t="s">
        <v>821</v>
      </c>
      <c r="BT58" s="122"/>
      <c r="BU58" s="122">
        <f t="shared" si="11"/>
        <v>0</v>
      </c>
      <c r="BV58" s="126"/>
      <c r="BW58" s="126"/>
      <c r="BX58" s="127"/>
      <c r="BY58" s="127"/>
      <c r="BZ58" s="13"/>
      <c r="CA58" s="13" t="s">
        <v>561</v>
      </c>
      <c r="CB58" s="13"/>
      <c r="CC58" s="13"/>
    </row>
    <row r="59">
      <c r="A59" s="44" t="str">
        <f>LOOKUP(H59,'Letter grades'!$A$1:$B$6)</f>
        <v>D</v>
      </c>
      <c r="B59" s="44">
        <f t="shared" si="3"/>
        <v>55</v>
      </c>
      <c r="C59" s="44" t="s">
        <v>965</v>
      </c>
      <c r="D59" s="44" t="s">
        <v>966</v>
      </c>
      <c r="E59" s="98" t="s">
        <v>963</v>
      </c>
      <c r="F59" s="47">
        <f t="shared" si="4"/>
        <v>0.6666666667</v>
      </c>
      <c r="G59" s="47">
        <f t="shared" si="5"/>
        <v>0.4255319149</v>
      </c>
      <c r="H59" s="105">
        <f t="shared" si="6"/>
        <v>0.5059101655</v>
      </c>
      <c r="I59" s="13" t="s">
        <v>108</v>
      </c>
      <c r="J59" s="53" t="s">
        <v>487</v>
      </c>
      <c r="K59" s="53" t="s">
        <v>487</v>
      </c>
      <c r="L59" s="53" t="s">
        <v>487</v>
      </c>
      <c r="M59" s="53" t="s">
        <v>594</v>
      </c>
      <c r="N59" s="107" t="s">
        <v>594</v>
      </c>
      <c r="O59" s="53" t="s">
        <v>490</v>
      </c>
      <c r="P59" s="108" t="s">
        <v>53</v>
      </c>
      <c r="Q59" s="110" t="s">
        <v>53</v>
      </c>
      <c r="R59" s="108" t="s">
        <v>491</v>
      </c>
      <c r="S59" s="107" t="s">
        <v>53</v>
      </c>
      <c r="T59" s="107" t="s">
        <v>53</v>
      </c>
      <c r="U59" s="107" t="s">
        <v>53</v>
      </c>
      <c r="V59" s="107" t="s">
        <v>796</v>
      </c>
      <c r="W59" s="107" t="s">
        <v>796</v>
      </c>
      <c r="X59" s="53" t="s">
        <v>766</v>
      </c>
      <c r="Y59" s="107" t="s">
        <v>561</v>
      </c>
      <c r="Z59" s="53" t="s">
        <v>53</v>
      </c>
      <c r="AA59" s="107" t="s">
        <v>53</v>
      </c>
      <c r="AB59" s="53" t="s">
        <v>53</v>
      </c>
      <c r="AC59" s="53" t="s">
        <v>561</v>
      </c>
      <c r="AD59" s="107" t="s">
        <v>53</v>
      </c>
      <c r="AE59" s="107" t="s">
        <v>53</v>
      </c>
      <c r="AF59" s="107" t="s">
        <v>53</v>
      </c>
      <c r="AG59" s="107" t="s">
        <v>53</v>
      </c>
      <c r="AH59" s="107" t="s">
        <v>53</v>
      </c>
      <c r="AI59" s="107" t="s">
        <v>53</v>
      </c>
      <c r="AJ59" s="107" t="s">
        <v>561</v>
      </c>
      <c r="AK59" s="107" t="s">
        <v>561</v>
      </c>
      <c r="AL59" s="107" t="s">
        <v>561</v>
      </c>
      <c r="AM59" s="107" t="s">
        <v>561</v>
      </c>
      <c r="AN59" s="53" t="s">
        <v>561</v>
      </c>
      <c r="AO59" s="107" t="s">
        <v>561</v>
      </c>
      <c r="AP59" s="53" t="s">
        <v>561</v>
      </c>
      <c r="AQ59" s="53" t="s">
        <v>561</v>
      </c>
      <c r="AR59" s="53" t="s">
        <v>53</v>
      </c>
      <c r="AS59" s="53" t="s">
        <v>561</v>
      </c>
      <c r="AT59" s="53" t="s">
        <v>561</v>
      </c>
      <c r="AU59" s="53" t="s">
        <v>561</v>
      </c>
      <c r="AV59" s="53" t="s">
        <v>561</v>
      </c>
      <c r="AW59" s="53" t="s">
        <v>561</v>
      </c>
      <c r="AX59" s="53" t="s">
        <v>561</v>
      </c>
      <c r="AY59" s="53" t="s">
        <v>53</v>
      </c>
      <c r="AZ59" s="53" t="s">
        <v>53</v>
      </c>
      <c r="BA59" s="53" t="s">
        <v>561</v>
      </c>
      <c r="BB59" s="53" t="s">
        <v>53</v>
      </c>
      <c r="BC59" s="53" t="s">
        <v>561</v>
      </c>
      <c r="BD59" s="53" t="s">
        <v>561</v>
      </c>
      <c r="BE59" s="53" t="s">
        <v>53</v>
      </c>
      <c r="BF59" s="53" t="s">
        <v>561</v>
      </c>
      <c r="BG59" s="53" t="s">
        <v>561</v>
      </c>
      <c r="BH59" s="53" t="s">
        <v>561</v>
      </c>
      <c r="BI59" s="107" t="s">
        <v>561</v>
      </c>
      <c r="BJ59" s="107" t="s">
        <v>561</v>
      </c>
      <c r="BK59" s="53" t="s">
        <v>561</v>
      </c>
      <c r="BL59" s="53" t="s">
        <v>561</v>
      </c>
      <c r="BM59" s="53" t="s">
        <v>600</v>
      </c>
      <c r="BN59" s="53" t="s">
        <v>600</v>
      </c>
      <c r="BO59" s="53" t="s">
        <v>600</v>
      </c>
      <c r="BP59" s="53" t="s">
        <v>600</v>
      </c>
      <c r="BQ59" s="118" t="s">
        <v>821</v>
      </c>
      <c r="BR59" s="118" t="s">
        <v>821</v>
      </c>
      <c r="BS59" s="118" t="s">
        <v>821</v>
      </c>
      <c r="BT59" s="122"/>
      <c r="BU59" s="122">
        <f t="shared" si="11"/>
        <v>0</v>
      </c>
      <c r="BV59" s="126"/>
      <c r="BW59" s="126"/>
      <c r="BX59" s="127"/>
      <c r="BY59" s="127"/>
      <c r="BZ59" s="13"/>
      <c r="CA59" s="13" t="s">
        <v>561</v>
      </c>
      <c r="CB59" s="13"/>
      <c r="CC59" s="13"/>
    </row>
    <row r="60">
      <c r="A60" s="44" t="str">
        <f>LOOKUP(H60,'Letter grades'!$A$1:$B$6)</f>
        <v>D</v>
      </c>
      <c r="B60" s="44">
        <f t="shared" si="3"/>
        <v>56</v>
      </c>
      <c r="C60" s="107" t="s">
        <v>2592</v>
      </c>
      <c r="D60" s="107" t="s">
        <v>2593</v>
      </c>
      <c r="E60" s="148" t="s">
        <v>236</v>
      </c>
      <c r="F60" s="47">
        <f t="shared" si="4"/>
        <v>0</v>
      </c>
      <c r="G60" s="47">
        <f t="shared" si="5"/>
        <v>0.75</v>
      </c>
      <c r="H60" s="105">
        <f t="shared" si="6"/>
        <v>0.5</v>
      </c>
      <c r="I60" s="13" t="s">
        <v>2594</v>
      </c>
      <c r="J60" s="53" t="s">
        <v>594</v>
      </c>
      <c r="K60" s="53" t="s">
        <v>594</v>
      </c>
      <c r="L60" s="107" t="s">
        <v>594</v>
      </c>
      <c r="M60" s="53" t="s">
        <v>594</v>
      </c>
      <c r="N60" s="107" t="s">
        <v>594</v>
      </c>
      <c r="O60" s="53" t="s">
        <v>1065</v>
      </c>
      <c r="P60" s="108" t="s">
        <v>53</v>
      </c>
      <c r="Q60" s="110" t="s">
        <v>53</v>
      </c>
      <c r="R60" s="108" t="s">
        <v>491</v>
      </c>
      <c r="S60" s="107" t="s">
        <v>53</v>
      </c>
      <c r="T60" s="107" t="s">
        <v>53</v>
      </c>
      <c r="U60" s="107" t="s">
        <v>53</v>
      </c>
      <c r="V60" s="107" t="s">
        <v>796</v>
      </c>
      <c r="W60" s="107" t="s">
        <v>796</v>
      </c>
      <c r="X60" s="53" t="s">
        <v>766</v>
      </c>
      <c r="Y60" s="107" t="s">
        <v>561</v>
      </c>
      <c r="Z60" s="53" t="s">
        <v>801</v>
      </c>
      <c r="AA60" s="53" t="s">
        <v>600</v>
      </c>
      <c r="AB60" s="53" t="s">
        <v>600</v>
      </c>
      <c r="AC60" s="53" t="s">
        <v>600</v>
      </c>
      <c r="AD60" s="53" t="s">
        <v>600</v>
      </c>
      <c r="AE60" s="53" t="s">
        <v>600</v>
      </c>
      <c r="AF60" s="53" t="s">
        <v>600</v>
      </c>
      <c r="AG60" s="53" t="s">
        <v>600</v>
      </c>
      <c r="AH60" s="53" t="s">
        <v>600</v>
      </c>
      <c r="AI60" s="53" t="s">
        <v>600</v>
      </c>
      <c r="AJ60" s="53" t="s">
        <v>600</v>
      </c>
      <c r="AK60" s="53" t="s">
        <v>600</v>
      </c>
      <c r="AL60" s="53" t="s">
        <v>600</v>
      </c>
      <c r="AM60" s="53" t="s">
        <v>600</v>
      </c>
      <c r="AN60" s="53" t="s">
        <v>600</v>
      </c>
      <c r="AO60" s="53" t="s">
        <v>600</v>
      </c>
      <c r="AP60" s="53" t="s">
        <v>600</v>
      </c>
      <c r="AQ60" s="53" t="s">
        <v>600</v>
      </c>
      <c r="AR60" s="53" t="s">
        <v>600</v>
      </c>
      <c r="AS60" s="53" t="s">
        <v>600</v>
      </c>
      <c r="AT60" s="53" t="s">
        <v>600</v>
      </c>
      <c r="AU60" s="53" t="s">
        <v>600</v>
      </c>
      <c r="AV60" s="53" t="s">
        <v>600</v>
      </c>
      <c r="AW60" s="53" t="s">
        <v>600</v>
      </c>
      <c r="AX60" s="53" t="s">
        <v>600</v>
      </c>
      <c r="AY60" s="53" t="s">
        <v>600</v>
      </c>
      <c r="AZ60" s="53" t="s">
        <v>600</v>
      </c>
      <c r="BA60" s="53" t="s">
        <v>600</v>
      </c>
      <c r="BB60" s="53" t="s">
        <v>600</v>
      </c>
      <c r="BC60" s="53" t="s">
        <v>600</v>
      </c>
      <c r="BD60" s="53" t="s">
        <v>600</v>
      </c>
      <c r="BE60" s="53" t="s">
        <v>600</v>
      </c>
      <c r="BF60" s="53" t="s">
        <v>600</v>
      </c>
      <c r="BG60" s="53" t="s">
        <v>600</v>
      </c>
      <c r="BH60" s="53" t="s">
        <v>600</v>
      </c>
      <c r="BI60" s="107" t="s">
        <v>600</v>
      </c>
      <c r="BJ60" s="107" t="s">
        <v>600</v>
      </c>
      <c r="BK60" s="53" t="s">
        <v>600</v>
      </c>
      <c r="BL60" s="53" t="s">
        <v>600</v>
      </c>
      <c r="BM60" s="53" t="s">
        <v>600</v>
      </c>
      <c r="BN60" s="53" t="s">
        <v>600</v>
      </c>
      <c r="BO60" s="53" t="s">
        <v>600</v>
      </c>
      <c r="BP60" s="53" t="s">
        <v>600</v>
      </c>
      <c r="BQ60" s="118" t="s">
        <v>821</v>
      </c>
      <c r="BR60" s="53" t="s">
        <v>600</v>
      </c>
      <c r="BS60" s="53" t="s">
        <v>600</v>
      </c>
      <c r="BT60" s="122"/>
      <c r="BU60" s="122"/>
      <c r="BV60" s="126"/>
      <c r="BW60" s="126"/>
      <c r="BX60" s="127"/>
      <c r="BY60" s="127"/>
      <c r="BZ60" s="13"/>
      <c r="CA60" s="13"/>
      <c r="CB60" s="13"/>
      <c r="CC60" s="13"/>
    </row>
    <row r="61">
      <c r="A61" s="44" t="str">
        <f>LOOKUP(H61,'Letter grades'!$A$1:$B$6)</f>
        <v>D</v>
      </c>
      <c r="B61" s="44">
        <f t="shared" si="3"/>
        <v>57</v>
      </c>
      <c r="C61" s="44" t="s">
        <v>120</v>
      </c>
      <c r="D61" s="44" t="s">
        <v>121</v>
      </c>
      <c r="E61" s="98" t="s">
        <v>115</v>
      </c>
      <c r="F61" s="47">
        <f t="shared" si="4"/>
        <v>0.6666666667</v>
      </c>
      <c r="G61" s="47">
        <f t="shared" si="5"/>
        <v>0.4019607843</v>
      </c>
      <c r="H61" s="105">
        <f t="shared" si="6"/>
        <v>0.4901960784</v>
      </c>
      <c r="I61" s="13" t="s">
        <v>108</v>
      </c>
      <c r="J61" s="53" t="s">
        <v>487</v>
      </c>
      <c r="K61" s="53" t="s">
        <v>487</v>
      </c>
      <c r="L61" s="107" t="s">
        <v>487</v>
      </c>
      <c r="M61" s="53" t="s">
        <v>594</v>
      </c>
      <c r="N61" s="107" t="s">
        <v>594</v>
      </c>
      <c r="O61" s="53" t="s">
        <v>490</v>
      </c>
      <c r="P61" s="108" t="s">
        <v>53</v>
      </c>
      <c r="Q61" s="110" t="s">
        <v>53</v>
      </c>
      <c r="R61" s="108" t="s">
        <v>491</v>
      </c>
      <c r="S61" s="107" t="s">
        <v>53</v>
      </c>
      <c r="T61" s="107" t="s">
        <v>561</v>
      </c>
      <c r="U61" s="107" t="s">
        <v>53</v>
      </c>
      <c r="V61" s="107" t="s">
        <v>796</v>
      </c>
      <c r="W61" s="107" t="s">
        <v>796</v>
      </c>
      <c r="X61" s="53" t="s">
        <v>766</v>
      </c>
      <c r="Y61" s="107" t="s">
        <v>561</v>
      </c>
      <c r="Z61" s="53" t="s">
        <v>53</v>
      </c>
      <c r="AA61" s="107" t="s">
        <v>53</v>
      </c>
      <c r="AB61" s="53" t="s">
        <v>53</v>
      </c>
      <c r="AC61" s="53" t="s">
        <v>561</v>
      </c>
      <c r="AD61" s="107" t="s">
        <v>53</v>
      </c>
      <c r="AE61" s="107" t="s">
        <v>53</v>
      </c>
      <c r="AF61" s="107" t="s">
        <v>53</v>
      </c>
      <c r="AG61" s="107" t="s">
        <v>53</v>
      </c>
      <c r="AH61" s="107" t="s">
        <v>53</v>
      </c>
      <c r="AI61" s="107" t="s">
        <v>53</v>
      </c>
      <c r="AJ61" s="107" t="s">
        <v>53</v>
      </c>
      <c r="AK61" s="107" t="s">
        <v>561</v>
      </c>
      <c r="AL61" s="107" t="s">
        <v>561</v>
      </c>
      <c r="AM61" s="107" t="s">
        <v>561</v>
      </c>
      <c r="AN61" s="53" t="s">
        <v>561</v>
      </c>
      <c r="AO61" s="107" t="s">
        <v>561</v>
      </c>
      <c r="AP61" s="53" t="s">
        <v>561</v>
      </c>
      <c r="AQ61" s="53" t="s">
        <v>561</v>
      </c>
      <c r="AR61" s="53" t="s">
        <v>53</v>
      </c>
      <c r="AS61" s="53" t="s">
        <v>561</v>
      </c>
      <c r="AT61" s="53" t="s">
        <v>561</v>
      </c>
      <c r="AU61" s="53" t="s">
        <v>561</v>
      </c>
      <c r="AV61" s="53" t="s">
        <v>799</v>
      </c>
      <c r="AW61" s="53" t="s">
        <v>561</v>
      </c>
      <c r="AX61" s="53" t="s">
        <v>561</v>
      </c>
      <c r="AY61" s="53" t="s">
        <v>561</v>
      </c>
      <c r="AZ61" s="53" t="s">
        <v>53</v>
      </c>
      <c r="BA61" s="53" t="s">
        <v>561</v>
      </c>
      <c r="BB61" s="53" t="s">
        <v>53</v>
      </c>
      <c r="BC61" s="53" t="s">
        <v>561</v>
      </c>
      <c r="BD61" s="53" t="s">
        <v>561</v>
      </c>
      <c r="BE61" s="53" t="s">
        <v>53</v>
      </c>
      <c r="BF61" s="53" t="s">
        <v>561</v>
      </c>
      <c r="BG61" s="53" t="s">
        <v>561</v>
      </c>
      <c r="BH61" s="53" t="s">
        <v>561</v>
      </c>
      <c r="BI61" s="107" t="s">
        <v>561</v>
      </c>
      <c r="BJ61" s="107" t="s">
        <v>561</v>
      </c>
      <c r="BK61" s="53" t="s">
        <v>561</v>
      </c>
      <c r="BL61" s="53" t="s">
        <v>561</v>
      </c>
      <c r="BM61" s="53" t="s">
        <v>561</v>
      </c>
      <c r="BN61" s="53" t="s">
        <v>561</v>
      </c>
      <c r="BO61" s="53" t="s">
        <v>53</v>
      </c>
      <c r="BP61" s="53" t="s">
        <v>561</v>
      </c>
      <c r="BQ61" s="118" t="s">
        <v>821</v>
      </c>
      <c r="BR61" s="118" t="s">
        <v>821</v>
      </c>
      <c r="BS61" s="118" t="s">
        <v>821</v>
      </c>
      <c r="BT61" s="122"/>
      <c r="BU61" s="122">
        <f t="shared" ref="BU61:BU69" si="12">SUM(BV61:BY61)</f>
        <v>0</v>
      </c>
      <c r="BV61" s="126"/>
      <c r="BW61" s="126"/>
      <c r="BX61" s="127"/>
      <c r="BY61" s="127"/>
      <c r="BZ61" s="13"/>
      <c r="CA61" s="13" t="s">
        <v>561</v>
      </c>
      <c r="CB61" s="13"/>
      <c r="CC61" s="13"/>
    </row>
    <row r="62">
      <c r="A62" s="44" t="str">
        <f>LOOKUP(H62,'Letter grades'!$A$1:$B$6)</f>
        <v>D</v>
      </c>
      <c r="B62" s="44">
        <f t="shared" si="3"/>
        <v>58</v>
      </c>
      <c r="C62" s="44" t="s">
        <v>1345</v>
      </c>
      <c r="D62" s="44" t="s">
        <v>2579</v>
      </c>
      <c r="E62" s="98" t="s">
        <v>1328</v>
      </c>
      <c r="F62" s="47">
        <f t="shared" si="4"/>
        <v>0.6666666667</v>
      </c>
      <c r="G62" s="47">
        <f t="shared" si="5"/>
        <v>0.3928571429</v>
      </c>
      <c r="H62" s="105">
        <f t="shared" si="6"/>
        <v>0.4841269841</v>
      </c>
      <c r="I62" s="13" t="s">
        <v>108</v>
      </c>
      <c r="J62" s="53" t="s">
        <v>487</v>
      </c>
      <c r="K62" s="53" t="s">
        <v>487</v>
      </c>
      <c r="L62" s="53" t="s">
        <v>487</v>
      </c>
      <c r="M62" s="53" t="s">
        <v>594</v>
      </c>
      <c r="N62" s="107" t="s">
        <v>594</v>
      </c>
      <c r="O62" s="53" t="s">
        <v>490</v>
      </c>
      <c r="P62" s="108" t="s">
        <v>53</v>
      </c>
      <c r="Q62" s="110" t="s">
        <v>53</v>
      </c>
      <c r="R62" s="108" t="s">
        <v>766</v>
      </c>
      <c r="S62" s="107" t="s">
        <v>53</v>
      </c>
      <c r="T62" s="107" t="s">
        <v>561</v>
      </c>
      <c r="U62" s="107" t="s">
        <v>561</v>
      </c>
      <c r="V62" s="107" t="s">
        <v>796</v>
      </c>
      <c r="W62" s="107" t="s">
        <v>796</v>
      </c>
      <c r="X62" s="53" t="s">
        <v>766</v>
      </c>
      <c r="Y62" s="107" t="s">
        <v>561</v>
      </c>
      <c r="Z62" s="53" t="s">
        <v>53</v>
      </c>
      <c r="AA62" s="107" t="s">
        <v>561</v>
      </c>
      <c r="AB62" s="53" t="s">
        <v>53</v>
      </c>
      <c r="AC62" s="53" t="s">
        <v>561</v>
      </c>
      <c r="AD62" s="107" t="s">
        <v>53</v>
      </c>
      <c r="AE62" s="107" t="s">
        <v>53</v>
      </c>
      <c r="AF62" s="107" t="s">
        <v>53</v>
      </c>
      <c r="AG62" s="107" t="s">
        <v>801</v>
      </c>
      <c r="AH62" s="107" t="s">
        <v>53</v>
      </c>
      <c r="AI62" s="107" t="s">
        <v>53</v>
      </c>
      <c r="AJ62" s="107" t="s">
        <v>561</v>
      </c>
      <c r="AK62" s="107" t="s">
        <v>561</v>
      </c>
      <c r="AL62" s="107" t="s">
        <v>561</v>
      </c>
      <c r="AM62" s="107" t="s">
        <v>561</v>
      </c>
      <c r="AN62" s="53" t="s">
        <v>561</v>
      </c>
      <c r="AO62" s="107" t="s">
        <v>561</v>
      </c>
      <c r="AP62" s="53" t="s">
        <v>561</v>
      </c>
      <c r="AQ62" s="53" t="s">
        <v>561</v>
      </c>
      <c r="AR62" s="53" t="s">
        <v>53</v>
      </c>
      <c r="AS62" s="53" t="s">
        <v>561</v>
      </c>
      <c r="AT62" s="53" t="s">
        <v>53</v>
      </c>
      <c r="AU62" s="53" t="s">
        <v>561</v>
      </c>
      <c r="AV62" s="53" t="s">
        <v>799</v>
      </c>
      <c r="AW62" s="53" t="s">
        <v>561</v>
      </c>
      <c r="AX62" s="53" t="s">
        <v>561</v>
      </c>
      <c r="AY62" s="53" t="s">
        <v>53</v>
      </c>
      <c r="AZ62" s="53" t="s">
        <v>53</v>
      </c>
      <c r="BA62" s="53" t="s">
        <v>561</v>
      </c>
      <c r="BB62" s="53" t="s">
        <v>53</v>
      </c>
      <c r="BC62" s="53" t="s">
        <v>561</v>
      </c>
      <c r="BD62" s="53" t="s">
        <v>561</v>
      </c>
      <c r="BE62" s="53" t="s">
        <v>53</v>
      </c>
      <c r="BF62" s="53" t="s">
        <v>561</v>
      </c>
      <c r="BG62" s="53" t="s">
        <v>561</v>
      </c>
      <c r="BH62" s="53" t="s">
        <v>561</v>
      </c>
      <c r="BI62" s="107" t="s">
        <v>600</v>
      </c>
      <c r="BJ62" s="107" t="s">
        <v>600</v>
      </c>
      <c r="BK62" s="53" t="s">
        <v>600</v>
      </c>
      <c r="BL62" s="53" t="s">
        <v>600</v>
      </c>
      <c r="BM62" s="53" t="s">
        <v>600</v>
      </c>
      <c r="BN62" s="53" t="s">
        <v>600</v>
      </c>
      <c r="BO62" s="53" t="s">
        <v>600</v>
      </c>
      <c r="BP62" s="53" t="s">
        <v>600</v>
      </c>
      <c r="BQ62" s="118" t="s">
        <v>821</v>
      </c>
      <c r="BR62" s="118" t="s">
        <v>821</v>
      </c>
      <c r="BS62" s="118" t="s">
        <v>821</v>
      </c>
      <c r="BT62" s="122"/>
      <c r="BU62" s="122">
        <f t="shared" si="12"/>
        <v>29350</v>
      </c>
      <c r="BV62" s="126">
        <v>26850.0</v>
      </c>
      <c r="BW62" s="126"/>
      <c r="BX62" s="127">
        <f>2500</f>
        <v>2500</v>
      </c>
      <c r="BY62" s="127"/>
      <c r="BZ62" s="13"/>
      <c r="CA62" s="13" t="s">
        <v>561</v>
      </c>
      <c r="CB62" s="13"/>
      <c r="CC62" s="13"/>
    </row>
    <row r="63">
      <c r="A63" s="44" t="str">
        <f>LOOKUP(H63,'Letter grades'!$A$1:$B$6)</f>
        <v>D</v>
      </c>
      <c r="B63" s="44">
        <f t="shared" si="3"/>
        <v>59</v>
      </c>
      <c r="C63" s="44" t="s">
        <v>860</v>
      </c>
      <c r="D63" s="44" t="s">
        <v>96</v>
      </c>
      <c r="E63" s="98" t="s">
        <v>858</v>
      </c>
      <c r="F63" s="47">
        <f t="shared" si="4"/>
        <v>0.6666666667</v>
      </c>
      <c r="G63" s="47">
        <f t="shared" si="5"/>
        <v>0.387755102</v>
      </c>
      <c r="H63" s="105">
        <f t="shared" si="6"/>
        <v>0.4807256236</v>
      </c>
      <c r="I63" s="13" t="s">
        <v>108</v>
      </c>
      <c r="J63" s="53" t="s">
        <v>487</v>
      </c>
      <c r="K63" s="53" t="s">
        <v>487</v>
      </c>
      <c r="L63" s="107" t="s">
        <v>487</v>
      </c>
      <c r="M63" s="53" t="s">
        <v>594</v>
      </c>
      <c r="N63" s="107" t="s">
        <v>594</v>
      </c>
      <c r="O63" s="53" t="s">
        <v>490</v>
      </c>
      <c r="P63" s="108" t="s">
        <v>53</v>
      </c>
      <c r="Q63" s="110" t="s">
        <v>53</v>
      </c>
      <c r="R63" s="108" t="s">
        <v>491</v>
      </c>
      <c r="S63" s="107" t="s">
        <v>53</v>
      </c>
      <c r="T63" s="107" t="s">
        <v>561</v>
      </c>
      <c r="U63" s="107" t="s">
        <v>561</v>
      </c>
      <c r="V63" s="107" t="s">
        <v>796</v>
      </c>
      <c r="W63" s="107" t="s">
        <v>796</v>
      </c>
      <c r="X63" s="53" t="s">
        <v>766</v>
      </c>
      <c r="Y63" s="107" t="s">
        <v>561</v>
      </c>
      <c r="Z63" s="53" t="s">
        <v>53</v>
      </c>
      <c r="AA63" s="107" t="s">
        <v>561</v>
      </c>
      <c r="AB63" s="53" t="s">
        <v>53</v>
      </c>
      <c r="AC63" s="53" t="s">
        <v>561</v>
      </c>
      <c r="AD63" s="107" t="s">
        <v>53</v>
      </c>
      <c r="AE63" s="107" t="s">
        <v>53</v>
      </c>
      <c r="AF63" s="107" t="s">
        <v>53</v>
      </c>
      <c r="AG63" s="107" t="s">
        <v>53</v>
      </c>
      <c r="AH63" s="107" t="s">
        <v>53</v>
      </c>
      <c r="AI63" s="107" t="s">
        <v>53</v>
      </c>
      <c r="AJ63" s="107" t="s">
        <v>53</v>
      </c>
      <c r="AK63" s="107" t="s">
        <v>53</v>
      </c>
      <c r="AL63" s="107" t="s">
        <v>561</v>
      </c>
      <c r="AM63" s="107" t="s">
        <v>561</v>
      </c>
      <c r="AN63" s="53" t="s">
        <v>561</v>
      </c>
      <c r="AO63" s="107" t="s">
        <v>801</v>
      </c>
      <c r="AP63" s="53" t="s">
        <v>561</v>
      </c>
      <c r="AQ63" s="53" t="s">
        <v>561</v>
      </c>
      <c r="AR63" s="53" t="s">
        <v>53</v>
      </c>
      <c r="AS63" s="53" t="s">
        <v>561</v>
      </c>
      <c r="AT63" s="53" t="s">
        <v>53</v>
      </c>
      <c r="AU63" s="53" t="s">
        <v>561</v>
      </c>
      <c r="AV63" s="53" t="s">
        <v>801</v>
      </c>
      <c r="AW63" s="53" t="s">
        <v>561</v>
      </c>
      <c r="AX63" s="53" t="s">
        <v>561</v>
      </c>
      <c r="AY63" s="53" t="s">
        <v>561</v>
      </c>
      <c r="AZ63" s="53" t="s">
        <v>53</v>
      </c>
      <c r="BA63" s="53" t="s">
        <v>561</v>
      </c>
      <c r="BB63" s="53" t="s">
        <v>53</v>
      </c>
      <c r="BC63" s="53" t="s">
        <v>561</v>
      </c>
      <c r="BD63" s="53" t="s">
        <v>561</v>
      </c>
      <c r="BE63" s="53" t="s">
        <v>561</v>
      </c>
      <c r="BF63" s="53" t="s">
        <v>561</v>
      </c>
      <c r="BG63" s="53" t="s">
        <v>561</v>
      </c>
      <c r="BH63" s="53" t="s">
        <v>561</v>
      </c>
      <c r="BI63" s="107" t="s">
        <v>561</v>
      </c>
      <c r="BJ63" s="107" t="s">
        <v>561</v>
      </c>
      <c r="BK63" s="53" t="s">
        <v>561</v>
      </c>
      <c r="BL63" s="53" t="s">
        <v>561</v>
      </c>
      <c r="BM63" s="53" t="s">
        <v>561</v>
      </c>
      <c r="BN63" s="53" t="s">
        <v>561</v>
      </c>
      <c r="BO63" s="53" t="s">
        <v>53</v>
      </c>
      <c r="BP63" s="53" t="s">
        <v>561</v>
      </c>
      <c r="BQ63" s="118" t="s">
        <v>821</v>
      </c>
      <c r="BR63" s="118" t="s">
        <v>821</v>
      </c>
      <c r="BS63" s="180" t="s">
        <v>1832</v>
      </c>
      <c r="BT63" s="122"/>
      <c r="BU63" s="122">
        <f t="shared" si="12"/>
        <v>0</v>
      </c>
      <c r="BV63" s="126"/>
      <c r="BW63" s="126"/>
      <c r="BX63" s="127"/>
      <c r="BY63" s="127"/>
      <c r="BZ63" s="13"/>
      <c r="CA63" s="13"/>
      <c r="CB63" s="13"/>
      <c r="CC63" s="13"/>
    </row>
    <row r="64">
      <c r="A64" s="44" t="str">
        <f>LOOKUP(H64,'Letter grades'!$A$1:$B$6)</f>
        <v>D</v>
      </c>
      <c r="B64" s="44">
        <f t="shared" si="3"/>
        <v>60</v>
      </c>
      <c r="C64" s="44" t="s">
        <v>1257</v>
      </c>
      <c r="D64" s="44" t="s">
        <v>1258</v>
      </c>
      <c r="E64" s="98" t="s">
        <v>1254</v>
      </c>
      <c r="F64" s="47">
        <f t="shared" si="4"/>
        <v>0.5</v>
      </c>
      <c r="G64" s="47">
        <f t="shared" si="5"/>
        <v>0.4673913043</v>
      </c>
      <c r="H64" s="105">
        <f t="shared" si="6"/>
        <v>0.4782608696</v>
      </c>
      <c r="I64" s="13" t="s">
        <v>108</v>
      </c>
      <c r="J64" s="53" t="s">
        <v>487</v>
      </c>
      <c r="K64" s="53" t="s">
        <v>594</v>
      </c>
      <c r="L64" s="107" t="s">
        <v>487</v>
      </c>
      <c r="M64" s="53" t="s">
        <v>594</v>
      </c>
      <c r="N64" s="107" t="s">
        <v>594</v>
      </c>
      <c r="O64" s="53" t="s">
        <v>490</v>
      </c>
      <c r="P64" s="108" t="s">
        <v>53</v>
      </c>
      <c r="Q64" s="110" t="s">
        <v>53</v>
      </c>
      <c r="R64" s="108" t="s">
        <v>491</v>
      </c>
      <c r="S64" s="107" t="s">
        <v>53</v>
      </c>
      <c r="T64" s="107" t="s">
        <v>53</v>
      </c>
      <c r="U64" s="107" t="s">
        <v>53</v>
      </c>
      <c r="V64" s="107" t="s">
        <v>796</v>
      </c>
      <c r="W64" s="107" t="s">
        <v>796</v>
      </c>
      <c r="X64" s="53" t="s">
        <v>766</v>
      </c>
      <c r="Y64" s="107" t="s">
        <v>801</v>
      </c>
      <c r="Z64" s="53" t="s">
        <v>53</v>
      </c>
      <c r="AA64" s="107" t="s">
        <v>561</v>
      </c>
      <c r="AB64" s="53" t="s">
        <v>53</v>
      </c>
      <c r="AC64" s="53" t="s">
        <v>561</v>
      </c>
      <c r="AD64" s="107" t="s">
        <v>53</v>
      </c>
      <c r="AE64" s="107" t="s">
        <v>53</v>
      </c>
      <c r="AF64" s="107" t="s">
        <v>53</v>
      </c>
      <c r="AG64" s="107" t="s">
        <v>53</v>
      </c>
      <c r="AH64" s="107" t="s">
        <v>53</v>
      </c>
      <c r="AI64" s="107" t="s">
        <v>561</v>
      </c>
      <c r="AJ64" s="107" t="s">
        <v>561</v>
      </c>
      <c r="AK64" s="107" t="s">
        <v>53</v>
      </c>
      <c r="AL64" s="107" t="s">
        <v>561</v>
      </c>
      <c r="AM64" s="107" t="s">
        <v>53</v>
      </c>
      <c r="AN64" s="53" t="s">
        <v>561</v>
      </c>
      <c r="AO64" s="107" t="s">
        <v>561</v>
      </c>
      <c r="AP64" s="53" t="s">
        <v>561</v>
      </c>
      <c r="AQ64" s="53" t="s">
        <v>561</v>
      </c>
      <c r="AR64" s="53" t="s">
        <v>53</v>
      </c>
      <c r="AS64" s="53" t="s">
        <v>561</v>
      </c>
      <c r="AT64" s="53" t="s">
        <v>53</v>
      </c>
      <c r="AU64" s="107" t="s">
        <v>801</v>
      </c>
      <c r="AV64" s="53" t="s">
        <v>799</v>
      </c>
      <c r="AW64" s="53" t="s">
        <v>561</v>
      </c>
      <c r="AX64" s="53" t="s">
        <v>561</v>
      </c>
      <c r="AY64" s="53" t="s">
        <v>801</v>
      </c>
      <c r="AZ64" s="53" t="s">
        <v>53</v>
      </c>
      <c r="BA64" s="53" t="s">
        <v>561</v>
      </c>
      <c r="BB64" s="53" t="s">
        <v>53</v>
      </c>
      <c r="BC64" s="53" t="s">
        <v>53</v>
      </c>
      <c r="BD64" s="53" t="s">
        <v>561</v>
      </c>
      <c r="BE64" s="53" t="s">
        <v>53</v>
      </c>
      <c r="BF64" s="53" t="s">
        <v>561</v>
      </c>
      <c r="BG64" s="53" t="s">
        <v>561</v>
      </c>
      <c r="BH64" s="53" t="s">
        <v>561</v>
      </c>
      <c r="BI64" s="107" t="s">
        <v>561</v>
      </c>
      <c r="BJ64" s="107" t="s">
        <v>561</v>
      </c>
      <c r="BK64" s="53" t="s">
        <v>561</v>
      </c>
      <c r="BL64" s="53" t="s">
        <v>561</v>
      </c>
      <c r="BM64" s="53" t="s">
        <v>561</v>
      </c>
      <c r="BN64" s="53" t="s">
        <v>561</v>
      </c>
      <c r="BO64" s="53" t="s">
        <v>600</v>
      </c>
      <c r="BP64" s="53" t="s">
        <v>600</v>
      </c>
      <c r="BQ64" s="118" t="s">
        <v>821</v>
      </c>
      <c r="BR64" s="118" t="s">
        <v>821</v>
      </c>
      <c r="BS64" s="118" t="s">
        <v>821</v>
      </c>
      <c r="BT64" s="122"/>
      <c r="BU64" s="122">
        <f t="shared" si="12"/>
        <v>11610</v>
      </c>
      <c r="BV64" s="126">
        <v>11610.0</v>
      </c>
      <c r="BW64" s="126"/>
      <c r="BX64" s="127"/>
      <c r="BY64" s="127"/>
      <c r="BZ64" s="13"/>
      <c r="CA64" s="13" t="s">
        <v>561</v>
      </c>
      <c r="CB64" s="13"/>
      <c r="CC64" s="13" t="s">
        <v>561</v>
      </c>
    </row>
    <row r="65" ht="19.5" customHeight="1">
      <c r="A65" s="44" t="str">
        <f>LOOKUP(H65,'Letter grades'!$A$1:$B$6)</f>
        <v>D</v>
      </c>
      <c r="B65" s="44">
        <f t="shared" si="3"/>
        <v>61</v>
      </c>
      <c r="C65" s="44" t="s">
        <v>643</v>
      </c>
      <c r="D65" s="44" t="s">
        <v>1196</v>
      </c>
      <c r="E65" s="98" t="s">
        <v>1194</v>
      </c>
      <c r="F65" s="47">
        <f t="shared" si="4"/>
        <v>0.6666666667</v>
      </c>
      <c r="G65" s="47">
        <f t="shared" si="5"/>
        <v>0.380952381</v>
      </c>
      <c r="H65" s="105">
        <f t="shared" si="6"/>
        <v>0.4761904762</v>
      </c>
      <c r="I65" s="13" t="s">
        <v>108</v>
      </c>
      <c r="J65" s="53" t="s">
        <v>487</v>
      </c>
      <c r="K65" s="53" t="s">
        <v>487</v>
      </c>
      <c r="L65" s="53" t="s">
        <v>487</v>
      </c>
      <c r="M65" s="53" t="s">
        <v>594</v>
      </c>
      <c r="N65" s="107" t="s">
        <v>594</v>
      </c>
      <c r="O65" s="53" t="s">
        <v>490</v>
      </c>
      <c r="P65" s="108" t="s">
        <v>53</v>
      </c>
      <c r="Q65" s="110" t="s">
        <v>53</v>
      </c>
      <c r="R65" s="108" t="s">
        <v>491</v>
      </c>
      <c r="S65" s="107" t="s">
        <v>53</v>
      </c>
      <c r="T65" s="107" t="s">
        <v>561</v>
      </c>
      <c r="U65" s="107" t="s">
        <v>53</v>
      </c>
      <c r="V65" s="107" t="s">
        <v>796</v>
      </c>
      <c r="W65" s="107" t="s">
        <v>796</v>
      </c>
      <c r="X65" s="53" t="s">
        <v>766</v>
      </c>
      <c r="Y65" s="107" t="s">
        <v>561</v>
      </c>
      <c r="Z65" s="53" t="s">
        <v>53</v>
      </c>
      <c r="AA65" s="107" t="s">
        <v>53</v>
      </c>
      <c r="AB65" s="53" t="s">
        <v>53</v>
      </c>
      <c r="AC65" s="53" t="s">
        <v>561</v>
      </c>
      <c r="AD65" s="107" t="s">
        <v>53</v>
      </c>
      <c r="AE65" s="107" t="s">
        <v>53</v>
      </c>
      <c r="AF65" s="107" t="s">
        <v>53</v>
      </c>
      <c r="AG65" s="107" t="s">
        <v>53</v>
      </c>
      <c r="AH65" s="107" t="s">
        <v>53</v>
      </c>
      <c r="AI65" s="107" t="s">
        <v>561</v>
      </c>
      <c r="AJ65" s="107" t="s">
        <v>561</v>
      </c>
      <c r="AK65" s="107" t="s">
        <v>561</v>
      </c>
      <c r="AL65" s="107" t="s">
        <v>561</v>
      </c>
      <c r="AM65" s="107" t="s">
        <v>561</v>
      </c>
      <c r="AN65" s="53" t="s">
        <v>561</v>
      </c>
      <c r="AO65" s="107" t="s">
        <v>561</v>
      </c>
      <c r="AP65" s="53" t="s">
        <v>561</v>
      </c>
      <c r="AQ65" s="53" t="s">
        <v>561</v>
      </c>
      <c r="AR65" s="53" t="s">
        <v>53</v>
      </c>
      <c r="AS65" s="53" t="s">
        <v>561</v>
      </c>
      <c r="AT65" s="53" t="s">
        <v>561</v>
      </c>
      <c r="AU65" s="53" t="s">
        <v>561</v>
      </c>
      <c r="AV65" s="53" t="s">
        <v>561</v>
      </c>
      <c r="AW65" s="53" t="s">
        <v>561</v>
      </c>
      <c r="AX65" s="53" t="s">
        <v>561</v>
      </c>
      <c r="AY65" s="53" t="s">
        <v>561</v>
      </c>
      <c r="AZ65" s="53" t="s">
        <v>53</v>
      </c>
      <c r="BA65" s="53" t="s">
        <v>561</v>
      </c>
      <c r="BB65" s="53" t="s">
        <v>53</v>
      </c>
      <c r="BC65" s="53" t="s">
        <v>561</v>
      </c>
      <c r="BD65" s="53" t="s">
        <v>561</v>
      </c>
      <c r="BE65" s="53" t="s">
        <v>561</v>
      </c>
      <c r="BF65" s="53" t="s">
        <v>801</v>
      </c>
      <c r="BG65" s="53" t="s">
        <v>561</v>
      </c>
      <c r="BH65" s="53" t="s">
        <v>561</v>
      </c>
      <c r="BI65" s="107" t="s">
        <v>600</v>
      </c>
      <c r="BJ65" s="107" t="s">
        <v>600</v>
      </c>
      <c r="BK65" s="53" t="s">
        <v>600</v>
      </c>
      <c r="BL65" s="53" t="s">
        <v>600</v>
      </c>
      <c r="BM65" s="53" t="s">
        <v>600</v>
      </c>
      <c r="BN65" s="53" t="s">
        <v>600</v>
      </c>
      <c r="BO65" s="53" t="s">
        <v>600</v>
      </c>
      <c r="BP65" s="53" t="s">
        <v>600</v>
      </c>
      <c r="BQ65" s="118" t="s">
        <v>821</v>
      </c>
      <c r="BR65" s="180" t="s">
        <v>1832</v>
      </c>
      <c r="BS65" s="118" t="s">
        <v>821</v>
      </c>
      <c r="BT65" s="122"/>
      <c r="BU65" s="122">
        <f t="shared" si="12"/>
        <v>0</v>
      </c>
      <c r="BV65" s="126"/>
      <c r="BW65" s="126"/>
      <c r="BX65" s="127"/>
      <c r="BY65" s="127"/>
      <c r="BZ65" s="13"/>
      <c r="CA65" s="13" t="s">
        <v>561</v>
      </c>
      <c r="CB65" s="13"/>
      <c r="CC65" s="13"/>
    </row>
    <row r="66">
      <c r="A66" s="44" t="str">
        <f>LOOKUP(H66,'Letter grades'!$A$1:$B$6)</f>
        <v>D</v>
      </c>
      <c r="B66" s="44">
        <f t="shared" si="3"/>
        <v>62</v>
      </c>
      <c r="C66" s="44" t="s">
        <v>977</v>
      </c>
      <c r="D66" s="44" t="s">
        <v>978</v>
      </c>
      <c r="E66" s="98" t="s">
        <v>974</v>
      </c>
      <c r="F66" s="47">
        <f t="shared" si="4"/>
        <v>0.6666666667</v>
      </c>
      <c r="G66" s="47">
        <f t="shared" si="5"/>
        <v>0.3804347826</v>
      </c>
      <c r="H66" s="105">
        <f t="shared" si="6"/>
        <v>0.4758454106</v>
      </c>
      <c r="I66" s="13" t="s">
        <v>108</v>
      </c>
      <c r="J66" s="53" t="s">
        <v>487</v>
      </c>
      <c r="K66" s="53" t="s">
        <v>487</v>
      </c>
      <c r="L66" s="53" t="s">
        <v>487</v>
      </c>
      <c r="M66" s="53" t="s">
        <v>594</v>
      </c>
      <c r="N66" s="107" t="s">
        <v>594</v>
      </c>
      <c r="O66" s="53" t="s">
        <v>490</v>
      </c>
      <c r="P66" s="108" t="s">
        <v>53</v>
      </c>
      <c r="Q66" s="110" t="s">
        <v>53</v>
      </c>
      <c r="R66" s="108" t="s">
        <v>491</v>
      </c>
      <c r="S66" s="107" t="s">
        <v>53</v>
      </c>
      <c r="T66" s="107" t="s">
        <v>53</v>
      </c>
      <c r="U66" s="107" t="s">
        <v>561</v>
      </c>
      <c r="V66" s="107" t="s">
        <v>796</v>
      </c>
      <c r="W66" s="107" t="s">
        <v>796</v>
      </c>
      <c r="X66" s="53" t="s">
        <v>766</v>
      </c>
      <c r="Y66" s="107" t="s">
        <v>561</v>
      </c>
      <c r="Z66" s="53" t="s">
        <v>53</v>
      </c>
      <c r="AA66" s="107" t="s">
        <v>53</v>
      </c>
      <c r="AB66" s="53" t="s">
        <v>53</v>
      </c>
      <c r="AC66" s="53" t="s">
        <v>561</v>
      </c>
      <c r="AD66" s="53" t="s">
        <v>801</v>
      </c>
      <c r="AE66" s="107" t="s">
        <v>53</v>
      </c>
      <c r="AF66" s="107" t="s">
        <v>53</v>
      </c>
      <c r="AG66" s="107" t="s">
        <v>53</v>
      </c>
      <c r="AH66" s="107" t="s">
        <v>53</v>
      </c>
      <c r="AI66" s="107" t="s">
        <v>53</v>
      </c>
      <c r="AJ66" s="107" t="s">
        <v>561</v>
      </c>
      <c r="AK66" s="107" t="s">
        <v>561</v>
      </c>
      <c r="AL66" s="107" t="s">
        <v>561</v>
      </c>
      <c r="AM66" s="107" t="s">
        <v>561</v>
      </c>
      <c r="AN66" s="53" t="s">
        <v>561</v>
      </c>
      <c r="AO66" s="107" t="s">
        <v>561</v>
      </c>
      <c r="AP66" s="53" t="s">
        <v>561</v>
      </c>
      <c r="AQ66" s="53" t="s">
        <v>561</v>
      </c>
      <c r="AR66" s="53" t="s">
        <v>53</v>
      </c>
      <c r="AS66" s="53" t="s">
        <v>561</v>
      </c>
      <c r="AT66" s="53" t="s">
        <v>561</v>
      </c>
      <c r="AU66" s="53" t="s">
        <v>561</v>
      </c>
      <c r="AV66" s="53" t="s">
        <v>799</v>
      </c>
      <c r="AW66" s="53" t="s">
        <v>561</v>
      </c>
      <c r="AX66" s="53" t="s">
        <v>561</v>
      </c>
      <c r="AY66" s="53" t="s">
        <v>53</v>
      </c>
      <c r="AZ66" s="53" t="s">
        <v>53</v>
      </c>
      <c r="BA66" s="53" t="s">
        <v>561</v>
      </c>
      <c r="BB66" s="53" t="s">
        <v>53</v>
      </c>
      <c r="BC66" s="53" t="s">
        <v>561</v>
      </c>
      <c r="BD66" s="53" t="s">
        <v>561</v>
      </c>
      <c r="BE66" s="53" t="s">
        <v>561</v>
      </c>
      <c r="BF66" s="53" t="s">
        <v>561</v>
      </c>
      <c r="BG66" s="53" t="s">
        <v>561</v>
      </c>
      <c r="BH66" s="53" t="s">
        <v>561</v>
      </c>
      <c r="BI66" s="107" t="s">
        <v>561</v>
      </c>
      <c r="BJ66" s="107" t="s">
        <v>561</v>
      </c>
      <c r="BK66" s="53" t="s">
        <v>561</v>
      </c>
      <c r="BL66" s="53" t="s">
        <v>561</v>
      </c>
      <c r="BM66" s="53" t="s">
        <v>600</v>
      </c>
      <c r="BN66" s="53" t="s">
        <v>600</v>
      </c>
      <c r="BO66" s="53" t="s">
        <v>600</v>
      </c>
      <c r="BP66" s="53" t="s">
        <v>600</v>
      </c>
      <c r="BQ66" s="118" t="s">
        <v>821</v>
      </c>
      <c r="BR66" s="118" t="s">
        <v>821</v>
      </c>
      <c r="BS66" s="118" t="s">
        <v>821</v>
      </c>
      <c r="BT66" s="122"/>
      <c r="BU66" s="122">
        <f t="shared" si="12"/>
        <v>15705</v>
      </c>
      <c r="BV66" s="126">
        <v>13705.0</v>
      </c>
      <c r="BW66" s="126"/>
      <c r="BX66" s="127">
        <f>2000</f>
        <v>2000</v>
      </c>
      <c r="BY66" s="127"/>
      <c r="BZ66" s="13"/>
      <c r="CA66" s="13" t="s">
        <v>561</v>
      </c>
      <c r="CB66" s="13"/>
      <c r="CC66" s="13" t="s">
        <v>561</v>
      </c>
    </row>
    <row r="67">
      <c r="A67" s="44" t="str">
        <f>LOOKUP(H67,'Letter grades'!$A$1:$B$6)</f>
        <v>D</v>
      </c>
      <c r="B67" s="44">
        <f t="shared" si="3"/>
        <v>63</v>
      </c>
      <c r="C67" s="44" t="s">
        <v>781</v>
      </c>
      <c r="D67" s="44" t="s">
        <v>782</v>
      </c>
      <c r="E67" s="145" t="s">
        <v>779</v>
      </c>
      <c r="F67" s="47">
        <f t="shared" si="4"/>
        <v>0.6666666667</v>
      </c>
      <c r="G67" s="47">
        <f t="shared" si="5"/>
        <v>0.38</v>
      </c>
      <c r="H67" s="105">
        <f t="shared" si="6"/>
        <v>0.4755555556</v>
      </c>
      <c r="I67" s="13" t="s">
        <v>108</v>
      </c>
      <c r="J67" s="53" t="s">
        <v>487</v>
      </c>
      <c r="K67" s="53" t="s">
        <v>487</v>
      </c>
      <c r="L67" s="53" t="s">
        <v>487</v>
      </c>
      <c r="M67" s="53" t="s">
        <v>594</v>
      </c>
      <c r="N67" s="107" t="s">
        <v>594</v>
      </c>
      <c r="O67" s="53" t="s">
        <v>490</v>
      </c>
      <c r="P67" s="108" t="s">
        <v>53</v>
      </c>
      <c r="Q67" s="110" t="s">
        <v>53</v>
      </c>
      <c r="R67" s="108" t="s">
        <v>491</v>
      </c>
      <c r="S67" s="107" t="s">
        <v>53</v>
      </c>
      <c r="T67" s="107" t="s">
        <v>53</v>
      </c>
      <c r="U67" s="107" t="s">
        <v>53</v>
      </c>
      <c r="V67" s="107" t="s">
        <v>796</v>
      </c>
      <c r="W67" s="107" t="s">
        <v>796</v>
      </c>
      <c r="X67" s="53" t="s">
        <v>766</v>
      </c>
      <c r="Y67" s="107" t="s">
        <v>561</v>
      </c>
      <c r="Z67" s="53" t="s">
        <v>53</v>
      </c>
      <c r="AA67" s="107" t="s">
        <v>53</v>
      </c>
      <c r="AB67" s="53" t="s">
        <v>53</v>
      </c>
      <c r="AC67" s="53" t="s">
        <v>801</v>
      </c>
      <c r="AD67" s="107" t="s">
        <v>53</v>
      </c>
      <c r="AE67" s="107" t="s">
        <v>53</v>
      </c>
      <c r="AF67" s="107" t="s">
        <v>53</v>
      </c>
      <c r="AG67" s="107" t="s">
        <v>53</v>
      </c>
      <c r="AH67" s="107" t="s">
        <v>53</v>
      </c>
      <c r="AI67" s="107" t="s">
        <v>561</v>
      </c>
      <c r="AJ67" s="107" t="s">
        <v>561</v>
      </c>
      <c r="AK67" s="107" t="s">
        <v>561</v>
      </c>
      <c r="AL67" s="107" t="s">
        <v>561</v>
      </c>
      <c r="AM67" s="107" t="s">
        <v>561</v>
      </c>
      <c r="AN67" s="53" t="s">
        <v>561</v>
      </c>
      <c r="AO67" s="107" t="s">
        <v>561</v>
      </c>
      <c r="AP67" s="53" t="s">
        <v>561</v>
      </c>
      <c r="AQ67" s="53" t="s">
        <v>561</v>
      </c>
      <c r="AR67" s="53" t="s">
        <v>53</v>
      </c>
      <c r="AS67" s="53" t="s">
        <v>561</v>
      </c>
      <c r="AT67" s="53" t="s">
        <v>561</v>
      </c>
      <c r="AU67" s="53" t="s">
        <v>561</v>
      </c>
      <c r="AV67" s="53" t="s">
        <v>561</v>
      </c>
      <c r="AW67" s="53" t="s">
        <v>561</v>
      </c>
      <c r="AX67" s="53" t="s">
        <v>561</v>
      </c>
      <c r="AY67" s="53" t="s">
        <v>561</v>
      </c>
      <c r="AZ67" s="53" t="s">
        <v>53</v>
      </c>
      <c r="BA67" s="53" t="s">
        <v>561</v>
      </c>
      <c r="BB67" s="53" t="s">
        <v>53</v>
      </c>
      <c r="BC67" s="53" t="s">
        <v>561</v>
      </c>
      <c r="BD67" s="53" t="s">
        <v>561</v>
      </c>
      <c r="BE67" s="53" t="s">
        <v>53</v>
      </c>
      <c r="BF67" s="53" t="s">
        <v>561</v>
      </c>
      <c r="BG67" s="53" t="s">
        <v>561</v>
      </c>
      <c r="BH67" s="53" t="s">
        <v>561</v>
      </c>
      <c r="BI67" s="107" t="s">
        <v>561</v>
      </c>
      <c r="BJ67" s="107" t="s">
        <v>561</v>
      </c>
      <c r="BK67" s="53" t="s">
        <v>561</v>
      </c>
      <c r="BL67" s="53" t="s">
        <v>561</v>
      </c>
      <c r="BM67" s="53" t="s">
        <v>561</v>
      </c>
      <c r="BN67" s="53" t="s">
        <v>561</v>
      </c>
      <c r="BO67" s="53" t="s">
        <v>53</v>
      </c>
      <c r="BP67" s="53" t="s">
        <v>561</v>
      </c>
      <c r="BQ67" s="118" t="s">
        <v>821</v>
      </c>
      <c r="BR67" s="118" t="s">
        <v>821</v>
      </c>
      <c r="BS67" s="118" t="s">
        <v>821</v>
      </c>
      <c r="BT67" s="122"/>
      <c r="BU67" s="122">
        <f t="shared" si="12"/>
        <v>0</v>
      </c>
      <c r="BV67" s="126"/>
      <c r="BW67" s="126"/>
      <c r="BX67" s="127"/>
      <c r="BY67" s="127"/>
      <c r="BZ67" s="13"/>
      <c r="CA67" s="13"/>
      <c r="CB67" s="13"/>
      <c r="CC67" s="13"/>
    </row>
    <row r="68">
      <c r="A68" s="44" t="str">
        <f>LOOKUP(H68,'Letter grades'!$A$1:$B$6)</f>
        <v>D</v>
      </c>
      <c r="B68" s="44">
        <f t="shared" si="3"/>
        <v>64</v>
      </c>
      <c r="C68" s="44" t="s">
        <v>183</v>
      </c>
      <c r="D68" s="44" t="s">
        <v>184</v>
      </c>
      <c r="E68" s="98" t="s">
        <v>181</v>
      </c>
      <c r="F68" s="47">
        <f t="shared" si="4"/>
        <v>0.6666666667</v>
      </c>
      <c r="G68" s="47">
        <f t="shared" si="5"/>
        <v>0.3723404255</v>
      </c>
      <c r="H68" s="105">
        <f t="shared" si="6"/>
        <v>0.4704491726</v>
      </c>
      <c r="I68" s="13" t="s">
        <v>108</v>
      </c>
      <c r="J68" s="53" t="s">
        <v>487</v>
      </c>
      <c r="K68" s="53" t="s">
        <v>487</v>
      </c>
      <c r="L68" s="107" t="s">
        <v>487</v>
      </c>
      <c r="M68" s="53" t="s">
        <v>594</v>
      </c>
      <c r="N68" s="107" t="s">
        <v>594</v>
      </c>
      <c r="O68" s="53" t="s">
        <v>490</v>
      </c>
      <c r="P68" s="108" t="s">
        <v>53</v>
      </c>
      <c r="Q68" s="110" t="s">
        <v>53</v>
      </c>
      <c r="R68" s="108" t="s">
        <v>491</v>
      </c>
      <c r="S68" s="107" t="s">
        <v>53</v>
      </c>
      <c r="T68" s="107" t="s">
        <v>53</v>
      </c>
      <c r="U68" s="107" t="s">
        <v>53</v>
      </c>
      <c r="V68" s="107" t="s">
        <v>796</v>
      </c>
      <c r="W68" s="107" t="s">
        <v>796</v>
      </c>
      <c r="X68" s="53" t="s">
        <v>766</v>
      </c>
      <c r="Y68" s="107" t="s">
        <v>561</v>
      </c>
      <c r="Z68" s="53" t="s">
        <v>801</v>
      </c>
      <c r="AA68" s="107" t="s">
        <v>561</v>
      </c>
      <c r="AB68" s="53" t="s">
        <v>53</v>
      </c>
      <c r="AC68" s="53" t="s">
        <v>561</v>
      </c>
      <c r="AD68" s="107" t="s">
        <v>53</v>
      </c>
      <c r="AE68" s="107" t="s">
        <v>53</v>
      </c>
      <c r="AF68" s="107" t="s">
        <v>53</v>
      </c>
      <c r="AG68" s="107" t="s">
        <v>801</v>
      </c>
      <c r="AH68" s="107" t="s">
        <v>53</v>
      </c>
      <c r="AI68" s="107" t="s">
        <v>53</v>
      </c>
      <c r="AJ68" s="107" t="s">
        <v>561</v>
      </c>
      <c r="AK68" s="107" t="s">
        <v>561</v>
      </c>
      <c r="AL68" s="107" t="s">
        <v>561</v>
      </c>
      <c r="AM68" s="107" t="s">
        <v>561</v>
      </c>
      <c r="AN68" s="53" t="s">
        <v>561</v>
      </c>
      <c r="AO68" s="107" t="s">
        <v>561</v>
      </c>
      <c r="AP68" s="53" t="s">
        <v>561</v>
      </c>
      <c r="AQ68" s="53" t="s">
        <v>561</v>
      </c>
      <c r="AR68" s="53" t="s">
        <v>53</v>
      </c>
      <c r="AS68" s="53" t="s">
        <v>561</v>
      </c>
      <c r="AT68" s="53" t="s">
        <v>53</v>
      </c>
      <c r="AU68" s="107" t="s">
        <v>801</v>
      </c>
      <c r="AV68" s="53" t="s">
        <v>801</v>
      </c>
      <c r="AW68" s="53" t="s">
        <v>561</v>
      </c>
      <c r="AX68" s="53" t="s">
        <v>561</v>
      </c>
      <c r="AY68" s="53" t="s">
        <v>561</v>
      </c>
      <c r="AZ68" s="53" t="s">
        <v>53</v>
      </c>
      <c r="BA68" s="53" t="s">
        <v>561</v>
      </c>
      <c r="BB68" s="53" t="s">
        <v>53</v>
      </c>
      <c r="BC68" s="53" t="s">
        <v>53</v>
      </c>
      <c r="BD68" s="53" t="s">
        <v>561</v>
      </c>
      <c r="BE68" s="53" t="s">
        <v>561</v>
      </c>
      <c r="BF68" s="53" t="s">
        <v>561</v>
      </c>
      <c r="BG68" s="53" t="s">
        <v>561</v>
      </c>
      <c r="BH68" s="53" t="s">
        <v>561</v>
      </c>
      <c r="BI68" s="107" t="s">
        <v>561</v>
      </c>
      <c r="BJ68" s="107" t="s">
        <v>561</v>
      </c>
      <c r="BK68" s="53" t="s">
        <v>561</v>
      </c>
      <c r="BL68" s="53" t="s">
        <v>561</v>
      </c>
      <c r="BM68" s="53" t="s">
        <v>561</v>
      </c>
      <c r="BN68" s="53" t="s">
        <v>561</v>
      </c>
      <c r="BO68" s="53" t="s">
        <v>799</v>
      </c>
      <c r="BP68" s="53" t="s">
        <v>561</v>
      </c>
      <c r="BQ68" s="118" t="s">
        <v>821</v>
      </c>
      <c r="BR68" s="118" t="s">
        <v>821</v>
      </c>
      <c r="BS68" s="118" t="s">
        <v>821</v>
      </c>
      <c r="BT68" s="122"/>
      <c r="BU68" s="122">
        <f t="shared" si="12"/>
        <v>0</v>
      </c>
      <c r="BV68" s="126"/>
      <c r="BW68" s="126"/>
      <c r="BX68" s="127"/>
      <c r="BY68" s="127"/>
      <c r="BZ68" s="13"/>
      <c r="CA68" s="13" t="s">
        <v>561</v>
      </c>
      <c r="CB68" s="13"/>
      <c r="CC68" s="13"/>
    </row>
    <row r="69">
      <c r="A69" s="44" t="str">
        <f>LOOKUP(H69,'Letter grades'!$A$1:$B$6)</f>
        <v>D</v>
      </c>
      <c r="B69" s="44">
        <f t="shared" si="3"/>
        <v>65</v>
      </c>
      <c r="C69" s="44" t="s">
        <v>1054</v>
      </c>
      <c r="D69" s="44" t="s">
        <v>1055</v>
      </c>
      <c r="E69" s="98" t="s">
        <v>1052</v>
      </c>
      <c r="F69" s="47">
        <f t="shared" si="4"/>
        <v>0.6666666667</v>
      </c>
      <c r="G69" s="47">
        <f t="shared" si="5"/>
        <v>0.362745098</v>
      </c>
      <c r="H69" s="105">
        <f t="shared" si="6"/>
        <v>0.4640522876</v>
      </c>
      <c r="I69" s="13" t="s">
        <v>108</v>
      </c>
      <c r="J69" s="53" t="s">
        <v>487</v>
      </c>
      <c r="K69" s="53" t="s">
        <v>487</v>
      </c>
      <c r="L69" s="107" t="s">
        <v>487</v>
      </c>
      <c r="M69" s="53" t="s">
        <v>594</v>
      </c>
      <c r="N69" s="107" t="s">
        <v>594</v>
      </c>
      <c r="O69" s="53" t="s">
        <v>490</v>
      </c>
      <c r="P69" s="108" t="s">
        <v>53</v>
      </c>
      <c r="Q69" s="110" t="s">
        <v>53</v>
      </c>
      <c r="R69" s="110" t="s">
        <v>491</v>
      </c>
      <c r="S69" s="107" t="s">
        <v>53</v>
      </c>
      <c r="T69" s="107" t="s">
        <v>561</v>
      </c>
      <c r="U69" s="107" t="s">
        <v>53</v>
      </c>
      <c r="V69" s="107" t="s">
        <v>796</v>
      </c>
      <c r="W69" s="107" t="s">
        <v>796</v>
      </c>
      <c r="X69" s="53" t="s">
        <v>766</v>
      </c>
      <c r="Y69" s="107" t="s">
        <v>561</v>
      </c>
      <c r="Z69" s="53" t="s">
        <v>53</v>
      </c>
      <c r="AA69" s="107" t="s">
        <v>561</v>
      </c>
      <c r="AB69" s="53" t="s">
        <v>53</v>
      </c>
      <c r="AC69" s="53" t="s">
        <v>561</v>
      </c>
      <c r="AD69" s="107" t="s">
        <v>53</v>
      </c>
      <c r="AE69" s="107" t="s">
        <v>53</v>
      </c>
      <c r="AF69" s="107" t="s">
        <v>53</v>
      </c>
      <c r="AG69" s="107" t="s">
        <v>53</v>
      </c>
      <c r="AH69" s="107" t="s">
        <v>53</v>
      </c>
      <c r="AI69" s="107" t="s">
        <v>561</v>
      </c>
      <c r="AJ69" s="107" t="s">
        <v>561</v>
      </c>
      <c r="AK69" s="107" t="s">
        <v>561</v>
      </c>
      <c r="AL69" s="107" t="s">
        <v>561</v>
      </c>
      <c r="AM69" s="107" t="s">
        <v>561</v>
      </c>
      <c r="AN69" s="53" t="s">
        <v>561</v>
      </c>
      <c r="AO69" s="107" t="s">
        <v>561</v>
      </c>
      <c r="AP69" s="53" t="s">
        <v>561</v>
      </c>
      <c r="AQ69" s="53" t="s">
        <v>561</v>
      </c>
      <c r="AR69" s="53" t="s">
        <v>53</v>
      </c>
      <c r="AS69" s="53" t="s">
        <v>561</v>
      </c>
      <c r="AT69" s="53" t="s">
        <v>53</v>
      </c>
      <c r="AU69" s="53" t="s">
        <v>561</v>
      </c>
      <c r="AV69" s="53" t="s">
        <v>799</v>
      </c>
      <c r="AW69" s="53" t="s">
        <v>561</v>
      </c>
      <c r="AX69" s="53" t="s">
        <v>561</v>
      </c>
      <c r="AY69" s="53" t="s">
        <v>561</v>
      </c>
      <c r="AZ69" s="53" t="s">
        <v>53</v>
      </c>
      <c r="BA69" s="53" t="s">
        <v>561</v>
      </c>
      <c r="BB69" s="53" t="s">
        <v>53</v>
      </c>
      <c r="BC69" s="53" t="s">
        <v>561</v>
      </c>
      <c r="BD69" s="53" t="s">
        <v>561</v>
      </c>
      <c r="BE69" s="53" t="s">
        <v>53</v>
      </c>
      <c r="BF69" s="53" t="s">
        <v>561</v>
      </c>
      <c r="BG69" s="53" t="s">
        <v>561</v>
      </c>
      <c r="BH69" s="53" t="s">
        <v>561</v>
      </c>
      <c r="BI69" s="107" t="s">
        <v>561</v>
      </c>
      <c r="BJ69" s="107" t="s">
        <v>561</v>
      </c>
      <c r="BK69" s="53" t="s">
        <v>561</v>
      </c>
      <c r="BL69" s="53" t="s">
        <v>561</v>
      </c>
      <c r="BM69" s="53" t="s">
        <v>561</v>
      </c>
      <c r="BN69" s="53" t="s">
        <v>561</v>
      </c>
      <c r="BO69" s="53" t="s">
        <v>53</v>
      </c>
      <c r="BP69" s="53" t="s">
        <v>561</v>
      </c>
      <c r="BQ69" s="118" t="s">
        <v>821</v>
      </c>
      <c r="BR69" s="118" t="s">
        <v>821</v>
      </c>
      <c r="BS69" s="118" t="s">
        <v>821</v>
      </c>
      <c r="BT69" s="122"/>
      <c r="BU69" s="122">
        <f t="shared" si="12"/>
        <v>0</v>
      </c>
      <c r="BV69" s="126"/>
      <c r="BW69" s="126"/>
      <c r="BX69" s="127"/>
      <c r="BY69" s="127"/>
      <c r="BZ69" s="13"/>
      <c r="CA69" s="13" t="s">
        <v>561</v>
      </c>
      <c r="CB69" s="13"/>
      <c r="CC69" s="13"/>
    </row>
    <row r="70">
      <c r="A70" s="44" t="str">
        <f>LOOKUP(H70,'Letter grades'!$A$1:$B$6)</f>
        <v>D</v>
      </c>
      <c r="B70" s="44">
        <f t="shared" si="3"/>
        <v>66</v>
      </c>
      <c r="C70" s="107" t="s">
        <v>571</v>
      </c>
      <c r="D70" s="107" t="s">
        <v>2598</v>
      </c>
      <c r="E70" s="148" t="s">
        <v>838</v>
      </c>
      <c r="F70" s="47">
        <f t="shared" si="4"/>
        <v>0.1666666667</v>
      </c>
      <c r="G70" s="47">
        <f t="shared" si="5"/>
        <v>0.6111111111</v>
      </c>
      <c r="H70" s="105">
        <f t="shared" si="6"/>
        <v>0.462962963</v>
      </c>
      <c r="I70" s="13"/>
      <c r="J70" s="53" t="s">
        <v>487</v>
      </c>
      <c r="K70" s="53" t="s">
        <v>594</v>
      </c>
      <c r="L70" s="107" t="s">
        <v>594</v>
      </c>
      <c r="M70" s="53" t="s">
        <v>594</v>
      </c>
      <c r="N70" s="107" t="s">
        <v>594</v>
      </c>
      <c r="O70" s="53" t="s">
        <v>1065</v>
      </c>
      <c r="P70" s="108" t="s">
        <v>53</v>
      </c>
      <c r="Q70" s="110" t="s">
        <v>53</v>
      </c>
      <c r="R70" s="108" t="s">
        <v>799</v>
      </c>
      <c r="S70" s="107" t="s">
        <v>53</v>
      </c>
      <c r="T70" s="107" t="s">
        <v>561</v>
      </c>
      <c r="U70" s="107" t="s">
        <v>53</v>
      </c>
      <c r="V70" s="107" t="s">
        <v>796</v>
      </c>
      <c r="W70" s="107" t="s">
        <v>796</v>
      </c>
      <c r="X70" s="53" t="s">
        <v>766</v>
      </c>
      <c r="Y70" s="107" t="s">
        <v>561</v>
      </c>
      <c r="Z70" s="53" t="s">
        <v>53</v>
      </c>
      <c r="AA70" s="53" t="s">
        <v>600</v>
      </c>
      <c r="AB70" s="53" t="s">
        <v>600</v>
      </c>
      <c r="AC70" s="53" t="s">
        <v>600</v>
      </c>
      <c r="AD70" s="53" t="s">
        <v>600</v>
      </c>
      <c r="AE70" s="53" t="s">
        <v>600</v>
      </c>
      <c r="AF70" s="53" t="s">
        <v>600</v>
      </c>
      <c r="AG70" s="53" t="s">
        <v>600</v>
      </c>
      <c r="AH70" s="53" t="s">
        <v>600</v>
      </c>
      <c r="AI70" s="53" t="s">
        <v>600</v>
      </c>
      <c r="AJ70" s="53" t="s">
        <v>600</v>
      </c>
      <c r="AK70" s="53" t="s">
        <v>600</v>
      </c>
      <c r="AL70" s="53" t="s">
        <v>600</v>
      </c>
      <c r="AM70" s="53" t="s">
        <v>600</v>
      </c>
      <c r="AN70" s="53" t="s">
        <v>600</v>
      </c>
      <c r="AO70" s="53" t="s">
        <v>600</v>
      </c>
      <c r="AP70" s="53" t="s">
        <v>600</v>
      </c>
      <c r="AQ70" s="53" t="s">
        <v>600</v>
      </c>
      <c r="AR70" s="53" t="s">
        <v>600</v>
      </c>
      <c r="AS70" s="53" t="s">
        <v>600</v>
      </c>
      <c r="AT70" s="53" t="s">
        <v>600</v>
      </c>
      <c r="AU70" s="53" t="s">
        <v>600</v>
      </c>
      <c r="AV70" s="53" t="s">
        <v>600</v>
      </c>
      <c r="AW70" s="53" t="s">
        <v>600</v>
      </c>
      <c r="AX70" s="53" t="s">
        <v>600</v>
      </c>
      <c r="AY70" s="53" t="s">
        <v>600</v>
      </c>
      <c r="AZ70" s="53" t="s">
        <v>600</v>
      </c>
      <c r="BA70" s="53" t="s">
        <v>600</v>
      </c>
      <c r="BB70" s="53" t="s">
        <v>600</v>
      </c>
      <c r="BC70" s="53" t="s">
        <v>600</v>
      </c>
      <c r="BD70" s="53" t="s">
        <v>600</v>
      </c>
      <c r="BE70" s="53" t="s">
        <v>600</v>
      </c>
      <c r="BF70" s="53" t="s">
        <v>600</v>
      </c>
      <c r="BG70" s="53" t="s">
        <v>600</v>
      </c>
      <c r="BH70" s="53" t="s">
        <v>600</v>
      </c>
      <c r="BI70" s="107" t="s">
        <v>600</v>
      </c>
      <c r="BJ70" s="107" t="s">
        <v>600</v>
      </c>
      <c r="BK70" s="53" t="s">
        <v>600</v>
      </c>
      <c r="BL70" s="53" t="s">
        <v>600</v>
      </c>
      <c r="BM70" s="53" t="s">
        <v>600</v>
      </c>
      <c r="BN70" s="53" t="s">
        <v>600</v>
      </c>
      <c r="BO70" s="53" t="s">
        <v>600</v>
      </c>
      <c r="BP70" s="53" t="s">
        <v>600</v>
      </c>
      <c r="BQ70" s="180" t="s">
        <v>1832</v>
      </c>
      <c r="BR70" s="53" t="s">
        <v>600</v>
      </c>
      <c r="BS70" s="53" t="s">
        <v>600</v>
      </c>
      <c r="BT70" s="122"/>
      <c r="BU70" s="122"/>
      <c r="BV70" s="126"/>
      <c r="BW70" s="126"/>
      <c r="BX70" s="127"/>
      <c r="BY70" s="127"/>
      <c r="BZ70" s="13"/>
      <c r="CA70" s="13"/>
      <c r="CB70" s="13"/>
      <c r="CC70" s="13"/>
    </row>
    <row r="71">
      <c r="A71" s="44" t="str">
        <f>LOOKUP(H71,'Letter grades'!$A$1:$B$6)</f>
        <v>D</v>
      </c>
      <c r="B71" s="44">
        <f t="shared" si="3"/>
        <v>67</v>
      </c>
      <c r="C71" s="107" t="s">
        <v>971</v>
      </c>
      <c r="D71" s="107" t="s">
        <v>2372</v>
      </c>
      <c r="E71" s="98" t="s">
        <v>1220</v>
      </c>
      <c r="F71" s="47">
        <f t="shared" si="4"/>
        <v>0.3333333333</v>
      </c>
      <c r="G71" s="47">
        <f t="shared" si="5"/>
        <v>0.5277777778</v>
      </c>
      <c r="H71" s="105">
        <f t="shared" si="6"/>
        <v>0.462962963</v>
      </c>
      <c r="I71" s="13" t="s">
        <v>1208</v>
      </c>
      <c r="J71" s="53" t="s">
        <v>487</v>
      </c>
      <c r="K71" s="53" t="s">
        <v>487</v>
      </c>
      <c r="L71" s="107" t="s">
        <v>594</v>
      </c>
      <c r="M71" s="53" t="s">
        <v>594</v>
      </c>
      <c r="N71" s="107" t="s">
        <v>594</v>
      </c>
      <c r="O71" s="53" t="s">
        <v>1065</v>
      </c>
      <c r="P71" s="108" t="s">
        <v>53</v>
      </c>
      <c r="Q71" s="110" t="s">
        <v>53</v>
      </c>
      <c r="R71" s="108" t="s">
        <v>491</v>
      </c>
      <c r="S71" s="107" t="s">
        <v>53</v>
      </c>
      <c r="T71" s="107" t="s">
        <v>53</v>
      </c>
      <c r="U71" s="107" t="s">
        <v>53</v>
      </c>
      <c r="V71" s="107" t="s">
        <v>491</v>
      </c>
      <c r="W71" s="107" t="s">
        <v>766</v>
      </c>
      <c r="X71" s="53" t="s">
        <v>766</v>
      </c>
      <c r="Y71" s="107" t="s">
        <v>561</v>
      </c>
      <c r="Z71" s="53" t="s">
        <v>53</v>
      </c>
      <c r="AA71" s="107" t="s">
        <v>53</v>
      </c>
      <c r="AB71" s="53" t="s">
        <v>53</v>
      </c>
      <c r="AC71" s="53" t="s">
        <v>561</v>
      </c>
      <c r="AD71" s="107" t="s">
        <v>53</v>
      </c>
      <c r="AE71" s="107" t="s">
        <v>53</v>
      </c>
      <c r="AF71" s="107" t="s">
        <v>53</v>
      </c>
      <c r="AG71" s="107" t="s">
        <v>53</v>
      </c>
      <c r="AH71" s="107" t="s">
        <v>53</v>
      </c>
      <c r="AI71" s="107" t="s">
        <v>53</v>
      </c>
      <c r="AJ71" s="107" t="s">
        <v>561</v>
      </c>
      <c r="AK71" s="107" t="s">
        <v>561</v>
      </c>
      <c r="AL71" s="107" t="s">
        <v>561</v>
      </c>
      <c r="AM71" s="107" t="s">
        <v>561</v>
      </c>
      <c r="AN71" s="53" t="s">
        <v>561</v>
      </c>
      <c r="AO71" s="107" t="s">
        <v>561</v>
      </c>
      <c r="AP71" s="53" t="s">
        <v>561</v>
      </c>
      <c r="AQ71" s="53" t="s">
        <v>561</v>
      </c>
      <c r="AR71" s="53" t="s">
        <v>53</v>
      </c>
      <c r="AS71" s="53" t="s">
        <v>561</v>
      </c>
      <c r="AT71" s="53" t="s">
        <v>53</v>
      </c>
      <c r="AU71" s="53" t="s">
        <v>561</v>
      </c>
      <c r="AV71" s="53" t="s">
        <v>561</v>
      </c>
      <c r="AW71" s="53" t="s">
        <v>561</v>
      </c>
      <c r="AX71" s="53" t="s">
        <v>561</v>
      </c>
      <c r="AY71" s="53" t="s">
        <v>53</v>
      </c>
      <c r="AZ71" s="53" t="s">
        <v>600</v>
      </c>
      <c r="BA71" s="53" t="s">
        <v>600</v>
      </c>
      <c r="BB71" s="53" t="s">
        <v>600</v>
      </c>
      <c r="BC71" s="53" t="s">
        <v>600</v>
      </c>
      <c r="BD71" s="53" t="s">
        <v>600</v>
      </c>
      <c r="BE71" s="53" t="s">
        <v>600</v>
      </c>
      <c r="BF71" s="53" t="s">
        <v>600</v>
      </c>
      <c r="BG71" s="53" t="s">
        <v>600</v>
      </c>
      <c r="BH71" s="53" t="s">
        <v>600</v>
      </c>
      <c r="BI71" s="107" t="s">
        <v>600</v>
      </c>
      <c r="BJ71" s="107" t="s">
        <v>600</v>
      </c>
      <c r="BK71" s="53" t="s">
        <v>600</v>
      </c>
      <c r="BL71" s="53" t="s">
        <v>600</v>
      </c>
      <c r="BM71" s="53" t="s">
        <v>600</v>
      </c>
      <c r="BN71" s="53" t="s">
        <v>600</v>
      </c>
      <c r="BO71" s="53" t="s">
        <v>600</v>
      </c>
      <c r="BP71" s="53" t="s">
        <v>600</v>
      </c>
      <c r="BQ71" s="118" t="s">
        <v>821</v>
      </c>
      <c r="BR71" s="53" t="s">
        <v>600</v>
      </c>
      <c r="BS71" s="53" t="s">
        <v>600</v>
      </c>
      <c r="BT71" s="122"/>
      <c r="BU71" s="122"/>
      <c r="BV71" s="126"/>
      <c r="BW71" s="126"/>
      <c r="BX71" s="127"/>
      <c r="BY71" s="127"/>
      <c r="BZ71" s="13"/>
      <c r="CA71" s="13"/>
      <c r="CB71" s="212" t="s">
        <v>561</v>
      </c>
      <c r="CC71" s="13"/>
    </row>
    <row r="72">
      <c r="A72" s="44" t="str">
        <f>LOOKUP(H72,'Letter grades'!$A$1:$B$6)</f>
        <v>D</v>
      </c>
      <c r="B72" s="44">
        <f t="shared" si="3"/>
        <v>68</v>
      </c>
      <c r="C72" s="44" t="s">
        <v>1166</v>
      </c>
      <c r="D72" s="44" t="s">
        <v>841</v>
      </c>
      <c r="E72" s="98" t="s">
        <v>1164</v>
      </c>
      <c r="F72" s="47">
        <f t="shared" si="4"/>
        <v>0.6666666667</v>
      </c>
      <c r="G72" s="47">
        <f t="shared" si="5"/>
        <v>0.36</v>
      </c>
      <c r="H72" s="105">
        <f t="shared" si="6"/>
        <v>0.4622222222</v>
      </c>
      <c r="I72" s="13" t="s">
        <v>108</v>
      </c>
      <c r="J72" s="53" t="s">
        <v>487</v>
      </c>
      <c r="K72" s="53" t="s">
        <v>487</v>
      </c>
      <c r="L72" s="107" t="s">
        <v>487</v>
      </c>
      <c r="M72" s="53" t="s">
        <v>594</v>
      </c>
      <c r="N72" s="107" t="s">
        <v>594</v>
      </c>
      <c r="O72" s="53" t="s">
        <v>490</v>
      </c>
      <c r="P72" s="108" t="s">
        <v>53</v>
      </c>
      <c r="Q72" s="110" t="s">
        <v>53</v>
      </c>
      <c r="R72" s="108" t="s">
        <v>491</v>
      </c>
      <c r="S72" s="107" t="s">
        <v>53</v>
      </c>
      <c r="T72" s="107" t="s">
        <v>561</v>
      </c>
      <c r="U72" s="107" t="s">
        <v>561</v>
      </c>
      <c r="V72" s="107" t="s">
        <v>491</v>
      </c>
      <c r="W72" s="107" t="s">
        <v>491</v>
      </c>
      <c r="X72" s="53" t="s">
        <v>766</v>
      </c>
      <c r="Y72" s="107" t="s">
        <v>801</v>
      </c>
      <c r="Z72" s="53" t="s">
        <v>53</v>
      </c>
      <c r="AA72" s="107" t="s">
        <v>561</v>
      </c>
      <c r="AB72" s="53" t="s">
        <v>53</v>
      </c>
      <c r="AC72" s="53" t="s">
        <v>561</v>
      </c>
      <c r="AD72" s="107" t="s">
        <v>53</v>
      </c>
      <c r="AE72" s="107" t="s">
        <v>53</v>
      </c>
      <c r="AF72" s="107" t="s">
        <v>53</v>
      </c>
      <c r="AG72" s="107" t="s">
        <v>53</v>
      </c>
      <c r="AH72" s="107" t="s">
        <v>53</v>
      </c>
      <c r="AI72" s="107" t="s">
        <v>561</v>
      </c>
      <c r="AJ72" s="107" t="s">
        <v>561</v>
      </c>
      <c r="AK72" s="107" t="s">
        <v>561</v>
      </c>
      <c r="AL72" s="107" t="s">
        <v>561</v>
      </c>
      <c r="AM72" s="107" t="s">
        <v>799</v>
      </c>
      <c r="AN72" s="53" t="s">
        <v>561</v>
      </c>
      <c r="AO72" s="107" t="s">
        <v>561</v>
      </c>
      <c r="AP72" s="53" t="s">
        <v>561</v>
      </c>
      <c r="AQ72" s="53" t="s">
        <v>561</v>
      </c>
      <c r="AR72" s="53" t="s">
        <v>53</v>
      </c>
      <c r="AS72" s="53" t="s">
        <v>561</v>
      </c>
      <c r="AT72" s="53" t="s">
        <v>53</v>
      </c>
      <c r="AU72" s="53" t="s">
        <v>561</v>
      </c>
      <c r="AV72" s="53" t="s">
        <v>799</v>
      </c>
      <c r="AW72" s="53" t="s">
        <v>561</v>
      </c>
      <c r="AX72" s="53" t="s">
        <v>561</v>
      </c>
      <c r="AY72" s="53" t="s">
        <v>561</v>
      </c>
      <c r="AZ72" s="53" t="s">
        <v>53</v>
      </c>
      <c r="BA72" s="53" t="s">
        <v>561</v>
      </c>
      <c r="BB72" s="53" t="s">
        <v>53</v>
      </c>
      <c r="BC72" s="53" t="s">
        <v>561</v>
      </c>
      <c r="BD72" s="53" t="s">
        <v>561</v>
      </c>
      <c r="BE72" s="53" t="s">
        <v>561</v>
      </c>
      <c r="BF72" s="53" t="s">
        <v>561</v>
      </c>
      <c r="BG72" s="53" t="s">
        <v>561</v>
      </c>
      <c r="BH72" s="53" t="s">
        <v>561</v>
      </c>
      <c r="BI72" s="107" t="s">
        <v>561</v>
      </c>
      <c r="BJ72" s="107" t="s">
        <v>561</v>
      </c>
      <c r="BK72" s="53" t="s">
        <v>561</v>
      </c>
      <c r="BL72" s="53" t="s">
        <v>561</v>
      </c>
      <c r="BM72" s="53" t="s">
        <v>561</v>
      </c>
      <c r="BN72" s="53" t="s">
        <v>561</v>
      </c>
      <c r="BO72" s="53" t="s">
        <v>600</v>
      </c>
      <c r="BP72" s="53" t="s">
        <v>600</v>
      </c>
      <c r="BQ72" s="118" t="s">
        <v>821</v>
      </c>
      <c r="BR72" s="118" t="s">
        <v>821</v>
      </c>
      <c r="BS72" s="118" t="s">
        <v>821</v>
      </c>
      <c r="BT72" s="122"/>
      <c r="BU72" s="122">
        <f t="shared" ref="BU72:BU80" si="13">SUM(BV72:BY72)</f>
        <v>6336</v>
      </c>
      <c r="BV72" s="126">
        <v>6336.0</v>
      </c>
      <c r="BW72" s="126"/>
      <c r="BX72" s="127"/>
      <c r="BY72" s="127"/>
      <c r="BZ72" s="13"/>
      <c r="CA72" s="13" t="s">
        <v>561</v>
      </c>
      <c r="CB72" s="13"/>
      <c r="CC72" s="13" t="s">
        <v>561</v>
      </c>
    </row>
    <row r="73">
      <c r="A73" s="44" t="str">
        <f>LOOKUP(H73,'Letter grades'!$A$1:$B$6)</f>
        <v>D</v>
      </c>
      <c r="B73" s="44">
        <f t="shared" si="3"/>
        <v>68</v>
      </c>
      <c r="C73" s="44" t="s">
        <v>295</v>
      </c>
      <c r="D73" s="44" t="s">
        <v>296</v>
      </c>
      <c r="E73" s="98" t="s">
        <v>290</v>
      </c>
      <c r="F73" s="47">
        <f t="shared" si="4"/>
        <v>0.6666666667</v>
      </c>
      <c r="G73" s="47">
        <f t="shared" si="5"/>
        <v>0.36</v>
      </c>
      <c r="H73" s="105">
        <f t="shared" si="6"/>
        <v>0.4622222222</v>
      </c>
      <c r="I73" s="13" t="s">
        <v>108</v>
      </c>
      <c r="J73" s="53" t="s">
        <v>487</v>
      </c>
      <c r="K73" s="53" t="s">
        <v>487</v>
      </c>
      <c r="L73" s="53" t="s">
        <v>487</v>
      </c>
      <c r="M73" s="53" t="s">
        <v>594</v>
      </c>
      <c r="N73" s="107" t="s">
        <v>594</v>
      </c>
      <c r="O73" s="53" t="s">
        <v>490</v>
      </c>
      <c r="P73" s="108" t="s">
        <v>53</v>
      </c>
      <c r="Q73" s="110" t="s">
        <v>53</v>
      </c>
      <c r="R73" s="108" t="s">
        <v>799</v>
      </c>
      <c r="S73" s="107" t="s">
        <v>53</v>
      </c>
      <c r="T73" s="107" t="s">
        <v>561</v>
      </c>
      <c r="U73" s="107" t="s">
        <v>801</v>
      </c>
      <c r="V73" s="107" t="s">
        <v>796</v>
      </c>
      <c r="W73" s="107" t="s">
        <v>796</v>
      </c>
      <c r="X73" s="53" t="s">
        <v>766</v>
      </c>
      <c r="Y73" s="107" t="s">
        <v>561</v>
      </c>
      <c r="Z73" s="53" t="s">
        <v>53</v>
      </c>
      <c r="AA73" s="107" t="s">
        <v>53</v>
      </c>
      <c r="AB73" s="53" t="s">
        <v>53</v>
      </c>
      <c r="AC73" s="53" t="s">
        <v>561</v>
      </c>
      <c r="AD73" s="107" t="s">
        <v>53</v>
      </c>
      <c r="AE73" s="107" t="s">
        <v>53</v>
      </c>
      <c r="AF73" s="107" t="s">
        <v>53</v>
      </c>
      <c r="AG73" s="107" t="s">
        <v>53</v>
      </c>
      <c r="AH73" s="107" t="s">
        <v>53</v>
      </c>
      <c r="AI73" s="107" t="s">
        <v>53</v>
      </c>
      <c r="AJ73" s="107" t="s">
        <v>561</v>
      </c>
      <c r="AK73" s="107" t="s">
        <v>561</v>
      </c>
      <c r="AL73" s="107" t="s">
        <v>561</v>
      </c>
      <c r="AM73" s="107" t="s">
        <v>561</v>
      </c>
      <c r="AN73" s="53" t="s">
        <v>561</v>
      </c>
      <c r="AO73" s="107" t="s">
        <v>561</v>
      </c>
      <c r="AP73" s="53" t="s">
        <v>561</v>
      </c>
      <c r="AQ73" s="53" t="s">
        <v>561</v>
      </c>
      <c r="AR73" s="53" t="s">
        <v>53</v>
      </c>
      <c r="AS73" s="53" t="s">
        <v>561</v>
      </c>
      <c r="AT73" s="53" t="s">
        <v>53</v>
      </c>
      <c r="AU73" s="53" t="s">
        <v>561</v>
      </c>
      <c r="AV73" s="53" t="s">
        <v>799</v>
      </c>
      <c r="AW73" s="53" t="s">
        <v>561</v>
      </c>
      <c r="AX73" s="53" t="s">
        <v>561</v>
      </c>
      <c r="AY73" s="53" t="s">
        <v>561</v>
      </c>
      <c r="AZ73" s="53" t="s">
        <v>53</v>
      </c>
      <c r="BA73" s="53" t="s">
        <v>561</v>
      </c>
      <c r="BB73" s="53" t="s">
        <v>53</v>
      </c>
      <c r="BC73" s="53" t="s">
        <v>561</v>
      </c>
      <c r="BD73" s="53" t="s">
        <v>561</v>
      </c>
      <c r="BE73" s="53" t="s">
        <v>53</v>
      </c>
      <c r="BF73" s="53" t="s">
        <v>561</v>
      </c>
      <c r="BG73" s="53" t="s">
        <v>561</v>
      </c>
      <c r="BH73" s="53" t="s">
        <v>561</v>
      </c>
      <c r="BI73" s="107" t="s">
        <v>561</v>
      </c>
      <c r="BJ73" s="107" t="s">
        <v>561</v>
      </c>
      <c r="BK73" s="53" t="s">
        <v>561</v>
      </c>
      <c r="BL73" s="53" t="s">
        <v>561</v>
      </c>
      <c r="BM73" s="53" t="s">
        <v>561</v>
      </c>
      <c r="BN73" s="53" t="s">
        <v>561</v>
      </c>
      <c r="BO73" s="53" t="s">
        <v>561</v>
      </c>
      <c r="BP73" s="53" t="s">
        <v>561</v>
      </c>
      <c r="BQ73" s="118" t="s">
        <v>821</v>
      </c>
      <c r="BR73" s="118" t="s">
        <v>821</v>
      </c>
      <c r="BS73" s="118" t="s">
        <v>821</v>
      </c>
      <c r="BT73" s="122"/>
      <c r="BU73" s="122">
        <f t="shared" si="13"/>
        <v>26300</v>
      </c>
      <c r="BV73" s="126">
        <v>26300.0</v>
      </c>
      <c r="BW73" s="126"/>
      <c r="BX73" s="127"/>
      <c r="BY73" s="127"/>
      <c r="BZ73" s="13"/>
      <c r="CA73" s="13" t="s">
        <v>561</v>
      </c>
      <c r="CB73" s="13"/>
      <c r="CC73" s="13" t="s">
        <v>561</v>
      </c>
    </row>
    <row r="74">
      <c r="A74" s="44" t="str">
        <f>LOOKUP(H74,'Letter grades'!$A$1:$B$6)</f>
        <v>D</v>
      </c>
      <c r="B74" s="44">
        <f t="shared" si="3"/>
        <v>70</v>
      </c>
      <c r="C74" s="44" t="s">
        <v>767</v>
      </c>
      <c r="D74" s="44" t="s">
        <v>1226</v>
      </c>
      <c r="E74" s="98" t="s">
        <v>1224</v>
      </c>
      <c r="F74" s="47">
        <f t="shared" si="4"/>
        <v>0.5</v>
      </c>
      <c r="G74" s="47">
        <f t="shared" si="5"/>
        <v>0.4230769231</v>
      </c>
      <c r="H74" s="105">
        <f t="shared" si="6"/>
        <v>0.4487179487</v>
      </c>
      <c r="I74" s="13" t="s">
        <v>1208</v>
      </c>
      <c r="J74" s="53" t="s">
        <v>487</v>
      </c>
      <c r="K74" s="53" t="s">
        <v>594</v>
      </c>
      <c r="L74" s="107" t="s">
        <v>487</v>
      </c>
      <c r="M74" s="53" t="s">
        <v>594</v>
      </c>
      <c r="N74" s="107" t="s">
        <v>594</v>
      </c>
      <c r="O74" s="53" t="s">
        <v>490</v>
      </c>
      <c r="P74" s="108" t="s">
        <v>53</v>
      </c>
      <c r="Q74" s="110" t="s">
        <v>53</v>
      </c>
      <c r="R74" s="108" t="s">
        <v>491</v>
      </c>
      <c r="S74" s="107" t="s">
        <v>53</v>
      </c>
      <c r="T74" s="107" t="s">
        <v>53</v>
      </c>
      <c r="U74" s="107" t="s">
        <v>53</v>
      </c>
      <c r="V74" s="107" t="s">
        <v>796</v>
      </c>
      <c r="W74" s="107" t="s">
        <v>796</v>
      </c>
      <c r="X74" s="53" t="s">
        <v>766</v>
      </c>
      <c r="Y74" s="107" t="s">
        <v>561</v>
      </c>
      <c r="Z74" s="53" t="s">
        <v>53</v>
      </c>
      <c r="AA74" s="107" t="s">
        <v>561</v>
      </c>
      <c r="AB74" s="53" t="s">
        <v>53</v>
      </c>
      <c r="AC74" s="53" t="s">
        <v>561</v>
      </c>
      <c r="AD74" s="107" t="s">
        <v>53</v>
      </c>
      <c r="AE74" s="107" t="s">
        <v>53</v>
      </c>
      <c r="AF74" s="107" t="s">
        <v>53</v>
      </c>
      <c r="AG74" s="107" t="s">
        <v>53</v>
      </c>
      <c r="AH74" s="107" t="s">
        <v>801</v>
      </c>
      <c r="AI74" s="107" t="s">
        <v>801</v>
      </c>
      <c r="AJ74" s="107" t="s">
        <v>561</v>
      </c>
      <c r="AK74" s="53" t="s">
        <v>801</v>
      </c>
      <c r="AL74" s="107" t="s">
        <v>801</v>
      </c>
      <c r="AM74" s="107" t="s">
        <v>561</v>
      </c>
      <c r="AN74" s="53" t="s">
        <v>561</v>
      </c>
      <c r="AO74" s="107" t="s">
        <v>561</v>
      </c>
      <c r="AP74" s="53" t="s">
        <v>561</v>
      </c>
      <c r="AQ74" s="53" t="s">
        <v>561</v>
      </c>
      <c r="AR74" s="53" t="s">
        <v>53</v>
      </c>
      <c r="AS74" s="53" t="s">
        <v>561</v>
      </c>
      <c r="AT74" s="53" t="s">
        <v>53</v>
      </c>
      <c r="AU74" s="53" t="s">
        <v>561</v>
      </c>
      <c r="AV74" s="53" t="s">
        <v>799</v>
      </c>
      <c r="AW74" s="53" t="s">
        <v>561</v>
      </c>
      <c r="AX74" s="53" t="s">
        <v>561</v>
      </c>
      <c r="AY74" s="53" t="s">
        <v>561</v>
      </c>
      <c r="AZ74" s="53" t="s">
        <v>53</v>
      </c>
      <c r="BA74" s="53" t="s">
        <v>561</v>
      </c>
      <c r="BB74" s="53" t="s">
        <v>53</v>
      </c>
      <c r="BC74" s="53" t="s">
        <v>561</v>
      </c>
      <c r="BD74" s="53" t="s">
        <v>561</v>
      </c>
      <c r="BE74" s="53" t="s">
        <v>561</v>
      </c>
      <c r="BF74" s="53" t="s">
        <v>561</v>
      </c>
      <c r="BG74" s="53" t="s">
        <v>561</v>
      </c>
      <c r="BH74" s="53" t="s">
        <v>561</v>
      </c>
      <c r="BI74" s="107" t="s">
        <v>600</v>
      </c>
      <c r="BJ74" s="107" t="s">
        <v>600</v>
      </c>
      <c r="BK74" s="53" t="s">
        <v>600</v>
      </c>
      <c r="BL74" s="53" t="s">
        <v>600</v>
      </c>
      <c r="BM74" s="53" t="s">
        <v>600</v>
      </c>
      <c r="BN74" s="53" t="s">
        <v>600</v>
      </c>
      <c r="BO74" s="53" t="s">
        <v>600</v>
      </c>
      <c r="BP74" s="53" t="s">
        <v>600</v>
      </c>
      <c r="BQ74" s="118" t="s">
        <v>821</v>
      </c>
      <c r="BR74" s="118" t="s">
        <v>821</v>
      </c>
      <c r="BS74" s="118" t="s">
        <v>821</v>
      </c>
      <c r="BT74" s="122"/>
      <c r="BU74" s="122">
        <f t="shared" si="13"/>
        <v>7000</v>
      </c>
      <c r="BV74" s="126">
        <v>5000.0</v>
      </c>
      <c r="BW74" s="126"/>
      <c r="BX74" s="127">
        <f>2000</f>
        <v>2000</v>
      </c>
      <c r="BY74" s="127"/>
      <c r="BZ74" s="13"/>
      <c r="CA74" s="13" t="s">
        <v>561</v>
      </c>
      <c r="CB74" s="13" t="s">
        <v>561</v>
      </c>
      <c r="CC74" s="13"/>
    </row>
    <row r="75">
      <c r="A75" s="44" t="str">
        <f>LOOKUP(H75,'Letter grades'!$A$1:$B$6)</f>
        <v>D</v>
      </c>
      <c r="B75" s="44">
        <f t="shared" si="3"/>
        <v>71</v>
      </c>
      <c r="C75" s="44" t="s">
        <v>95</v>
      </c>
      <c r="D75" s="44" t="s">
        <v>96</v>
      </c>
      <c r="E75" s="98" t="s">
        <v>91</v>
      </c>
      <c r="F75" s="47">
        <f t="shared" si="4"/>
        <v>0.6666666667</v>
      </c>
      <c r="G75" s="47">
        <f t="shared" si="5"/>
        <v>0.3235294118</v>
      </c>
      <c r="H75" s="105">
        <f t="shared" si="6"/>
        <v>0.4379084967</v>
      </c>
      <c r="I75" s="13" t="s">
        <v>108</v>
      </c>
      <c r="J75" s="53" t="s">
        <v>487</v>
      </c>
      <c r="K75" s="53" t="s">
        <v>487</v>
      </c>
      <c r="L75" s="107" t="s">
        <v>487</v>
      </c>
      <c r="M75" s="53" t="s">
        <v>594</v>
      </c>
      <c r="N75" s="107" t="s">
        <v>594</v>
      </c>
      <c r="O75" s="53" t="s">
        <v>490</v>
      </c>
      <c r="P75" s="108" t="s">
        <v>53</v>
      </c>
      <c r="Q75" s="110" t="s">
        <v>53</v>
      </c>
      <c r="R75" s="108" t="s">
        <v>799</v>
      </c>
      <c r="S75" s="107" t="s">
        <v>53</v>
      </c>
      <c r="T75" s="107" t="s">
        <v>561</v>
      </c>
      <c r="U75" s="107" t="s">
        <v>561</v>
      </c>
      <c r="V75" s="107" t="s">
        <v>796</v>
      </c>
      <c r="W75" s="107" t="s">
        <v>796</v>
      </c>
      <c r="X75" s="53" t="s">
        <v>766</v>
      </c>
      <c r="Y75" s="107" t="s">
        <v>561</v>
      </c>
      <c r="Z75" s="53" t="s">
        <v>53</v>
      </c>
      <c r="AA75" s="107" t="s">
        <v>561</v>
      </c>
      <c r="AB75" s="53" t="s">
        <v>53</v>
      </c>
      <c r="AC75" s="53" t="s">
        <v>561</v>
      </c>
      <c r="AD75" s="107" t="s">
        <v>53</v>
      </c>
      <c r="AE75" s="107" t="s">
        <v>53</v>
      </c>
      <c r="AF75" s="107" t="s">
        <v>53</v>
      </c>
      <c r="AG75" s="107" t="s">
        <v>53</v>
      </c>
      <c r="AH75" s="107" t="s">
        <v>53</v>
      </c>
      <c r="AI75" s="107" t="s">
        <v>561</v>
      </c>
      <c r="AJ75" s="107" t="s">
        <v>561</v>
      </c>
      <c r="AK75" s="107" t="s">
        <v>561</v>
      </c>
      <c r="AL75" s="107" t="s">
        <v>561</v>
      </c>
      <c r="AM75" s="107" t="s">
        <v>561</v>
      </c>
      <c r="AN75" s="53" t="s">
        <v>561</v>
      </c>
      <c r="AO75" s="107" t="s">
        <v>561</v>
      </c>
      <c r="AP75" s="53" t="s">
        <v>561</v>
      </c>
      <c r="AQ75" s="53" t="s">
        <v>561</v>
      </c>
      <c r="AR75" s="53" t="s">
        <v>53</v>
      </c>
      <c r="AS75" s="53" t="s">
        <v>561</v>
      </c>
      <c r="AT75" s="53" t="s">
        <v>53</v>
      </c>
      <c r="AU75" s="53" t="s">
        <v>561</v>
      </c>
      <c r="AV75" s="53" t="s">
        <v>561</v>
      </c>
      <c r="AW75" s="53" t="s">
        <v>561</v>
      </c>
      <c r="AX75" s="53" t="s">
        <v>561</v>
      </c>
      <c r="AY75" s="53" t="s">
        <v>561</v>
      </c>
      <c r="AZ75" s="53" t="s">
        <v>53</v>
      </c>
      <c r="BA75" s="53" t="s">
        <v>561</v>
      </c>
      <c r="BB75" s="53" t="s">
        <v>53</v>
      </c>
      <c r="BC75" s="53" t="s">
        <v>561</v>
      </c>
      <c r="BD75" s="53" t="s">
        <v>561</v>
      </c>
      <c r="BE75" s="53" t="s">
        <v>53</v>
      </c>
      <c r="BF75" s="53" t="s">
        <v>561</v>
      </c>
      <c r="BG75" s="53" t="s">
        <v>561</v>
      </c>
      <c r="BH75" s="53" t="s">
        <v>561</v>
      </c>
      <c r="BI75" s="107" t="s">
        <v>561</v>
      </c>
      <c r="BJ75" s="107" t="s">
        <v>561</v>
      </c>
      <c r="BK75" s="53" t="s">
        <v>561</v>
      </c>
      <c r="BL75" s="53" t="s">
        <v>561</v>
      </c>
      <c r="BM75" s="53" t="s">
        <v>561</v>
      </c>
      <c r="BN75" s="53" t="s">
        <v>561</v>
      </c>
      <c r="BO75" s="53" t="s">
        <v>53</v>
      </c>
      <c r="BP75" s="53" t="s">
        <v>561</v>
      </c>
      <c r="BQ75" s="118" t="s">
        <v>821</v>
      </c>
      <c r="BR75" s="118" t="s">
        <v>821</v>
      </c>
      <c r="BS75" s="118" t="s">
        <v>821</v>
      </c>
      <c r="BT75" s="122"/>
      <c r="BU75" s="122">
        <f t="shared" si="13"/>
        <v>0</v>
      </c>
      <c r="BV75" s="126"/>
      <c r="BW75" s="126"/>
      <c r="BX75" s="127"/>
      <c r="BY75" s="127"/>
      <c r="BZ75" s="13"/>
      <c r="CA75" s="13" t="s">
        <v>561</v>
      </c>
      <c r="CB75" s="13"/>
      <c r="CC75" s="13"/>
    </row>
    <row r="76">
      <c r="A76" s="44" t="str">
        <f>LOOKUP(H76,'Letter grades'!$A$1:$B$6)</f>
        <v>D</v>
      </c>
      <c r="B76" s="44">
        <f t="shared" si="3"/>
        <v>72</v>
      </c>
      <c r="C76" s="44" t="s">
        <v>1284</v>
      </c>
      <c r="D76" s="44" t="s">
        <v>1285</v>
      </c>
      <c r="E76" s="98" t="s">
        <v>1279</v>
      </c>
      <c r="F76" s="47">
        <f t="shared" si="4"/>
        <v>0.3333333333</v>
      </c>
      <c r="G76" s="47">
        <f t="shared" si="5"/>
        <v>0.4875</v>
      </c>
      <c r="H76" s="105">
        <f t="shared" si="6"/>
        <v>0.4361111111</v>
      </c>
      <c r="I76" s="13"/>
      <c r="J76" s="53" t="s">
        <v>487</v>
      </c>
      <c r="K76" s="53" t="s">
        <v>594</v>
      </c>
      <c r="L76" s="107" t="s">
        <v>594</v>
      </c>
      <c r="M76" s="53" t="s">
        <v>594</v>
      </c>
      <c r="N76" s="107" t="s">
        <v>594</v>
      </c>
      <c r="O76" s="53" t="s">
        <v>490</v>
      </c>
      <c r="P76" s="108" t="s">
        <v>53</v>
      </c>
      <c r="Q76" s="110" t="s">
        <v>53</v>
      </c>
      <c r="R76" s="108" t="s">
        <v>491</v>
      </c>
      <c r="S76" s="107" t="s">
        <v>53</v>
      </c>
      <c r="T76" s="107" t="s">
        <v>561</v>
      </c>
      <c r="U76" s="107" t="s">
        <v>53</v>
      </c>
      <c r="V76" s="107" t="s">
        <v>796</v>
      </c>
      <c r="W76" s="107" t="s">
        <v>796</v>
      </c>
      <c r="X76" s="53" t="s">
        <v>766</v>
      </c>
      <c r="Y76" s="107" t="s">
        <v>801</v>
      </c>
      <c r="Z76" s="53" t="s">
        <v>53</v>
      </c>
      <c r="AA76" s="107" t="s">
        <v>53</v>
      </c>
      <c r="AB76" s="53" t="s">
        <v>53</v>
      </c>
      <c r="AC76" s="53" t="s">
        <v>561</v>
      </c>
      <c r="AD76" s="107" t="s">
        <v>53</v>
      </c>
      <c r="AE76" s="107" t="s">
        <v>53</v>
      </c>
      <c r="AF76" s="107" t="s">
        <v>801</v>
      </c>
      <c r="AG76" s="107" t="s">
        <v>53</v>
      </c>
      <c r="AH76" s="107" t="s">
        <v>53</v>
      </c>
      <c r="AI76" s="107" t="s">
        <v>53</v>
      </c>
      <c r="AJ76" s="107" t="s">
        <v>561</v>
      </c>
      <c r="AK76" s="107" t="s">
        <v>53</v>
      </c>
      <c r="AL76" s="107" t="s">
        <v>561</v>
      </c>
      <c r="AM76" s="107" t="s">
        <v>561</v>
      </c>
      <c r="AN76" s="53" t="s">
        <v>561</v>
      </c>
      <c r="AO76" s="107" t="s">
        <v>561</v>
      </c>
      <c r="AP76" s="53" t="s">
        <v>561</v>
      </c>
      <c r="AQ76" s="53" t="s">
        <v>561</v>
      </c>
      <c r="AR76" s="53" t="s">
        <v>53</v>
      </c>
      <c r="AS76" s="53" t="s">
        <v>561</v>
      </c>
      <c r="AT76" s="53" t="s">
        <v>53</v>
      </c>
      <c r="AU76" s="107" t="s">
        <v>801</v>
      </c>
      <c r="AV76" s="53" t="s">
        <v>799</v>
      </c>
      <c r="AW76" s="53" t="s">
        <v>561</v>
      </c>
      <c r="AX76" s="53" t="s">
        <v>561</v>
      </c>
      <c r="AY76" s="53" t="s">
        <v>53</v>
      </c>
      <c r="AZ76" s="53" t="s">
        <v>53</v>
      </c>
      <c r="BA76" s="53" t="s">
        <v>561</v>
      </c>
      <c r="BB76" s="53" t="s">
        <v>53</v>
      </c>
      <c r="BC76" s="53" t="s">
        <v>561</v>
      </c>
      <c r="BD76" s="53" t="s">
        <v>561</v>
      </c>
      <c r="BE76" s="53" t="s">
        <v>561</v>
      </c>
      <c r="BF76" s="53" t="s">
        <v>561</v>
      </c>
      <c r="BG76" s="53" t="s">
        <v>561</v>
      </c>
      <c r="BH76" s="53" t="s">
        <v>561</v>
      </c>
      <c r="BI76" s="107" t="s">
        <v>600</v>
      </c>
      <c r="BJ76" s="107" t="s">
        <v>600</v>
      </c>
      <c r="BK76" s="53" t="s">
        <v>600</v>
      </c>
      <c r="BL76" s="53" t="s">
        <v>600</v>
      </c>
      <c r="BM76" s="53" t="s">
        <v>600</v>
      </c>
      <c r="BN76" s="53" t="s">
        <v>600</v>
      </c>
      <c r="BO76" s="53" t="s">
        <v>600</v>
      </c>
      <c r="BP76" s="53" t="s">
        <v>600</v>
      </c>
      <c r="BQ76" s="118" t="s">
        <v>821</v>
      </c>
      <c r="BR76" s="118" t="s">
        <v>821</v>
      </c>
      <c r="BS76" s="180" t="s">
        <v>1832</v>
      </c>
      <c r="BT76" s="122"/>
      <c r="BU76" s="122">
        <f t="shared" si="13"/>
        <v>0</v>
      </c>
      <c r="BV76" s="155"/>
      <c r="BW76" s="155"/>
      <c r="BX76" s="127"/>
      <c r="BY76" s="127"/>
      <c r="BZ76" s="13"/>
      <c r="CA76" s="13"/>
      <c r="CB76" s="13"/>
      <c r="CC76" s="13"/>
    </row>
    <row r="77">
      <c r="A77" s="44" t="str">
        <f>LOOKUP(H77,'Letter grades'!$A$1:$B$6)</f>
        <v>D</v>
      </c>
      <c r="B77" s="44">
        <f t="shared" si="3"/>
        <v>73</v>
      </c>
      <c r="C77" s="44" t="s">
        <v>371</v>
      </c>
      <c r="D77" s="44" t="s">
        <v>372</v>
      </c>
      <c r="E77" s="98" t="s">
        <v>367</v>
      </c>
      <c r="F77" s="47">
        <f t="shared" si="4"/>
        <v>0.5</v>
      </c>
      <c r="G77" s="47">
        <f t="shared" si="5"/>
        <v>0.4019607843</v>
      </c>
      <c r="H77" s="105">
        <f t="shared" si="6"/>
        <v>0.4346405229</v>
      </c>
      <c r="I77" s="13" t="s">
        <v>108</v>
      </c>
      <c r="J77" s="53" t="s">
        <v>487</v>
      </c>
      <c r="K77" s="53" t="s">
        <v>487</v>
      </c>
      <c r="L77" s="107" t="s">
        <v>594</v>
      </c>
      <c r="M77" s="53" t="s">
        <v>594</v>
      </c>
      <c r="N77" s="107" t="s">
        <v>594</v>
      </c>
      <c r="O77" s="53" t="s">
        <v>490</v>
      </c>
      <c r="P77" s="108" t="s">
        <v>53</v>
      </c>
      <c r="Q77" s="110" t="s">
        <v>53</v>
      </c>
      <c r="R77" s="108" t="s">
        <v>491</v>
      </c>
      <c r="S77" s="107" t="s">
        <v>53</v>
      </c>
      <c r="T77" s="107" t="s">
        <v>561</v>
      </c>
      <c r="U77" s="107" t="s">
        <v>53</v>
      </c>
      <c r="V77" s="107" t="s">
        <v>796</v>
      </c>
      <c r="W77" s="107" t="s">
        <v>796</v>
      </c>
      <c r="X77" s="53" t="s">
        <v>766</v>
      </c>
      <c r="Y77" s="107" t="s">
        <v>561</v>
      </c>
      <c r="Z77" s="53" t="s">
        <v>53</v>
      </c>
      <c r="AA77" s="107" t="s">
        <v>53</v>
      </c>
      <c r="AB77" s="53" t="s">
        <v>53</v>
      </c>
      <c r="AC77" s="53" t="s">
        <v>561</v>
      </c>
      <c r="AD77" s="107" t="s">
        <v>53</v>
      </c>
      <c r="AE77" s="107" t="s">
        <v>53</v>
      </c>
      <c r="AF77" s="107" t="s">
        <v>53</v>
      </c>
      <c r="AG77" s="107" t="s">
        <v>53</v>
      </c>
      <c r="AH77" s="107" t="s">
        <v>53</v>
      </c>
      <c r="AI77" s="107" t="s">
        <v>53</v>
      </c>
      <c r="AJ77" s="107" t="s">
        <v>561</v>
      </c>
      <c r="AK77" s="107" t="s">
        <v>561</v>
      </c>
      <c r="AL77" s="107" t="s">
        <v>561</v>
      </c>
      <c r="AM77" s="107" t="s">
        <v>561</v>
      </c>
      <c r="AN77" s="53" t="s">
        <v>561</v>
      </c>
      <c r="AO77" s="107" t="s">
        <v>561</v>
      </c>
      <c r="AP77" s="53" t="s">
        <v>561</v>
      </c>
      <c r="AQ77" s="53" t="s">
        <v>561</v>
      </c>
      <c r="AR77" s="53" t="s">
        <v>53</v>
      </c>
      <c r="AS77" s="53" t="s">
        <v>561</v>
      </c>
      <c r="AT77" s="53" t="s">
        <v>53</v>
      </c>
      <c r="AU77" s="53" t="s">
        <v>561</v>
      </c>
      <c r="AV77" s="53" t="s">
        <v>799</v>
      </c>
      <c r="AW77" s="53" t="s">
        <v>561</v>
      </c>
      <c r="AX77" s="53" t="s">
        <v>561</v>
      </c>
      <c r="AY77" s="53" t="s">
        <v>53</v>
      </c>
      <c r="AZ77" s="53" t="s">
        <v>53</v>
      </c>
      <c r="BA77" s="53" t="s">
        <v>561</v>
      </c>
      <c r="BB77" s="53" t="s">
        <v>53</v>
      </c>
      <c r="BC77" s="53" t="s">
        <v>561</v>
      </c>
      <c r="BD77" s="53" t="s">
        <v>561</v>
      </c>
      <c r="BE77" s="53" t="s">
        <v>561</v>
      </c>
      <c r="BF77" s="53" t="s">
        <v>561</v>
      </c>
      <c r="BG77" s="53" t="s">
        <v>561</v>
      </c>
      <c r="BH77" s="53" t="s">
        <v>561</v>
      </c>
      <c r="BI77" s="107" t="s">
        <v>561</v>
      </c>
      <c r="BJ77" s="107" t="s">
        <v>561</v>
      </c>
      <c r="BK77" s="53" t="s">
        <v>561</v>
      </c>
      <c r="BL77" s="53" t="s">
        <v>561</v>
      </c>
      <c r="BM77" s="53" t="s">
        <v>561</v>
      </c>
      <c r="BN77" s="53" t="s">
        <v>561</v>
      </c>
      <c r="BO77" s="53" t="s">
        <v>53</v>
      </c>
      <c r="BP77" s="53" t="s">
        <v>561</v>
      </c>
      <c r="BQ77" s="118" t="s">
        <v>821</v>
      </c>
      <c r="BR77" s="118" t="s">
        <v>821</v>
      </c>
      <c r="BS77" s="118" t="s">
        <v>821</v>
      </c>
      <c r="BT77" s="122"/>
      <c r="BU77" s="122">
        <f t="shared" si="13"/>
        <v>8400</v>
      </c>
      <c r="BV77" s="126">
        <v>8400.0</v>
      </c>
      <c r="BW77" s="126"/>
      <c r="BX77" s="127"/>
      <c r="BY77" s="127"/>
      <c r="BZ77" s="13"/>
      <c r="CA77" s="13" t="s">
        <v>561</v>
      </c>
      <c r="CB77" s="13"/>
      <c r="CC77" s="13" t="s">
        <v>561</v>
      </c>
    </row>
    <row r="78">
      <c r="A78" s="44" t="str">
        <f>LOOKUP(H78,'Letter grades'!$A$1:$B$6)</f>
        <v>D</v>
      </c>
      <c r="B78" s="44">
        <f t="shared" si="3"/>
        <v>74</v>
      </c>
      <c r="C78" s="44" t="s">
        <v>1170</v>
      </c>
      <c r="D78" s="44" t="s">
        <v>1171</v>
      </c>
      <c r="E78" s="98" t="s">
        <v>1168</v>
      </c>
      <c r="F78" s="47">
        <f t="shared" si="4"/>
        <v>0.5</v>
      </c>
      <c r="G78" s="47">
        <f t="shared" si="5"/>
        <v>0.3936170213</v>
      </c>
      <c r="H78" s="105">
        <f t="shared" si="6"/>
        <v>0.4290780142</v>
      </c>
      <c r="I78" s="13" t="s">
        <v>108</v>
      </c>
      <c r="J78" s="53" t="s">
        <v>594</v>
      </c>
      <c r="K78" s="53" t="s">
        <v>487</v>
      </c>
      <c r="L78" s="107" t="s">
        <v>487</v>
      </c>
      <c r="M78" s="53" t="s">
        <v>594</v>
      </c>
      <c r="N78" s="107" t="s">
        <v>594</v>
      </c>
      <c r="O78" s="53" t="s">
        <v>490</v>
      </c>
      <c r="P78" s="108" t="s">
        <v>53</v>
      </c>
      <c r="Q78" s="110" t="s">
        <v>53</v>
      </c>
      <c r="R78" s="108" t="s">
        <v>491</v>
      </c>
      <c r="S78" s="107" t="s">
        <v>53</v>
      </c>
      <c r="T78" s="107" t="s">
        <v>561</v>
      </c>
      <c r="U78" s="107" t="s">
        <v>561</v>
      </c>
      <c r="V78" s="107" t="s">
        <v>796</v>
      </c>
      <c r="W78" s="107" t="s">
        <v>796</v>
      </c>
      <c r="X78" s="53" t="s">
        <v>766</v>
      </c>
      <c r="Y78" s="107" t="s">
        <v>561</v>
      </c>
      <c r="Z78" s="53" t="s">
        <v>53</v>
      </c>
      <c r="AA78" s="107" t="s">
        <v>53</v>
      </c>
      <c r="AB78" s="53" t="s">
        <v>53</v>
      </c>
      <c r="AC78" s="53" t="s">
        <v>561</v>
      </c>
      <c r="AD78" s="107" t="s">
        <v>53</v>
      </c>
      <c r="AE78" s="107" t="s">
        <v>53</v>
      </c>
      <c r="AF78" s="107" t="s">
        <v>53</v>
      </c>
      <c r="AG78" s="107" t="s">
        <v>53</v>
      </c>
      <c r="AH78" s="107" t="s">
        <v>53</v>
      </c>
      <c r="AI78" s="107" t="s">
        <v>53</v>
      </c>
      <c r="AJ78" s="107" t="s">
        <v>561</v>
      </c>
      <c r="AK78" s="107" t="s">
        <v>561</v>
      </c>
      <c r="AL78" s="107" t="s">
        <v>561</v>
      </c>
      <c r="AM78" s="107" t="s">
        <v>561</v>
      </c>
      <c r="AN78" s="53" t="s">
        <v>561</v>
      </c>
      <c r="AO78" s="107" t="s">
        <v>561</v>
      </c>
      <c r="AP78" s="53" t="s">
        <v>561</v>
      </c>
      <c r="AQ78" s="53" t="s">
        <v>561</v>
      </c>
      <c r="AR78" s="53" t="s">
        <v>53</v>
      </c>
      <c r="AS78" s="53" t="s">
        <v>561</v>
      </c>
      <c r="AT78" s="53" t="s">
        <v>53</v>
      </c>
      <c r="AU78" s="53" t="s">
        <v>561</v>
      </c>
      <c r="AV78" s="53" t="s">
        <v>799</v>
      </c>
      <c r="AW78" s="53" t="s">
        <v>561</v>
      </c>
      <c r="AX78" s="53" t="s">
        <v>561</v>
      </c>
      <c r="AY78" s="53" t="s">
        <v>561</v>
      </c>
      <c r="AZ78" s="53" t="s">
        <v>53</v>
      </c>
      <c r="BA78" s="53" t="s">
        <v>801</v>
      </c>
      <c r="BB78" s="53" t="s">
        <v>801</v>
      </c>
      <c r="BC78" s="53" t="s">
        <v>53</v>
      </c>
      <c r="BD78" s="53" t="s">
        <v>561</v>
      </c>
      <c r="BE78" s="53" t="s">
        <v>53</v>
      </c>
      <c r="BF78" s="53" t="s">
        <v>561</v>
      </c>
      <c r="BG78" s="53" t="s">
        <v>561</v>
      </c>
      <c r="BH78" s="53" t="s">
        <v>561</v>
      </c>
      <c r="BI78" s="107" t="s">
        <v>561</v>
      </c>
      <c r="BJ78" s="107" t="s">
        <v>561</v>
      </c>
      <c r="BK78" s="53" t="s">
        <v>561</v>
      </c>
      <c r="BL78" s="53" t="s">
        <v>561</v>
      </c>
      <c r="BM78" s="53" t="s">
        <v>561</v>
      </c>
      <c r="BN78" s="53" t="s">
        <v>561</v>
      </c>
      <c r="BO78" s="53" t="s">
        <v>600</v>
      </c>
      <c r="BP78" s="53" t="s">
        <v>600</v>
      </c>
      <c r="BQ78" s="118" t="s">
        <v>821</v>
      </c>
      <c r="BR78" s="118" t="s">
        <v>821</v>
      </c>
      <c r="BS78" s="118" t="s">
        <v>821</v>
      </c>
      <c r="BT78" s="122"/>
      <c r="BU78" s="122">
        <f t="shared" si="13"/>
        <v>0</v>
      </c>
      <c r="BV78" s="126"/>
      <c r="BW78" s="126"/>
      <c r="BX78" s="127"/>
      <c r="BY78" s="127"/>
      <c r="BZ78" s="13"/>
      <c r="CA78" s="13" t="s">
        <v>561</v>
      </c>
      <c r="CB78" s="13"/>
      <c r="CC78" s="13"/>
    </row>
    <row r="79">
      <c r="A79" s="44" t="str">
        <f>LOOKUP(H79,'Letter grades'!$A$1:$B$6)</f>
        <v>D</v>
      </c>
      <c r="B79" s="44">
        <f t="shared" si="3"/>
        <v>75</v>
      </c>
      <c r="C79" s="44" t="s">
        <v>670</v>
      </c>
      <c r="D79" s="44" t="s">
        <v>671</v>
      </c>
      <c r="E79" s="98" t="s">
        <v>668</v>
      </c>
      <c r="F79" s="47">
        <f t="shared" si="4"/>
        <v>0.3333333333</v>
      </c>
      <c r="G79" s="47">
        <f t="shared" si="5"/>
        <v>0.476744186</v>
      </c>
      <c r="H79" s="105">
        <f t="shared" si="6"/>
        <v>0.4289405685</v>
      </c>
      <c r="I79" s="13"/>
      <c r="J79" s="53" t="s">
        <v>594</v>
      </c>
      <c r="K79" s="53" t="s">
        <v>594</v>
      </c>
      <c r="L79" s="53" t="s">
        <v>487</v>
      </c>
      <c r="M79" s="53" t="s">
        <v>594</v>
      </c>
      <c r="N79" s="107" t="s">
        <v>594</v>
      </c>
      <c r="O79" s="53" t="s">
        <v>490</v>
      </c>
      <c r="P79" s="108" t="s">
        <v>53</v>
      </c>
      <c r="Q79" s="110" t="s">
        <v>53</v>
      </c>
      <c r="R79" s="108" t="s">
        <v>491</v>
      </c>
      <c r="S79" s="107" t="s">
        <v>53</v>
      </c>
      <c r="T79" s="107" t="s">
        <v>53</v>
      </c>
      <c r="U79" s="107" t="s">
        <v>53</v>
      </c>
      <c r="V79" s="107" t="s">
        <v>796</v>
      </c>
      <c r="W79" s="107" t="s">
        <v>796</v>
      </c>
      <c r="X79" s="53" t="s">
        <v>766</v>
      </c>
      <c r="Y79" s="107" t="s">
        <v>561</v>
      </c>
      <c r="Z79" s="53" t="s">
        <v>53</v>
      </c>
      <c r="AA79" s="107" t="s">
        <v>53</v>
      </c>
      <c r="AB79" s="53" t="s">
        <v>53</v>
      </c>
      <c r="AC79" s="53" t="s">
        <v>561</v>
      </c>
      <c r="AD79" s="107" t="s">
        <v>53</v>
      </c>
      <c r="AE79" s="107" t="s">
        <v>53</v>
      </c>
      <c r="AF79" s="107" t="s">
        <v>53</v>
      </c>
      <c r="AG79" s="107" t="s">
        <v>53</v>
      </c>
      <c r="AH79" s="107" t="s">
        <v>53</v>
      </c>
      <c r="AI79" s="107" t="s">
        <v>53</v>
      </c>
      <c r="AJ79" s="107" t="s">
        <v>561</v>
      </c>
      <c r="AK79" s="107" t="s">
        <v>53</v>
      </c>
      <c r="AL79" s="107" t="s">
        <v>561</v>
      </c>
      <c r="AM79" s="107" t="s">
        <v>561</v>
      </c>
      <c r="AN79" s="53" t="s">
        <v>561</v>
      </c>
      <c r="AO79" s="107" t="s">
        <v>561</v>
      </c>
      <c r="AP79" s="53" t="s">
        <v>561</v>
      </c>
      <c r="AQ79" s="53" t="s">
        <v>561</v>
      </c>
      <c r="AR79" s="53" t="s">
        <v>53</v>
      </c>
      <c r="AS79" s="53" t="s">
        <v>561</v>
      </c>
      <c r="AT79" s="53" t="s">
        <v>53</v>
      </c>
      <c r="AU79" s="53" t="s">
        <v>561</v>
      </c>
      <c r="AV79" s="53" t="s">
        <v>799</v>
      </c>
      <c r="AW79" s="53" t="s">
        <v>561</v>
      </c>
      <c r="AX79" s="53" t="s">
        <v>561</v>
      </c>
      <c r="AY79" s="53" t="s">
        <v>561</v>
      </c>
      <c r="AZ79" s="53" t="s">
        <v>53</v>
      </c>
      <c r="BA79" s="53" t="s">
        <v>561</v>
      </c>
      <c r="BB79" s="53" t="s">
        <v>53</v>
      </c>
      <c r="BC79" s="53" t="s">
        <v>561</v>
      </c>
      <c r="BD79" s="53" t="s">
        <v>561</v>
      </c>
      <c r="BE79" s="53" t="s">
        <v>561</v>
      </c>
      <c r="BF79" s="53" t="s">
        <v>561</v>
      </c>
      <c r="BG79" s="53" t="s">
        <v>561</v>
      </c>
      <c r="BH79" s="53" t="s">
        <v>561</v>
      </c>
      <c r="BI79" s="107" t="s">
        <v>600</v>
      </c>
      <c r="BJ79" s="107" t="s">
        <v>600</v>
      </c>
      <c r="BK79" s="53" t="s">
        <v>600</v>
      </c>
      <c r="BL79" s="53" t="s">
        <v>600</v>
      </c>
      <c r="BM79" s="53" t="s">
        <v>600</v>
      </c>
      <c r="BN79" s="53" t="s">
        <v>600</v>
      </c>
      <c r="BO79" s="53" t="s">
        <v>600</v>
      </c>
      <c r="BP79" s="53" t="s">
        <v>600</v>
      </c>
      <c r="BQ79" s="118" t="s">
        <v>821</v>
      </c>
      <c r="BR79" s="118" t="s">
        <v>821</v>
      </c>
      <c r="BS79" s="118" t="s">
        <v>821</v>
      </c>
      <c r="BT79" s="122"/>
      <c r="BU79" s="122">
        <f t="shared" si="13"/>
        <v>90591</v>
      </c>
      <c r="BV79" s="126">
        <v>36450.0</v>
      </c>
      <c r="BW79" s="126"/>
      <c r="BX79" s="127">
        <f t="shared" ref="BX79:BX80" si="14">2000</f>
        <v>2000</v>
      </c>
      <c r="BY79" s="127">
        <v>52141.0</v>
      </c>
      <c r="BZ79" s="13"/>
      <c r="CA79" s="13"/>
      <c r="CB79" s="13" t="s">
        <v>561</v>
      </c>
      <c r="CC79" s="13" t="s">
        <v>561</v>
      </c>
    </row>
    <row r="80">
      <c r="A80" s="44" t="str">
        <f>LOOKUP(H80,'Letter grades'!$A$1:$B$6)</f>
        <v>D</v>
      </c>
      <c r="B80" s="44">
        <f t="shared" si="3"/>
        <v>76</v>
      </c>
      <c r="C80" s="44" t="s">
        <v>432</v>
      </c>
      <c r="D80" s="44" t="s">
        <v>433</v>
      </c>
      <c r="E80" s="98" t="s">
        <v>429</v>
      </c>
      <c r="F80" s="47">
        <f t="shared" si="4"/>
        <v>0.6666666667</v>
      </c>
      <c r="G80" s="47">
        <f t="shared" si="5"/>
        <v>0.306122449</v>
      </c>
      <c r="H80" s="105">
        <f t="shared" si="6"/>
        <v>0.4263038549</v>
      </c>
      <c r="I80" s="13" t="s">
        <v>108</v>
      </c>
      <c r="J80" s="53" t="s">
        <v>487</v>
      </c>
      <c r="K80" s="53" t="s">
        <v>487</v>
      </c>
      <c r="L80" s="53" t="s">
        <v>487</v>
      </c>
      <c r="M80" s="53" t="s">
        <v>594</v>
      </c>
      <c r="N80" s="107" t="s">
        <v>594</v>
      </c>
      <c r="O80" s="53" t="s">
        <v>490</v>
      </c>
      <c r="P80" s="108" t="s">
        <v>53</v>
      </c>
      <c r="Q80" s="110" t="s">
        <v>53</v>
      </c>
      <c r="R80" s="108" t="s">
        <v>491</v>
      </c>
      <c r="S80" s="107" t="s">
        <v>53</v>
      </c>
      <c r="T80" s="107" t="s">
        <v>561</v>
      </c>
      <c r="U80" s="107" t="s">
        <v>53</v>
      </c>
      <c r="V80" s="107" t="s">
        <v>796</v>
      </c>
      <c r="W80" s="107" t="s">
        <v>796</v>
      </c>
      <c r="X80" s="53" t="s">
        <v>766</v>
      </c>
      <c r="Y80" s="107" t="s">
        <v>561</v>
      </c>
      <c r="Z80" s="53" t="s">
        <v>53</v>
      </c>
      <c r="AA80" s="107" t="s">
        <v>561</v>
      </c>
      <c r="AB80" s="53" t="s">
        <v>53</v>
      </c>
      <c r="AC80" s="53" t="s">
        <v>561</v>
      </c>
      <c r="AD80" s="107" t="s">
        <v>561</v>
      </c>
      <c r="AE80" s="107" t="s">
        <v>53</v>
      </c>
      <c r="AF80" s="107" t="s">
        <v>53</v>
      </c>
      <c r="AG80" s="107" t="s">
        <v>53</v>
      </c>
      <c r="AH80" s="107" t="s">
        <v>53</v>
      </c>
      <c r="AI80" s="107" t="s">
        <v>561</v>
      </c>
      <c r="AJ80" s="107" t="s">
        <v>561</v>
      </c>
      <c r="AK80" s="107" t="s">
        <v>561</v>
      </c>
      <c r="AL80" s="107" t="s">
        <v>561</v>
      </c>
      <c r="AM80" s="107" t="s">
        <v>561</v>
      </c>
      <c r="AN80" s="53" t="s">
        <v>561</v>
      </c>
      <c r="AO80" s="107" t="s">
        <v>561</v>
      </c>
      <c r="AP80" s="53" t="s">
        <v>561</v>
      </c>
      <c r="AQ80" s="53" t="s">
        <v>561</v>
      </c>
      <c r="AR80" s="53" t="s">
        <v>53</v>
      </c>
      <c r="AS80" s="53" t="s">
        <v>561</v>
      </c>
      <c r="AT80" s="53" t="s">
        <v>53</v>
      </c>
      <c r="AU80" s="53" t="s">
        <v>561</v>
      </c>
      <c r="AV80" s="53" t="s">
        <v>561</v>
      </c>
      <c r="AW80" s="53" t="s">
        <v>561</v>
      </c>
      <c r="AX80" s="53" t="s">
        <v>561</v>
      </c>
      <c r="AY80" s="53" t="s">
        <v>561</v>
      </c>
      <c r="AZ80" s="53" t="s">
        <v>53</v>
      </c>
      <c r="BA80" s="53" t="s">
        <v>561</v>
      </c>
      <c r="BB80" s="53" t="s">
        <v>53</v>
      </c>
      <c r="BC80" s="53" t="s">
        <v>561</v>
      </c>
      <c r="BD80" s="53" t="s">
        <v>561</v>
      </c>
      <c r="BE80" s="53" t="s">
        <v>561</v>
      </c>
      <c r="BF80" s="53" t="s">
        <v>561</v>
      </c>
      <c r="BG80" s="53" t="s">
        <v>561</v>
      </c>
      <c r="BH80" s="53" t="s">
        <v>561</v>
      </c>
      <c r="BI80" s="107" t="s">
        <v>561</v>
      </c>
      <c r="BJ80" s="107" t="s">
        <v>561</v>
      </c>
      <c r="BK80" s="53" t="s">
        <v>561</v>
      </c>
      <c r="BL80" s="53" t="s">
        <v>561</v>
      </c>
      <c r="BM80" s="53" t="s">
        <v>561</v>
      </c>
      <c r="BN80" s="53" t="s">
        <v>561</v>
      </c>
      <c r="BO80" s="53" t="s">
        <v>600</v>
      </c>
      <c r="BP80" s="53" t="s">
        <v>600</v>
      </c>
      <c r="BQ80" s="118" t="s">
        <v>821</v>
      </c>
      <c r="BR80" s="118" t="s">
        <v>821</v>
      </c>
      <c r="BS80" s="118" t="s">
        <v>821</v>
      </c>
      <c r="BT80" s="122"/>
      <c r="BU80" s="122">
        <f t="shared" si="13"/>
        <v>22775</v>
      </c>
      <c r="BV80" s="126">
        <v>20775.0</v>
      </c>
      <c r="BW80" s="126"/>
      <c r="BX80" s="127">
        <f t="shared" si="14"/>
        <v>2000</v>
      </c>
      <c r="BY80" s="127"/>
      <c r="BZ80" s="13"/>
      <c r="CA80" s="13" t="s">
        <v>561</v>
      </c>
      <c r="CB80" s="13"/>
      <c r="CC80" s="13"/>
    </row>
    <row r="81">
      <c r="A81" s="44" t="str">
        <f>LOOKUP(H81,'Letter grades'!$A$1:$B$6)</f>
        <v>D</v>
      </c>
      <c r="B81" s="44">
        <f t="shared" si="3"/>
        <v>77</v>
      </c>
      <c r="C81" s="107" t="s">
        <v>2604</v>
      </c>
      <c r="D81" s="107" t="s">
        <v>2605</v>
      </c>
      <c r="E81" s="148" t="s">
        <v>1342</v>
      </c>
      <c r="F81" s="47">
        <f t="shared" si="4"/>
        <v>0.1666666667</v>
      </c>
      <c r="G81" s="47">
        <f t="shared" si="5"/>
        <v>0.5555555556</v>
      </c>
      <c r="H81" s="105">
        <f t="shared" si="6"/>
        <v>0.4259259259</v>
      </c>
      <c r="I81" s="13"/>
      <c r="J81" s="53" t="s">
        <v>487</v>
      </c>
      <c r="K81" s="53" t="s">
        <v>594</v>
      </c>
      <c r="L81" s="107" t="s">
        <v>594</v>
      </c>
      <c r="M81" s="53" t="s">
        <v>594</v>
      </c>
      <c r="N81" s="107" t="s">
        <v>594</v>
      </c>
      <c r="O81" s="53" t="s">
        <v>1065</v>
      </c>
      <c r="P81" s="108" t="s">
        <v>53</v>
      </c>
      <c r="Q81" s="110" t="s">
        <v>53</v>
      </c>
      <c r="R81" s="108" t="s">
        <v>766</v>
      </c>
      <c r="S81" s="107" t="s">
        <v>53</v>
      </c>
      <c r="T81" s="107" t="s">
        <v>53</v>
      </c>
      <c r="U81" s="107" t="s">
        <v>53</v>
      </c>
      <c r="V81" s="107" t="s">
        <v>796</v>
      </c>
      <c r="W81" s="107" t="s">
        <v>796</v>
      </c>
      <c r="X81" s="53" t="s">
        <v>766</v>
      </c>
      <c r="Y81" s="107" t="s">
        <v>561</v>
      </c>
      <c r="Z81" s="107" t="s">
        <v>561</v>
      </c>
      <c r="AA81" s="53" t="s">
        <v>600</v>
      </c>
      <c r="AB81" s="53" t="s">
        <v>600</v>
      </c>
      <c r="AC81" s="53" t="s">
        <v>600</v>
      </c>
      <c r="AD81" s="53" t="s">
        <v>600</v>
      </c>
      <c r="AE81" s="53" t="s">
        <v>600</v>
      </c>
      <c r="AF81" s="53" t="s">
        <v>600</v>
      </c>
      <c r="AG81" s="53" t="s">
        <v>600</v>
      </c>
      <c r="AH81" s="53" t="s">
        <v>600</v>
      </c>
      <c r="AI81" s="53" t="s">
        <v>600</v>
      </c>
      <c r="AJ81" s="53" t="s">
        <v>600</v>
      </c>
      <c r="AK81" s="53" t="s">
        <v>600</v>
      </c>
      <c r="AL81" s="53" t="s">
        <v>600</v>
      </c>
      <c r="AM81" s="53" t="s">
        <v>600</v>
      </c>
      <c r="AN81" s="53" t="s">
        <v>600</v>
      </c>
      <c r="AO81" s="53" t="s">
        <v>600</v>
      </c>
      <c r="AP81" s="53" t="s">
        <v>600</v>
      </c>
      <c r="AQ81" s="53" t="s">
        <v>600</v>
      </c>
      <c r="AR81" s="53" t="s">
        <v>600</v>
      </c>
      <c r="AS81" s="53" t="s">
        <v>600</v>
      </c>
      <c r="AT81" s="53" t="s">
        <v>600</v>
      </c>
      <c r="AU81" s="53" t="s">
        <v>600</v>
      </c>
      <c r="AV81" s="53" t="s">
        <v>600</v>
      </c>
      <c r="AW81" s="53" t="s">
        <v>600</v>
      </c>
      <c r="AX81" s="53" t="s">
        <v>600</v>
      </c>
      <c r="AY81" s="53" t="s">
        <v>600</v>
      </c>
      <c r="AZ81" s="53" t="s">
        <v>600</v>
      </c>
      <c r="BA81" s="53" t="s">
        <v>600</v>
      </c>
      <c r="BB81" s="53" t="s">
        <v>600</v>
      </c>
      <c r="BC81" s="53" t="s">
        <v>600</v>
      </c>
      <c r="BD81" s="53" t="s">
        <v>600</v>
      </c>
      <c r="BE81" s="53" t="s">
        <v>600</v>
      </c>
      <c r="BF81" s="53" t="s">
        <v>600</v>
      </c>
      <c r="BG81" s="53" t="s">
        <v>600</v>
      </c>
      <c r="BH81" s="53" t="s">
        <v>600</v>
      </c>
      <c r="BI81" s="107" t="s">
        <v>600</v>
      </c>
      <c r="BJ81" s="107" t="s">
        <v>600</v>
      </c>
      <c r="BK81" s="53" t="s">
        <v>600</v>
      </c>
      <c r="BL81" s="53" t="s">
        <v>600</v>
      </c>
      <c r="BM81" s="53" t="s">
        <v>600</v>
      </c>
      <c r="BN81" s="53" t="s">
        <v>600</v>
      </c>
      <c r="BO81" s="53" t="s">
        <v>600</v>
      </c>
      <c r="BP81" s="53" t="s">
        <v>600</v>
      </c>
      <c r="BQ81" s="118" t="s">
        <v>821</v>
      </c>
      <c r="BR81" s="53" t="s">
        <v>600</v>
      </c>
      <c r="BS81" s="53" t="s">
        <v>600</v>
      </c>
      <c r="BT81" s="122"/>
      <c r="BU81" s="122"/>
      <c r="BV81" s="126"/>
      <c r="BW81" s="126"/>
      <c r="BX81" s="127"/>
      <c r="BY81" s="127"/>
      <c r="BZ81" s="13"/>
      <c r="CA81" s="13"/>
      <c r="CB81" s="13"/>
      <c r="CC81" s="13"/>
    </row>
    <row r="82">
      <c r="A82" s="44" t="str">
        <f>LOOKUP(H82,'Letter grades'!$A$1:$B$6)</f>
        <v>D</v>
      </c>
      <c r="B82" s="44">
        <f t="shared" si="3"/>
        <v>77</v>
      </c>
      <c r="C82" s="107" t="s">
        <v>1398</v>
      </c>
      <c r="D82" s="107" t="s">
        <v>2606</v>
      </c>
      <c r="E82" s="148" t="s">
        <v>899</v>
      </c>
      <c r="F82" s="47">
        <f t="shared" si="4"/>
        <v>0.1666666667</v>
      </c>
      <c r="G82" s="47">
        <f t="shared" si="5"/>
        <v>0.5555555556</v>
      </c>
      <c r="H82" s="105">
        <f t="shared" si="6"/>
        <v>0.4259259259</v>
      </c>
      <c r="I82" s="13" t="s">
        <v>1208</v>
      </c>
      <c r="J82" s="53" t="s">
        <v>487</v>
      </c>
      <c r="K82" s="53" t="s">
        <v>594</v>
      </c>
      <c r="L82" s="107" t="s">
        <v>594</v>
      </c>
      <c r="M82" s="53" t="s">
        <v>594</v>
      </c>
      <c r="N82" s="107" t="s">
        <v>594</v>
      </c>
      <c r="O82" s="53" t="s">
        <v>1065</v>
      </c>
      <c r="P82" s="108" t="s">
        <v>53</v>
      </c>
      <c r="Q82" s="110" t="s">
        <v>53</v>
      </c>
      <c r="R82" s="108" t="s">
        <v>491</v>
      </c>
      <c r="S82" s="107" t="s">
        <v>53</v>
      </c>
      <c r="T82" s="107" t="s">
        <v>561</v>
      </c>
      <c r="U82" s="107" t="s">
        <v>561</v>
      </c>
      <c r="V82" s="107" t="s">
        <v>796</v>
      </c>
      <c r="W82" s="107" t="s">
        <v>796</v>
      </c>
      <c r="X82" s="53" t="s">
        <v>766</v>
      </c>
      <c r="Y82" s="107" t="s">
        <v>561</v>
      </c>
      <c r="Z82" s="53" t="s">
        <v>53</v>
      </c>
      <c r="AA82" s="53" t="s">
        <v>600</v>
      </c>
      <c r="AB82" s="53" t="s">
        <v>600</v>
      </c>
      <c r="AC82" s="53" t="s">
        <v>600</v>
      </c>
      <c r="AD82" s="53" t="s">
        <v>600</v>
      </c>
      <c r="AE82" s="53" t="s">
        <v>600</v>
      </c>
      <c r="AF82" s="53" t="s">
        <v>600</v>
      </c>
      <c r="AG82" s="53" t="s">
        <v>600</v>
      </c>
      <c r="AH82" s="53" t="s">
        <v>600</v>
      </c>
      <c r="AI82" s="53" t="s">
        <v>600</v>
      </c>
      <c r="AJ82" s="53" t="s">
        <v>600</v>
      </c>
      <c r="AK82" s="53" t="s">
        <v>600</v>
      </c>
      <c r="AL82" s="53" t="s">
        <v>600</v>
      </c>
      <c r="AM82" s="53" t="s">
        <v>600</v>
      </c>
      <c r="AN82" s="53" t="s">
        <v>600</v>
      </c>
      <c r="AO82" s="53" t="s">
        <v>600</v>
      </c>
      <c r="AP82" s="53" t="s">
        <v>600</v>
      </c>
      <c r="AQ82" s="53" t="s">
        <v>600</v>
      </c>
      <c r="AR82" s="53" t="s">
        <v>600</v>
      </c>
      <c r="AS82" s="53" t="s">
        <v>600</v>
      </c>
      <c r="AT82" s="53" t="s">
        <v>600</v>
      </c>
      <c r="AU82" s="53" t="s">
        <v>600</v>
      </c>
      <c r="AV82" s="53" t="s">
        <v>600</v>
      </c>
      <c r="AW82" s="53" t="s">
        <v>600</v>
      </c>
      <c r="AX82" s="53" t="s">
        <v>600</v>
      </c>
      <c r="AY82" s="53" t="s">
        <v>600</v>
      </c>
      <c r="AZ82" s="53" t="s">
        <v>600</v>
      </c>
      <c r="BA82" s="53" t="s">
        <v>600</v>
      </c>
      <c r="BB82" s="53" t="s">
        <v>600</v>
      </c>
      <c r="BC82" s="53" t="s">
        <v>600</v>
      </c>
      <c r="BD82" s="53" t="s">
        <v>600</v>
      </c>
      <c r="BE82" s="53" t="s">
        <v>600</v>
      </c>
      <c r="BF82" s="53" t="s">
        <v>600</v>
      </c>
      <c r="BG82" s="53" t="s">
        <v>600</v>
      </c>
      <c r="BH82" s="53" t="s">
        <v>600</v>
      </c>
      <c r="BI82" s="107" t="s">
        <v>600</v>
      </c>
      <c r="BJ82" s="107" t="s">
        <v>600</v>
      </c>
      <c r="BK82" s="53" t="s">
        <v>600</v>
      </c>
      <c r="BL82" s="53" t="s">
        <v>600</v>
      </c>
      <c r="BM82" s="53" t="s">
        <v>600</v>
      </c>
      <c r="BN82" s="53" t="s">
        <v>600</v>
      </c>
      <c r="BO82" s="53" t="s">
        <v>600</v>
      </c>
      <c r="BP82" s="53" t="s">
        <v>600</v>
      </c>
      <c r="BQ82" s="180" t="s">
        <v>1832</v>
      </c>
      <c r="BR82" s="53" t="s">
        <v>600</v>
      </c>
      <c r="BS82" s="53" t="s">
        <v>600</v>
      </c>
      <c r="BT82" s="122"/>
      <c r="BU82" s="122"/>
      <c r="BV82" s="126"/>
      <c r="BW82" s="126"/>
      <c r="BX82" s="127"/>
      <c r="BY82" s="127"/>
      <c r="BZ82" s="13"/>
      <c r="CA82" s="13"/>
      <c r="CB82" s="13"/>
      <c r="CC82" s="13"/>
    </row>
    <row r="83">
      <c r="A83" s="44" t="str">
        <f>LOOKUP(H83,'Letter grades'!$A$1:$B$6)</f>
        <v>D</v>
      </c>
      <c r="B83" s="44">
        <f t="shared" si="3"/>
        <v>79</v>
      </c>
      <c r="C83" s="44" t="s">
        <v>503</v>
      </c>
      <c r="D83" s="44" t="s">
        <v>800</v>
      </c>
      <c r="E83" s="98" t="s">
        <v>797</v>
      </c>
      <c r="F83" s="47">
        <f t="shared" si="4"/>
        <v>0.5</v>
      </c>
      <c r="G83" s="47">
        <f t="shared" si="5"/>
        <v>0.3804347826</v>
      </c>
      <c r="H83" s="105">
        <f t="shared" si="6"/>
        <v>0.4202898551</v>
      </c>
      <c r="I83" s="13" t="s">
        <v>108</v>
      </c>
      <c r="J83" s="53" t="s">
        <v>487</v>
      </c>
      <c r="K83" s="53" t="s">
        <v>487</v>
      </c>
      <c r="L83" s="107" t="s">
        <v>594</v>
      </c>
      <c r="M83" s="53" t="s">
        <v>594</v>
      </c>
      <c r="N83" s="107" t="s">
        <v>594</v>
      </c>
      <c r="O83" s="53" t="s">
        <v>490</v>
      </c>
      <c r="P83" s="108" t="s">
        <v>53</v>
      </c>
      <c r="Q83" s="108" t="s">
        <v>801</v>
      </c>
      <c r="R83" s="108" t="s">
        <v>801</v>
      </c>
      <c r="S83" s="107" t="s">
        <v>53</v>
      </c>
      <c r="T83" s="107" t="s">
        <v>561</v>
      </c>
      <c r="U83" s="107" t="s">
        <v>561</v>
      </c>
      <c r="V83" s="107" t="s">
        <v>796</v>
      </c>
      <c r="W83" s="107" t="s">
        <v>796</v>
      </c>
      <c r="X83" s="53" t="s">
        <v>766</v>
      </c>
      <c r="Y83" s="107" t="s">
        <v>561</v>
      </c>
      <c r="Z83" s="53" t="s">
        <v>801</v>
      </c>
      <c r="AA83" s="107" t="s">
        <v>53</v>
      </c>
      <c r="AB83" s="53" t="s">
        <v>53</v>
      </c>
      <c r="AC83" s="53" t="s">
        <v>561</v>
      </c>
      <c r="AD83" s="107" t="s">
        <v>561</v>
      </c>
      <c r="AE83" s="107" t="s">
        <v>53</v>
      </c>
      <c r="AF83" s="107" t="s">
        <v>53</v>
      </c>
      <c r="AG83" s="107" t="s">
        <v>53</v>
      </c>
      <c r="AH83" s="107" t="s">
        <v>53</v>
      </c>
      <c r="AI83" s="107" t="s">
        <v>561</v>
      </c>
      <c r="AJ83" s="107" t="s">
        <v>801</v>
      </c>
      <c r="AK83" s="107" t="s">
        <v>53</v>
      </c>
      <c r="AL83" s="107" t="s">
        <v>561</v>
      </c>
      <c r="AM83" s="107" t="s">
        <v>53</v>
      </c>
      <c r="AN83" s="53" t="s">
        <v>561</v>
      </c>
      <c r="AO83" s="107" t="s">
        <v>561</v>
      </c>
      <c r="AP83" s="53" t="s">
        <v>561</v>
      </c>
      <c r="AQ83" s="53" t="s">
        <v>561</v>
      </c>
      <c r="AR83" s="53" t="s">
        <v>53</v>
      </c>
      <c r="AS83" s="53" t="s">
        <v>561</v>
      </c>
      <c r="AT83" s="53" t="s">
        <v>53</v>
      </c>
      <c r="AU83" s="53" t="s">
        <v>561</v>
      </c>
      <c r="AV83" s="53" t="s">
        <v>799</v>
      </c>
      <c r="AW83" s="53" t="s">
        <v>561</v>
      </c>
      <c r="AX83" s="53" t="s">
        <v>561</v>
      </c>
      <c r="AY83" s="53" t="s">
        <v>561</v>
      </c>
      <c r="AZ83" s="53" t="s">
        <v>53</v>
      </c>
      <c r="BA83" s="53" t="s">
        <v>561</v>
      </c>
      <c r="BB83" s="53" t="s">
        <v>53</v>
      </c>
      <c r="BC83" s="53" t="s">
        <v>561</v>
      </c>
      <c r="BD83" s="53" t="s">
        <v>561</v>
      </c>
      <c r="BE83" s="53" t="s">
        <v>53</v>
      </c>
      <c r="BF83" s="53" t="s">
        <v>561</v>
      </c>
      <c r="BG83" s="53" t="s">
        <v>561</v>
      </c>
      <c r="BH83" s="53" t="s">
        <v>561</v>
      </c>
      <c r="BI83" s="107" t="s">
        <v>561</v>
      </c>
      <c r="BJ83" s="107" t="s">
        <v>561</v>
      </c>
      <c r="BK83" s="53" t="s">
        <v>561</v>
      </c>
      <c r="BL83" s="53" t="s">
        <v>561</v>
      </c>
      <c r="BM83" s="53" t="s">
        <v>561</v>
      </c>
      <c r="BN83" s="53" t="s">
        <v>53</v>
      </c>
      <c r="BO83" s="53" t="s">
        <v>53</v>
      </c>
      <c r="BP83" s="53" t="s">
        <v>600</v>
      </c>
      <c r="BQ83" s="118" t="s">
        <v>821</v>
      </c>
      <c r="BR83" s="118" t="s">
        <v>821</v>
      </c>
      <c r="BS83" s="118" t="s">
        <v>821</v>
      </c>
      <c r="BT83" s="122"/>
      <c r="BU83" s="122">
        <f>SUM(BV83:BY83)</f>
        <v>0</v>
      </c>
      <c r="BV83" s="126"/>
      <c r="BW83" s="126"/>
      <c r="BX83" s="127"/>
      <c r="BY83" s="127"/>
      <c r="BZ83" s="13"/>
      <c r="CA83" s="13" t="s">
        <v>561</v>
      </c>
      <c r="CB83" s="13"/>
      <c r="CC83" s="13"/>
    </row>
    <row r="84">
      <c r="A84" s="44" t="str">
        <f>LOOKUP(H84,'Letter grades'!$A$1:$B$6)</f>
        <v>D</v>
      </c>
      <c r="B84" s="44">
        <f t="shared" si="3"/>
        <v>80</v>
      </c>
      <c r="C84" s="107" t="s">
        <v>2608</v>
      </c>
      <c r="D84" s="107" t="s">
        <v>517</v>
      </c>
      <c r="E84" s="148" t="s">
        <v>1287</v>
      </c>
      <c r="F84" s="47">
        <f t="shared" si="4"/>
        <v>0.1666666667</v>
      </c>
      <c r="G84" s="47">
        <f t="shared" si="5"/>
        <v>0.5454545455</v>
      </c>
      <c r="H84" s="105">
        <f t="shared" si="6"/>
        <v>0.4191919192</v>
      </c>
      <c r="I84" s="13" t="s">
        <v>1208</v>
      </c>
      <c r="J84" s="53" t="s">
        <v>487</v>
      </c>
      <c r="K84" s="53" t="s">
        <v>594</v>
      </c>
      <c r="L84" s="107" t="s">
        <v>594</v>
      </c>
      <c r="M84" s="53" t="s">
        <v>594</v>
      </c>
      <c r="N84" s="107" t="s">
        <v>594</v>
      </c>
      <c r="O84" s="53" t="s">
        <v>1065</v>
      </c>
      <c r="P84" s="108" t="s">
        <v>53</v>
      </c>
      <c r="Q84" s="110" t="s">
        <v>53</v>
      </c>
      <c r="R84" s="108" t="s">
        <v>491</v>
      </c>
      <c r="S84" s="107" t="s">
        <v>53</v>
      </c>
      <c r="T84" s="107" t="s">
        <v>561</v>
      </c>
      <c r="U84" s="107" t="s">
        <v>53</v>
      </c>
      <c r="V84" s="107" t="s">
        <v>766</v>
      </c>
      <c r="W84" s="107" t="s">
        <v>766</v>
      </c>
      <c r="X84" s="53" t="s">
        <v>766</v>
      </c>
      <c r="Y84" s="107" t="s">
        <v>561</v>
      </c>
      <c r="Z84" s="53" t="s">
        <v>53</v>
      </c>
      <c r="AA84" s="53" t="s">
        <v>600</v>
      </c>
      <c r="AB84" s="53" t="s">
        <v>600</v>
      </c>
      <c r="AC84" s="53" t="s">
        <v>600</v>
      </c>
      <c r="AD84" s="53" t="s">
        <v>600</v>
      </c>
      <c r="AE84" s="53" t="s">
        <v>600</v>
      </c>
      <c r="AF84" s="53" t="s">
        <v>600</v>
      </c>
      <c r="AG84" s="53" t="s">
        <v>600</v>
      </c>
      <c r="AH84" s="53" t="s">
        <v>600</v>
      </c>
      <c r="AI84" s="53" t="s">
        <v>600</v>
      </c>
      <c r="AJ84" s="53" t="s">
        <v>600</v>
      </c>
      <c r="AK84" s="53" t="s">
        <v>600</v>
      </c>
      <c r="AL84" s="53" t="s">
        <v>600</v>
      </c>
      <c r="AM84" s="53" t="s">
        <v>600</v>
      </c>
      <c r="AN84" s="53" t="s">
        <v>600</v>
      </c>
      <c r="AO84" s="53" t="s">
        <v>600</v>
      </c>
      <c r="AP84" s="53" t="s">
        <v>600</v>
      </c>
      <c r="AQ84" s="53" t="s">
        <v>600</v>
      </c>
      <c r="AR84" s="53" t="s">
        <v>600</v>
      </c>
      <c r="AS84" s="53" t="s">
        <v>600</v>
      </c>
      <c r="AT84" s="53" t="s">
        <v>600</v>
      </c>
      <c r="AU84" s="53" t="s">
        <v>600</v>
      </c>
      <c r="AV84" s="53" t="s">
        <v>600</v>
      </c>
      <c r="AW84" s="53" t="s">
        <v>600</v>
      </c>
      <c r="AX84" s="53" t="s">
        <v>600</v>
      </c>
      <c r="AY84" s="53" t="s">
        <v>600</v>
      </c>
      <c r="AZ84" s="53" t="s">
        <v>600</v>
      </c>
      <c r="BA84" s="53" t="s">
        <v>600</v>
      </c>
      <c r="BB84" s="53" t="s">
        <v>600</v>
      </c>
      <c r="BC84" s="53" t="s">
        <v>600</v>
      </c>
      <c r="BD84" s="53" t="s">
        <v>600</v>
      </c>
      <c r="BE84" s="53" t="s">
        <v>600</v>
      </c>
      <c r="BF84" s="53" t="s">
        <v>600</v>
      </c>
      <c r="BG84" s="53" t="s">
        <v>600</v>
      </c>
      <c r="BH84" s="53" t="s">
        <v>600</v>
      </c>
      <c r="BI84" s="107" t="s">
        <v>600</v>
      </c>
      <c r="BJ84" s="107" t="s">
        <v>600</v>
      </c>
      <c r="BK84" s="53" t="s">
        <v>600</v>
      </c>
      <c r="BL84" s="53" t="s">
        <v>600</v>
      </c>
      <c r="BM84" s="53" t="s">
        <v>600</v>
      </c>
      <c r="BN84" s="53" t="s">
        <v>600</v>
      </c>
      <c r="BO84" s="53" t="s">
        <v>600</v>
      </c>
      <c r="BP84" s="53" t="s">
        <v>600</v>
      </c>
      <c r="BQ84" s="180" t="s">
        <v>1832</v>
      </c>
      <c r="BR84" s="53" t="s">
        <v>600</v>
      </c>
      <c r="BS84" s="53" t="s">
        <v>600</v>
      </c>
      <c r="BT84" s="122"/>
      <c r="BU84" s="122"/>
      <c r="BV84" s="126"/>
      <c r="BW84" s="126"/>
      <c r="BX84" s="127"/>
      <c r="BY84" s="127"/>
      <c r="BZ84" s="13"/>
      <c r="CA84" s="13"/>
      <c r="CB84" s="13"/>
      <c r="CC84" s="13"/>
    </row>
    <row r="85">
      <c r="A85" s="44" t="str">
        <f>LOOKUP(H85,'Letter grades'!$A$1:$B$6)</f>
        <v>D</v>
      </c>
      <c r="B85" s="44">
        <f t="shared" si="3"/>
        <v>81</v>
      </c>
      <c r="C85" s="44" t="s">
        <v>678</v>
      </c>
      <c r="D85" s="44" t="s">
        <v>679</v>
      </c>
      <c r="E85" s="98" t="s">
        <v>673</v>
      </c>
      <c r="F85" s="47">
        <f t="shared" si="4"/>
        <v>0.5</v>
      </c>
      <c r="G85" s="47">
        <f t="shared" si="5"/>
        <v>0.3723404255</v>
      </c>
      <c r="H85" s="105">
        <f t="shared" si="6"/>
        <v>0.414893617</v>
      </c>
      <c r="I85" s="13" t="s">
        <v>108</v>
      </c>
      <c r="J85" s="53" t="s">
        <v>487</v>
      </c>
      <c r="K85" s="53" t="s">
        <v>594</v>
      </c>
      <c r="L85" s="53" t="s">
        <v>487</v>
      </c>
      <c r="M85" s="53" t="s">
        <v>594</v>
      </c>
      <c r="N85" s="107" t="s">
        <v>594</v>
      </c>
      <c r="O85" s="53" t="s">
        <v>490</v>
      </c>
      <c r="P85" s="108" t="s">
        <v>53</v>
      </c>
      <c r="Q85" s="110" t="s">
        <v>53</v>
      </c>
      <c r="R85" s="108" t="s">
        <v>491</v>
      </c>
      <c r="S85" s="107" t="s">
        <v>53</v>
      </c>
      <c r="T85" s="107" t="s">
        <v>561</v>
      </c>
      <c r="U85" s="107" t="s">
        <v>561</v>
      </c>
      <c r="V85" s="107" t="s">
        <v>796</v>
      </c>
      <c r="W85" s="107" t="s">
        <v>796</v>
      </c>
      <c r="X85" s="53" t="s">
        <v>766</v>
      </c>
      <c r="Y85" s="107" t="s">
        <v>561</v>
      </c>
      <c r="Z85" s="53" t="s">
        <v>53</v>
      </c>
      <c r="AA85" s="107" t="s">
        <v>53</v>
      </c>
      <c r="AB85" s="53" t="s">
        <v>53</v>
      </c>
      <c r="AC85" s="53" t="s">
        <v>561</v>
      </c>
      <c r="AD85" s="107" t="s">
        <v>53</v>
      </c>
      <c r="AE85" s="107" t="s">
        <v>53</v>
      </c>
      <c r="AF85" s="107" t="s">
        <v>53</v>
      </c>
      <c r="AG85" s="107" t="s">
        <v>53</v>
      </c>
      <c r="AH85" s="107" t="s">
        <v>53</v>
      </c>
      <c r="AI85" s="107" t="s">
        <v>53</v>
      </c>
      <c r="AJ85" s="107" t="s">
        <v>561</v>
      </c>
      <c r="AK85" s="107" t="s">
        <v>561</v>
      </c>
      <c r="AL85" s="107" t="s">
        <v>561</v>
      </c>
      <c r="AM85" s="107" t="s">
        <v>561</v>
      </c>
      <c r="AN85" s="53" t="s">
        <v>561</v>
      </c>
      <c r="AO85" s="107" t="s">
        <v>561</v>
      </c>
      <c r="AP85" s="53" t="s">
        <v>561</v>
      </c>
      <c r="AQ85" s="53" t="s">
        <v>561</v>
      </c>
      <c r="AR85" s="53" t="s">
        <v>53</v>
      </c>
      <c r="AS85" s="53" t="s">
        <v>561</v>
      </c>
      <c r="AT85" s="53" t="s">
        <v>53</v>
      </c>
      <c r="AU85" s="53" t="s">
        <v>561</v>
      </c>
      <c r="AV85" s="53" t="s">
        <v>799</v>
      </c>
      <c r="AW85" s="53" t="s">
        <v>561</v>
      </c>
      <c r="AX85" s="53" t="s">
        <v>561</v>
      </c>
      <c r="AY85" s="53" t="s">
        <v>561</v>
      </c>
      <c r="AZ85" s="53" t="s">
        <v>53</v>
      </c>
      <c r="BA85" s="53" t="s">
        <v>561</v>
      </c>
      <c r="BB85" s="53" t="s">
        <v>53</v>
      </c>
      <c r="BC85" s="53" t="s">
        <v>561</v>
      </c>
      <c r="BD85" s="53" t="s">
        <v>561</v>
      </c>
      <c r="BE85" s="53" t="s">
        <v>561</v>
      </c>
      <c r="BF85" s="53" t="s">
        <v>561</v>
      </c>
      <c r="BG85" s="53" t="s">
        <v>561</v>
      </c>
      <c r="BH85" s="53" t="s">
        <v>561</v>
      </c>
      <c r="BI85" s="107" t="s">
        <v>561</v>
      </c>
      <c r="BJ85" s="107" t="s">
        <v>561</v>
      </c>
      <c r="BK85" s="53" t="s">
        <v>561</v>
      </c>
      <c r="BL85" s="53" t="s">
        <v>561</v>
      </c>
      <c r="BM85" s="53" t="s">
        <v>600</v>
      </c>
      <c r="BN85" s="53" t="s">
        <v>600</v>
      </c>
      <c r="BO85" s="53" t="s">
        <v>600</v>
      </c>
      <c r="BP85" s="53" t="s">
        <v>600</v>
      </c>
      <c r="BQ85" s="118" t="s">
        <v>821</v>
      </c>
      <c r="BR85" s="180" t="s">
        <v>1832</v>
      </c>
      <c r="BS85" s="180" t="s">
        <v>1832</v>
      </c>
      <c r="BT85" s="122"/>
      <c r="BU85" s="122">
        <f t="shared" ref="BU85:BU87" si="15">SUM(BV85:BY85)</f>
        <v>30060</v>
      </c>
      <c r="BV85" s="126">
        <v>30060.0</v>
      </c>
      <c r="BW85" s="126"/>
      <c r="BX85" s="127"/>
      <c r="BY85" s="127"/>
      <c r="BZ85" s="13"/>
      <c r="CA85" s="13"/>
      <c r="CB85" s="13"/>
      <c r="CC85" s="13" t="s">
        <v>561</v>
      </c>
    </row>
    <row r="86">
      <c r="A86" s="44" t="str">
        <f>LOOKUP(H86,'Letter grades'!$A$1:$B$6)</f>
        <v>D</v>
      </c>
      <c r="B86" s="44">
        <f t="shared" si="3"/>
        <v>82</v>
      </c>
      <c r="C86" s="44" t="s">
        <v>347</v>
      </c>
      <c r="D86" s="44" t="s">
        <v>628</v>
      </c>
      <c r="E86" s="98" t="s">
        <v>626</v>
      </c>
      <c r="F86" s="47">
        <f t="shared" si="4"/>
        <v>0.5</v>
      </c>
      <c r="G86" s="47">
        <f t="shared" si="5"/>
        <v>0.37</v>
      </c>
      <c r="H86" s="105">
        <f t="shared" si="6"/>
        <v>0.4133333333</v>
      </c>
      <c r="I86" s="13" t="s">
        <v>108</v>
      </c>
      <c r="J86" s="53" t="s">
        <v>487</v>
      </c>
      <c r="K86" s="53" t="s">
        <v>594</v>
      </c>
      <c r="L86" s="53" t="s">
        <v>487</v>
      </c>
      <c r="M86" s="53" t="s">
        <v>594</v>
      </c>
      <c r="N86" s="107" t="s">
        <v>594</v>
      </c>
      <c r="O86" s="53" t="s">
        <v>490</v>
      </c>
      <c r="P86" s="108" t="s">
        <v>53</v>
      </c>
      <c r="Q86" s="110" t="s">
        <v>53</v>
      </c>
      <c r="R86" s="108" t="s">
        <v>766</v>
      </c>
      <c r="S86" s="107" t="s">
        <v>561</v>
      </c>
      <c r="T86" s="107" t="s">
        <v>561</v>
      </c>
      <c r="U86" s="107" t="s">
        <v>53</v>
      </c>
      <c r="V86" s="107" t="s">
        <v>796</v>
      </c>
      <c r="W86" s="107" t="s">
        <v>796</v>
      </c>
      <c r="X86" s="53" t="s">
        <v>766</v>
      </c>
      <c r="Y86" s="107" t="s">
        <v>561</v>
      </c>
      <c r="Z86" s="53" t="s">
        <v>53</v>
      </c>
      <c r="AA86" s="107" t="s">
        <v>53</v>
      </c>
      <c r="AB86" s="53" t="s">
        <v>53</v>
      </c>
      <c r="AC86" s="53" t="s">
        <v>561</v>
      </c>
      <c r="AD86" s="107" t="s">
        <v>53</v>
      </c>
      <c r="AE86" s="107" t="s">
        <v>53</v>
      </c>
      <c r="AF86" s="107" t="s">
        <v>53</v>
      </c>
      <c r="AG86" s="107" t="s">
        <v>53</v>
      </c>
      <c r="AH86" s="107" t="s">
        <v>53</v>
      </c>
      <c r="AI86" s="107" t="s">
        <v>53</v>
      </c>
      <c r="AJ86" s="107" t="s">
        <v>561</v>
      </c>
      <c r="AK86" s="107" t="s">
        <v>561</v>
      </c>
      <c r="AL86" s="107" t="s">
        <v>561</v>
      </c>
      <c r="AM86" s="107" t="s">
        <v>561</v>
      </c>
      <c r="AN86" s="53" t="s">
        <v>561</v>
      </c>
      <c r="AO86" s="107" t="s">
        <v>561</v>
      </c>
      <c r="AP86" s="53" t="s">
        <v>561</v>
      </c>
      <c r="AQ86" s="53" t="s">
        <v>561</v>
      </c>
      <c r="AR86" s="53" t="s">
        <v>53</v>
      </c>
      <c r="AS86" s="53" t="s">
        <v>561</v>
      </c>
      <c r="AT86" s="53" t="s">
        <v>53</v>
      </c>
      <c r="AU86" s="53" t="s">
        <v>561</v>
      </c>
      <c r="AV86" s="53" t="s">
        <v>799</v>
      </c>
      <c r="AW86" s="53" t="s">
        <v>561</v>
      </c>
      <c r="AX86" s="53" t="s">
        <v>561</v>
      </c>
      <c r="AY86" s="53" t="s">
        <v>53</v>
      </c>
      <c r="AZ86" s="53" t="s">
        <v>53</v>
      </c>
      <c r="BA86" s="53" t="s">
        <v>561</v>
      </c>
      <c r="BB86" s="53" t="s">
        <v>53</v>
      </c>
      <c r="BC86" s="53" t="s">
        <v>561</v>
      </c>
      <c r="BD86" s="53" t="s">
        <v>561</v>
      </c>
      <c r="BE86" s="53" t="s">
        <v>561</v>
      </c>
      <c r="BF86" s="53" t="s">
        <v>561</v>
      </c>
      <c r="BG86" s="53" t="s">
        <v>561</v>
      </c>
      <c r="BH86" s="53" t="s">
        <v>561</v>
      </c>
      <c r="BI86" s="107" t="s">
        <v>561</v>
      </c>
      <c r="BJ86" s="107" t="s">
        <v>561</v>
      </c>
      <c r="BK86" s="53" t="s">
        <v>561</v>
      </c>
      <c r="BL86" s="53" t="s">
        <v>561</v>
      </c>
      <c r="BM86" s="53" t="s">
        <v>561</v>
      </c>
      <c r="BN86" s="53" t="s">
        <v>561</v>
      </c>
      <c r="BO86" s="53" t="s">
        <v>53</v>
      </c>
      <c r="BP86" s="53" t="s">
        <v>600</v>
      </c>
      <c r="BQ86" s="118" t="s">
        <v>821</v>
      </c>
      <c r="BR86" s="118" t="s">
        <v>821</v>
      </c>
      <c r="BS86" s="118" t="s">
        <v>821</v>
      </c>
      <c r="BT86" s="122"/>
      <c r="BU86" s="122">
        <f t="shared" si="15"/>
        <v>0</v>
      </c>
      <c r="BV86" s="126"/>
      <c r="BW86" s="126"/>
      <c r="BX86" s="127"/>
      <c r="BY86" s="127"/>
      <c r="BZ86" s="13"/>
      <c r="CA86" s="13" t="s">
        <v>561</v>
      </c>
      <c r="CB86" s="13"/>
      <c r="CC86" s="13"/>
    </row>
    <row r="87">
      <c r="A87" s="44" t="str">
        <f>LOOKUP(H87,'Letter grades'!$A$1:$B$6)</f>
        <v>D</v>
      </c>
      <c r="B87" s="44">
        <f t="shared" si="3"/>
        <v>83</v>
      </c>
      <c r="C87" s="44" t="s">
        <v>160</v>
      </c>
      <c r="D87" s="44" t="s">
        <v>162</v>
      </c>
      <c r="E87" s="98" t="s">
        <v>157</v>
      </c>
      <c r="F87" s="47">
        <f t="shared" si="4"/>
        <v>0.3333333333</v>
      </c>
      <c r="G87" s="47">
        <f t="shared" si="5"/>
        <v>0.4523809524</v>
      </c>
      <c r="H87" s="105">
        <f t="shared" si="6"/>
        <v>0.4126984127</v>
      </c>
      <c r="I87" s="13" t="s">
        <v>2610</v>
      </c>
      <c r="J87" s="53" t="s">
        <v>487</v>
      </c>
      <c r="K87" s="53" t="s">
        <v>594</v>
      </c>
      <c r="L87" s="107" t="s">
        <v>594</v>
      </c>
      <c r="M87" s="53" t="s">
        <v>594</v>
      </c>
      <c r="N87" s="107" t="s">
        <v>594</v>
      </c>
      <c r="O87" s="53" t="s">
        <v>490</v>
      </c>
      <c r="P87" s="108" t="s">
        <v>53</v>
      </c>
      <c r="Q87" s="110" t="s">
        <v>53</v>
      </c>
      <c r="R87" s="108" t="s">
        <v>491</v>
      </c>
      <c r="S87" s="107" t="s">
        <v>53</v>
      </c>
      <c r="T87" s="107" t="s">
        <v>561</v>
      </c>
      <c r="U87" s="107" t="s">
        <v>53</v>
      </c>
      <c r="V87" s="107" t="s">
        <v>796</v>
      </c>
      <c r="W87" s="107" t="s">
        <v>796</v>
      </c>
      <c r="X87" s="53" t="s">
        <v>766</v>
      </c>
      <c r="Y87" s="107" t="s">
        <v>561</v>
      </c>
      <c r="Z87" s="53" t="s">
        <v>53</v>
      </c>
      <c r="AA87" s="107" t="s">
        <v>53</v>
      </c>
      <c r="AB87" s="53" t="s">
        <v>53</v>
      </c>
      <c r="AC87" s="53" t="s">
        <v>561</v>
      </c>
      <c r="AD87" s="107" t="s">
        <v>53</v>
      </c>
      <c r="AE87" s="107" t="s">
        <v>53</v>
      </c>
      <c r="AF87" s="107" t="s">
        <v>53</v>
      </c>
      <c r="AG87" s="107" t="s">
        <v>53</v>
      </c>
      <c r="AH87" s="107" t="s">
        <v>53</v>
      </c>
      <c r="AI87" s="107" t="s">
        <v>561</v>
      </c>
      <c r="AJ87" s="107" t="s">
        <v>561</v>
      </c>
      <c r="AK87" s="107" t="s">
        <v>53</v>
      </c>
      <c r="AL87" s="107" t="s">
        <v>561</v>
      </c>
      <c r="AM87" s="107" t="s">
        <v>561</v>
      </c>
      <c r="AN87" s="53" t="s">
        <v>561</v>
      </c>
      <c r="AO87" s="107" t="s">
        <v>561</v>
      </c>
      <c r="AP87" s="53" t="s">
        <v>561</v>
      </c>
      <c r="AQ87" s="53" t="s">
        <v>561</v>
      </c>
      <c r="AR87" s="53" t="s">
        <v>53</v>
      </c>
      <c r="AS87" s="53" t="s">
        <v>561</v>
      </c>
      <c r="AT87" s="53" t="s">
        <v>53</v>
      </c>
      <c r="AU87" s="53" t="s">
        <v>561</v>
      </c>
      <c r="AV87" s="53" t="s">
        <v>801</v>
      </c>
      <c r="AW87" s="53" t="s">
        <v>561</v>
      </c>
      <c r="AX87" s="53" t="s">
        <v>561</v>
      </c>
      <c r="AY87" s="53" t="s">
        <v>561</v>
      </c>
      <c r="AZ87" s="53" t="s">
        <v>53</v>
      </c>
      <c r="BA87" s="53" t="s">
        <v>561</v>
      </c>
      <c r="BB87" s="53" t="s">
        <v>53</v>
      </c>
      <c r="BC87" s="53" t="s">
        <v>561</v>
      </c>
      <c r="BD87" s="53" t="s">
        <v>561</v>
      </c>
      <c r="BE87" s="53" t="s">
        <v>53</v>
      </c>
      <c r="BF87" s="53" t="s">
        <v>561</v>
      </c>
      <c r="BG87" s="53" t="s">
        <v>561</v>
      </c>
      <c r="BH87" s="53" t="s">
        <v>561</v>
      </c>
      <c r="BI87" s="107" t="s">
        <v>600</v>
      </c>
      <c r="BJ87" s="107" t="s">
        <v>600</v>
      </c>
      <c r="BK87" s="53" t="s">
        <v>600</v>
      </c>
      <c r="BL87" s="53" t="s">
        <v>600</v>
      </c>
      <c r="BM87" s="53" t="s">
        <v>600</v>
      </c>
      <c r="BN87" s="53" t="s">
        <v>600</v>
      </c>
      <c r="BO87" s="53" t="s">
        <v>600</v>
      </c>
      <c r="BP87" s="53" t="s">
        <v>600</v>
      </c>
      <c r="BQ87" s="118" t="s">
        <v>821</v>
      </c>
      <c r="BR87" s="118" t="s">
        <v>821</v>
      </c>
      <c r="BS87" s="118" t="s">
        <v>821</v>
      </c>
      <c r="BT87" s="122"/>
      <c r="BU87" s="122">
        <f t="shared" si="15"/>
        <v>703663</v>
      </c>
      <c r="BV87" s="126">
        <v>87895.0</v>
      </c>
      <c r="BW87" s="126">
        <v>588768.0</v>
      </c>
      <c r="BX87" s="127">
        <f>2000</f>
        <v>2000</v>
      </c>
      <c r="BY87" s="127">
        <v>25000.0</v>
      </c>
      <c r="BZ87" s="13"/>
      <c r="CA87" s="13"/>
      <c r="CB87" s="13" t="s">
        <v>561</v>
      </c>
      <c r="CC87" s="13" t="s">
        <v>561</v>
      </c>
    </row>
    <row r="88">
      <c r="A88" s="44" t="str">
        <f>LOOKUP(H88,'Letter grades'!$A$1:$B$6)</f>
        <v>D</v>
      </c>
      <c r="B88" s="44">
        <f t="shared" si="3"/>
        <v>84</v>
      </c>
      <c r="C88" s="107" t="s">
        <v>2611</v>
      </c>
      <c r="D88" s="107" t="s">
        <v>2612</v>
      </c>
      <c r="E88" s="148" t="s">
        <v>1814</v>
      </c>
      <c r="F88" s="47">
        <f t="shared" si="4"/>
        <v>0.3333333333</v>
      </c>
      <c r="G88" s="47">
        <f t="shared" si="5"/>
        <v>0.4444444444</v>
      </c>
      <c r="H88" s="105">
        <f t="shared" si="6"/>
        <v>0.4074074074</v>
      </c>
      <c r="I88" s="13"/>
      <c r="J88" s="53" t="s">
        <v>487</v>
      </c>
      <c r="K88" s="53" t="s">
        <v>594</v>
      </c>
      <c r="L88" s="107" t="s">
        <v>594</v>
      </c>
      <c r="M88" s="53" t="s">
        <v>594</v>
      </c>
      <c r="N88" s="107" t="s">
        <v>594</v>
      </c>
      <c r="O88" s="53" t="s">
        <v>490</v>
      </c>
      <c r="P88" s="108" t="s">
        <v>53</v>
      </c>
      <c r="Q88" s="110" t="s">
        <v>53</v>
      </c>
      <c r="R88" s="108" t="s">
        <v>766</v>
      </c>
      <c r="S88" s="107" t="s">
        <v>53</v>
      </c>
      <c r="T88" s="107" t="s">
        <v>561</v>
      </c>
      <c r="U88" s="107" t="s">
        <v>561</v>
      </c>
      <c r="V88" s="107" t="s">
        <v>796</v>
      </c>
      <c r="W88" s="107" t="s">
        <v>796</v>
      </c>
      <c r="X88" s="53" t="s">
        <v>766</v>
      </c>
      <c r="Y88" s="107" t="s">
        <v>561</v>
      </c>
      <c r="Z88" s="53" t="s">
        <v>53</v>
      </c>
      <c r="AA88" s="53" t="s">
        <v>600</v>
      </c>
      <c r="AB88" s="53" t="s">
        <v>600</v>
      </c>
      <c r="AC88" s="53" t="s">
        <v>600</v>
      </c>
      <c r="AD88" s="53" t="s">
        <v>600</v>
      </c>
      <c r="AE88" s="53" t="s">
        <v>600</v>
      </c>
      <c r="AF88" s="53" t="s">
        <v>600</v>
      </c>
      <c r="AG88" s="53" t="s">
        <v>600</v>
      </c>
      <c r="AH88" s="53" t="s">
        <v>600</v>
      </c>
      <c r="AI88" s="53" t="s">
        <v>600</v>
      </c>
      <c r="AJ88" s="53" t="s">
        <v>600</v>
      </c>
      <c r="AK88" s="53" t="s">
        <v>600</v>
      </c>
      <c r="AL88" s="53" t="s">
        <v>600</v>
      </c>
      <c r="AM88" s="53" t="s">
        <v>600</v>
      </c>
      <c r="AN88" s="53" t="s">
        <v>600</v>
      </c>
      <c r="AO88" s="53" t="s">
        <v>600</v>
      </c>
      <c r="AP88" s="53" t="s">
        <v>600</v>
      </c>
      <c r="AQ88" s="53" t="s">
        <v>600</v>
      </c>
      <c r="AR88" s="53" t="s">
        <v>600</v>
      </c>
      <c r="AS88" s="53" t="s">
        <v>600</v>
      </c>
      <c r="AT88" s="53" t="s">
        <v>600</v>
      </c>
      <c r="AU88" s="53" t="s">
        <v>600</v>
      </c>
      <c r="AV88" s="53" t="s">
        <v>600</v>
      </c>
      <c r="AW88" s="53" t="s">
        <v>600</v>
      </c>
      <c r="AX88" s="53" t="s">
        <v>600</v>
      </c>
      <c r="AY88" s="53" t="s">
        <v>600</v>
      </c>
      <c r="AZ88" s="53" t="s">
        <v>600</v>
      </c>
      <c r="BA88" s="53" t="s">
        <v>600</v>
      </c>
      <c r="BB88" s="53" t="s">
        <v>600</v>
      </c>
      <c r="BC88" s="53" t="s">
        <v>600</v>
      </c>
      <c r="BD88" s="53" t="s">
        <v>600</v>
      </c>
      <c r="BE88" s="53" t="s">
        <v>600</v>
      </c>
      <c r="BF88" s="53" t="s">
        <v>600</v>
      </c>
      <c r="BG88" s="53" t="s">
        <v>600</v>
      </c>
      <c r="BH88" s="53" t="s">
        <v>600</v>
      </c>
      <c r="BI88" s="107" t="s">
        <v>600</v>
      </c>
      <c r="BJ88" s="107" t="s">
        <v>600</v>
      </c>
      <c r="BK88" s="53" t="s">
        <v>600</v>
      </c>
      <c r="BL88" s="53" t="s">
        <v>600</v>
      </c>
      <c r="BM88" s="53" t="s">
        <v>600</v>
      </c>
      <c r="BN88" s="53" t="s">
        <v>600</v>
      </c>
      <c r="BO88" s="53" t="s">
        <v>600</v>
      </c>
      <c r="BP88" s="53" t="s">
        <v>600</v>
      </c>
      <c r="BQ88" s="118" t="s">
        <v>821</v>
      </c>
      <c r="BR88" s="53" t="s">
        <v>600</v>
      </c>
      <c r="BS88" s="53" t="s">
        <v>600</v>
      </c>
      <c r="BT88" s="122"/>
      <c r="BU88" s="122"/>
      <c r="BV88" s="126"/>
      <c r="BW88" s="126"/>
      <c r="BX88" s="127"/>
      <c r="BY88" s="127"/>
      <c r="BZ88" s="13"/>
      <c r="CA88" s="13"/>
      <c r="CB88" s="13"/>
      <c r="CC88" s="13"/>
    </row>
    <row r="89">
      <c r="A89" s="44" t="str">
        <f>LOOKUP(H89,'Letter grades'!$A$1:$B$6)</f>
        <v>D</v>
      </c>
      <c r="B89" s="44">
        <f t="shared" si="3"/>
        <v>84</v>
      </c>
      <c r="C89" s="107" t="s">
        <v>2614</v>
      </c>
      <c r="D89" s="107" t="s">
        <v>2615</v>
      </c>
      <c r="E89" s="148" t="s">
        <v>915</v>
      </c>
      <c r="F89" s="47">
        <f t="shared" si="4"/>
        <v>0.3333333333</v>
      </c>
      <c r="G89" s="47">
        <f t="shared" si="5"/>
        <v>0.4444444444</v>
      </c>
      <c r="H89" s="105">
        <f t="shared" si="6"/>
        <v>0.4074074074</v>
      </c>
      <c r="I89" s="13"/>
      <c r="J89" s="53" t="s">
        <v>487</v>
      </c>
      <c r="K89" s="53" t="s">
        <v>594</v>
      </c>
      <c r="L89" s="107" t="s">
        <v>594</v>
      </c>
      <c r="M89" s="53" t="s">
        <v>594</v>
      </c>
      <c r="N89" s="107" t="s">
        <v>594</v>
      </c>
      <c r="O89" s="53" t="s">
        <v>490</v>
      </c>
      <c r="P89" s="108" t="s">
        <v>53</v>
      </c>
      <c r="Q89" s="110" t="s">
        <v>53</v>
      </c>
      <c r="R89" s="108" t="s">
        <v>766</v>
      </c>
      <c r="S89" s="107" t="s">
        <v>53</v>
      </c>
      <c r="T89" s="107" t="s">
        <v>561</v>
      </c>
      <c r="U89" s="107" t="s">
        <v>561</v>
      </c>
      <c r="V89" s="107" t="s">
        <v>796</v>
      </c>
      <c r="W89" s="107" t="s">
        <v>796</v>
      </c>
      <c r="X89" s="53" t="s">
        <v>766</v>
      </c>
      <c r="Y89" s="107" t="s">
        <v>561</v>
      </c>
      <c r="Z89" s="53" t="s">
        <v>53</v>
      </c>
      <c r="AA89" s="53" t="s">
        <v>600</v>
      </c>
      <c r="AB89" s="53" t="s">
        <v>600</v>
      </c>
      <c r="AC89" s="53" t="s">
        <v>600</v>
      </c>
      <c r="AD89" s="53" t="s">
        <v>600</v>
      </c>
      <c r="AE89" s="53" t="s">
        <v>600</v>
      </c>
      <c r="AF89" s="53" t="s">
        <v>600</v>
      </c>
      <c r="AG89" s="53" t="s">
        <v>600</v>
      </c>
      <c r="AH89" s="53" t="s">
        <v>600</v>
      </c>
      <c r="AI89" s="53" t="s">
        <v>600</v>
      </c>
      <c r="AJ89" s="53" t="s">
        <v>600</v>
      </c>
      <c r="AK89" s="53" t="s">
        <v>600</v>
      </c>
      <c r="AL89" s="53" t="s">
        <v>600</v>
      </c>
      <c r="AM89" s="53" t="s">
        <v>600</v>
      </c>
      <c r="AN89" s="53" t="s">
        <v>600</v>
      </c>
      <c r="AO89" s="53" t="s">
        <v>600</v>
      </c>
      <c r="AP89" s="53" t="s">
        <v>600</v>
      </c>
      <c r="AQ89" s="53" t="s">
        <v>600</v>
      </c>
      <c r="AR89" s="53" t="s">
        <v>600</v>
      </c>
      <c r="AS89" s="53" t="s">
        <v>600</v>
      </c>
      <c r="AT89" s="53" t="s">
        <v>600</v>
      </c>
      <c r="AU89" s="53" t="s">
        <v>600</v>
      </c>
      <c r="AV89" s="53" t="s">
        <v>600</v>
      </c>
      <c r="AW89" s="53" t="s">
        <v>600</v>
      </c>
      <c r="AX89" s="53" t="s">
        <v>600</v>
      </c>
      <c r="AY89" s="53" t="s">
        <v>600</v>
      </c>
      <c r="AZ89" s="53" t="s">
        <v>600</v>
      </c>
      <c r="BA89" s="53" t="s">
        <v>600</v>
      </c>
      <c r="BB89" s="53" t="s">
        <v>600</v>
      </c>
      <c r="BC89" s="53" t="s">
        <v>600</v>
      </c>
      <c r="BD89" s="53" t="s">
        <v>600</v>
      </c>
      <c r="BE89" s="53" t="s">
        <v>600</v>
      </c>
      <c r="BF89" s="53" t="s">
        <v>600</v>
      </c>
      <c r="BG89" s="53" t="s">
        <v>600</v>
      </c>
      <c r="BH89" s="53" t="s">
        <v>600</v>
      </c>
      <c r="BI89" s="107" t="s">
        <v>600</v>
      </c>
      <c r="BJ89" s="107" t="s">
        <v>600</v>
      </c>
      <c r="BK89" s="53" t="s">
        <v>600</v>
      </c>
      <c r="BL89" s="53" t="s">
        <v>600</v>
      </c>
      <c r="BM89" s="53" t="s">
        <v>600</v>
      </c>
      <c r="BN89" s="53" t="s">
        <v>600</v>
      </c>
      <c r="BO89" s="53" t="s">
        <v>600</v>
      </c>
      <c r="BP89" s="53" t="s">
        <v>600</v>
      </c>
      <c r="BQ89" s="180" t="s">
        <v>1832</v>
      </c>
      <c r="BR89" s="53" t="s">
        <v>600</v>
      </c>
      <c r="BS89" s="53" t="s">
        <v>600</v>
      </c>
      <c r="BT89" s="122"/>
      <c r="BU89" s="122"/>
      <c r="BV89" s="126"/>
      <c r="BW89" s="126"/>
      <c r="BX89" s="127"/>
      <c r="BY89" s="127"/>
      <c r="BZ89" s="13"/>
      <c r="CA89" s="13"/>
      <c r="CB89" s="13"/>
      <c r="CC89" s="13"/>
    </row>
    <row r="90">
      <c r="A90" s="44" t="str">
        <f>LOOKUP(H90,'Letter grades'!$A$1:$B$6)</f>
        <v>D</v>
      </c>
      <c r="B90" s="44">
        <f t="shared" si="3"/>
        <v>84</v>
      </c>
      <c r="C90" s="107" t="s">
        <v>2617</v>
      </c>
      <c r="D90" s="107" t="s">
        <v>2618</v>
      </c>
      <c r="E90" s="148" t="s">
        <v>938</v>
      </c>
      <c r="F90" s="47">
        <f t="shared" si="4"/>
        <v>0.3333333333</v>
      </c>
      <c r="G90" s="47">
        <f t="shared" si="5"/>
        <v>0.4444444444</v>
      </c>
      <c r="H90" s="105">
        <f t="shared" si="6"/>
        <v>0.4074074074</v>
      </c>
      <c r="I90" s="13"/>
      <c r="J90" s="53" t="s">
        <v>594</v>
      </c>
      <c r="K90" s="53" t="s">
        <v>594</v>
      </c>
      <c r="L90" s="53" t="s">
        <v>487</v>
      </c>
      <c r="M90" s="53" t="s">
        <v>594</v>
      </c>
      <c r="N90" s="107" t="s">
        <v>594</v>
      </c>
      <c r="O90" s="53" t="s">
        <v>490</v>
      </c>
      <c r="P90" s="108" t="s">
        <v>53</v>
      </c>
      <c r="Q90" s="110" t="s">
        <v>53</v>
      </c>
      <c r="R90" s="108" t="s">
        <v>766</v>
      </c>
      <c r="S90" s="107" t="s">
        <v>53</v>
      </c>
      <c r="T90" s="107" t="s">
        <v>561</v>
      </c>
      <c r="U90" s="107" t="s">
        <v>561</v>
      </c>
      <c r="V90" s="107" t="s">
        <v>796</v>
      </c>
      <c r="W90" s="107" t="s">
        <v>796</v>
      </c>
      <c r="X90" s="53" t="s">
        <v>766</v>
      </c>
      <c r="Y90" s="107" t="s">
        <v>561</v>
      </c>
      <c r="Z90" s="53" t="s">
        <v>53</v>
      </c>
      <c r="AA90" s="53" t="s">
        <v>600</v>
      </c>
      <c r="AB90" s="53" t="s">
        <v>600</v>
      </c>
      <c r="AC90" s="53" t="s">
        <v>600</v>
      </c>
      <c r="AD90" s="53" t="s">
        <v>600</v>
      </c>
      <c r="AE90" s="53" t="s">
        <v>600</v>
      </c>
      <c r="AF90" s="53" t="s">
        <v>600</v>
      </c>
      <c r="AG90" s="53" t="s">
        <v>600</v>
      </c>
      <c r="AH90" s="53" t="s">
        <v>600</v>
      </c>
      <c r="AI90" s="53" t="s">
        <v>600</v>
      </c>
      <c r="AJ90" s="53" t="s">
        <v>600</v>
      </c>
      <c r="AK90" s="53" t="s">
        <v>600</v>
      </c>
      <c r="AL90" s="53" t="s">
        <v>600</v>
      </c>
      <c r="AM90" s="53" t="s">
        <v>600</v>
      </c>
      <c r="AN90" s="53" t="s">
        <v>600</v>
      </c>
      <c r="AO90" s="53" t="s">
        <v>600</v>
      </c>
      <c r="AP90" s="53" t="s">
        <v>600</v>
      </c>
      <c r="AQ90" s="53" t="s">
        <v>600</v>
      </c>
      <c r="AR90" s="53" t="s">
        <v>600</v>
      </c>
      <c r="AS90" s="53" t="s">
        <v>600</v>
      </c>
      <c r="AT90" s="53" t="s">
        <v>600</v>
      </c>
      <c r="AU90" s="53" t="s">
        <v>600</v>
      </c>
      <c r="AV90" s="53" t="s">
        <v>600</v>
      </c>
      <c r="AW90" s="53" t="s">
        <v>600</v>
      </c>
      <c r="AX90" s="53" t="s">
        <v>600</v>
      </c>
      <c r="AY90" s="53" t="s">
        <v>600</v>
      </c>
      <c r="AZ90" s="53" t="s">
        <v>600</v>
      </c>
      <c r="BA90" s="53" t="s">
        <v>600</v>
      </c>
      <c r="BB90" s="53" t="s">
        <v>600</v>
      </c>
      <c r="BC90" s="53" t="s">
        <v>600</v>
      </c>
      <c r="BD90" s="53" t="s">
        <v>600</v>
      </c>
      <c r="BE90" s="53" t="s">
        <v>600</v>
      </c>
      <c r="BF90" s="53" t="s">
        <v>600</v>
      </c>
      <c r="BG90" s="53" t="s">
        <v>600</v>
      </c>
      <c r="BH90" s="53" t="s">
        <v>600</v>
      </c>
      <c r="BI90" s="107" t="s">
        <v>600</v>
      </c>
      <c r="BJ90" s="107" t="s">
        <v>600</v>
      </c>
      <c r="BK90" s="53" t="s">
        <v>600</v>
      </c>
      <c r="BL90" s="53" t="s">
        <v>600</v>
      </c>
      <c r="BM90" s="53" t="s">
        <v>600</v>
      </c>
      <c r="BN90" s="53" t="s">
        <v>600</v>
      </c>
      <c r="BO90" s="53" t="s">
        <v>600</v>
      </c>
      <c r="BP90" s="53" t="s">
        <v>600</v>
      </c>
      <c r="BQ90" s="118" t="s">
        <v>821</v>
      </c>
      <c r="BR90" s="53" t="s">
        <v>600</v>
      </c>
      <c r="BS90" s="53" t="s">
        <v>600</v>
      </c>
      <c r="BT90" s="122"/>
      <c r="BU90" s="122"/>
      <c r="BV90" s="126"/>
      <c r="BW90" s="126"/>
      <c r="BX90" s="127"/>
      <c r="BY90" s="127"/>
      <c r="BZ90" s="13"/>
      <c r="CA90" s="13"/>
      <c r="CB90" s="13"/>
      <c r="CC90" s="13"/>
    </row>
    <row r="91">
      <c r="A91" s="44" t="str">
        <f>LOOKUP(H91,'Letter grades'!$A$1:$B$6)</f>
        <v>D</v>
      </c>
      <c r="B91" s="44">
        <f t="shared" si="3"/>
        <v>87</v>
      </c>
      <c r="C91" s="44" t="s">
        <v>1076</v>
      </c>
      <c r="D91" s="44" t="s">
        <v>1077</v>
      </c>
      <c r="E91" s="98" t="s">
        <v>1074</v>
      </c>
      <c r="F91" s="47">
        <f t="shared" si="4"/>
        <v>0.5</v>
      </c>
      <c r="G91" s="47">
        <f t="shared" si="5"/>
        <v>0.3586956522</v>
      </c>
      <c r="H91" s="105">
        <f t="shared" si="6"/>
        <v>0.4057971014</v>
      </c>
      <c r="I91" s="13"/>
      <c r="J91" s="53" t="s">
        <v>487</v>
      </c>
      <c r="K91" s="53" t="s">
        <v>487</v>
      </c>
      <c r="L91" s="107" t="s">
        <v>594</v>
      </c>
      <c r="M91" s="53" t="s">
        <v>594</v>
      </c>
      <c r="N91" s="107" t="s">
        <v>594</v>
      </c>
      <c r="O91" s="53" t="s">
        <v>490</v>
      </c>
      <c r="P91" s="108" t="s">
        <v>53</v>
      </c>
      <c r="Q91" s="110" t="s">
        <v>53</v>
      </c>
      <c r="R91" s="108" t="s">
        <v>491</v>
      </c>
      <c r="S91" s="107" t="s">
        <v>53</v>
      </c>
      <c r="T91" s="107" t="s">
        <v>561</v>
      </c>
      <c r="U91" s="107" t="s">
        <v>561</v>
      </c>
      <c r="V91" s="107" t="s">
        <v>796</v>
      </c>
      <c r="W91" s="107" t="s">
        <v>796</v>
      </c>
      <c r="X91" s="53" t="s">
        <v>766</v>
      </c>
      <c r="Y91" s="107" t="s">
        <v>561</v>
      </c>
      <c r="Z91" s="53" t="s">
        <v>53</v>
      </c>
      <c r="AA91" s="107" t="s">
        <v>53</v>
      </c>
      <c r="AB91" s="53" t="s">
        <v>53</v>
      </c>
      <c r="AC91" s="53" t="s">
        <v>561</v>
      </c>
      <c r="AD91" s="107" t="s">
        <v>53</v>
      </c>
      <c r="AE91" s="107" t="s">
        <v>53</v>
      </c>
      <c r="AF91" s="107" t="s">
        <v>53</v>
      </c>
      <c r="AG91" s="107" t="s">
        <v>53</v>
      </c>
      <c r="AH91" s="107" t="s">
        <v>53</v>
      </c>
      <c r="AI91" s="107" t="s">
        <v>561</v>
      </c>
      <c r="AJ91" s="107" t="s">
        <v>561</v>
      </c>
      <c r="AK91" s="107" t="s">
        <v>561</v>
      </c>
      <c r="AL91" s="107" t="s">
        <v>561</v>
      </c>
      <c r="AM91" s="107" t="s">
        <v>561</v>
      </c>
      <c r="AN91" s="53" t="s">
        <v>561</v>
      </c>
      <c r="AO91" s="107" t="s">
        <v>561</v>
      </c>
      <c r="AP91" s="53" t="s">
        <v>561</v>
      </c>
      <c r="AQ91" s="53" t="s">
        <v>561</v>
      </c>
      <c r="AR91" s="53" t="s">
        <v>53</v>
      </c>
      <c r="AS91" s="53" t="s">
        <v>561</v>
      </c>
      <c r="AT91" s="53" t="s">
        <v>53</v>
      </c>
      <c r="AU91" s="53" t="s">
        <v>561</v>
      </c>
      <c r="AV91" s="53" t="s">
        <v>799</v>
      </c>
      <c r="AW91" s="53" t="s">
        <v>561</v>
      </c>
      <c r="AX91" s="53" t="s">
        <v>561</v>
      </c>
      <c r="AY91" s="53" t="s">
        <v>561</v>
      </c>
      <c r="AZ91" s="53" t="s">
        <v>53</v>
      </c>
      <c r="BA91" s="53" t="s">
        <v>561</v>
      </c>
      <c r="BB91" s="53" t="s">
        <v>53</v>
      </c>
      <c r="BC91" s="53" t="s">
        <v>561</v>
      </c>
      <c r="BD91" s="53" t="s">
        <v>561</v>
      </c>
      <c r="BE91" s="53" t="s">
        <v>561</v>
      </c>
      <c r="BF91" s="53" t="s">
        <v>561</v>
      </c>
      <c r="BG91" s="53" t="s">
        <v>561</v>
      </c>
      <c r="BH91" s="53" t="s">
        <v>801</v>
      </c>
      <c r="BI91" s="107" t="s">
        <v>561</v>
      </c>
      <c r="BJ91" s="107" t="s">
        <v>561</v>
      </c>
      <c r="BK91" s="53" t="s">
        <v>561</v>
      </c>
      <c r="BL91" s="53" t="s">
        <v>561</v>
      </c>
      <c r="BM91" s="53" t="s">
        <v>600</v>
      </c>
      <c r="BN91" s="53" t="s">
        <v>600</v>
      </c>
      <c r="BO91" s="53" t="s">
        <v>600</v>
      </c>
      <c r="BP91" s="53" t="s">
        <v>600</v>
      </c>
      <c r="BQ91" s="118" t="s">
        <v>821</v>
      </c>
      <c r="BR91" s="118" t="s">
        <v>821</v>
      </c>
      <c r="BS91" s="180" t="s">
        <v>1832</v>
      </c>
      <c r="BT91" s="122"/>
      <c r="BU91" s="122">
        <f t="shared" ref="BU91:BU92" si="16">SUM(BV91:BY91)</f>
        <v>30750</v>
      </c>
      <c r="BV91" s="126">
        <v>28750.0</v>
      </c>
      <c r="BW91" s="126"/>
      <c r="BX91" s="127">
        <f>2000</f>
        <v>2000</v>
      </c>
      <c r="BY91" s="127"/>
      <c r="BZ91" s="13"/>
      <c r="CA91" s="13"/>
      <c r="CB91" s="13" t="s">
        <v>561</v>
      </c>
      <c r="CC91" s="13" t="s">
        <v>561</v>
      </c>
    </row>
    <row r="92">
      <c r="A92" s="44" t="str">
        <f>LOOKUP(H92,'Letter grades'!$A$1:$B$6)</f>
        <v>F</v>
      </c>
      <c r="B92" s="44">
        <f t="shared" si="3"/>
        <v>88</v>
      </c>
      <c r="C92" s="44" t="s">
        <v>191</v>
      </c>
      <c r="D92" s="44" t="s">
        <v>2475</v>
      </c>
      <c r="E92" s="53" t="s">
        <v>2474</v>
      </c>
      <c r="F92" s="47">
        <f t="shared" si="4"/>
        <v>0.3333333333</v>
      </c>
      <c r="G92" s="47">
        <f t="shared" si="5"/>
        <v>0.4204545455</v>
      </c>
      <c r="H92" s="105">
        <f t="shared" si="6"/>
        <v>0.3914141414</v>
      </c>
      <c r="I92" s="13" t="s">
        <v>2030</v>
      </c>
      <c r="J92" s="53" t="s">
        <v>487</v>
      </c>
      <c r="K92" s="53" t="s">
        <v>594</v>
      </c>
      <c r="L92" s="107" t="s">
        <v>594</v>
      </c>
      <c r="M92" s="53" t="s">
        <v>594</v>
      </c>
      <c r="N92" s="107" t="s">
        <v>594</v>
      </c>
      <c r="O92" s="53" t="s">
        <v>490</v>
      </c>
      <c r="P92" s="108" t="s">
        <v>53</v>
      </c>
      <c r="Q92" s="110" t="s">
        <v>53</v>
      </c>
      <c r="R92" s="108" t="s">
        <v>766</v>
      </c>
      <c r="S92" s="107" t="s">
        <v>53</v>
      </c>
      <c r="T92" s="107" t="s">
        <v>561</v>
      </c>
      <c r="U92" s="107" t="s">
        <v>561</v>
      </c>
      <c r="V92" s="107" t="s">
        <v>796</v>
      </c>
      <c r="W92" s="107" t="s">
        <v>796</v>
      </c>
      <c r="X92" s="53" t="s">
        <v>766</v>
      </c>
      <c r="Y92" s="107" t="s">
        <v>801</v>
      </c>
      <c r="Z92" s="53" t="s">
        <v>53</v>
      </c>
      <c r="AA92" s="107" t="s">
        <v>53</v>
      </c>
      <c r="AB92" s="53" t="s">
        <v>53</v>
      </c>
      <c r="AC92" s="53" t="s">
        <v>561</v>
      </c>
      <c r="AD92" s="53" t="s">
        <v>801</v>
      </c>
      <c r="AE92" s="107" t="s">
        <v>53</v>
      </c>
      <c r="AF92" s="107" t="s">
        <v>53</v>
      </c>
      <c r="AG92" s="107" t="s">
        <v>53</v>
      </c>
      <c r="AH92" s="107" t="s">
        <v>53</v>
      </c>
      <c r="AI92" s="107" t="s">
        <v>801</v>
      </c>
      <c r="AJ92" s="107" t="s">
        <v>561</v>
      </c>
      <c r="AK92" s="107" t="s">
        <v>561</v>
      </c>
      <c r="AL92" s="107" t="s">
        <v>561</v>
      </c>
      <c r="AM92" s="107" t="s">
        <v>801</v>
      </c>
      <c r="AN92" s="53" t="s">
        <v>561</v>
      </c>
      <c r="AO92" s="107" t="s">
        <v>561</v>
      </c>
      <c r="AP92" s="53" t="s">
        <v>53</v>
      </c>
      <c r="AQ92" s="53" t="s">
        <v>561</v>
      </c>
      <c r="AR92" s="53" t="s">
        <v>53</v>
      </c>
      <c r="AS92" s="53" t="s">
        <v>561</v>
      </c>
      <c r="AT92" s="53" t="s">
        <v>799</v>
      </c>
      <c r="AU92" s="53" t="s">
        <v>53</v>
      </c>
      <c r="AV92" s="53" t="s">
        <v>801</v>
      </c>
      <c r="AW92" s="53" t="s">
        <v>561</v>
      </c>
      <c r="AX92" s="53" t="s">
        <v>561</v>
      </c>
      <c r="AY92" s="53" t="s">
        <v>561</v>
      </c>
      <c r="AZ92" s="53" t="s">
        <v>53</v>
      </c>
      <c r="BA92" s="53" t="s">
        <v>561</v>
      </c>
      <c r="BB92" s="53" t="s">
        <v>53</v>
      </c>
      <c r="BC92" s="53" t="s">
        <v>561</v>
      </c>
      <c r="BD92" s="53" t="s">
        <v>561</v>
      </c>
      <c r="BE92" s="53" t="s">
        <v>53</v>
      </c>
      <c r="BF92" s="53" t="s">
        <v>561</v>
      </c>
      <c r="BG92" s="53" t="s">
        <v>561</v>
      </c>
      <c r="BH92" s="53" t="s">
        <v>561</v>
      </c>
      <c r="BI92" s="107" t="s">
        <v>53</v>
      </c>
      <c r="BJ92" s="107" t="s">
        <v>53</v>
      </c>
      <c r="BK92" s="53" t="s">
        <v>561</v>
      </c>
      <c r="BL92" s="53" t="s">
        <v>561</v>
      </c>
      <c r="BM92" s="53" t="s">
        <v>561</v>
      </c>
      <c r="BN92" s="53" t="s">
        <v>561</v>
      </c>
      <c r="BO92" s="53" t="s">
        <v>600</v>
      </c>
      <c r="BP92" s="53" t="s">
        <v>600</v>
      </c>
      <c r="BQ92" s="118" t="s">
        <v>821</v>
      </c>
      <c r="BR92" s="118" t="s">
        <v>821</v>
      </c>
      <c r="BS92" s="118" t="s">
        <v>821</v>
      </c>
      <c r="BT92" s="122"/>
      <c r="BU92" s="122">
        <f t="shared" si="16"/>
        <v>41070</v>
      </c>
      <c r="BV92" s="126">
        <v>41070.0</v>
      </c>
      <c r="BW92" s="126"/>
      <c r="BX92" s="127"/>
      <c r="BY92" s="127"/>
      <c r="BZ92" s="13"/>
      <c r="CA92" s="13"/>
      <c r="CB92" s="13"/>
      <c r="CC92" s="13" t="s">
        <v>561</v>
      </c>
    </row>
    <row r="93">
      <c r="A93" s="44" t="str">
        <f>LOOKUP(H93,'Letter grades'!$A$1:$B$6)</f>
        <v>F</v>
      </c>
      <c r="B93" s="44">
        <f t="shared" si="3"/>
        <v>89</v>
      </c>
      <c r="C93" s="44" t="s">
        <v>1161</v>
      </c>
      <c r="D93" s="44" t="s">
        <v>1162</v>
      </c>
      <c r="E93" s="98" t="s">
        <v>1155</v>
      </c>
      <c r="F93" s="47">
        <f t="shared" si="4"/>
        <v>0.5</v>
      </c>
      <c r="G93" s="47">
        <f t="shared" si="5"/>
        <v>0.3333333333</v>
      </c>
      <c r="H93" s="105">
        <f t="shared" si="6"/>
        <v>0.3888888889</v>
      </c>
      <c r="I93" s="13" t="s">
        <v>108</v>
      </c>
      <c r="J93" s="53" t="s">
        <v>487</v>
      </c>
      <c r="K93" s="53" t="s">
        <v>487</v>
      </c>
      <c r="L93" s="107" t="s">
        <v>594</v>
      </c>
      <c r="M93" s="53" t="s">
        <v>594</v>
      </c>
      <c r="N93" s="107" t="s">
        <v>594</v>
      </c>
      <c r="O93" s="53" t="s">
        <v>490</v>
      </c>
      <c r="P93" s="108" t="s">
        <v>53</v>
      </c>
      <c r="Q93" s="110" t="s">
        <v>53</v>
      </c>
      <c r="R93" s="108" t="s">
        <v>491</v>
      </c>
      <c r="S93" s="107" t="s">
        <v>53</v>
      </c>
      <c r="T93" s="107" t="s">
        <v>561</v>
      </c>
      <c r="U93" s="107" t="s">
        <v>53</v>
      </c>
      <c r="V93" s="107" t="s">
        <v>796</v>
      </c>
      <c r="W93" s="107" t="s">
        <v>796</v>
      </c>
      <c r="X93" s="53" t="s">
        <v>766</v>
      </c>
      <c r="Y93" s="107" t="s">
        <v>561</v>
      </c>
      <c r="Z93" s="53" t="s">
        <v>801</v>
      </c>
      <c r="AA93" s="107" t="s">
        <v>801</v>
      </c>
      <c r="AB93" s="53" t="s">
        <v>801</v>
      </c>
      <c r="AC93" s="53" t="s">
        <v>801</v>
      </c>
      <c r="AD93" s="53" t="s">
        <v>801</v>
      </c>
      <c r="AE93" s="107" t="s">
        <v>801</v>
      </c>
      <c r="AF93" s="107" t="s">
        <v>801</v>
      </c>
      <c r="AG93" s="107" t="s">
        <v>801</v>
      </c>
      <c r="AH93" s="107" t="s">
        <v>801</v>
      </c>
      <c r="AI93" s="107" t="s">
        <v>53</v>
      </c>
      <c r="AJ93" s="107" t="s">
        <v>561</v>
      </c>
      <c r="AK93" s="107" t="s">
        <v>561</v>
      </c>
      <c r="AL93" s="107" t="s">
        <v>561</v>
      </c>
      <c r="AM93" s="107" t="s">
        <v>561</v>
      </c>
      <c r="AN93" s="53" t="s">
        <v>561</v>
      </c>
      <c r="AO93" s="107" t="s">
        <v>561</v>
      </c>
      <c r="AP93" s="53" t="s">
        <v>561</v>
      </c>
      <c r="AQ93" s="53" t="s">
        <v>561</v>
      </c>
      <c r="AR93" s="53" t="s">
        <v>53</v>
      </c>
      <c r="AS93" s="53" t="s">
        <v>561</v>
      </c>
      <c r="AT93" s="53" t="s">
        <v>53</v>
      </c>
      <c r="AU93" s="53" t="s">
        <v>53</v>
      </c>
      <c r="AV93" s="53" t="s">
        <v>799</v>
      </c>
      <c r="AW93" s="53" t="s">
        <v>561</v>
      </c>
      <c r="AX93" s="53" t="s">
        <v>801</v>
      </c>
      <c r="AY93" s="53" t="s">
        <v>561</v>
      </c>
      <c r="AZ93" s="53" t="s">
        <v>53</v>
      </c>
      <c r="BA93" s="53" t="s">
        <v>561</v>
      </c>
      <c r="BB93" s="53" t="s">
        <v>53</v>
      </c>
      <c r="BC93" s="53" t="s">
        <v>801</v>
      </c>
      <c r="BD93" s="53" t="s">
        <v>561</v>
      </c>
      <c r="BE93" s="53" t="s">
        <v>53</v>
      </c>
      <c r="BF93" s="53" t="s">
        <v>561</v>
      </c>
      <c r="BG93" s="53" t="s">
        <v>561</v>
      </c>
      <c r="BH93" s="53" t="s">
        <v>561</v>
      </c>
      <c r="BI93" s="107" t="s">
        <v>561</v>
      </c>
      <c r="BJ93" s="107" t="s">
        <v>561</v>
      </c>
      <c r="BK93" s="53" t="s">
        <v>561</v>
      </c>
      <c r="BL93" s="53" t="s">
        <v>561</v>
      </c>
      <c r="BM93" s="53" t="s">
        <v>561</v>
      </c>
      <c r="BN93" s="53" t="s">
        <v>561</v>
      </c>
      <c r="BO93" s="53" t="s">
        <v>799</v>
      </c>
      <c r="BP93" s="53" t="s">
        <v>600</v>
      </c>
      <c r="BQ93" s="244"/>
      <c r="BR93" s="244"/>
      <c r="BS93" s="244"/>
      <c r="BT93" s="245"/>
      <c r="BU93" s="245"/>
      <c r="BV93" s="246"/>
      <c r="BW93" s="246"/>
      <c r="BX93" s="247"/>
      <c r="BY93" s="247"/>
      <c r="BZ93" s="248"/>
      <c r="CA93" s="248"/>
      <c r="CB93" s="248"/>
      <c r="CC93" s="248"/>
    </row>
    <row r="94">
      <c r="A94" s="44" t="str">
        <f>LOOKUP(H94,'Letter grades'!$A$1:$B$6)</f>
        <v>F</v>
      </c>
      <c r="B94" s="44">
        <f t="shared" si="3"/>
        <v>89</v>
      </c>
      <c r="C94" s="44" t="s">
        <v>1776</v>
      </c>
      <c r="D94" s="44" t="s">
        <v>2622</v>
      </c>
      <c r="E94" s="98" t="s">
        <v>1348</v>
      </c>
      <c r="F94" s="249">
        <f t="shared" si="4"/>
        <v>0.1666666667</v>
      </c>
      <c r="G94" s="249">
        <f t="shared" si="5"/>
        <v>0.5</v>
      </c>
      <c r="H94" s="105">
        <f t="shared" si="6"/>
        <v>0.3888888889</v>
      </c>
      <c r="I94" s="13" t="s">
        <v>108</v>
      </c>
      <c r="J94" s="53" t="s">
        <v>487</v>
      </c>
      <c r="K94" s="53" t="s">
        <v>594</v>
      </c>
      <c r="L94" s="107" t="s">
        <v>594</v>
      </c>
      <c r="M94" s="53" t="s">
        <v>594</v>
      </c>
      <c r="N94" s="53" t="s">
        <v>594</v>
      </c>
      <c r="O94" s="53" t="s">
        <v>1065</v>
      </c>
      <c r="P94" s="108" t="s">
        <v>53</v>
      </c>
      <c r="Q94" s="110" t="s">
        <v>53</v>
      </c>
      <c r="R94" s="108" t="s">
        <v>766</v>
      </c>
      <c r="S94" s="107" t="s">
        <v>53</v>
      </c>
      <c r="T94" s="107" t="s">
        <v>561</v>
      </c>
      <c r="U94" s="107" t="s">
        <v>561</v>
      </c>
      <c r="V94" s="107" t="s">
        <v>796</v>
      </c>
      <c r="W94" s="107" t="s">
        <v>796</v>
      </c>
      <c r="X94" s="53" t="s">
        <v>600</v>
      </c>
      <c r="Y94" s="53" t="s">
        <v>600</v>
      </c>
      <c r="Z94" s="53" t="s">
        <v>600</v>
      </c>
      <c r="AA94" s="53" t="s">
        <v>600</v>
      </c>
      <c r="AB94" s="53" t="s">
        <v>600</v>
      </c>
      <c r="AC94" s="53" t="s">
        <v>600</v>
      </c>
      <c r="AD94" s="53" t="s">
        <v>600</v>
      </c>
      <c r="AE94" s="53" t="s">
        <v>600</v>
      </c>
      <c r="AF94" s="53" t="s">
        <v>600</v>
      </c>
      <c r="AG94" s="53" t="s">
        <v>600</v>
      </c>
      <c r="AH94" s="53" t="s">
        <v>600</v>
      </c>
      <c r="AI94" s="53" t="s">
        <v>600</v>
      </c>
      <c r="AJ94" s="53" t="s">
        <v>600</v>
      </c>
      <c r="AK94" s="53" t="s">
        <v>600</v>
      </c>
      <c r="AL94" s="53" t="s">
        <v>600</v>
      </c>
      <c r="AM94" s="53" t="s">
        <v>600</v>
      </c>
      <c r="AN94" s="53" t="s">
        <v>600</v>
      </c>
      <c r="AO94" s="53" t="s">
        <v>600</v>
      </c>
      <c r="AP94" s="53" t="s">
        <v>600</v>
      </c>
      <c r="AQ94" s="53" t="s">
        <v>600</v>
      </c>
      <c r="AR94" s="53" t="s">
        <v>600</v>
      </c>
      <c r="AS94" s="53" t="s">
        <v>600</v>
      </c>
      <c r="AT94" s="53" t="s">
        <v>600</v>
      </c>
      <c r="AU94" s="53" t="s">
        <v>600</v>
      </c>
      <c r="AV94" s="53" t="s">
        <v>600</v>
      </c>
      <c r="AW94" s="53" t="s">
        <v>600</v>
      </c>
      <c r="AX94" s="53" t="s">
        <v>600</v>
      </c>
      <c r="AY94" s="53" t="s">
        <v>600</v>
      </c>
      <c r="AZ94" s="53" t="s">
        <v>600</v>
      </c>
      <c r="BA94" s="53" t="s">
        <v>600</v>
      </c>
      <c r="BB94" s="53" t="s">
        <v>600</v>
      </c>
      <c r="BC94" s="53" t="s">
        <v>600</v>
      </c>
      <c r="BD94" s="53" t="s">
        <v>600</v>
      </c>
      <c r="BE94" s="53" t="s">
        <v>600</v>
      </c>
      <c r="BF94" s="53" t="s">
        <v>600</v>
      </c>
      <c r="BG94" s="53" t="s">
        <v>600</v>
      </c>
      <c r="BH94" s="53" t="s">
        <v>600</v>
      </c>
      <c r="BI94" s="107" t="s">
        <v>600</v>
      </c>
      <c r="BJ94" s="107" t="s">
        <v>600</v>
      </c>
      <c r="BK94" s="53" t="s">
        <v>600</v>
      </c>
      <c r="BL94" s="53" t="s">
        <v>600</v>
      </c>
      <c r="BM94" s="53" t="s">
        <v>600</v>
      </c>
      <c r="BN94" s="53" t="s">
        <v>600</v>
      </c>
      <c r="BO94" s="53" t="s">
        <v>600</v>
      </c>
      <c r="BP94" s="53" t="s">
        <v>600</v>
      </c>
      <c r="BQ94" s="53"/>
      <c r="BR94" s="53"/>
      <c r="BS94" s="53"/>
      <c r="BT94" s="122"/>
      <c r="BU94" s="122"/>
      <c r="BV94" s="126"/>
      <c r="BW94" s="126"/>
      <c r="BX94" s="127"/>
      <c r="BY94" s="127"/>
      <c r="BZ94" s="13"/>
      <c r="CA94" s="13"/>
      <c r="CB94" s="13"/>
      <c r="CC94" s="13"/>
    </row>
    <row r="95">
      <c r="A95" s="44" t="str">
        <f>LOOKUP(H95,'Letter grades'!$A$1:$B$6)</f>
        <v>F</v>
      </c>
      <c r="B95" s="44">
        <f t="shared" si="3"/>
        <v>91</v>
      </c>
      <c r="C95" s="44" t="s">
        <v>2300</v>
      </c>
      <c r="D95" s="44" t="s">
        <v>2301</v>
      </c>
      <c r="E95" s="53" t="s">
        <v>2302</v>
      </c>
      <c r="F95" s="47">
        <f t="shared" si="4"/>
        <v>0.1666666667</v>
      </c>
      <c r="G95" s="47">
        <f t="shared" si="5"/>
        <v>0.4880952381</v>
      </c>
      <c r="H95" s="105">
        <f t="shared" si="6"/>
        <v>0.380952381</v>
      </c>
      <c r="I95" s="13" t="s">
        <v>108</v>
      </c>
      <c r="J95" s="53" t="s">
        <v>594</v>
      </c>
      <c r="K95" s="53" t="s">
        <v>594</v>
      </c>
      <c r="L95" s="53" t="s">
        <v>487</v>
      </c>
      <c r="M95" s="53" t="s">
        <v>594</v>
      </c>
      <c r="N95" s="107" t="s">
        <v>594</v>
      </c>
      <c r="O95" s="53" t="s">
        <v>1065</v>
      </c>
      <c r="P95" s="108" t="s">
        <v>53</v>
      </c>
      <c r="Q95" s="110" t="s">
        <v>53</v>
      </c>
      <c r="R95" s="108" t="s">
        <v>491</v>
      </c>
      <c r="S95" s="107" t="s">
        <v>53</v>
      </c>
      <c r="T95" s="107" t="s">
        <v>53</v>
      </c>
      <c r="U95" s="107" t="s">
        <v>53</v>
      </c>
      <c r="V95" s="107" t="s">
        <v>766</v>
      </c>
      <c r="W95" s="107" t="s">
        <v>766</v>
      </c>
      <c r="X95" s="53" t="s">
        <v>766</v>
      </c>
      <c r="Y95" s="107" t="s">
        <v>561</v>
      </c>
      <c r="Z95" s="53" t="s">
        <v>801</v>
      </c>
      <c r="AA95" s="107" t="s">
        <v>53</v>
      </c>
      <c r="AB95" s="53" t="s">
        <v>53</v>
      </c>
      <c r="AC95" s="53" t="s">
        <v>561</v>
      </c>
      <c r="AD95" s="53" t="s">
        <v>801</v>
      </c>
      <c r="AE95" s="107" t="s">
        <v>53</v>
      </c>
      <c r="AF95" s="107" t="s">
        <v>53</v>
      </c>
      <c r="AG95" s="107" t="s">
        <v>53</v>
      </c>
      <c r="AH95" s="107" t="s">
        <v>53</v>
      </c>
      <c r="AI95" s="107" t="s">
        <v>561</v>
      </c>
      <c r="AJ95" s="107" t="s">
        <v>561</v>
      </c>
      <c r="AK95" s="107" t="s">
        <v>53</v>
      </c>
      <c r="AL95" s="107" t="s">
        <v>561</v>
      </c>
      <c r="AM95" s="107" t="s">
        <v>53</v>
      </c>
      <c r="AN95" s="53" t="s">
        <v>561</v>
      </c>
      <c r="AO95" s="107" t="s">
        <v>801</v>
      </c>
      <c r="AP95" s="53" t="s">
        <v>561</v>
      </c>
      <c r="AQ95" s="53" t="s">
        <v>561</v>
      </c>
      <c r="AR95" s="53" t="s">
        <v>53</v>
      </c>
      <c r="AS95" s="53" t="s">
        <v>561</v>
      </c>
      <c r="AT95" s="53" t="s">
        <v>53</v>
      </c>
      <c r="AU95" s="53" t="s">
        <v>561</v>
      </c>
      <c r="AV95" s="53" t="s">
        <v>799</v>
      </c>
      <c r="AW95" s="53" t="s">
        <v>561</v>
      </c>
      <c r="AX95" s="53" t="s">
        <v>561</v>
      </c>
      <c r="AY95" s="53" t="s">
        <v>53</v>
      </c>
      <c r="AZ95" s="53" t="s">
        <v>53</v>
      </c>
      <c r="BA95" s="53" t="s">
        <v>561</v>
      </c>
      <c r="BB95" s="53" t="s">
        <v>53</v>
      </c>
      <c r="BC95" s="53" t="s">
        <v>53</v>
      </c>
      <c r="BD95" s="53" t="s">
        <v>561</v>
      </c>
      <c r="BE95" s="53" t="s">
        <v>561</v>
      </c>
      <c r="BF95" s="53" t="s">
        <v>561</v>
      </c>
      <c r="BG95" s="53" t="s">
        <v>561</v>
      </c>
      <c r="BH95" s="53" t="s">
        <v>561</v>
      </c>
      <c r="BI95" s="107" t="s">
        <v>600</v>
      </c>
      <c r="BJ95" s="107" t="s">
        <v>600</v>
      </c>
      <c r="BK95" s="53" t="s">
        <v>600</v>
      </c>
      <c r="BL95" s="53" t="s">
        <v>600</v>
      </c>
      <c r="BM95" s="53" t="s">
        <v>600</v>
      </c>
      <c r="BN95" s="53" t="s">
        <v>600</v>
      </c>
      <c r="BO95" s="53" t="s">
        <v>600</v>
      </c>
      <c r="BP95" s="53" t="s">
        <v>600</v>
      </c>
      <c r="BQ95" s="118" t="s">
        <v>821</v>
      </c>
      <c r="BR95" s="118" t="s">
        <v>821</v>
      </c>
      <c r="BS95" s="118" t="s">
        <v>821</v>
      </c>
      <c r="BT95" s="122"/>
      <c r="BU95" s="122">
        <f t="shared" ref="BU95:BU99" si="17">SUM(BV95:BY95)</f>
        <v>238783</v>
      </c>
      <c r="BV95" s="126">
        <v>5500.0</v>
      </c>
      <c r="BW95" s="126"/>
      <c r="BX95" s="127">
        <f>2000</f>
        <v>2000</v>
      </c>
      <c r="BY95" s="127">
        <v>231283.0</v>
      </c>
      <c r="BZ95" s="13"/>
      <c r="CA95" s="13" t="s">
        <v>561</v>
      </c>
      <c r="CB95" s="13" t="s">
        <v>561</v>
      </c>
      <c r="CC95" s="13"/>
    </row>
    <row r="96">
      <c r="A96" s="44" t="str">
        <f>LOOKUP(H96,'Letter grades'!$A$1:$B$6)</f>
        <v>F</v>
      </c>
      <c r="B96" s="44">
        <f t="shared" si="3"/>
        <v>92</v>
      </c>
      <c r="C96" s="44" t="s">
        <v>1238</v>
      </c>
      <c r="D96" s="44" t="s">
        <v>1239</v>
      </c>
      <c r="E96" s="98" t="s">
        <v>1236</v>
      </c>
      <c r="F96" s="47">
        <f t="shared" si="4"/>
        <v>0.5</v>
      </c>
      <c r="G96" s="47">
        <f t="shared" si="5"/>
        <v>0.3137254902</v>
      </c>
      <c r="H96" s="105">
        <f t="shared" si="6"/>
        <v>0.3758169935</v>
      </c>
      <c r="I96" s="13" t="s">
        <v>2623</v>
      </c>
      <c r="J96" s="53" t="s">
        <v>487</v>
      </c>
      <c r="K96" s="53" t="s">
        <v>487</v>
      </c>
      <c r="L96" s="107" t="s">
        <v>594</v>
      </c>
      <c r="M96" s="53" t="s">
        <v>594</v>
      </c>
      <c r="N96" s="107" t="s">
        <v>594</v>
      </c>
      <c r="O96" s="53" t="s">
        <v>490</v>
      </c>
      <c r="P96" s="108" t="s">
        <v>53</v>
      </c>
      <c r="Q96" s="110" t="s">
        <v>53</v>
      </c>
      <c r="R96" s="108" t="s">
        <v>766</v>
      </c>
      <c r="S96" s="107" t="s">
        <v>53</v>
      </c>
      <c r="T96" s="107" t="s">
        <v>53</v>
      </c>
      <c r="U96" s="107" t="s">
        <v>53</v>
      </c>
      <c r="V96" s="107" t="s">
        <v>796</v>
      </c>
      <c r="W96" s="107" t="s">
        <v>796</v>
      </c>
      <c r="X96" s="53" t="s">
        <v>766</v>
      </c>
      <c r="Y96" s="107" t="s">
        <v>561</v>
      </c>
      <c r="Z96" s="53" t="s">
        <v>53</v>
      </c>
      <c r="AA96" s="107" t="s">
        <v>53</v>
      </c>
      <c r="AB96" s="53" t="s">
        <v>53</v>
      </c>
      <c r="AC96" s="53" t="s">
        <v>561</v>
      </c>
      <c r="AD96" s="107" t="s">
        <v>53</v>
      </c>
      <c r="AE96" s="107" t="s">
        <v>53</v>
      </c>
      <c r="AF96" s="107" t="s">
        <v>561</v>
      </c>
      <c r="AG96" s="107" t="s">
        <v>53</v>
      </c>
      <c r="AH96" s="107" t="s">
        <v>53</v>
      </c>
      <c r="AI96" s="107" t="s">
        <v>561</v>
      </c>
      <c r="AJ96" s="107" t="s">
        <v>561</v>
      </c>
      <c r="AK96" s="107" t="s">
        <v>561</v>
      </c>
      <c r="AL96" s="107" t="s">
        <v>561</v>
      </c>
      <c r="AM96" s="107" t="s">
        <v>561</v>
      </c>
      <c r="AN96" s="53" t="s">
        <v>561</v>
      </c>
      <c r="AO96" s="107" t="s">
        <v>561</v>
      </c>
      <c r="AP96" s="53" t="s">
        <v>561</v>
      </c>
      <c r="AQ96" s="53" t="s">
        <v>561</v>
      </c>
      <c r="AR96" s="53" t="s">
        <v>53</v>
      </c>
      <c r="AS96" s="53" t="s">
        <v>561</v>
      </c>
      <c r="AT96" s="53" t="s">
        <v>561</v>
      </c>
      <c r="AU96" s="53" t="s">
        <v>561</v>
      </c>
      <c r="AV96" s="53" t="s">
        <v>561</v>
      </c>
      <c r="AW96" s="53" t="s">
        <v>561</v>
      </c>
      <c r="AX96" s="53" t="s">
        <v>561</v>
      </c>
      <c r="AY96" s="53" t="s">
        <v>561</v>
      </c>
      <c r="AZ96" s="53" t="s">
        <v>561</v>
      </c>
      <c r="BA96" s="53" t="s">
        <v>561</v>
      </c>
      <c r="BB96" s="53" t="s">
        <v>53</v>
      </c>
      <c r="BC96" s="53" t="s">
        <v>561</v>
      </c>
      <c r="BD96" s="53" t="s">
        <v>561</v>
      </c>
      <c r="BE96" s="53" t="s">
        <v>561</v>
      </c>
      <c r="BF96" s="53" t="s">
        <v>561</v>
      </c>
      <c r="BG96" s="53" t="s">
        <v>561</v>
      </c>
      <c r="BH96" s="53" t="s">
        <v>561</v>
      </c>
      <c r="BI96" s="107" t="s">
        <v>53</v>
      </c>
      <c r="BJ96" s="107" t="s">
        <v>561</v>
      </c>
      <c r="BK96" s="53" t="s">
        <v>561</v>
      </c>
      <c r="BL96" s="53" t="s">
        <v>561</v>
      </c>
      <c r="BM96" s="53" t="s">
        <v>561</v>
      </c>
      <c r="BN96" s="53" t="s">
        <v>561</v>
      </c>
      <c r="BO96" s="53" t="s">
        <v>53</v>
      </c>
      <c r="BP96" s="53" t="s">
        <v>561</v>
      </c>
      <c r="BQ96" s="118" t="s">
        <v>821</v>
      </c>
      <c r="BR96" s="180" t="s">
        <v>1832</v>
      </c>
      <c r="BS96" s="118" t="s">
        <v>821</v>
      </c>
      <c r="BT96" s="122"/>
      <c r="BU96" s="122">
        <f t="shared" si="17"/>
        <v>0</v>
      </c>
      <c r="BV96" s="155"/>
      <c r="BW96" s="155"/>
      <c r="BX96" s="127"/>
      <c r="BY96" s="127"/>
      <c r="BZ96" s="13"/>
      <c r="CA96" s="13" t="s">
        <v>561</v>
      </c>
      <c r="CB96" s="13"/>
      <c r="CC96" s="13"/>
    </row>
    <row r="97">
      <c r="A97" s="44" t="str">
        <f>LOOKUP(H97,'Letter grades'!$A$1:$B$6)</f>
        <v>F</v>
      </c>
      <c r="B97" s="44">
        <f t="shared" si="3"/>
        <v>92</v>
      </c>
      <c r="C97" s="44" t="s">
        <v>95</v>
      </c>
      <c r="D97" s="44" t="s">
        <v>595</v>
      </c>
      <c r="E97" s="98" t="s">
        <v>591</v>
      </c>
      <c r="F97" s="47">
        <f t="shared" si="4"/>
        <v>0.5</v>
      </c>
      <c r="G97" s="47">
        <f t="shared" si="5"/>
        <v>0.3137254902</v>
      </c>
      <c r="H97" s="105">
        <f t="shared" si="6"/>
        <v>0.3758169935</v>
      </c>
      <c r="I97" s="13" t="s">
        <v>108</v>
      </c>
      <c r="J97" s="53" t="s">
        <v>487</v>
      </c>
      <c r="K97" s="53" t="s">
        <v>487</v>
      </c>
      <c r="L97" s="53" t="s">
        <v>487</v>
      </c>
      <c r="M97" s="53" t="s">
        <v>594</v>
      </c>
      <c r="N97" s="107" t="s">
        <v>594</v>
      </c>
      <c r="O97" s="53" t="s">
        <v>1065</v>
      </c>
      <c r="P97" s="108" t="s">
        <v>53</v>
      </c>
      <c r="Q97" s="110" t="s">
        <v>53</v>
      </c>
      <c r="R97" s="108" t="s">
        <v>491</v>
      </c>
      <c r="S97" s="107" t="s">
        <v>53</v>
      </c>
      <c r="T97" s="107" t="s">
        <v>561</v>
      </c>
      <c r="U97" s="107" t="s">
        <v>561</v>
      </c>
      <c r="V97" s="107" t="s">
        <v>796</v>
      </c>
      <c r="W97" s="107" t="s">
        <v>796</v>
      </c>
      <c r="X97" s="53" t="s">
        <v>766</v>
      </c>
      <c r="Y97" s="107" t="s">
        <v>561</v>
      </c>
      <c r="Z97" s="53" t="s">
        <v>53</v>
      </c>
      <c r="AA97" s="107" t="s">
        <v>53</v>
      </c>
      <c r="AB97" s="53" t="s">
        <v>53</v>
      </c>
      <c r="AC97" s="53" t="s">
        <v>561</v>
      </c>
      <c r="AD97" s="107" t="s">
        <v>53</v>
      </c>
      <c r="AE97" s="107" t="s">
        <v>53</v>
      </c>
      <c r="AF97" s="107" t="s">
        <v>53</v>
      </c>
      <c r="AG97" s="107" t="s">
        <v>53</v>
      </c>
      <c r="AH97" s="107" t="s">
        <v>53</v>
      </c>
      <c r="AI97" s="107" t="s">
        <v>561</v>
      </c>
      <c r="AJ97" s="107" t="s">
        <v>561</v>
      </c>
      <c r="AK97" s="107" t="s">
        <v>561</v>
      </c>
      <c r="AL97" s="107" t="s">
        <v>561</v>
      </c>
      <c r="AM97" s="107" t="s">
        <v>561</v>
      </c>
      <c r="AN97" s="53" t="s">
        <v>561</v>
      </c>
      <c r="AO97" s="107" t="s">
        <v>561</v>
      </c>
      <c r="AP97" s="53" t="s">
        <v>561</v>
      </c>
      <c r="AQ97" s="53" t="s">
        <v>561</v>
      </c>
      <c r="AR97" s="53" t="s">
        <v>53</v>
      </c>
      <c r="AS97" s="53" t="s">
        <v>561</v>
      </c>
      <c r="AT97" s="53" t="s">
        <v>53</v>
      </c>
      <c r="AU97" s="53" t="s">
        <v>561</v>
      </c>
      <c r="AV97" s="53" t="s">
        <v>561</v>
      </c>
      <c r="AW97" s="53" t="s">
        <v>561</v>
      </c>
      <c r="AX97" s="53" t="s">
        <v>561</v>
      </c>
      <c r="AY97" s="53" t="s">
        <v>561</v>
      </c>
      <c r="AZ97" s="53" t="s">
        <v>53</v>
      </c>
      <c r="BA97" s="53" t="s">
        <v>561</v>
      </c>
      <c r="BB97" s="53" t="s">
        <v>53</v>
      </c>
      <c r="BC97" s="53" t="s">
        <v>561</v>
      </c>
      <c r="BD97" s="53" t="s">
        <v>561</v>
      </c>
      <c r="BE97" s="53" t="s">
        <v>561</v>
      </c>
      <c r="BF97" s="53" t="s">
        <v>561</v>
      </c>
      <c r="BG97" s="53" t="s">
        <v>561</v>
      </c>
      <c r="BH97" s="53" t="s">
        <v>561</v>
      </c>
      <c r="BI97" s="107" t="s">
        <v>561</v>
      </c>
      <c r="BJ97" s="107" t="s">
        <v>561</v>
      </c>
      <c r="BK97" s="53" t="s">
        <v>561</v>
      </c>
      <c r="BL97" s="53" t="s">
        <v>561</v>
      </c>
      <c r="BM97" s="53" t="s">
        <v>561</v>
      </c>
      <c r="BN97" s="53" t="s">
        <v>561</v>
      </c>
      <c r="BO97" s="53" t="s">
        <v>561</v>
      </c>
      <c r="BP97" s="53" t="s">
        <v>561</v>
      </c>
      <c r="BQ97" s="118" t="s">
        <v>821</v>
      </c>
      <c r="BR97" s="118" t="s">
        <v>821</v>
      </c>
      <c r="BS97" s="118" t="s">
        <v>821</v>
      </c>
      <c r="BT97" s="122"/>
      <c r="BU97" s="122">
        <f t="shared" si="17"/>
        <v>25025</v>
      </c>
      <c r="BV97" s="126">
        <v>25025.0</v>
      </c>
      <c r="BW97" s="126"/>
      <c r="BX97" s="127"/>
      <c r="BY97" s="127"/>
      <c r="BZ97" s="13"/>
      <c r="CA97" s="13"/>
      <c r="CB97" s="13"/>
      <c r="CC97" s="13" t="s">
        <v>561</v>
      </c>
    </row>
    <row r="98">
      <c r="A98" s="44" t="str">
        <f>LOOKUP(H98,'Letter grades'!$A$1:$B$6)</f>
        <v>F</v>
      </c>
      <c r="B98" s="44">
        <f t="shared" si="3"/>
        <v>94</v>
      </c>
      <c r="C98" s="44" t="s">
        <v>2518</v>
      </c>
      <c r="D98" s="44" t="s">
        <v>2519</v>
      </c>
      <c r="E98" s="53" t="s">
        <v>2516</v>
      </c>
      <c r="F98" s="47">
        <f t="shared" si="4"/>
        <v>0.3333333333</v>
      </c>
      <c r="G98" s="47">
        <f t="shared" si="5"/>
        <v>0.3928571429</v>
      </c>
      <c r="H98" s="105">
        <f t="shared" si="6"/>
        <v>0.373015873</v>
      </c>
      <c r="I98" s="13" t="s">
        <v>2610</v>
      </c>
      <c r="J98" s="53" t="s">
        <v>594</v>
      </c>
      <c r="K98" s="53" t="s">
        <v>594</v>
      </c>
      <c r="L98" s="53" t="s">
        <v>487</v>
      </c>
      <c r="M98" s="53" t="s">
        <v>594</v>
      </c>
      <c r="N98" s="107" t="s">
        <v>594</v>
      </c>
      <c r="O98" s="53" t="s">
        <v>490</v>
      </c>
      <c r="P98" s="108" t="s">
        <v>53</v>
      </c>
      <c r="Q98" s="110" t="s">
        <v>53</v>
      </c>
      <c r="R98" s="108" t="s">
        <v>491</v>
      </c>
      <c r="S98" s="107" t="s">
        <v>53</v>
      </c>
      <c r="T98" s="107" t="s">
        <v>561</v>
      </c>
      <c r="U98" s="107" t="s">
        <v>53</v>
      </c>
      <c r="V98" s="107" t="s">
        <v>796</v>
      </c>
      <c r="W98" s="107" t="s">
        <v>796</v>
      </c>
      <c r="X98" s="53" t="s">
        <v>766</v>
      </c>
      <c r="Y98" s="107" t="s">
        <v>561</v>
      </c>
      <c r="Z98" s="53" t="s">
        <v>53</v>
      </c>
      <c r="AA98" s="107" t="s">
        <v>53</v>
      </c>
      <c r="AB98" s="53" t="s">
        <v>53</v>
      </c>
      <c r="AC98" s="53" t="s">
        <v>561</v>
      </c>
      <c r="AD98" s="107" t="s">
        <v>53</v>
      </c>
      <c r="AE98" s="107" t="s">
        <v>53</v>
      </c>
      <c r="AF98" s="107" t="s">
        <v>53</v>
      </c>
      <c r="AG98" s="107" t="s">
        <v>53</v>
      </c>
      <c r="AH98" s="107" t="s">
        <v>53</v>
      </c>
      <c r="AI98" s="107" t="s">
        <v>561</v>
      </c>
      <c r="AJ98" s="107" t="s">
        <v>561</v>
      </c>
      <c r="AK98" s="107" t="s">
        <v>561</v>
      </c>
      <c r="AL98" s="107" t="s">
        <v>561</v>
      </c>
      <c r="AM98" s="107" t="s">
        <v>561</v>
      </c>
      <c r="AN98" s="53" t="s">
        <v>561</v>
      </c>
      <c r="AO98" s="107" t="s">
        <v>561</v>
      </c>
      <c r="AP98" s="53" t="s">
        <v>561</v>
      </c>
      <c r="AQ98" s="53" t="s">
        <v>561</v>
      </c>
      <c r="AR98" s="53" t="s">
        <v>53</v>
      </c>
      <c r="AS98" s="53" t="s">
        <v>561</v>
      </c>
      <c r="AT98" s="53" t="s">
        <v>561</v>
      </c>
      <c r="AU98" s="53" t="s">
        <v>561</v>
      </c>
      <c r="AV98" s="53" t="s">
        <v>799</v>
      </c>
      <c r="AW98" s="53" t="s">
        <v>561</v>
      </c>
      <c r="AX98" s="53" t="s">
        <v>561</v>
      </c>
      <c r="AY98" s="53" t="s">
        <v>561</v>
      </c>
      <c r="AZ98" s="53" t="s">
        <v>53</v>
      </c>
      <c r="BA98" s="53" t="s">
        <v>561</v>
      </c>
      <c r="BB98" s="53" t="s">
        <v>53</v>
      </c>
      <c r="BC98" s="53" t="s">
        <v>801</v>
      </c>
      <c r="BD98" s="53" t="s">
        <v>561</v>
      </c>
      <c r="BE98" s="53" t="s">
        <v>561</v>
      </c>
      <c r="BF98" s="53" t="s">
        <v>561</v>
      </c>
      <c r="BG98" s="53" t="s">
        <v>561</v>
      </c>
      <c r="BH98" s="53" t="s">
        <v>561</v>
      </c>
      <c r="BI98" s="107" t="s">
        <v>600</v>
      </c>
      <c r="BJ98" s="107" t="s">
        <v>600</v>
      </c>
      <c r="BK98" s="53" t="s">
        <v>600</v>
      </c>
      <c r="BL98" s="53" t="s">
        <v>600</v>
      </c>
      <c r="BM98" s="53" t="s">
        <v>600</v>
      </c>
      <c r="BN98" s="53" t="s">
        <v>600</v>
      </c>
      <c r="BO98" s="53" t="s">
        <v>600</v>
      </c>
      <c r="BP98" s="53" t="s">
        <v>600</v>
      </c>
      <c r="BQ98" s="118" t="s">
        <v>821</v>
      </c>
      <c r="BR98" s="180" t="s">
        <v>1832</v>
      </c>
      <c r="BS98" s="118" t="s">
        <v>821</v>
      </c>
      <c r="BT98" s="122"/>
      <c r="BU98" s="122">
        <f t="shared" si="17"/>
        <v>0</v>
      </c>
      <c r="BV98" s="126"/>
      <c r="BW98" s="126"/>
      <c r="BX98" s="127"/>
      <c r="BY98" s="127"/>
      <c r="BZ98" s="13"/>
      <c r="CA98" s="13" t="s">
        <v>561</v>
      </c>
      <c r="CB98" s="13"/>
      <c r="CC98" s="13"/>
    </row>
    <row r="99">
      <c r="A99" s="44" t="str">
        <f>LOOKUP(H99,'Letter grades'!$A$1:$B$6)</f>
        <v>F</v>
      </c>
      <c r="B99" s="44">
        <f t="shared" si="3"/>
        <v>95</v>
      </c>
      <c r="C99" s="44" t="s">
        <v>136</v>
      </c>
      <c r="D99" s="44" t="s">
        <v>137</v>
      </c>
      <c r="E99" s="98" t="s">
        <v>132</v>
      </c>
      <c r="F99" s="47">
        <f t="shared" si="4"/>
        <v>0.3333333333</v>
      </c>
      <c r="G99" s="47">
        <f t="shared" si="5"/>
        <v>0.3913043478</v>
      </c>
      <c r="H99" s="105">
        <f t="shared" si="6"/>
        <v>0.3719806763</v>
      </c>
      <c r="I99" s="13" t="s">
        <v>1208</v>
      </c>
      <c r="J99" s="53" t="s">
        <v>487</v>
      </c>
      <c r="K99" s="53" t="s">
        <v>594</v>
      </c>
      <c r="L99" s="107" t="s">
        <v>594</v>
      </c>
      <c r="M99" s="53" t="s">
        <v>594</v>
      </c>
      <c r="N99" s="107" t="s">
        <v>594</v>
      </c>
      <c r="O99" s="53" t="s">
        <v>490</v>
      </c>
      <c r="P99" s="108" t="s">
        <v>53</v>
      </c>
      <c r="Q99" s="110" t="s">
        <v>53</v>
      </c>
      <c r="R99" s="108" t="s">
        <v>491</v>
      </c>
      <c r="S99" s="107" t="s">
        <v>53</v>
      </c>
      <c r="T99" s="107" t="s">
        <v>561</v>
      </c>
      <c r="U99" s="107" t="s">
        <v>561</v>
      </c>
      <c r="V99" s="107" t="s">
        <v>796</v>
      </c>
      <c r="W99" s="107" t="s">
        <v>796</v>
      </c>
      <c r="X99" s="53" t="s">
        <v>766</v>
      </c>
      <c r="Y99" s="107" t="s">
        <v>561</v>
      </c>
      <c r="Z99" s="53" t="s">
        <v>53</v>
      </c>
      <c r="AA99" s="107" t="s">
        <v>53</v>
      </c>
      <c r="AB99" s="53" t="s">
        <v>53</v>
      </c>
      <c r="AC99" s="53" t="s">
        <v>561</v>
      </c>
      <c r="AD99" s="107" t="s">
        <v>53</v>
      </c>
      <c r="AE99" s="107" t="s">
        <v>53</v>
      </c>
      <c r="AF99" s="107" t="s">
        <v>53</v>
      </c>
      <c r="AG99" s="107" t="s">
        <v>53</v>
      </c>
      <c r="AH99" s="107" t="s">
        <v>53</v>
      </c>
      <c r="AI99" s="107" t="s">
        <v>561</v>
      </c>
      <c r="AJ99" s="107" t="s">
        <v>561</v>
      </c>
      <c r="AK99" s="107" t="s">
        <v>561</v>
      </c>
      <c r="AL99" s="107" t="s">
        <v>561</v>
      </c>
      <c r="AM99" s="107" t="s">
        <v>561</v>
      </c>
      <c r="AN99" s="53" t="s">
        <v>561</v>
      </c>
      <c r="AO99" s="107" t="s">
        <v>561</v>
      </c>
      <c r="AP99" s="53" t="s">
        <v>561</v>
      </c>
      <c r="AQ99" s="53" t="s">
        <v>561</v>
      </c>
      <c r="AR99" s="53" t="s">
        <v>53</v>
      </c>
      <c r="AS99" s="53" t="s">
        <v>561</v>
      </c>
      <c r="AT99" s="53" t="s">
        <v>53</v>
      </c>
      <c r="AU99" s="53" t="s">
        <v>561</v>
      </c>
      <c r="AV99" s="53" t="s">
        <v>801</v>
      </c>
      <c r="AW99" s="107" t="s">
        <v>801</v>
      </c>
      <c r="AX99" s="53" t="s">
        <v>801</v>
      </c>
      <c r="AY99" s="53" t="s">
        <v>801</v>
      </c>
      <c r="AZ99" s="53" t="s">
        <v>53</v>
      </c>
      <c r="BA99" s="53" t="s">
        <v>561</v>
      </c>
      <c r="BB99" s="53" t="s">
        <v>53</v>
      </c>
      <c r="BC99" s="53" t="s">
        <v>561</v>
      </c>
      <c r="BD99" s="53" t="s">
        <v>561</v>
      </c>
      <c r="BE99" s="53" t="s">
        <v>53</v>
      </c>
      <c r="BF99" s="53" t="s">
        <v>561</v>
      </c>
      <c r="BG99" s="53" t="s">
        <v>561</v>
      </c>
      <c r="BH99" s="53" t="s">
        <v>561</v>
      </c>
      <c r="BI99" s="107" t="s">
        <v>561</v>
      </c>
      <c r="BJ99" s="107" t="s">
        <v>561</v>
      </c>
      <c r="BK99" s="53" t="s">
        <v>561</v>
      </c>
      <c r="BL99" s="53" t="s">
        <v>561</v>
      </c>
      <c r="BM99" s="53" t="s">
        <v>561</v>
      </c>
      <c r="BN99" s="53" t="s">
        <v>801</v>
      </c>
      <c r="BO99" s="53" t="s">
        <v>53</v>
      </c>
      <c r="BP99" s="53" t="s">
        <v>561</v>
      </c>
      <c r="BQ99" s="118" t="s">
        <v>821</v>
      </c>
      <c r="BR99" s="118" t="s">
        <v>821</v>
      </c>
      <c r="BS99" s="118" t="s">
        <v>821</v>
      </c>
      <c r="BT99" s="122"/>
      <c r="BU99" s="122">
        <f t="shared" si="17"/>
        <v>7900</v>
      </c>
      <c r="BV99" s="126">
        <v>7900.0</v>
      </c>
      <c r="BW99" s="126"/>
      <c r="BX99" s="127"/>
      <c r="BY99" s="127"/>
      <c r="BZ99" s="13"/>
      <c r="CA99" s="13" t="s">
        <v>561</v>
      </c>
      <c r="CB99" s="13" t="s">
        <v>561</v>
      </c>
      <c r="CC99" s="13" t="s">
        <v>561</v>
      </c>
    </row>
    <row r="100">
      <c r="A100" s="44" t="str">
        <f>LOOKUP(H100,'Letter grades'!$A$1:$B$6)</f>
        <v>F</v>
      </c>
      <c r="B100" s="44">
        <f t="shared" si="3"/>
        <v>96</v>
      </c>
      <c r="C100" s="107" t="s">
        <v>120</v>
      </c>
      <c r="D100" s="107" t="s">
        <v>2625</v>
      </c>
      <c r="E100" s="148" t="s">
        <v>2511</v>
      </c>
      <c r="F100" s="47">
        <f t="shared" si="4"/>
        <v>0</v>
      </c>
      <c r="G100" s="47">
        <f t="shared" si="5"/>
        <v>0.5555555556</v>
      </c>
      <c r="H100" s="105">
        <f t="shared" si="6"/>
        <v>0.3703703704</v>
      </c>
      <c r="I100" s="13" t="s">
        <v>108</v>
      </c>
      <c r="J100" s="53" t="s">
        <v>594</v>
      </c>
      <c r="K100" s="53" t="s">
        <v>594</v>
      </c>
      <c r="L100" s="107" t="s">
        <v>594</v>
      </c>
      <c r="M100" s="53" t="s">
        <v>594</v>
      </c>
      <c r="N100" s="107" t="s">
        <v>594</v>
      </c>
      <c r="O100" s="53" t="s">
        <v>1065</v>
      </c>
      <c r="P100" s="108" t="s">
        <v>53</v>
      </c>
      <c r="Q100" s="110" t="s">
        <v>53</v>
      </c>
      <c r="R100" s="108" t="s">
        <v>491</v>
      </c>
      <c r="S100" s="107" t="s">
        <v>53</v>
      </c>
      <c r="T100" s="107" t="s">
        <v>561</v>
      </c>
      <c r="U100" s="107" t="s">
        <v>561</v>
      </c>
      <c r="V100" s="107" t="s">
        <v>796</v>
      </c>
      <c r="W100" s="107" t="s">
        <v>796</v>
      </c>
      <c r="X100" s="53" t="s">
        <v>766</v>
      </c>
      <c r="Y100" s="107" t="s">
        <v>561</v>
      </c>
      <c r="Z100" s="53" t="s">
        <v>53</v>
      </c>
      <c r="AA100" s="53" t="s">
        <v>600</v>
      </c>
      <c r="AB100" s="53" t="s">
        <v>600</v>
      </c>
      <c r="AC100" s="53" t="s">
        <v>600</v>
      </c>
      <c r="AD100" s="53" t="s">
        <v>600</v>
      </c>
      <c r="AE100" s="53" t="s">
        <v>600</v>
      </c>
      <c r="AF100" s="53" t="s">
        <v>600</v>
      </c>
      <c r="AG100" s="53" t="s">
        <v>600</v>
      </c>
      <c r="AH100" s="53" t="s">
        <v>600</v>
      </c>
      <c r="AI100" s="53" t="s">
        <v>600</v>
      </c>
      <c r="AJ100" s="53" t="s">
        <v>600</v>
      </c>
      <c r="AK100" s="53" t="s">
        <v>600</v>
      </c>
      <c r="AL100" s="53" t="s">
        <v>600</v>
      </c>
      <c r="AM100" s="53" t="s">
        <v>600</v>
      </c>
      <c r="AN100" s="53" t="s">
        <v>600</v>
      </c>
      <c r="AO100" s="53" t="s">
        <v>600</v>
      </c>
      <c r="AP100" s="53" t="s">
        <v>600</v>
      </c>
      <c r="AQ100" s="53" t="s">
        <v>600</v>
      </c>
      <c r="AR100" s="53" t="s">
        <v>600</v>
      </c>
      <c r="AS100" s="53" t="s">
        <v>600</v>
      </c>
      <c r="AT100" s="53" t="s">
        <v>600</v>
      </c>
      <c r="AU100" s="53" t="s">
        <v>600</v>
      </c>
      <c r="AV100" s="53" t="s">
        <v>600</v>
      </c>
      <c r="AW100" s="53" t="s">
        <v>600</v>
      </c>
      <c r="AX100" s="53" t="s">
        <v>600</v>
      </c>
      <c r="AY100" s="53" t="s">
        <v>600</v>
      </c>
      <c r="AZ100" s="53" t="s">
        <v>600</v>
      </c>
      <c r="BA100" s="53" t="s">
        <v>600</v>
      </c>
      <c r="BB100" s="53" t="s">
        <v>600</v>
      </c>
      <c r="BC100" s="53" t="s">
        <v>600</v>
      </c>
      <c r="BD100" s="53" t="s">
        <v>600</v>
      </c>
      <c r="BE100" s="53" t="s">
        <v>600</v>
      </c>
      <c r="BF100" s="53" t="s">
        <v>600</v>
      </c>
      <c r="BG100" s="53" t="s">
        <v>600</v>
      </c>
      <c r="BH100" s="53" t="s">
        <v>600</v>
      </c>
      <c r="BI100" s="107" t="s">
        <v>600</v>
      </c>
      <c r="BJ100" s="107" t="s">
        <v>600</v>
      </c>
      <c r="BK100" s="53" t="s">
        <v>600</v>
      </c>
      <c r="BL100" s="53" t="s">
        <v>600</v>
      </c>
      <c r="BM100" s="53" t="s">
        <v>600</v>
      </c>
      <c r="BN100" s="53" t="s">
        <v>600</v>
      </c>
      <c r="BO100" s="53" t="s">
        <v>600</v>
      </c>
      <c r="BP100" s="53" t="s">
        <v>600</v>
      </c>
      <c r="BQ100" s="180" t="s">
        <v>1832</v>
      </c>
      <c r="BR100" s="53" t="s">
        <v>600</v>
      </c>
      <c r="BS100" s="53" t="s">
        <v>600</v>
      </c>
      <c r="BT100" s="122"/>
      <c r="BU100" s="122"/>
      <c r="BV100" s="126"/>
      <c r="BW100" s="126"/>
      <c r="BX100" s="127"/>
      <c r="BY100" s="127"/>
      <c r="BZ100" s="13"/>
      <c r="CA100" s="13"/>
      <c r="CB100" s="13"/>
      <c r="CC100" s="13"/>
    </row>
    <row r="101">
      <c r="A101" s="44" t="str">
        <f>LOOKUP(H101,'Letter grades'!$A$1:$B$6)</f>
        <v>F</v>
      </c>
      <c r="B101" s="44">
        <f t="shared" si="3"/>
        <v>97</v>
      </c>
      <c r="C101" s="44" t="s">
        <v>871</v>
      </c>
      <c r="D101" s="44" t="s">
        <v>872</v>
      </c>
      <c r="E101" s="98" t="s">
        <v>869</v>
      </c>
      <c r="F101" s="47">
        <f t="shared" si="4"/>
        <v>0.5</v>
      </c>
      <c r="G101" s="47">
        <f t="shared" si="5"/>
        <v>0.3020833333</v>
      </c>
      <c r="H101" s="105">
        <f t="shared" si="6"/>
        <v>0.3680555556</v>
      </c>
      <c r="I101" s="13" t="s">
        <v>108</v>
      </c>
      <c r="J101" s="53" t="s">
        <v>487</v>
      </c>
      <c r="K101" s="53" t="s">
        <v>487</v>
      </c>
      <c r="L101" s="107" t="s">
        <v>594</v>
      </c>
      <c r="M101" s="53" t="s">
        <v>594</v>
      </c>
      <c r="N101" s="107" t="s">
        <v>594</v>
      </c>
      <c r="O101" s="53" t="s">
        <v>490</v>
      </c>
      <c r="P101" s="108" t="s">
        <v>53</v>
      </c>
      <c r="Q101" s="110" t="s">
        <v>53</v>
      </c>
      <c r="R101" s="108" t="s">
        <v>766</v>
      </c>
      <c r="S101" s="107" t="s">
        <v>53</v>
      </c>
      <c r="T101" s="107" t="s">
        <v>561</v>
      </c>
      <c r="U101" s="107" t="s">
        <v>561</v>
      </c>
      <c r="V101" s="107" t="s">
        <v>796</v>
      </c>
      <c r="W101" s="107" t="s">
        <v>796</v>
      </c>
      <c r="X101" s="53" t="s">
        <v>766</v>
      </c>
      <c r="Y101" s="107" t="s">
        <v>561</v>
      </c>
      <c r="Z101" s="53" t="s">
        <v>53</v>
      </c>
      <c r="AA101" s="107" t="s">
        <v>53</v>
      </c>
      <c r="AB101" s="53" t="s">
        <v>53</v>
      </c>
      <c r="AC101" s="53" t="s">
        <v>561</v>
      </c>
      <c r="AD101" s="107" t="s">
        <v>53</v>
      </c>
      <c r="AE101" s="107" t="s">
        <v>53</v>
      </c>
      <c r="AF101" s="107" t="s">
        <v>53</v>
      </c>
      <c r="AG101" s="107" t="s">
        <v>53</v>
      </c>
      <c r="AH101" s="107" t="s">
        <v>801</v>
      </c>
      <c r="AI101" s="107" t="s">
        <v>801</v>
      </c>
      <c r="AJ101" s="107" t="s">
        <v>561</v>
      </c>
      <c r="AK101" s="107" t="s">
        <v>561</v>
      </c>
      <c r="AL101" s="107" t="s">
        <v>561</v>
      </c>
      <c r="AM101" s="107" t="s">
        <v>561</v>
      </c>
      <c r="AN101" s="53" t="s">
        <v>561</v>
      </c>
      <c r="AO101" s="107" t="s">
        <v>561</v>
      </c>
      <c r="AP101" s="53" t="s">
        <v>561</v>
      </c>
      <c r="AQ101" s="53" t="s">
        <v>561</v>
      </c>
      <c r="AR101" s="53" t="s">
        <v>53</v>
      </c>
      <c r="AS101" s="53" t="s">
        <v>561</v>
      </c>
      <c r="AT101" s="53" t="s">
        <v>561</v>
      </c>
      <c r="AU101" s="107" t="s">
        <v>801</v>
      </c>
      <c r="AV101" s="53" t="s">
        <v>799</v>
      </c>
      <c r="AW101" s="53" t="s">
        <v>561</v>
      </c>
      <c r="AX101" s="53" t="s">
        <v>561</v>
      </c>
      <c r="AY101" s="53" t="s">
        <v>53</v>
      </c>
      <c r="AZ101" s="53" t="s">
        <v>53</v>
      </c>
      <c r="BA101" s="53" t="s">
        <v>561</v>
      </c>
      <c r="BB101" s="53" t="s">
        <v>53</v>
      </c>
      <c r="BC101" s="53" t="s">
        <v>561</v>
      </c>
      <c r="BD101" s="53" t="s">
        <v>561</v>
      </c>
      <c r="BE101" s="53" t="s">
        <v>561</v>
      </c>
      <c r="BF101" s="53" t="s">
        <v>561</v>
      </c>
      <c r="BG101" s="53" t="s">
        <v>561</v>
      </c>
      <c r="BH101" s="53" t="s">
        <v>561</v>
      </c>
      <c r="BI101" s="107" t="s">
        <v>561</v>
      </c>
      <c r="BJ101" s="107" t="s">
        <v>561</v>
      </c>
      <c r="BK101" s="53" t="s">
        <v>561</v>
      </c>
      <c r="BL101" s="53" t="s">
        <v>561</v>
      </c>
      <c r="BM101" s="53" t="s">
        <v>561</v>
      </c>
      <c r="BN101" s="53" t="s">
        <v>561</v>
      </c>
      <c r="BO101" s="53" t="s">
        <v>561</v>
      </c>
      <c r="BP101" s="53" t="s">
        <v>561</v>
      </c>
      <c r="BQ101" s="118" t="s">
        <v>821</v>
      </c>
      <c r="BR101" s="118" t="s">
        <v>821</v>
      </c>
      <c r="BS101" s="118" t="s">
        <v>821</v>
      </c>
      <c r="BT101" s="122"/>
      <c r="BU101" s="122">
        <f t="shared" ref="BU101:BU105" si="18">SUM(BV101:BY101)</f>
        <v>35422</v>
      </c>
      <c r="BV101" s="126">
        <v>35422.0</v>
      </c>
      <c r="BW101" s="126"/>
      <c r="BX101" s="127"/>
      <c r="BY101" s="127"/>
      <c r="BZ101" s="13"/>
      <c r="CA101" s="13"/>
      <c r="CB101" s="13"/>
      <c r="CC101" s="13" t="s">
        <v>561</v>
      </c>
    </row>
    <row r="102">
      <c r="A102" s="44" t="str">
        <f>LOOKUP(H102,'Letter grades'!$A$1:$B$6)</f>
        <v>F</v>
      </c>
      <c r="B102" s="44">
        <f t="shared" si="3"/>
        <v>98</v>
      </c>
      <c r="C102" s="44" t="s">
        <v>1093</v>
      </c>
      <c r="D102" s="44" t="s">
        <v>1094</v>
      </c>
      <c r="E102" s="98" t="s">
        <v>1091</v>
      </c>
      <c r="F102" s="47">
        <f t="shared" si="4"/>
        <v>0.5</v>
      </c>
      <c r="G102" s="47">
        <f t="shared" si="5"/>
        <v>0.3</v>
      </c>
      <c r="H102" s="105">
        <f t="shared" si="6"/>
        <v>0.3666666667</v>
      </c>
      <c r="I102" s="13" t="s">
        <v>108</v>
      </c>
      <c r="J102" s="53" t="s">
        <v>487</v>
      </c>
      <c r="K102" s="53" t="s">
        <v>594</v>
      </c>
      <c r="L102" s="53" t="s">
        <v>487</v>
      </c>
      <c r="M102" s="53" t="s">
        <v>594</v>
      </c>
      <c r="N102" s="107" t="s">
        <v>594</v>
      </c>
      <c r="O102" s="53" t="s">
        <v>490</v>
      </c>
      <c r="P102" s="108" t="s">
        <v>53</v>
      </c>
      <c r="Q102" s="110" t="s">
        <v>53</v>
      </c>
      <c r="R102" s="108" t="s">
        <v>766</v>
      </c>
      <c r="S102" s="107" t="s">
        <v>53</v>
      </c>
      <c r="T102" s="107" t="s">
        <v>561</v>
      </c>
      <c r="U102" s="107" t="s">
        <v>561</v>
      </c>
      <c r="V102" s="107" t="s">
        <v>796</v>
      </c>
      <c r="W102" s="107" t="s">
        <v>796</v>
      </c>
      <c r="X102" s="53" t="s">
        <v>766</v>
      </c>
      <c r="Y102" s="107" t="s">
        <v>561</v>
      </c>
      <c r="Z102" s="53" t="s">
        <v>53</v>
      </c>
      <c r="AA102" s="107" t="s">
        <v>53</v>
      </c>
      <c r="AB102" s="53" t="s">
        <v>53</v>
      </c>
      <c r="AC102" s="53" t="s">
        <v>561</v>
      </c>
      <c r="AD102" s="107" t="s">
        <v>53</v>
      </c>
      <c r="AE102" s="107" t="s">
        <v>53</v>
      </c>
      <c r="AF102" s="107" t="s">
        <v>53</v>
      </c>
      <c r="AG102" s="107" t="s">
        <v>53</v>
      </c>
      <c r="AH102" s="107" t="s">
        <v>53</v>
      </c>
      <c r="AI102" s="107" t="s">
        <v>561</v>
      </c>
      <c r="AJ102" s="107" t="s">
        <v>561</v>
      </c>
      <c r="AK102" s="107" t="s">
        <v>561</v>
      </c>
      <c r="AL102" s="107" t="s">
        <v>561</v>
      </c>
      <c r="AM102" s="107" t="s">
        <v>561</v>
      </c>
      <c r="AN102" s="53" t="s">
        <v>561</v>
      </c>
      <c r="AO102" s="107" t="s">
        <v>561</v>
      </c>
      <c r="AP102" s="53" t="s">
        <v>561</v>
      </c>
      <c r="AQ102" s="53" t="s">
        <v>561</v>
      </c>
      <c r="AR102" s="53" t="s">
        <v>53</v>
      </c>
      <c r="AS102" s="53" t="s">
        <v>561</v>
      </c>
      <c r="AT102" s="53" t="s">
        <v>53</v>
      </c>
      <c r="AU102" s="53" t="s">
        <v>561</v>
      </c>
      <c r="AV102" s="53" t="s">
        <v>561</v>
      </c>
      <c r="AW102" s="53" t="s">
        <v>561</v>
      </c>
      <c r="AX102" s="53" t="s">
        <v>561</v>
      </c>
      <c r="AY102" s="53" t="s">
        <v>561</v>
      </c>
      <c r="AZ102" s="53" t="s">
        <v>53</v>
      </c>
      <c r="BA102" s="53" t="s">
        <v>561</v>
      </c>
      <c r="BB102" s="53" t="s">
        <v>53</v>
      </c>
      <c r="BC102" s="53" t="s">
        <v>561</v>
      </c>
      <c r="BD102" s="53" t="s">
        <v>561</v>
      </c>
      <c r="BE102" s="53" t="s">
        <v>561</v>
      </c>
      <c r="BF102" s="53" t="s">
        <v>561</v>
      </c>
      <c r="BG102" s="53" t="s">
        <v>561</v>
      </c>
      <c r="BH102" s="53" t="s">
        <v>561</v>
      </c>
      <c r="BI102" s="107" t="s">
        <v>561</v>
      </c>
      <c r="BJ102" s="107" t="s">
        <v>561</v>
      </c>
      <c r="BK102" s="53" t="s">
        <v>561</v>
      </c>
      <c r="BL102" s="53" t="s">
        <v>561</v>
      </c>
      <c r="BM102" s="53" t="s">
        <v>561</v>
      </c>
      <c r="BN102" s="53" t="s">
        <v>561</v>
      </c>
      <c r="BO102" s="53" t="s">
        <v>561</v>
      </c>
      <c r="BP102" s="53" t="s">
        <v>600</v>
      </c>
      <c r="BQ102" s="118" t="s">
        <v>821</v>
      </c>
      <c r="BR102" s="118" t="s">
        <v>821</v>
      </c>
      <c r="BS102" s="118" t="s">
        <v>821</v>
      </c>
      <c r="BT102" s="122"/>
      <c r="BU102" s="122">
        <f t="shared" si="18"/>
        <v>13308</v>
      </c>
      <c r="BV102" s="126">
        <v>13308.0</v>
      </c>
      <c r="BW102" s="126"/>
      <c r="BX102" s="127"/>
      <c r="BY102" s="127"/>
      <c r="BZ102" s="13"/>
      <c r="CA102" s="13" t="s">
        <v>561</v>
      </c>
      <c r="CB102" s="13"/>
      <c r="CC102" s="13" t="s">
        <v>561</v>
      </c>
    </row>
    <row r="103">
      <c r="A103" s="44" t="str">
        <f>LOOKUP(H103,'Letter grades'!$A$1:$B$6)</f>
        <v>F</v>
      </c>
      <c r="B103" s="44">
        <f t="shared" si="3"/>
        <v>99</v>
      </c>
      <c r="C103" s="44" t="s">
        <v>419</v>
      </c>
      <c r="D103" s="44" t="s">
        <v>420</v>
      </c>
      <c r="E103" s="98" t="s">
        <v>417</v>
      </c>
      <c r="F103" s="47">
        <f t="shared" si="4"/>
        <v>0.5</v>
      </c>
      <c r="G103" s="47">
        <f t="shared" si="5"/>
        <v>0.2941176471</v>
      </c>
      <c r="H103" s="105">
        <f t="shared" si="6"/>
        <v>0.362745098</v>
      </c>
      <c r="I103" s="13" t="s">
        <v>108</v>
      </c>
      <c r="J103" s="53" t="s">
        <v>487</v>
      </c>
      <c r="K103" s="53" t="s">
        <v>487</v>
      </c>
      <c r="L103" s="107" t="s">
        <v>594</v>
      </c>
      <c r="M103" s="53" t="s">
        <v>594</v>
      </c>
      <c r="N103" s="107" t="s">
        <v>594</v>
      </c>
      <c r="O103" s="53" t="s">
        <v>490</v>
      </c>
      <c r="P103" s="108" t="s">
        <v>53</v>
      </c>
      <c r="Q103" s="110" t="s">
        <v>53</v>
      </c>
      <c r="R103" s="108" t="s">
        <v>766</v>
      </c>
      <c r="S103" s="107" t="s">
        <v>561</v>
      </c>
      <c r="T103" s="107" t="s">
        <v>561</v>
      </c>
      <c r="U103" s="107" t="s">
        <v>561</v>
      </c>
      <c r="V103" s="107" t="s">
        <v>796</v>
      </c>
      <c r="W103" s="107" t="s">
        <v>796</v>
      </c>
      <c r="X103" s="53" t="s">
        <v>766</v>
      </c>
      <c r="Y103" s="107" t="s">
        <v>561</v>
      </c>
      <c r="Z103" s="53" t="s">
        <v>53</v>
      </c>
      <c r="AA103" s="107" t="s">
        <v>561</v>
      </c>
      <c r="AB103" s="53" t="s">
        <v>53</v>
      </c>
      <c r="AC103" s="53" t="s">
        <v>561</v>
      </c>
      <c r="AD103" s="107" t="s">
        <v>53</v>
      </c>
      <c r="AE103" s="107" t="s">
        <v>53</v>
      </c>
      <c r="AF103" s="107" t="s">
        <v>53</v>
      </c>
      <c r="AG103" s="107" t="s">
        <v>53</v>
      </c>
      <c r="AH103" s="107" t="s">
        <v>53</v>
      </c>
      <c r="AI103" s="107" t="s">
        <v>561</v>
      </c>
      <c r="AJ103" s="107" t="s">
        <v>561</v>
      </c>
      <c r="AK103" s="107" t="s">
        <v>561</v>
      </c>
      <c r="AL103" s="107" t="s">
        <v>561</v>
      </c>
      <c r="AM103" s="107" t="s">
        <v>561</v>
      </c>
      <c r="AN103" s="53" t="s">
        <v>561</v>
      </c>
      <c r="AO103" s="107" t="s">
        <v>561</v>
      </c>
      <c r="AP103" s="53" t="s">
        <v>561</v>
      </c>
      <c r="AQ103" s="53" t="s">
        <v>561</v>
      </c>
      <c r="AR103" s="53" t="s">
        <v>53</v>
      </c>
      <c r="AS103" s="53" t="s">
        <v>561</v>
      </c>
      <c r="AT103" s="53" t="s">
        <v>53</v>
      </c>
      <c r="AU103" s="53" t="s">
        <v>561</v>
      </c>
      <c r="AV103" s="53" t="s">
        <v>561</v>
      </c>
      <c r="AW103" s="53" t="s">
        <v>561</v>
      </c>
      <c r="AX103" s="53" t="s">
        <v>561</v>
      </c>
      <c r="AY103" s="53" t="s">
        <v>561</v>
      </c>
      <c r="AZ103" s="53" t="s">
        <v>53</v>
      </c>
      <c r="BA103" s="53" t="s">
        <v>561</v>
      </c>
      <c r="BB103" s="53" t="s">
        <v>53</v>
      </c>
      <c r="BC103" s="53" t="s">
        <v>561</v>
      </c>
      <c r="BD103" s="53" t="s">
        <v>561</v>
      </c>
      <c r="BE103" s="53" t="s">
        <v>53</v>
      </c>
      <c r="BF103" s="53" t="s">
        <v>561</v>
      </c>
      <c r="BG103" s="53" t="s">
        <v>561</v>
      </c>
      <c r="BH103" s="53" t="s">
        <v>561</v>
      </c>
      <c r="BI103" s="107" t="s">
        <v>561</v>
      </c>
      <c r="BJ103" s="107" t="s">
        <v>561</v>
      </c>
      <c r="BK103" s="53" t="s">
        <v>561</v>
      </c>
      <c r="BL103" s="53" t="s">
        <v>561</v>
      </c>
      <c r="BM103" s="53" t="s">
        <v>561</v>
      </c>
      <c r="BN103" s="53" t="s">
        <v>561</v>
      </c>
      <c r="BO103" s="53" t="s">
        <v>53</v>
      </c>
      <c r="BP103" s="53" t="s">
        <v>561</v>
      </c>
      <c r="BQ103" s="118" t="s">
        <v>821</v>
      </c>
      <c r="BR103" s="118" t="s">
        <v>821</v>
      </c>
      <c r="BS103" s="118" t="s">
        <v>821</v>
      </c>
      <c r="BT103" s="122"/>
      <c r="BU103" s="122">
        <f t="shared" si="18"/>
        <v>42200</v>
      </c>
      <c r="BV103" s="126">
        <v>42200.0</v>
      </c>
      <c r="BW103" s="126"/>
      <c r="BX103" s="127"/>
      <c r="BY103" s="127"/>
      <c r="BZ103" s="13"/>
      <c r="CA103" s="13" t="s">
        <v>561</v>
      </c>
      <c r="CB103" s="13"/>
      <c r="CC103" s="13" t="s">
        <v>561</v>
      </c>
    </row>
    <row r="104">
      <c r="A104" s="44" t="str">
        <f>LOOKUP(H104,'Letter grades'!$A$1:$B$6)</f>
        <v>F</v>
      </c>
      <c r="B104" s="44">
        <f t="shared" si="3"/>
        <v>100</v>
      </c>
      <c r="C104" s="44" t="s">
        <v>523</v>
      </c>
      <c r="D104" s="44" t="s">
        <v>524</v>
      </c>
      <c r="E104" s="98" t="s">
        <v>519</v>
      </c>
      <c r="F104" s="47">
        <f t="shared" si="4"/>
        <v>0.1666666667</v>
      </c>
      <c r="G104" s="47">
        <f t="shared" si="5"/>
        <v>0.4574468085</v>
      </c>
      <c r="H104" s="105">
        <f t="shared" si="6"/>
        <v>0.3605200946</v>
      </c>
      <c r="I104" s="13" t="s">
        <v>1208</v>
      </c>
      <c r="J104" s="53" t="s">
        <v>487</v>
      </c>
      <c r="K104" s="53" t="s">
        <v>594</v>
      </c>
      <c r="L104" s="107" t="s">
        <v>594</v>
      </c>
      <c r="M104" s="53" t="s">
        <v>594</v>
      </c>
      <c r="N104" s="107" t="s">
        <v>594</v>
      </c>
      <c r="O104" s="53" t="s">
        <v>1065</v>
      </c>
      <c r="P104" s="108" t="s">
        <v>53</v>
      </c>
      <c r="Q104" s="110" t="s">
        <v>53</v>
      </c>
      <c r="R104" s="108" t="s">
        <v>766</v>
      </c>
      <c r="S104" s="107" t="s">
        <v>53</v>
      </c>
      <c r="T104" s="107" t="s">
        <v>561</v>
      </c>
      <c r="U104" s="107" t="s">
        <v>53</v>
      </c>
      <c r="V104" s="107" t="s">
        <v>796</v>
      </c>
      <c r="W104" s="107" t="s">
        <v>796</v>
      </c>
      <c r="X104" s="53" t="s">
        <v>766</v>
      </c>
      <c r="Y104" s="107" t="s">
        <v>561</v>
      </c>
      <c r="Z104" s="53" t="s">
        <v>53</v>
      </c>
      <c r="AA104" s="107" t="s">
        <v>53</v>
      </c>
      <c r="AB104" s="53" t="s">
        <v>53</v>
      </c>
      <c r="AC104" s="53" t="s">
        <v>561</v>
      </c>
      <c r="AD104" s="107" t="s">
        <v>53</v>
      </c>
      <c r="AE104" s="107" t="s">
        <v>53</v>
      </c>
      <c r="AF104" s="107" t="s">
        <v>53</v>
      </c>
      <c r="AG104" s="107" t="s">
        <v>53</v>
      </c>
      <c r="AH104" s="107" t="s">
        <v>53</v>
      </c>
      <c r="AI104" s="107" t="s">
        <v>53</v>
      </c>
      <c r="AJ104" s="107" t="s">
        <v>561</v>
      </c>
      <c r="AK104" s="107" t="s">
        <v>53</v>
      </c>
      <c r="AL104" s="107" t="s">
        <v>561</v>
      </c>
      <c r="AM104" s="107" t="s">
        <v>561</v>
      </c>
      <c r="AN104" s="53" t="s">
        <v>561</v>
      </c>
      <c r="AO104" s="107" t="s">
        <v>561</v>
      </c>
      <c r="AP104" s="53" t="s">
        <v>561</v>
      </c>
      <c r="AQ104" s="53" t="s">
        <v>561</v>
      </c>
      <c r="AR104" s="53" t="s">
        <v>53</v>
      </c>
      <c r="AS104" s="53" t="s">
        <v>561</v>
      </c>
      <c r="AT104" s="53" t="s">
        <v>53</v>
      </c>
      <c r="AU104" s="53" t="s">
        <v>53</v>
      </c>
      <c r="AV104" s="53" t="s">
        <v>799</v>
      </c>
      <c r="AW104" s="53" t="s">
        <v>561</v>
      </c>
      <c r="AX104" s="53" t="s">
        <v>561</v>
      </c>
      <c r="AY104" s="53" t="s">
        <v>53</v>
      </c>
      <c r="AZ104" s="53" t="s">
        <v>53</v>
      </c>
      <c r="BA104" s="53" t="s">
        <v>561</v>
      </c>
      <c r="BB104" s="53" t="s">
        <v>53</v>
      </c>
      <c r="BC104" s="53" t="s">
        <v>561</v>
      </c>
      <c r="BD104" s="53" t="s">
        <v>561</v>
      </c>
      <c r="BE104" s="53" t="s">
        <v>561</v>
      </c>
      <c r="BF104" s="53" t="s">
        <v>561</v>
      </c>
      <c r="BG104" s="53" t="s">
        <v>561</v>
      </c>
      <c r="BH104" s="53" t="s">
        <v>561</v>
      </c>
      <c r="BI104" s="107" t="s">
        <v>53</v>
      </c>
      <c r="BJ104" s="107" t="s">
        <v>561</v>
      </c>
      <c r="BK104" s="53" t="s">
        <v>561</v>
      </c>
      <c r="BL104" s="53" t="s">
        <v>561</v>
      </c>
      <c r="BM104" s="53" t="s">
        <v>600</v>
      </c>
      <c r="BN104" s="53" t="s">
        <v>600</v>
      </c>
      <c r="BO104" s="53" t="s">
        <v>600</v>
      </c>
      <c r="BP104" s="53" t="s">
        <v>600</v>
      </c>
      <c r="BQ104" s="118" t="s">
        <v>821</v>
      </c>
      <c r="BR104" s="118" t="s">
        <v>821</v>
      </c>
      <c r="BS104" s="118" t="s">
        <v>821</v>
      </c>
      <c r="BT104" s="122"/>
      <c r="BU104" s="122">
        <f t="shared" si="18"/>
        <v>27500</v>
      </c>
      <c r="BV104" s="126">
        <v>27500.0</v>
      </c>
      <c r="BW104" s="126"/>
      <c r="BX104" s="127"/>
      <c r="BY104" s="127"/>
      <c r="BZ104" s="13"/>
      <c r="CA104" s="13"/>
      <c r="CB104" s="13"/>
      <c r="CC104" s="13" t="s">
        <v>561</v>
      </c>
    </row>
    <row r="105">
      <c r="A105" s="44" t="str">
        <f>LOOKUP(H105,'Letter grades'!$A$1:$B$6)</f>
        <v>F</v>
      </c>
      <c r="B105" s="44">
        <f t="shared" si="3"/>
        <v>101</v>
      </c>
      <c r="C105" s="44" t="s">
        <v>761</v>
      </c>
      <c r="D105" s="44" t="s">
        <v>762</v>
      </c>
      <c r="E105" s="145" t="s">
        <v>758</v>
      </c>
      <c r="F105" s="47">
        <f t="shared" si="4"/>
        <v>0.3333333333</v>
      </c>
      <c r="G105" s="47">
        <f t="shared" si="5"/>
        <v>0.37</v>
      </c>
      <c r="H105" s="105">
        <f t="shared" si="6"/>
        <v>0.3577777778</v>
      </c>
      <c r="I105" s="13" t="s">
        <v>1208</v>
      </c>
      <c r="J105" s="53" t="s">
        <v>487</v>
      </c>
      <c r="K105" s="53" t="s">
        <v>594</v>
      </c>
      <c r="L105" s="107" t="s">
        <v>594</v>
      </c>
      <c r="M105" s="53" t="s">
        <v>594</v>
      </c>
      <c r="N105" s="107" t="s">
        <v>594</v>
      </c>
      <c r="O105" s="53" t="s">
        <v>490</v>
      </c>
      <c r="P105" s="108" t="s">
        <v>53</v>
      </c>
      <c r="Q105" s="110" t="s">
        <v>53</v>
      </c>
      <c r="R105" s="108" t="s">
        <v>491</v>
      </c>
      <c r="S105" s="107" t="s">
        <v>53</v>
      </c>
      <c r="T105" s="107" t="s">
        <v>561</v>
      </c>
      <c r="U105" s="107" t="s">
        <v>561</v>
      </c>
      <c r="V105" s="107" t="s">
        <v>796</v>
      </c>
      <c r="W105" s="107" t="s">
        <v>796</v>
      </c>
      <c r="X105" s="53" t="s">
        <v>766</v>
      </c>
      <c r="Y105" s="107" t="s">
        <v>561</v>
      </c>
      <c r="Z105" s="53" t="s">
        <v>53</v>
      </c>
      <c r="AA105" s="107" t="s">
        <v>53</v>
      </c>
      <c r="AB105" s="53" t="s">
        <v>53</v>
      </c>
      <c r="AC105" s="53" t="s">
        <v>561</v>
      </c>
      <c r="AD105" s="107" t="s">
        <v>53</v>
      </c>
      <c r="AE105" s="107" t="s">
        <v>53</v>
      </c>
      <c r="AF105" s="107" t="s">
        <v>53</v>
      </c>
      <c r="AG105" s="107" t="s">
        <v>53</v>
      </c>
      <c r="AH105" s="107" t="s">
        <v>53</v>
      </c>
      <c r="AI105" s="107" t="s">
        <v>561</v>
      </c>
      <c r="AJ105" s="107" t="s">
        <v>561</v>
      </c>
      <c r="AK105" s="107" t="s">
        <v>561</v>
      </c>
      <c r="AL105" s="107" t="s">
        <v>561</v>
      </c>
      <c r="AM105" s="107" t="s">
        <v>561</v>
      </c>
      <c r="AN105" s="53" t="s">
        <v>561</v>
      </c>
      <c r="AO105" s="107" t="s">
        <v>561</v>
      </c>
      <c r="AP105" s="53" t="s">
        <v>561</v>
      </c>
      <c r="AQ105" s="53" t="s">
        <v>561</v>
      </c>
      <c r="AR105" s="53" t="s">
        <v>53</v>
      </c>
      <c r="AS105" s="53" t="s">
        <v>561</v>
      </c>
      <c r="AT105" s="53" t="s">
        <v>53</v>
      </c>
      <c r="AU105" s="53" t="s">
        <v>561</v>
      </c>
      <c r="AV105" s="53" t="s">
        <v>799</v>
      </c>
      <c r="AW105" s="53" t="s">
        <v>561</v>
      </c>
      <c r="AX105" s="53" t="s">
        <v>561</v>
      </c>
      <c r="AY105" s="53" t="s">
        <v>561</v>
      </c>
      <c r="AZ105" s="53" t="s">
        <v>53</v>
      </c>
      <c r="BA105" s="53" t="s">
        <v>561</v>
      </c>
      <c r="BB105" s="53" t="s">
        <v>53</v>
      </c>
      <c r="BC105" s="53" t="s">
        <v>561</v>
      </c>
      <c r="BD105" s="53" t="s">
        <v>561</v>
      </c>
      <c r="BE105" s="53" t="s">
        <v>53</v>
      </c>
      <c r="BF105" s="53" t="s">
        <v>561</v>
      </c>
      <c r="BG105" s="53" t="s">
        <v>561</v>
      </c>
      <c r="BH105" s="53" t="s">
        <v>561</v>
      </c>
      <c r="BI105" s="107" t="s">
        <v>561</v>
      </c>
      <c r="BJ105" s="107" t="s">
        <v>561</v>
      </c>
      <c r="BK105" s="53" t="s">
        <v>561</v>
      </c>
      <c r="BL105" s="53" t="s">
        <v>561</v>
      </c>
      <c r="BM105" s="53" t="s">
        <v>561</v>
      </c>
      <c r="BN105" s="53" t="s">
        <v>561</v>
      </c>
      <c r="BO105" s="53" t="s">
        <v>53</v>
      </c>
      <c r="BP105" s="53" t="s">
        <v>600</v>
      </c>
      <c r="BQ105" s="118" t="s">
        <v>821</v>
      </c>
      <c r="BR105" s="118" t="s">
        <v>821</v>
      </c>
      <c r="BS105" s="118" t="s">
        <v>821</v>
      </c>
      <c r="BT105" s="122"/>
      <c r="BU105" s="122">
        <f t="shared" si="18"/>
        <v>100108</v>
      </c>
      <c r="BV105" s="126">
        <v>100108.0</v>
      </c>
      <c r="BW105" s="126"/>
      <c r="BX105" s="127"/>
      <c r="BY105" s="127"/>
      <c r="BZ105" s="13"/>
      <c r="CA105" s="13" t="s">
        <v>561</v>
      </c>
      <c r="CB105" s="13"/>
      <c r="CC105" s="13" t="s">
        <v>561</v>
      </c>
    </row>
    <row r="106">
      <c r="A106" s="44" t="str">
        <f>LOOKUP(H106,'Letter grades'!$A$1:$B$6)</f>
        <v>F</v>
      </c>
      <c r="B106" s="44">
        <f t="shared" si="3"/>
        <v>102</v>
      </c>
      <c r="C106" s="44" t="s">
        <v>1056</v>
      </c>
      <c r="D106" s="44" t="s">
        <v>2628</v>
      </c>
      <c r="E106" s="98" t="s">
        <v>1066</v>
      </c>
      <c r="F106" s="47">
        <f t="shared" si="4"/>
        <v>0</v>
      </c>
      <c r="G106" s="47">
        <f t="shared" si="5"/>
        <v>0.5294117647</v>
      </c>
      <c r="H106" s="105">
        <f t="shared" si="6"/>
        <v>0.3529411765</v>
      </c>
      <c r="I106" s="13" t="s">
        <v>2030</v>
      </c>
      <c r="J106" s="53" t="s">
        <v>594</v>
      </c>
      <c r="K106" s="53" t="s">
        <v>594</v>
      </c>
      <c r="L106" s="107" t="s">
        <v>594</v>
      </c>
      <c r="M106" s="53" t="s">
        <v>594</v>
      </c>
      <c r="N106" s="107" t="s">
        <v>594</v>
      </c>
      <c r="O106" s="53" t="s">
        <v>1065</v>
      </c>
      <c r="P106" s="108" t="s">
        <v>53</v>
      </c>
      <c r="Q106" s="110" t="s">
        <v>53</v>
      </c>
      <c r="R106" s="108" t="s">
        <v>766</v>
      </c>
      <c r="S106" s="107" t="s">
        <v>53</v>
      </c>
      <c r="T106" s="107" t="s">
        <v>561</v>
      </c>
      <c r="U106" s="107" t="s">
        <v>561</v>
      </c>
      <c r="V106" s="107" t="s">
        <v>796</v>
      </c>
      <c r="W106" s="107" t="s">
        <v>796</v>
      </c>
      <c r="X106" s="53" t="s">
        <v>766</v>
      </c>
      <c r="Y106" s="107" t="s">
        <v>561</v>
      </c>
      <c r="Z106" s="53" t="s">
        <v>53</v>
      </c>
      <c r="AA106" s="107" t="s">
        <v>561</v>
      </c>
      <c r="AB106" s="53" t="s">
        <v>53</v>
      </c>
      <c r="AC106" s="53" t="s">
        <v>561</v>
      </c>
      <c r="AD106" s="107" t="s">
        <v>53</v>
      </c>
      <c r="AE106" s="107" t="s">
        <v>53</v>
      </c>
      <c r="AF106" s="107" t="s">
        <v>561</v>
      </c>
      <c r="AG106" s="107" t="s">
        <v>53</v>
      </c>
      <c r="AH106" s="107" t="s">
        <v>53</v>
      </c>
      <c r="AI106" s="53" t="s">
        <v>600</v>
      </c>
      <c r="AJ106" s="53" t="s">
        <v>600</v>
      </c>
      <c r="AK106" s="53" t="s">
        <v>600</v>
      </c>
      <c r="AL106" s="53" t="s">
        <v>600</v>
      </c>
      <c r="AM106" s="53" t="s">
        <v>600</v>
      </c>
      <c r="AN106" s="53" t="s">
        <v>600</v>
      </c>
      <c r="AO106" s="53" t="s">
        <v>600</v>
      </c>
      <c r="AP106" s="53" t="s">
        <v>600</v>
      </c>
      <c r="AQ106" s="53" t="s">
        <v>600</v>
      </c>
      <c r="AR106" s="53" t="s">
        <v>600</v>
      </c>
      <c r="AS106" s="53" t="s">
        <v>600</v>
      </c>
      <c r="AT106" s="53" t="s">
        <v>600</v>
      </c>
      <c r="AU106" s="53" t="s">
        <v>600</v>
      </c>
      <c r="AV106" s="53" t="s">
        <v>600</v>
      </c>
      <c r="AW106" s="53" t="s">
        <v>600</v>
      </c>
      <c r="AX106" s="53" t="s">
        <v>600</v>
      </c>
      <c r="AY106" s="53" t="s">
        <v>600</v>
      </c>
      <c r="AZ106" s="53" t="s">
        <v>600</v>
      </c>
      <c r="BA106" s="53" t="s">
        <v>600</v>
      </c>
      <c r="BB106" s="53" t="s">
        <v>600</v>
      </c>
      <c r="BC106" s="53" t="s">
        <v>600</v>
      </c>
      <c r="BD106" s="53" t="s">
        <v>600</v>
      </c>
      <c r="BE106" s="53" t="s">
        <v>600</v>
      </c>
      <c r="BF106" s="53" t="s">
        <v>600</v>
      </c>
      <c r="BG106" s="53" t="s">
        <v>600</v>
      </c>
      <c r="BH106" s="53" t="s">
        <v>600</v>
      </c>
      <c r="BI106" s="107" t="s">
        <v>600</v>
      </c>
      <c r="BJ106" s="107" t="s">
        <v>600</v>
      </c>
      <c r="BK106" s="53" t="s">
        <v>600</v>
      </c>
      <c r="BL106" s="53" t="s">
        <v>600</v>
      </c>
      <c r="BM106" s="53" t="s">
        <v>600</v>
      </c>
      <c r="BN106" s="53" t="s">
        <v>600</v>
      </c>
      <c r="BO106" s="53" t="s">
        <v>600</v>
      </c>
      <c r="BP106" s="53" t="s">
        <v>600</v>
      </c>
      <c r="BQ106" s="180" t="s">
        <v>1832</v>
      </c>
      <c r="BR106" s="53" t="s">
        <v>600</v>
      </c>
      <c r="BS106" s="53" t="s">
        <v>600</v>
      </c>
      <c r="BT106" s="122"/>
      <c r="BU106" s="250" t="s">
        <v>600</v>
      </c>
      <c r="BV106" s="250" t="s">
        <v>600</v>
      </c>
      <c r="BW106" s="250" t="s">
        <v>600</v>
      </c>
      <c r="BX106" s="250" t="s">
        <v>600</v>
      </c>
      <c r="BY106" s="250" t="s">
        <v>600</v>
      </c>
      <c r="BZ106" s="250" t="s">
        <v>600</v>
      </c>
      <c r="CA106" s="250" t="s">
        <v>600</v>
      </c>
      <c r="CB106" s="250" t="s">
        <v>600</v>
      </c>
      <c r="CC106" s="250" t="s">
        <v>600</v>
      </c>
    </row>
    <row r="107">
      <c r="A107" s="44" t="str">
        <f>LOOKUP(H107,'Letter grades'!$A$1:$B$6)</f>
        <v>F</v>
      </c>
      <c r="B107" s="44">
        <f t="shared" si="3"/>
        <v>103</v>
      </c>
      <c r="C107" s="107" t="s">
        <v>2629</v>
      </c>
      <c r="D107" s="107" t="s">
        <v>2630</v>
      </c>
      <c r="E107" s="148" t="s">
        <v>808</v>
      </c>
      <c r="F107" s="47">
        <f t="shared" si="4"/>
        <v>0.1666666667</v>
      </c>
      <c r="G107" s="47">
        <f t="shared" si="5"/>
        <v>0.4444444444</v>
      </c>
      <c r="H107" s="105">
        <f t="shared" si="6"/>
        <v>0.3518518519</v>
      </c>
      <c r="I107" s="13" t="s">
        <v>108</v>
      </c>
      <c r="J107" s="53" t="s">
        <v>487</v>
      </c>
      <c r="K107" s="53" t="s">
        <v>594</v>
      </c>
      <c r="L107" s="107" t="s">
        <v>594</v>
      </c>
      <c r="M107" s="53" t="s">
        <v>594</v>
      </c>
      <c r="N107" s="107" t="s">
        <v>594</v>
      </c>
      <c r="O107" s="53" t="s">
        <v>1065</v>
      </c>
      <c r="P107" s="108" t="s">
        <v>53</v>
      </c>
      <c r="Q107" s="110" t="s">
        <v>53</v>
      </c>
      <c r="R107" s="108" t="s">
        <v>766</v>
      </c>
      <c r="S107" s="107" t="s">
        <v>53</v>
      </c>
      <c r="T107" s="107" t="s">
        <v>561</v>
      </c>
      <c r="U107" s="107" t="s">
        <v>561</v>
      </c>
      <c r="V107" s="107" t="s">
        <v>796</v>
      </c>
      <c r="W107" s="107" t="s">
        <v>796</v>
      </c>
      <c r="X107" s="53" t="s">
        <v>766</v>
      </c>
      <c r="Y107" s="107" t="s">
        <v>561</v>
      </c>
      <c r="Z107" s="53" t="s">
        <v>53</v>
      </c>
      <c r="AA107" s="53" t="s">
        <v>600</v>
      </c>
      <c r="AB107" s="53" t="s">
        <v>600</v>
      </c>
      <c r="AC107" s="53" t="s">
        <v>600</v>
      </c>
      <c r="AD107" s="53" t="s">
        <v>600</v>
      </c>
      <c r="AE107" s="53" t="s">
        <v>600</v>
      </c>
      <c r="AF107" s="53" t="s">
        <v>600</v>
      </c>
      <c r="AG107" s="53" t="s">
        <v>600</v>
      </c>
      <c r="AH107" s="53" t="s">
        <v>600</v>
      </c>
      <c r="AI107" s="53" t="s">
        <v>600</v>
      </c>
      <c r="AJ107" s="53" t="s">
        <v>600</v>
      </c>
      <c r="AK107" s="53" t="s">
        <v>600</v>
      </c>
      <c r="AL107" s="53" t="s">
        <v>600</v>
      </c>
      <c r="AM107" s="53" t="s">
        <v>600</v>
      </c>
      <c r="AN107" s="53" t="s">
        <v>600</v>
      </c>
      <c r="AO107" s="53" t="s">
        <v>600</v>
      </c>
      <c r="AP107" s="53" t="s">
        <v>600</v>
      </c>
      <c r="AQ107" s="53" t="s">
        <v>600</v>
      </c>
      <c r="AR107" s="53" t="s">
        <v>600</v>
      </c>
      <c r="AS107" s="53" t="s">
        <v>600</v>
      </c>
      <c r="AT107" s="53" t="s">
        <v>600</v>
      </c>
      <c r="AU107" s="53" t="s">
        <v>600</v>
      </c>
      <c r="AV107" s="53" t="s">
        <v>600</v>
      </c>
      <c r="AW107" s="53" t="s">
        <v>600</v>
      </c>
      <c r="AX107" s="53" t="s">
        <v>600</v>
      </c>
      <c r="AY107" s="53" t="s">
        <v>600</v>
      </c>
      <c r="AZ107" s="53" t="s">
        <v>600</v>
      </c>
      <c r="BA107" s="53" t="s">
        <v>600</v>
      </c>
      <c r="BB107" s="53" t="s">
        <v>600</v>
      </c>
      <c r="BC107" s="53" t="s">
        <v>600</v>
      </c>
      <c r="BD107" s="53" t="s">
        <v>600</v>
      </c>
      <c r="BE107" s="53" t="s">
        <v>600</v>
      </c>
      <c r="BF107" s="53" t="s">
        <v>600</v>
      </c>
      <c r="BG107" s="53" t="s">
        <v>600</v>
      </c>
      <c r="BH107" s="53" t="s">
        <v>600</v>
      </c>
      <c r="BI107" s="107" t="s">
        <v>600</v>
      </c>
      <c r="BJ107" s="107" t="s">
        <v>600</v>
      </c>
      <c r="BK107" s="53" t="s">
        <v>600</v>
      </c>
      <c r="BL107" s="53" t="s">
        <v>600</v>
      </c>
      <c r="BM107" s="53" t="s">
        <v>600</v>
      </c>
      <c r="BN107" s="53" t="s">
        <v>600</v>
      </c>
      <c r="BO107" s="53" t="s">
        <v>600</v>
      </c>
      <c r="BP107" s="53" t="s">
        <v>600</v>
      </c>
      <c r="BQ107" s="180" t="s">
        <v>1832</v>
      </c>
      <c r="BR107" s="53" t="s">
        <v>600</v>
      </c>
      <c r="BS107" s="53" t="s">
        <v>600</v>
      </c>
      <c r="BT107" s="122"/>
      <c r="BU107" s="122"/>
      <c r="BV107" s="126"/>
      <c r="BW107" s="126"/>
      <c r="BX107" s="127"/>
      <c r="BY107" s="127"/>
      <c r="BZ107" s="13"/>
      <c r="CA107" s="13"/>
      <c r="CB107" s="13"/>
      <c r="CC107" s="13"/>
    </row>
    <row r="108">
      <c r="A108" s="44" t="str">
        <f>LOOKUP(H108,'Letter grades'!$A$1:$B$6)</f>
        <v>F</v>
      </c>
      <c r="B108" s="44">
        <f t="shared" si="3"/>
        <v>103</v>
      </c>
      <c r="C108" s="107" t="s">
        <v>2632</v>
      </c>
      <c r="D108" s="107" t="s">
        <v>2633</v>
      </c>
      <c r="E108" s="148" t="s">
        <v>1332</v>
      </c>
      <c r="F108" s="47">
        <f t="shared" si="4"/>
        <v>0.1666666667</v>
      </c>
      <c r="G108" s="47">
        <f t="shared" si="5"/>
        <v>0.4444444444</v>
      </c>
      <c r="H108" s="105">
        <f t="shared" si="6"/>
        <v>0.3518518519</v>
      </c>
      <c r="I108" s="13"/>
      <c r="J108" s="53" t="s">
        <v>487</v>
      </c>
      <c r="K108" s="53" t="s">
        <v>594</v>
      </c>
      <c r="L108" s="107" t="s">
        <v>594</v>
      </c>
      <c r="M108" s="53" t="s">
        <v>594</v>
      </c>
      <c r="N108" s="107" t="s">
        <v>594</v>
      </c>
      <c r="O108" s="53" t="s">
        <v>1065</v>
      </c>
      <c r="P108" s="108" t="s">
        <v>53</v>
      </c>
      <c r="Q108" s="110" t="s">
        <v>53</v>
      </c>
      <c r="R108" s="108" t="s">
        <v>766</v>
      </c>
      <c r="S108" s="107" t="s">
        <v>53</v>
      </c>
      <c r="T108" s="107" t="s">
        <v>561</v>
      </c>
      <c r="U108" s="107" t="s">
        <v>561</v>
      </c>
      <c r="V108" s="107" t="s">
        <v>796</v>
      </c>
      <c r="W108" s="107" t="s">
        <v>796</v>
      </c>
      <c r="X108" s="53" t="s">
        <v>766</v>
      </c>
      <c r="Y108" s="107" t="s">
        <v>561</v>
      </c>
      <c r="Z108" s="53" t="s">
        <v>53</v>
      </c>
      <c r="AA108" s="53" t="s">
        <v>600</v>
      </c>
      <c r="AB108" s="53" t="s">
        <v>600</v>
      </c>
      <c r="AC108" s="53" t="s">
        <v>600</v>
      </c>
      <c r="AD108" s="53" t="s">
        <v>600</v>
      </c>
      <c r="AE108" s="53" t="s">
        <v>600</v>
      </c>
      <c r="AF108" s="53" t="s">
        <v>600</v>
      </c>
      <c r="AG108" s="53" t="s">
        <v>600</v>
      </c>
      <c r="AH108" s="53" t="s">
        <v>600</v>
      </c>
      <c r="AI108" s="53" t="s">
        <v>600</v>
      </c>
      <c r="AJ108" s="53" t="s">
        <v>600</v>
      </c>
      <c r="AK108" s="53" t="s">
        <v>600</v>
      </c>
      <c r="AL108" s="53" t="s">
        <v>600</v>
      </c>
      <c r="AM108" s="53" t="s">
        <v>600</v>
      </c>
      <c r="AN108" s="53" t="s">
        <v>600</v>
      </c>
      <c r="AO108" s="53" t="s">
        <v>600</v>
      </c>
      <c r="AP108" s="53" t="s">
        <v>600</v>
      </c>
      <c r="AQ108" s="53" t="s">
        <v>600</v>
      </c>
      <c r="AR108" s="53" t="s">
        <v>600</v>
      </c>
      <c r="AS108" s="53" t="s">
        <v>600</v>
      </c>
      <c r="AT108" s="53" t="s">
        <v>600</v>
      </c>
      <c r="AU108" s="53" t="s">
        <v>600</v>
      </c>
      <c r="AV108" s="53" t="s">
        <v>600</v>
      </c>
      <c r="AW108" s="53" t="s">
        <v>600</v>
      </c>
      <c r="AX108" s="53" t="s">
        <v>600</v>
      </c>
      <c r="AY108" s="53" t="s">
        <v>600</v>
      </c>
      <c r="AZ108" s="53" t="s">
        <v>600</v>
      </c>
      <c r="BA108" s="53" t="s">
        <v>600</v>
      </c>
      <c r="BB108" s="53" t="s">
        <v>600</v>
      </c>
      <c r="BC108" s="53" t="s">
        <v>600</v>
      </c>
      <c r="BD108" s="53" t="s">
        <v>600</v>
      </c>
      <c r="BE108" s="53" t="s">
        <v>600</v>
      </c>
      <c r="BF108" s="53" t="s">
        <v>600</v>
      </c>
      <c r="BG108" s="53" t="s">
        <v>600</v>
      </c>
      <c r="BH108" s="53" t="s">
        <v>600</v>
      </c>
      <c r="BI108" s="107" t="s">
        <v>600</v>
      </c>
      <c r="BJ108" s="107" t="s">
        <v>600</v>
      </c>
      <c r="BK108" s="53" t="s">
        <v>600</v>
      </c>
      <c r="BL108" s="53" t="s">
        <v>600</v>
      </c>
      <c r="BM108" s="53" t="s">
        <v>600</v>
      </c>
      <c r="BN108" s="53" t="s">
        <v>600</v>
      </c>
      <c r="BO108" s="53" t="s">
        <v>600</v>
      </c>
      <c r="BP108" s="53" t="s">
        <v>600</v>
      </c>
      <c r="BQ108" s="180" t="s">
        <v>1832</v>
      </c>
      <c r="BR108" s="53" t="s">
        <v>600</v>
      </c>
      <c r="BS108" s="53" t="s">
        <v>600</v>
      </c>
      <c r="BT108" s="122"/>
      <c r="BU108" s="122"/>
      <c r="BV108" s="126"/>
      <c r="BW108" s="126"/>
      <c r="BX108" s="127"/>
      <c r="BY108" s="127"/>
      <c r="BZ108" s="13"/>
      <c r="CA108" s="13"/>
      <c r="CB108" s="13"/>
      <c r="CC108" s="13"/>
    </row>
    <row r="109">
      <c r="A109" s="44" t="str">
        <f>LOOKUP(H109,'Letter grades'!$A$1:$B$6)</f>
        <v>F</v>
      </c>
      <c r="B109" s="44">
        <f t="shared" si="3"/>
        <v>105</v>
      </c>
      <c r="C109" s="44" t="s">
        <v>1009</v>
      </c>
      <c r="D109" s="44" t="s">
        <v>1010</v>
      </c>
      <c r="E109" s="98" t="s">
        <v>1007</v>
      </c>
      <c r="F109" s="47">
        <f t="shared" si="4"/>
        <v>0.1666666667</v>
      </c>
      <c r="G109" s="47">
        <f t="shared" si="5"/>
        <v>0.4411764706</v>
      </c>
      <c r="H109" s="105">
        <f t="shared" si="6"/>
        <v>0.3496732026</v>
      </c>
      <c r="I109" s="13" t="s">
        <v>1208</v>
      </c>
      <c r="J109" s="53" t="s">
        <v>487</v>
      </c>
      <c r="K109" s="53" t="s">
        <v>594</v>
      </c>
      <c r="L109" s="107" t="s">
        <v>594</v>
      </c>
      <c r="M109" s="53" t="s">
        <v>594</v>
      </c>
      <c r="N109" s="107" t="s">
        <v>594</v>
      </c>
      <c r="O109" s="53" t="s">
        <v>1065</v>
      </c>
      <c r="P109" s="108" t="s">
        <v>53</v>
      </c>
      <c r="Q109" s="110" t="s">
        <v>53</v>
      </c>
      <c r="R109" s="108" t="s">
        <v>766</v>
      </c>
      <c r="S109" s="107" t="s">
        <v>53</v>
      </c>
      <c r="T109" s="107" t="s">
        <v>561</v>
      </c>
      <c r="U109" s="107" t="s">
        <v>53</v>
      </c>
      <c r="V109" s="107" t="s">
        <v>796</v>
      </c>
      <c r="W109" s="107" t="s">
        <v>796</v>
      </c>
      <c r="X109" s="53" t="s">
        <v>766</v>
      </c>
      <c r="Y109" s="107" t="s">
        <v>561</v>
      </c>
      <c r="Z109" s="53" t="s">
        <v>53</v>
      </c>
      <c r="AA109" s="107" t="s">
        <v>53</v>
      </c>
      <c r="AB109" s="53" t="s">
        <v>53</v>
      </c>
      <c r="AC109" s="53" t="s">
        <v>561</v>
      </c>
      <c r="AD109" s="107" t="s">
        <v>53</v>
      </c>
      <c r="AE109" s="107" t="s">
        <v>53</v>
      </c>
      <c r="AF109" s="107" t="s">
        <v>53</v>
      </c>
      <c r="AG109" s="107" t="s">
        <v>53</v>
      </c>
      <c r="AH109" s="107" t="s">
        <v>53</v>
      </c>
      <c r="AI109" s="107" t="s">
        <v>53</v>
      </c>
      <c r="AJ109" s="107" t="s">
        <v>561</v>
      </c>
      <c r="AK109" s="107" t="s">
        <v>561</v>
      </c>
      <c r="AL109" s="107" t="s">
        <v>561</v>
      </c>
      <c r="AM109" s="107" t="s">
        <v>53</v>
      </c>
      <c r="AN109" s="53" t="s">
        <v>561</v>
      </c>
      <c r="AO109" s="107" t="s">
        <v>561</v>
      </c>
      <c r="AP109" s="53" t="s">
        <v>561</v>
      </c>
      <c r="AQ109" s="53" t="s">
        <v>561</v>
      </c>
      <c r="AR109" s="53" t="s">
        <v>53</v>
      </c>
      <c r="AS109" s="53" t="s">
        <v>561</v>
      </c>
      <c r="AT109" s="53" t="s">
        <v>53</v>
      </c>
      <c r="AU109" s="53" t="s">
        <v>53</v>
      </c>
      <c r="AV109" s="53" t="s">
        <v>799</v>
      </c>
      <c r="AW109" s="53" t="s">
        <v>561</v>
      </c>
      <c r="AX109" s="53" t="s">
        <v>561</v>
      </c>
      <c r="AY109" s="53" t="s">
        <v>53</v>
      </c>
      <c r="AZ109" s="53" t="s">
        <v>53</v>
      </c>
      <c r="BA109" s="53" t="s">
        <v>561</v>
      </c>
      <c r="BB109" s="53" t="s">
        <v>53</v>
      </c>
      <c r="BC109" s="53" t="s">
        <v>53</v>
      </c>
      <c r="BD109" s="53" t="s">
        <v>561</v>
      </c>
      <c r="BE109" s="53" t="s">
        <v>561</v>
      </c>
      <c r="BF109" s="53" t="s">
        <v>561</v>
      </c>
      <c r="BG109" s="53" t="s">
        <v>561</v>
      </c>
      <c r="BH109" s="53" t="s">
        <v>561</v>
      </c>
      <c r="BI109" s="107" t="s">
        <v>53</v>
      </c>
      <c r="BJ109" s="107" t="s">
        <v>561</v>
      </c>
      <c r="BK109" s="53" t="s">
        <v>561</v>
      </c>
      <c r="BL109" s="53" t="s">
        <v>561</v>
      </c>
      <c r="BM109" s="53" t="s">
        <v>561</v>
      </c>
      <c r="BN109" s="53" t="s">
        <v>561</v>
      </c>
      <c r="BO109" s="53" t="s">
        <v>561</v>
      </c>
      <c r="BP109" s="53" t="s">
        <v>561</v>
      </c>
      <c r="BQ109" s="118" t="s">
        <v>821</v>
      </c>
      <c r="BR109" s="118" t="s">
        <v>821</v>
      </c>
      <c r="BS109" s="118" t="s">
        <v>821</v>
      </c>
      <c r="BT109" s="122"/>
      <c r="BU109" s="122">
        <f t="shared" ref="BU109:BU114" si="19">SUM(BV109:BY109)</f>
        <v>22261</v>
      </c>
      <c r="BV109" s="126">
        <v>22261.0</v>
      </c>
      <c r="BW109" s="126"/>
      <c r="BX109" s="127"/>
      <c r="BY109" s="127"/>
      <c r="BZ109" s="13"/>
      <c r="CA109" s="13" t="s">
        <v>561</v>
      </c>
      <c r="CB109" s="13"/>
      <c r="CC109" s="13" t="s">
        <v>561</v>
      </c>
    </row>
    <row r="110">
      <c r="A110" s="44" t="str">
        <f>LOOKUP(H110,'Letter grades'!$A$1:$B$6)</f>
        <v>F</v>
      </c>
      <c r="B110" s="44">
        <f t="shared" si="3"/>
        <v>106</v>
      </c>
      <c r="C110" s="44" t="s">
        <v>745</v>
      </c>
      <c r="D110" s="44" t="s">
        <v>746</v>
      </c>
      <c r="E110" s="145" t="s">
        <v>739</v>
      </c>
      <c r="F110" s="47">
        <f t="shared" si="4"/>
        <v>0.3333333333</v>
      </c>
      <c r="G110" s="47">
        <f t="shared" si="5"/>
        <v>0.3571428571</v>
      </c>
      <c r="H110" s="105">
        <f t="shared" si="6"/>
        <v>0.3492063492</v>
      </c>
      <c r="I110" s="13" t="s">
        <v>108</v>
      </c>
      <c r="J110" s="53" t="s">
        <v>487</v>
      </c>
      <c r="K110" s="53" t="s">
        <v>594</v>
      </c>
      <c r="L110" s="107" t="s">
        <v>594</v>
      </c>
      <c r="M110" s="53" t="s">
        <v>594</v>
      </c>
      <c r="N110" s="107" t="s">
        <v>594</v>
      </c>
      <c r="O110" s="53" t="s">
        <v>490</v>
      </c>
      <c r="P110" s="108" t="s">
        <v>53</v>
      </c>
      <c r="Q110" s="110" t="s">
        <v>53</v>
      </c>
      <c r="R110" s="108" t="s">
        <v>491</v>
      </c>
      <c r="S110" s="107" t="s">
        <v>53</v>
      </c>
      <c r="T110" s="107" t="s">
        <v>561</v>
      </c>
      <c r="U110" s="107" t="s">
        <v>561</v>
      </c>
      <c r="V110" s="107" t="s">
        <v>796</v>
      </c>
      <c r="W110" s="107" t="s">
        <v>796</v>
      </c>
      <c r="X110" s="53" t="s">
        <v>766</v>
      </c>
      <c r="Y110" s="107" t="s">
        <v>561</v>
      </c>
      <c r="Z110" s="53" t="s">
        <v>53</v>
      </c>
      <c r="AA110" s="107" t="s">
        <v>53</v>
      </c>
      <c r="AB110" s="53" t="s">
        <v>53</v>
      </c>
      <c r="AC110" s="53" t="s">
        <v>561</v>
      </c>
      <c r="AD110" s="107" t="s">
        <v>53</v>
      </c>
      <c r="AE110" s="107" t="s">
        <v>53</v>
      </c>
      <c r="AF110" s="107" t="s">
        <v>53</v>
      </c>
      <c r="AG110" s="107" t="s">
        <v>53</v>
      </c>
      <c r="AH110" s="107" t="s">
        <v>53</v>
      </c>
      <c r="AI110" s="107" t="s">
        <v>561</v>
      </c>
      <c r="AJ110" s="107" t="s">
        <v>561</v>
      </c>
      <c r="AK110" s="107" t="s">
        <v>561</v>
      </c>
      <c r="AL110" s="107" t="s">
        <v>561</v>
      </c>
      <c r="AM110" s="107" t="s">
        <v>561</v>
      </c>
      <c r="AN110" s="53" t="s">
        <v>561</v>
      </c>
      <c r="AO110" s="107" t="s">
        <v>561</v>
      </c>
      <c r="AP110" s="53" t="s">
        <v>561</v>
      </c>
      <c r="AQ110" s="53" t="s">
        <v>561</v>
      </c>
      <c r="AR110" s="53" t="s">
        <v>53</v>
      </c>
      <c r="AS110" s="53" t="s">
        <v>561</v>
      </c>
      <c r="AT110" s="53" t="s">
        <v>53</v>
      </c>
      <c r="AU110" s="53" t="s">
        <v>561</v>
      </c>
      <c r="AV110" s="53" t="s">
        <v>799</v>
      </c>
      <c r="AW110" s="53" t="s">
        <v>561</v>
      </c>
      <c r="AX110" s="53" t="s">
        <v>561</v>
      </c>
      <c r="AY110" s="53" t="s">
        <v>561</v>
      </c>
      <c r="AZ110" s="53" t="s">
        <v>53</v>
      </c>
      <c r="BA110" s="53" t="s">
        <v>561</v>
      </c>
      <c r="BB110" s="53" t="s">
        <v>53</v>
      </c>
      <c r="BC110" s="53" t="s">
        <v>561</v>
      </c>
      <c r="BD110" s="53" t="s">
        <v>561</v>
      </c>
      <c r="BE110" s="53" t="s">
        <v>53</v>
      </c>
      <c r="BF110" s="53" t="s">
        <v>561</v>
      </c>
      <c r="BG110" s="53" t="s">
        <v>561</v>
      </c>
      <c r="BH110" s="53" t="s">
        <v>561</v>
      </c>
      <c r="BI110" s="107" t="s">
        <v>561</v>
      </c>
      <c r="BJ110" s="107" t="s">
        <v>561</v>
      </c>
      <c r="BK110" s="53" t="s">
        <v>561</v>
      </c>
      <c r="BL110" s="53" t="s">
        <v>561</v>
      </c>
      <c r="BM110" s="53" t="s">
        <v>561</v>
      </c>
      <c r="BN110" s="53" t="s">
        <v>561</v>
      </c>
      <c r="BO110" s="53" t="s">
        <v>600</v>
      </c>
      <c r="BP110" s="53" t="s">
        <v>600</v>
      </c>
      <c r="BQ110" s="118" t="s">
        <v>821</v>
      </c>
      <c r="BR110" s="118" t="s">
        <v>821</v>
      </c>
      <c r="BS110" s="118" t="s">
        <v>821</v>
      </c>
      <c r="BT110" s="122"/>
      <c r="BU110" s="122">
        <f t="shared" si="19"/>
        <v>10000</v>
      </c>
      <c r="BV110" s="126">
        <v>10000.0</v>
      </c>
      <c r="BW110" s="126"/>
      <c r="BX110" s="127"/>
      <c r="BY110" s="127"/>
      <c r="BZ110" s="13"/>
      <c r="CA110" s="13" t="s">
        <v>561</v>
      </c>
      <c r="CB110" s="13"/>
      <c r="CC110" s="13" t="s">
        <v>561</v>
      </c>
    </row>
    <row r="111">
      <c r="A111" s="44" t="str">
        <f>LOOKUP(H111,'Letter grades'!$A$1:$B$6)</f>
        <v>F</v>
      </c>
      <c r="B111" s="44">
        <f t="shared" si="3"/>
        <v>107</v>
      </c>
      <c r="C111" s="44" t="s">
        <v>1019</v>
      </c>
      <c r="D111" s="44" t="s">
        <v>1020</v>
      </c>
      <c r="E111" s="98" t="s">
        <v>1017</v>
      </c>
      <c r="F111" s="47">
        <f t="shared" si="4"/>
        <v>0.3333333333</v>
      </c>
      <c r="G111" s="47">
        <f t="shared" si="5"/>
        <v>0.3510638298</v>
      </c>
      <c r="H111" s="105">
        <f t="shared" si="6"/>
        <v>0.3451536643</v>
      </c>
      <c r="I111" s="13" t="s">
        <v>108</v>
      </c>
      <c r="J111" s="53" t="s">
        <v>487</v>
      </c>
      <c r="K111" s="53" t="s">
        <v>594</v>
      </c>
      <c r="L111" s="107" t="s">
        <v>594</v>
      </c>
      <c r="M111" s="53" t="s">
        <v>594</v>
      </c>
      <c r="N111" s="107" t="s">
        <v>594</v>
      </c>
      <c r="O111" s="53" t="s">
        <v>490</v>
      </c>
      <c r="P111" s="108" t="s">
        <v>53</v>
      </c>
      <c r="Q111" s="108" t="s">
        <v>801</v>
      </c>
      <c r="R111" s="108" t="s">
        <v>801</v>
      </c>
      <c r="S111" s="107" t="s">
        <v>53</v>
      </c>
      <c r="T111" s="107" t="s">
        <v>561</v>
      </c>
      <c r="U111" s="107" t="s">
        <v>801</v>
      </c>
      <c r="V111" s="107" t="s">
        <v>796</v>
      </c>
      <c r="W111" s="107" t="s">
        <v>796</v>
      </c>
      <c r="X111" s="53" t="s">
        <v>766</v>
      </c>
      <c r="Y111" s="107" t="s">
        <v>561</v>
      </c>
      <c r="Z111" s="53" t="s">
        <v>801</v>
      </c>
      <c r="AA111" s="107" t="s">
        <v>53</v>
      </c>
      <c r="AB111" s="53" t="s">
        <v>53</v>
      </c>
      <c r="AC111" s="53" t="s">
        <v>561</v>
      </c>
      <c r="AD111" s="107" t="s">
        <v>53</v>
      </c>
      <c r="AE111" s="107" t="s">
        <v>53</v>
      </c>
      <c r="AF111" s="107" t="s">
        <v>53</v>
      </c>
      <c r="AG111" s="107" t="s">
        <v>53</v>
      </c>
      <c r="AH111" s="107" t="s">
        <v>53</v>
      </c>
      <c r="AI111" s="107" t="s">
        <v>53</v>
      </c>
      <c r="AJ111" s="107" t="s">
        <v>561</v>
      </c>
      <c r="AK111" s="107" t="s">
        <v>561</v>
      </c>
      <c r="AL111" s="107" t="s">
        <v>561</v>
      </c>
      <c r="AM111" s="107" t="s">
        <v>561</v>
      </c>
      <c r="AN111" s="53" t="s">
        <v>561</v>
      </c>
      <c r="AO111" s="107" t="s">
        <v>561</v>
      </c>
      <c r="AP111" s="53" t="s">
        <v>561</v>
      </c>
      <c r="AQ111" s="53" t="s">
        <v>561</v>
      </c>
      <c r="AR111" s="53" t="s">
        <v>53</v>
      </c>
      <c r="AS111" s="53" t="s">
        <v>561</v>
      </c>
      <c r="AT111" s="53" t="s">
        <v>53</v>
      </c>
      <c r="AU111" s="53" t="s">
        <v>561</v>
      </c>
      <c r="AV111" s="53" t="s">
        <v>799</v>
      </c>
      <c r="AW111" s="53" t="s">
        <v>561</v>
      </c>
      <c r="AX111" s="53" t="s">
        <v>561</v>
      </c>
      <c r="AY111" s="53" t="s">
        <v>53</v>
      </c>
      <c r="AZ111" s="53" t="s">
        <v>53</v>
      </c>
      <c r="BA111" s="53" t="s">
        <v>561</v>
      </c>
      <c r="BB111" s="53" t="s">
        <v>53</v>
      </c>
      <c r="BC111" s="53" t="s">
        <v>561</v>
      </c>
      <c r="BD111" s="53" t="s">
        <v>561</v>
      </c>
      <c r="BE111" s="53" t="s">
        <v>561</v>
      </c>
      <c r="BF111" s="53" t="s">
        <v>561</v>
      </c>
      <c r="BG111" s="53" t="s">
        <v>561</v>
      </c>
      <c r="BH111" s="53" t="s">
        <v>561</v>
      </c>
      <c r="BI111" s="107" t="s">
        <v>53</v>
      </c>
      <c r="BJ111" s="107" t="s">
        <v>561</v>
      </c>
      <c r="BK111" s="53" t="s">
        <v>561</v>
      </c>
      <c r="BL111" s="53" t="s">
        <v>561</v>
      </c>
      <c r="BM111" s="53" t="s">
        <v>561</v>
      </c>
      <c r="BN111" s="53" t="s">
        <v>561</v>
      </c>
      <c r="BO111" s="53" t="s">
        <v>561</v>
      </c>
      <c r="BP111" s="53" t="s">
        <v>561</v>
      </c>
      <c r="BQ111" s="118" t="s">
        <v>821</v>
      </c>
      <c r="BR111" s="180" t="s">
        <v>1832</v>
      </c>
      <c r="BS111" s="118" t="s">
        <v>821</v>
      </c>
      <c r="BT111" s="122"/>
      <c r="BU111" s="122">
        <f t="shared" si="19"/>
        <v>10150</v>
      </c>
      <c r="BV111" s="126">
        <v>8150.0</v>
      </c>
      <c r="BW111" s="126"/>
      <c r="BX111" s="127">
        <f>4000-2000</f>
        <v>2000</v>
      </c>
      <c r="BY111" s="127"/>
      <c r="BZ111" s="13"/>
      <c r="CA111" s="13" t="s">
        <v>561</v>
      </c>
      <c r="CB111" s="13"/>
      <c r="CC111" s="13" t="s">
        <v>561</v>
      </c>
    </row>
    <row r="112">
      <c r="A112" s="44" t="str">
        <f>LOOKUP(H112,'Letter grades'!$A$1:$B$6)</f>
        <v>F</v>
      </c>
      <c r="B112" s="44">
        <f t="shared" si="3"/>
        <v>108</v>
      </c>
      <c r="C112" s="44" t="s">
        <v>614</v>
      </c>
      <c r="D112" s="44" t="s">
        <v>615</v>
      </c>
      <c r="E112" s="98" t="s">
        <v>609</v>
      </c>
      <c r="F112" s="47">
        <f t="shared" si="4"/>
        <v>0.3333333333</v>
      </c>
      <c r="G112" s="47">
        <f t="shared" si="5"/>
        <v>0.35</v>
      </c>
      <c r="H112" s="105">
        <f t="shared" si="6"/>
        <v>0.3444444444</v>
      </c>
      <c r="I112" s="13" t="s">
        <v>1208</v>
      </c>
      <c r="J112" s="53" t="s">
        <v>487</v>
      </c>
      <c r="K112" s="53" t="s">
        <v>594</v>
      </c>
      <c r="L112" s="107" t="s">
        <v>594</v>
      </c>
      <c r="M112" s="53" t="s">
        <v>594</v>
      </c>
      <c r="N112" s="107" t="s">
        <v>594</v>
      </c>
      <c r="O112" s="53" t="s">
        <v>490</v>
      </c>
      <c r="P112" s="108" t="s">
        <v>53</v>
      </c>
      <c r="Q112" s="110" t="s">
        <v>53</v>
      </c>
      <c r="R112" s="108" t="s">
        <v>766</v>
      </c>
      <c r="S112" s="107" t="s">
        <v>53</v>
      </c>
      <c r="T112" s="107" t="s">
        <v>53</v>
      </c>
      <c r="U112" s="107" t="s">
        <v>53</v>
      </c>
      <c r="V112" s="107" t="s">
        <v>796</v>
      </c>
      <c r="W112" s="107" t="s">
        <v>796</v>
      </c>
      <c r="X112" s="53" t="s">
        <v>766</v>
      </c>
      <c r="Y112" s="107" t="s">
        <v>561</v>
      </c>
      <c r="Z112" s="53" t="s">
        <v>53</v>
      </c>
      <c r="AA112" s="107" t="s">
        <v>53</v>
      </c>
      <c r="AB112" s="53" t="s">
        <v>53</v>
      </c>
      <c r="AC112" s="53" t="s">
        <v>561</v>
      </c>
      <c r="AD112" s="107" t="s">
        <v>53</v>
      </c>
      <c r="AE112" s="107" t="s">
        <v>53</v>
      </c>
      <c r="AF112" s="107" t="s">
        <v>53</v>
      </c>
      <c r="AG112" s="107" t="s">
        <v>53</v>
      </c>
      <c r="AH112" s="107" t="s">
        <v>53</v>
      </c>
      <c r="AI112" s="107" t="s">
        <v>561</v>
      </c>
      <c r="AJ112" s="107" t="s">
        <v>561</v>
      </c>
      <c r="AK112" s="107" t="s">
        <v>561</v>
      </c>
      <c r="AL112" s="107" t="s">
        <v>561</v>
      </c>
      <c r="AM112" s="107" t="s">
        <v>561</v>
      </c>
      <c r="AN112" s="53" t="s">
        <v>561</v>
      </c>
      <c r="AO112" s="107" t="s">
        <v>561</v>
      </c>
      <c r="AP112" s="53" t="s">
        <v>561</v>
      </c>
      <c r="AQ112" s="53" t="s">
        <v>561</v>
      </c>
      <c r="AR112" s="53" t="s">
        <v>53</v>
      </c>
      <c r="AS112" s="53" t="s">
        <v>561</v>
      </c>
      <c r="AT112" s="53" t="s">
        <v>53</v>
      </c>
      <c r="AU112" s="53" t="s">
        <v>561</v>
      </c>
      <c r="AV112" s="53" t="s">
        <v>799</v>
      </c>
      <c r="AW112" s="53" t="s">
        <v>561</v>
      </c>
      <c r="AX112" s="53" t="s">
        <v>561</v>
      </c>
      <c r="AY112" s="53" t="s">
        <v>561</v>
      </c>
      <c r="AZ112" s="53" t="s">
        <v>53</v>
      </c>
      <c r="BA112" s="53" t="s">
        <v>561</v>
      </c>
      <c r="BB112" s="53" t="s">
        <v>53</v>
      </c>
      <c r="BC112" s="53" t="s">
        <v>561</v>
      </c>
      <c r="BD112" s="53" t="s">
        <v>561</v>
      </c>
      <c r="BE112" s="53" t="s">
        <v>561</v>
      </c>
      <c r="BF112" s="53" t="s">
        <v>561</v>
      </c>
      <c r="BG112" s="53" t="s">
        <v>561</v>
      </c>
      <c r="BH112" s="53" t="s">
        <v>561</v>
      </c>
      <c r="BI112" s="107" t="s">
        <v>561</v>
      </c>
      <c r="BJ112" s="107" t="s">
        <v>561</v>
      </c>
      <c r="BK112" s="53" t="s">
        <v>561</v>
      </c>
      <c r="BL112" s="53" t="s">
        <v>561</v>
      </c>
      <c r="BM112" s="53" t="s">
        <v>561</v>
      </c>
      <c r="BN112" s="53" t="s">
        <v>561</v>
      </c>
      <c r="BO112" s="53" t="s">
        <v>561</v>
      </c>
      <c r="BP112" s="53" t="s">
        <v>600</v>
      </c>
      <c r="BQ112" s="118" t="s">
        <v>821</v>
      </c>
      <c r="BR112" s="118" t="s">
        <v>821</v>
      </c>
      <c r="BS112" s="118" t="s">
        <v>821</v>
      </c>
      <c r="BT112" s="122"/>
      <c r="BU112" s="122">
        <f t="shared" si="19"/>
        <v>45330</v>
      </c>
      <c r="BV112" s="126">
        <v>43330.0</v>
      </c>
      <c r="BW112" s="126"/>
      <c r="BX112" s="127">
        <f>2000</f>
        <v>2000</v>
      </c>
      <c r="BY112" s="127"/>
      <c r="BZ112" s="13"/>
      <c r="CA112" s="13"/>
      <c r="CB112" s="13" t="s">
        <v>561</v>
      </c>
      <c r="CC112" s="13" t="s">
        <v>561</v>
      </c>
    </row>
    <row r="113">
      <c r="A113" s="44" t="str">
        <f>LOOKUP(H113,'Letter grades'!$A$1:$B$6)</f>
        <v>F</v>
      </c>
      <c r="B113" s="44">
        <f t="shared" si="3"/>
        <v>109</v>
      </c>
      <c r="C113" s="44" t="s">
        <v>663</v>
      </c>
      <c r="D113" s="44" t="s">
        <v>664</v>
      </c>
      <c r="E113" s="98" t="s">
        <v>661</v>
      </c>
      <c r="F113" s="47">
        <f t="shared" si="4"/>
        <v>0.5</v>
      </c>
      <c r="G113" s="47">
        <f t="shared" si="5"/>
        <v>0.2551020408</v>
      </c>
      <c r="H113" s="105">
        <f t="shared" si="6"/>
        <v>0.3367346939</v>
      </c>
      <c r="I113" s="13" t="s">
        <v>2610</v>
      </c>
      <c r="J113" s="53" t="s">
        <v>487</v>
      </c>
      <c r="K113" s="53" t="s">
        <v>487</v>
      </c>
      <c r="L113" s="107" t="s">
        <v>594</v>
      </c>
      <c r="M113" s="53" t="s">
        <v>594</v>
      </c>
      <c r="N113" s="107" t="s">
        <v>594</v>
      </c>
      <c r="O113" s="53" t="s">
        <v>490</v>
      </c>
      <c r="P113" s="108" t="s">
        <v>53</v>
      </c>
      <c r="Q113" s="110" t="s">
        <v>53</v>
      </c>
      <c r="R113" s="108" t="s">
        <v>766</v>
      </c>
      <c r="S113" s="107" t="s">
        <v>561</v>
      </c>
      <c r="T113" s="107" t="s">
        <v>561</v>
      </c>
      <c r="U113" s="107" t="s">
        <v>561</v>
      </c>
      <c r="V113" s="107" t="s">
        <v>796</v>
      </c>
      <c r="W113" s="107" t="s">
        <v>796</v>
      </c>
      <c r="X113" s="53" t="s">
        <v>766</v>
      </c>
      <c r="Y113" s="107" t="s">
        <v>561</v>
      </c>
      <c r="Z113" s="53" t="s">
        <v>53</v>
      </c>
      <c r="AA113" s="107" t="s">
        <v>53</v>
      </c>
      <c r="AB113" s="53" t="s">
        <v>53</v>
      </c>
      <c r="AC113" s="53" t="s">
        <v>561</v>
      </c>
      <c r="AD113" s="107" t="s">
        <v>561</v>
      </c>
      <c r="AE113" s="107" t="s">
        <v>53</v>
      </c>
      <c r="AF113" s="107" t="s">
        <v>53</v>
      </c>
      <c r="AG113" s="107" t="s">
        <v>53</v>
      </c>
      <c r="AH113" s="107" t="s">
        <v>53</v>
      </c>
      <c r="AI113" s="107" t="s">
        <v>561</v>
      </c>
      <c r="AJ113" s="107" t="s">
        <v>561</v>
      </c>
      <c r="AK113" s="107" t="s">
        <v>561</v>
      </c>
      <c r="AL113" s="107" t="s">
        <v>561</v>
      </c>
      <c r="AM113" s="107" t="s">
        <v>561</v>
      </c>
      <c r="AN113" s="53" t="s">
        <v>561</v>
      </c>
      <c r="AO113" s="107" t="s">
        <v>561</v>
      </c>
      <c r="AP113" s="53" t="s">
        <v>561</v>
      </c>
      <c r="AQ113" s="53" t="s">
        <v>561</v>
      </c>
      <c r="AR113" s="53" t="s">
        <v>53</v>
      </c>
      <c r="AS113" s="53" t="s">
        <v>561</v>
      </c>
      <c r="AT113" s="53" t="s">
        <v>561</v>
      </c>
      <c r="AU113" s="53" t="s">
        <v>561</v>
      </c>
      <c r="AV113" s="53" t="s">
        <v>799</v>
      </c>
      <c r="AW113" s="53" t="s">
        <v>561</v>
      </c>
      <c r="AX113" s="53" t="s">
        <v>561</v>
      </c>
      <c r="AY113" s="53" t="s">
        <v>561</v>
      </c>
      <c r="AZ113" s="53" t="s">
        <v>53</v>
      </c>
      <c r="BA113" s="53" t="s">
        <v>561</v>
      </c>
      <c r="BB113" s="53" t="s">
        <v>53</v>
      </c>
      <c r="BC113" s="53" t="s">
        <v>561</v>
      </c>
      <c r="BD113" s="53" t="s">
        <v>561</v>
      </c>
      <c r="BE113" s="53" t="s">
        <v>561</v>
      </c>
      <c r="BF113" s="53" t="s">
        <v>561</v>
      </c>
      <c r="BG113" s="53" t="s">
        <v>561</v>
      </c>
      <c r="BH113" s="53" t="s">
        <v>561</v>
      </c>
      <c r="BI113" s="107" t="s">
        <v>561</v>
      </c>
      <c r="BJ113" s="107" t="s">
        <v>561</v>
      </c>
      <c r="BK113" s="53" t="s">
        <v>561</v>
      </c>
      <c r="BL113" s="53" t="s">
        <v>561</v>
      </c>
      <c r="BM113" s="53" t="s">
        <v>561</v>
      </c>
      <c r="BN113" s="53" t="s">
        <v>561</v>
      </c>
      <c r="BO113" s="53" t="s">
        <v>600</v>
      </c>
      <c r="BP113" s="53" t="s">
        <v>600</v>
      </c>
      <c r="BQ113" s="118" t="s">
        <v>821</v>
      </c>
      <c r="BR113" s="118" t="s">
        <v>821</v>
      </c>
      <c r="BS113" s="118" t="s">
        <v>821</v>
      </c>
      <c r="BT113" s="122"/>
      <c r="BU113" s="122">
        <f t="shared" si="19"/>
        <v>43130</v>
      </c>
      <c r="BV113" s="126">
        <v>39130.0</v>
      </c>
      <c r="BW113" s="126"/>
      <c r="BX113" s="127">
        <f>2000+2000</f>
        <v>4000</v>
      </c>
      <c r="BY113" s="127"/>
      <c r="BZ113" s="13"/>
      <c r="CA113" s="13" t="s">
        <v>561</v>
      </c>
      <c r="CB113" s="13" t="s">
        <v>561</v>
      </c>
      <c r="CC113" s="13" t="s">
        <v>561</v>
      </c>
    </row>
    <row r="114">
      <c r="A114" s="44" t="str">
        <f>LOOKUP(H114,'Letter grades'!$A$1:$B$6)</f>
        <v>F</v>
      </c>
      <c r="B114" s="44">
        <f t="shared" si="3"/>
        <v>110</v>
      </c>
      <c r="C114" s="44" t="s">
        <v>1364</v>
      </c>
      <c r="D114" s="44" t="s">
        <v>1365</v>
      </c>
      <c r="E114" s="98" t="s">
        <v>1362</v>
      </c>
      <c r="F114" s="47">
        <f t="shared" si="4"/>
        <v>0.5</v>
      </c>
      <c r="G114" s="47">
        <f t="shared" si="5"/>
        <v>0.25</v>
      </c>
      <c r="H114" s="105">
        <f t="shared" si="6"/>
        <v>0.3333333333</v>
      </c>
      <c r="I114" s="13"/>
      <c r="J114" s="53" t="s">
        <v>487</v>
      </c>
      <c r="K114" s="53" t="s">
        <v>487</v>
      </c>
      <c r="L114" s="107" t="s">
        <v>594</v>
      </c>
      <c r="M114" s="53" t="s">
        <v>594</v>
      </c>
      <c r="N114" s="107" t="s">
        <v>594</v>
      </c>
      <c r="O114" s="53" t="s">
        <v>490</v>
      </c>
      <c r="P114" s="108" t="s">
        <v>53</v>
      </c>
      <c r="Q114" s="110" t="s">
        <v>53</v>
      </c>
      <c r="R114" s="108" t="s">
        <v>766</v>
      </c>
      <c r="S114" s="107" t="s">
        <v>561</v>
      </c>
      <c r="T114" s="107" t="s">
        <v>561</v>
      </c>
      <c r="U114" s="107" t="s">
        <v>561</v>
      </c>
      <c r="V114" s="107" t="s">
        <v>796</v>
      </c>
      <c r="W114" s="107" t="s">
        <v>796</v>
      </c>
      <c r="X114" s="53" t="s">
        <v>766</v>
      </c>
      <c r="Y114" s="107" t="s">
        <v>561</v>
      </c>
      <c r="Z114" s="53" t="s">
        <v>53</v>
      </c>
      <c r="AA114" s="107" t="s">
        <v>561</v>
      </c>
      <c r="AB114" s="53" t="s">
        <v>53</v>
      </c>
      <c r="AC114" s="53" t="s">
        <v>561</v>
      </c>
      <c r="AD114" s="107" t="s">
        <v>53</v>
      </c>
      <c r="AE114" s="107" t="s">
        <v>53</v>
      </c>
      <c r="AF114" s="107" t="s">
        <v>53</v>
      </c>
      <c r="AG114" s="107" t="s">
        <v>53</v>
      </c>
      <c r="AH114" s="107" t="s">
        <v>53</v>
      </c>
      <c r="AI114" s="107" t="s">
        <v>561</v>
      </c>
      <c r="AJ114" s="107" t="s">
        <v>561</v>
      </c>
      <c r="AK114" s="107" t="s">
        <v>561</v>
      </c>
      <c r="AL114" s="107" t="s">
        <v>561</v>
      </c>
      <c r="AM114" s="107" t="s">
        <v>561</v>
      </c>
      <c r="AN114" s="53" t="s">
        <v>561</v>
      </c>
      <c r="AO114" s="107" t="s">
        <v>561</v>
      </c>
      <c r="AP114" s="53" t="s">
        <v>561</v>
      </c>
      <c r="AQ114" s="53" t="s">
        <v>561</v>
      </c>
      <c r="AR114" s="53" t="s">
        <v>53</v>
      </c>
      <c r="AS114" s="53" t="s">
        <v>561</v>
      </c>
      <c r="AT114" s="53" t="s">
        <v>53</v>
      </c>
      <c r="AU114" s="53" t="s">
        <v>561</v>
      </c>
      <c r="AV114" s="53" t="s">
        <v>799</v>
      </c>
      <c r="AW114" s="53" t="s">
        <v>561</v>
      </c>
      <c r="AX114" s="53" t="s">
        <v>561</v>
      </c>
      <c r="AY114" s="53" t="s">
        <v>561</v>
      </c>
      <c r="AZ114" s="53" t="s">
        <v>801</v>
      </c>
      <c r="BA114" s="53" t="s">
        <v>561</v>
      </c>
      <c r="BB114" s="53" t="s">
        <v>53</v>
      </c>
      <c r="BC114" s="53" t="s">
        <v>561</v>
      </c>
      <c r="BD114" s="53" t="s">
        <v>561</v>
      </c>
      <c r="BE114" s="53" t="s">
        <v>561</v>
      </c>
      <c r="BF114" s="53" t="s">
        <v>561</v>
      </c>
      <c r="BG114" s="53" t="s">
        <v>561</v>
      </c>
      <c r="BH114" s="53" t="s">
        <v>561</v>
      </c>
      <c r="BI114" s="107" t="s">
        <v>561</v>
      </c>
      <c r="BJ114" s="107" t="s">
        <v>561</v>
      </c>
      <c r="BK114" s="53" t="s">
        <v>561</v>
      </c>
      <c r="BL114" s="53" t="s">
        <v>561</v>
      </c>
      <c r="BM114" s="53" t="s">
        <v>561</v>
      </c>
      <c r="BN114" s="53" t="s">
        <v>561</v>
      </c>
      <c r="BO114" s="53" t="s">
        <v>561</v>
      </c>
      <c r="BP114" s="53" t="s">
        <v>561</v>
      </c>
      <c r="BQ114" s="118" t="s">
        <v>821</v>
      </c>
      <c r="BR114" s="118" t="s">
        <v>821</v>
      </c>
      <c r="BS114" s="118" t="s">
        <v>821</v>
      </c>
      <c r="BT114" s="122"/>
      <c r="BU114" s="122">
        <f t="shared" si="19"/>
        <v>33250</v>
      </c>
      <c r="BV114" s="126">
        <v>31250.0</v>
      </c>
      <c r="BW114" s="126"/>
      <c r="BX114" s="127">
        <f>2000</f>
        <v>2000</v>
      </c>
      <c r="BY114" s="127"/>
      <c r="BZ114" s="13"/>
      <c r="CA114" s="13"/>
      <c r="CB114" s="13" t="s">
        <v>561</v>
      </c>
      <c r="CC114" s="13" t="s">
        <v>561</v>
      </c>
    </row>
    <row r="115">
      <c r="A115" s="44" t="str">
        <f>LOOKUP(H115,'Letter grades'!$A$1:$B$6)</f>
        <v>F</v>
      </c>
      <c r="B115" s="44">
        <f t="shared" si="3"/>
        <v>110</v>
      </c>
      <c r="C115" s="107" t="s">
        <v>1984</v>
      </c>
      <c r="D115" s="107" t="s">
        <v>2638</v>
      </c>
      <c r="E115" s="148" t="s">
        <v>692</v>
      </c>
      <c r="F115" s="47">
        <f t="shared" si="4"/>
        <v>0</v>
      </c>
      <c r="G115" s="47">
        <f t="shared" si="5"/>
        <v>0.5</v>
      </c>
      <c r="H115" s="105">
        <f t="shared" si="6"/>
        <v>0.3333333333</v>
      </c>
      <c r="I115" s="13" t="s">
        <v>122</v>
      </c>
      <c r="J115" s="53" t="s">
        <v>594</v>
      </c>
      <c r="K115" s="53" t="s">
        <v>594</v>
      </c>
      <c r="L115" s="107" t="s">
        <v>594</v>
      </c>
      <c r="M115" s="53" t="s">
        <v>594</v>
      </c>
      <c r="N115" s="107" t="s">
        <v>594</v>
      </c>
      <c r="O115" s="53" t="s">
        <v>1065</v>
      </c>
      <c r="P115" s="108" t="s">
        <v>53</v>
      </c>
      <c r="Q115" s="110" t="s">
        <v>53</v>
      </c>
      <c r="R115" s="108" t="s">
        <v>799</v>
      </c>
      <c r="S115" s="107" t="s">
        <v>53</v>
      </c>
      <c r="T115" s="107" t="s">
        <v>561</v>
      </c>
      <c r="U115" s="107" t="s">
        <v>561</v>
      </c>
      <c r="V115" s="107" t="s">
        <v>796</v>
      </c>
      <c r="W115" s="107" t="s">
        <v>796</v>
      </c>
      <c r="X115" s="53" t="s">
        <v>766</v>
      </c>
      <c r="Y115" s="107" t="s">
        <v>561</v>
      </c>
      <c r="Z115" s="53" t="s">
        <v>53</v>
      </c>
      <c r="AA115" s="53" t="s">
        <v>600</v>
      </c>
      <c r="AB115" s="53" t="s">
        <v>600</v>
      </c>
      <c r="AC115" s="53" t="s">
        <v>600</v>
      </c>
      <c r="AD115" s="53" t="s">
        <v>600</v>
      </c>
      <c r="AE115" s="53" t="s">
        <v>600</v>
      </c>
      <c r="AF115" s="53" t="s">
        <v>600</v>
      </c>
      <c r="AG115" s="53" t="s">
        <v>600</v>
      </c>
      <c r="AH115" s="53" t="s">
        <v>600</v>
      </c>
      <c r="AI115" s="53" t="s">
        <v>600</v>
      </c>
      <c r="AJ115" s="53" t="s">
        <v>600</v>
      </c>
      <c r="AK115" s="53" t="s">
        <v>600</v>
      </c>
      <c r="AL115" s="53" t="s">
        <v>600</v>
      </c>
      <c r="AM115" s="53" t="s">
        <v>600</v>
      </c>
      <c r="AN115" s="53" t="s">
        <v>600</v>
      </c>
      <c r="AO115" s="53" t="s">
        <v>600</v>
      </c>
      <c r="AP115" s="53" t="s">
        <v>600</v>
      </c>
      <c r="AQ115" s="53" t="s">
        <v>600</v>
      </c>
      <c r="AR115" s="53" t="s">
        <v>600</v>
      </c>
      <c r="AS115" s="53" t="s">
        <v>600</v>
      </c>
      <c r="AT115" s="53" t="s">
        <v>600</v>
      </c>
      <c r="AU115" s="53" t="s">
        <v>600</v>
      </c>
      <c r="AV115" s="53" t="s">
        <v>600</v>
      </c>
      <c r="AW115" s="53" t="s">
        <v>600</v>
      </c>
      <c r="AX115" s="53" t="s">
        <v>600</v>
      </c>
      <c r="AY115" s="53" t="s">
        <v>600</v>
      </c>
      <c r="AZ115" s="53" t="s">
        <v>600</v>
      </c>
      <c r="BA115" s="53" t="s">
        <v>600</v>
      </c>
      <c r="BB115" s="53" t="s">
        <v>600</v>
      </c>
      <c r="BC115" s="53" t="s">
        <v>600</v>
      </c>
      <c r="BD115" s="53" t="s">
        <v>600</v>
      </c>
      <c r="BE115" s="53" t="s">
        <v>600</v>
      </c>
      <c r="BF115" s="53" t="s">
        <v>600</v>
      </c>
      <c r="BG115" s="53" t="s">
        <v>600</v>
      </c>
      <c r="BH115" s="53" t="s">
        <v>600</v>
      </c>
      <c r="BI115" s="107" t="s">
        <v>600</v>
      </c>
      <c r="BJ115" s="107" t="s">
        <v>600</v>
      </c>
      <c r="BK115" s="53" t="s">
        <v>600</v>
      </c>
      <c r="BL115" s="53" t="s">
        <v>600</v>
      </c>
      <c r="BM115" s="53" t="s">
        <v>600</v>
      </c>
      <c r="BN115" s="53" t="s">
        <v>600</v>
      </c>
      <c r="BO115" s="53" t="s">
        <v>600</v>
      </c>
      <c r="BP115" s="53" t="s">
        <v>600</v>
      </c>
      <c r="BQ115" s="180" t="s">
        <v>1832</v>
      </c>
      <c r="BR115" s="53" t="s">
        <v>600</v>
      </c>
      <c r="BS115" s="53" t="s">
        <v>600</v>
      </c>
      <c r="BT115" s="122"/>
      <c r="BU115" s="122"/>
      <c r="BV115" s="126"/>
      <c r="BW115" s="126"/>
      <c r="BX115" s="127"/>
      <c r="BY115" s="127"/>
      <c r="BZ115" s="13"/>
      <c r="CA115" s="13"/>
      <c r="CB115" s="13"/>
      <c r="CC115" s="13"/>
    </row>
    <row r="116">
      <c r="A116" s="44" t="str">
        <f>LOOKUP(H116,'Letter grades'!$A$1:$B$6)</f>
        <v>F</v>
      </c>
      <c r="B116" s="44">
        <f t="shared" si="3"/>
        <v>110</v>
      </c>
      <c r="C116" s="107" t="s">
        <v>2639</v>
      </c>
      <c r="D116" s="107" t="s">
        <v>2640</v>
      </c>
      <c r="E116" s="148" t="s">
        <v>2117</v>
      </c>
      <c r="F116" s="47">
        <f t="shared" si="4"/>
        <v>0</v>
      </c>
      <c r="G116" s="47">
        <f t="shared" si="5"/>
        <v>0.5</v>
      </c>
      <c r="H116" s="105">
        <f t="shared" si="6"/>
        <v>0.3333333333</v>
      </c>
      <c r="I116" s="13"/>
      <c r="J116" s="53" t="s">
        <v>594</v>
      </c>
      <c r="K116" s="53" t="s">
        <v>594</v>
      </c>
      <c r="L116" s="107" t="s">
        <v>594</v>
      </c>
      <c r="M116" s="53" t="s">
        <v>594</v>
      </c>
      <c r="N116" s="107" t="s">
        <v>594</v>
      </c>
      <c r="O116" s="53" t="s">
        <v>1065</v>
      </c>
      <c r="P116" s="108" t="s">
        <v>53</v>
      </c>
      <c r="Q116" s="110" t="s">
        <v>53</v>
      </c>
      <c r="R116" s="108" t="s">
        <v>799</v>
      </c>
      <c r="S116" s="107" t="s">
        <v>53</v>
      </c>
      <c r="T116" s="107" t="s">
        <v>561</v>
      </c>
      <c r="U116" s="107" t="s">
        <v>561</v>
      </c>
      <c r="V116" s="107" t="s">
        <v>796</v>
      </c>
      <c r="W116" s="107" t="s">
        <v>796</v>
      </c>
      <c r="X116" s="53" t="s">
        <v>766</v>
      </c>
      <c r="Y116" s="107" t="s">
        <v>561</v>
      </c>
      <c r="Z116" s="53" t="s">
        <v>53</v>
      </c>
      <c r="AA116" s="53" t="s">
        <v>600</v>
      </c>
      <c r="AB116" s="53" t="s">
        <v>600</v>
      </c>
      <c r="AC116" s="53" t="s">
        <v>600</v>
      </c>
      <c r="AD116" s="53" t="s">
        <v>600</v>
      </c>
      <c r="AE116" s="53" t="s">
        <v>600</v>
      </c>
      <c r="AF116" s="53" t="s">
        <v>600</v>
      </c>
      <c r="AG116" s="53" t="s">
        <v>600</v>
      </c>
      <c r="AH116" s="53" t="s">
        <v>600</v>
      </c>
      <c r="AI116" s="53" t="s">
        <v>600</v>
      </c>
      <c r="AJ116" s="53" t="s">
        <v>600</v>
      </c>
      <c r="AK116" s="53" t="s">
        <v>600</v>
      </c>
      <c r="AL116" s="53" t="s">
        <v>600</v>
      </c>
      <c r="AM116" s="53" t="s">
        <v>600</v>
      </c>
      <c r="AN116" s="53" t="s">
        <v>600</v>
      </c>
      <c r="AO116" s="53" t="s">
        <v>600</v>
      </c>
      <c r="AP116" s="53" t="s">
        <v>600</v>
      </c>
      <c r="AQ116" s="53" t="s">
        <v>600</v>
      </c>
      <c r="AR116" s="53" t="s">
        <v>600</v>
      </c>
      <c r="AS116" s="53" t="s">
        <v>600</v>
      </c>
      <c r="AT116" s="53" t="s">
        <v>600</v>
      </c>
      <c r="AU116" s="53" t="s">
        <v>600</v>
      </c>
      <c r="AV116" s="53" t="s">
        <v>600</v>
      </c>
      <c r="AW116" s="53" t="s">
        <v>600</v>
      </c>
      <c r="AX116" s="53" t="s">
        <v>600</v>
      </c>
      <c r="AY116" s="53" t="s">
        <v>600</v>
      </c>
      <c r="AZ116" s="53" t="s">
        <v>600</v>
      </c>
      <c r="BA116" s="53" t="s">
        <v>600</v>
      </c>
      <c r="BB116" s="53" t="s">
        <v>600</v>
      </c>
      <c r="BC116" s="53" t="s">
        <v>600</v>
      </c>
      <c r="BD116" s="53" t="s">
        <v>600</v>
      </c>
      <c r="BE116" s="53" t="s">
        <v>600</v>
      </c>
      <c r="BF116" s="53" t="s">
        <v>600</v>
      </c>
      <c r="BG116" s="53" t="s">
        <v>600</v>
      </c>
      <c r="BH116" s="53" t="s">
        <v>600</v>
      </c>
      <c r="BI116" s="107" t="s">
        <v>600</v>
      </c>
      <c r="BJ116" s="107" t="s">
        <v>600</v>
      </c>
      <c r="BK116" s="53" t="s">
        <v>600</v>
      </c>
      <c r="BL116" s="53" t="s">
        <v>600</v>
      </c>
      <c r="BM116" s="53" t="s">
        <v>600</v>
      </c>
      <c r="BN116" s="53" t="s">
        <v>600</v>
      </c>
      <c r="BO116" s="53" t="s">
        <v>600</v>
      </c>
      <c r="BP116" s="53" t="s">
        <v>600</v>
      </c>
      <c r="BQ116" s="180" t="s">
        <v>1832</v>
      </c>
      <c r="BR116" s="53" t="s">
        <v>600</v>
      </c>
      <c r="BS116" s="53" t="s">
        <v>600</v>
      </c>
      <c r="BT116" s="122"/>
      <c r="BU116" s="122"/>
      <c r="BV116" s="126"/>
      <c r="BW116" s="126"/>
      <c r="BX116" s="127"/>
      <c r="BY116" s="127"/>
      <c r="BZ116" s="13"/>
      <c r="CA116" s="13"/>
      <c r="CB116" s="13"/>
      <c r="CC116" s="13"/>
    </row>
    <row r="117">
      <c r="A117" s="44" t="str">
        <f>LOOKUP(H117,'Letter grades'!$A$1:$B$6)</f>
        <v>F</v>
      </c>
      <c r="B117" s="44">
        <f t="shared" si="3"/>
        <v>110</v>
      </c>
      <c r="C117" s="107" t="s">
        <v>2641</v>
      </c>
      <c r="D117" s="107" t="s">
        <v>2642</v>
      </c>
      <c r="E117" s="148" t="s">
        <v>227</v>
      </c>
      <c r="F117" s="47">
        <f t="shared" si="4"/>
        <v>0</v>
      </c>
      <c r="G117" s="47">
        <f t="shared" si="5"/>
        <v>0.5</v>
      </c>
      <c r="H117" s="105">
        <f t="shared" si="6"/>
        <v>0.3333333333</v>
      </c>
      <c r="I117" s="13" t="s">
        <v>2030</v>
      </c>
      <c r="J117" s="53" t="s">
        <v>594</v>
      </c>
      <c r="K117" s="53" t="s">
        <v>594</v>
      </c>
      <c r="L117" s="107" t="s">
        <v>594</v>
      </c>
      <c r="M117" s="53" t="s">
        <v>594</v>
      </c>
      <c r="N117" s="107" t="s">
        <v>594</v>
      </c>
      <c r="O117" s="53" t="s">
        <v>1065</v>
      </c>
      <c r="P117" s="108" t="s">
        <v>53</v>
      </c>
      <c r="Q117" s="110" t="s">
        <v>53</v>
      </c>
      <c r="R117" s="108" t="s">
        <v>766</v>
      </c>
      <c r="S117" s="107" t="s">
        <v>53</v>
      </c>
      <c r="T117" s="107" t="s">
        <v>561</v>
      </c>
      <c r="U117" s="107" t="s">
        <v>53</v>
      </c>
      <c r="V117" s="107" t="s">
        <v>796</v>
      </c>
      <c r="W117" s="107" t="s">
        <v>796</v>
      </c>
      <c r="X117" s="53" t="s">
        <v>766</v>
      </c>
      <c r="Y117" s="107" t="s">
        <v>561</v>
      </c>
      <c r="Z117" s="53" t="s">
        <v>801</v>
      </c>
      <c r="AA117" s="53" t="s">
        <v>600</v>
      </c>
      <c r="AB117" s="53" t="s">
        <v>600</v>
      </c>
      <c r="AC117" s="53" t="s">
        <v>600</v>
      </c>
      <c r="AD117" s="53" t="s">
        <v>600</v>
      </c>
      <c r="AE117" s="53" t="s">
        <v>600</v>
      </c>
      <c r="AF117" s="53" t="s">
        <v>600</v>
      </c>
      <c r="AG117" s="53" t="s">
        <v>600</v>
      </c>
      <c r="AH117" s="53" t="s">
        <v>600</v>
      </c>
      <c r="AI117" s="53" t="s">
        <v>600</v>
      </c>
      <c r="AJ117" s="53" t="s">
        <v>600</v>
      </c>
      <c r="AK117" s="53" t="s">
        <v>600</v>
      </c>
      <c r="AL117" s="53" t="s">
        <v>600</v>
      </c>
      <c r="AM117" s="53" t="s">
        <v>600</v>
      </c>
      <c r="AN117" s="53" t="s">
        <v>600</v>
      </c>
      <c r="AO117" s="53" t="s">
        <v>600</v>
      </c>
      <c r="AP117" s="53" t="s">
        <v>600</v>
      </c>
      <c r="AQ117" s="53" t="s">
        <v>600</v>
      </c>
      <c r="AR117" s="53" t="s">
        <v>600</v>
      </c>
      <c r="AS117" s="53" t="s">
        <v>600</v>
      </c>
      <c r="AT117" s="53" t="s">
        <v>600</v>
      </c>
      <c r="AU117" s="53" t="s">
        <v>600</v>
      </c>
      <c r="AV117" s="53" t="s">
        <v>600</v>
      </c>
      <c r="AW117" s="53" t="s">
        <v>600</v>
      </c>
      <c r="AX117" s="53" t="s">
        <v>600</v>
      </c>
      <c r="AY117" s="53" t="s">
        <v>600</v>
      </c>
      <c r="AZ117" s="53" t="s">
        <v>600</v>
      </c>
      <c r="BA117" s="53" t="s">
        <v>600</v>
      </c>
      <c r="BB117" s="53" t="s">
        <v>600</v>
      </c>
      <c r="BC117" s="53" t="s">
        <v>600</v>
      </c>
      <c r="BD117" s="53" t="s">
        <v>600</v>
      </c>
      <c r="BE117" s="53" t="s">
        <v>600</v>
      </c>
      <c r="BF117" s="53" t="s">
        <v>600</v>
      </c>
      <c r="BG117" s="53" t="s">
        <v>600</v>
      </c>
      <c r="BH117" s="53" t="s">
        <v>600</v>
      </c>
      <c r="BI117" s="107" t="s">
        <v>600</v>
      </c>
      <c r="BJ117" s="107" t="s">
        <v>600</v>
      </c>
      <c r="BK117" s="53" t="s">
        <v>600</v>
      </c>
      <c r="BL117" s="53" t="s">
        <v>600</v>
      </c>
      <c r="BM117" s="53" t="s">
        <v>600</v>
      </c>
      <c r="BN117" s="53" t="s">
        <v>600</v>
      </c>
      <c r="BO117" s="53" t="s">
        <v>600</v>
      </c>
      <c r="BP117" s="53" t="s">
        <v>600</v>
      </c>
      <c r="BQ117" s="118" t="s">
        <v>821</v>
      </c>
      <c r="BR117" s="53" t="s">
        <v>600</v>
      </c>
      <c r="BS117" s="53" t="s">
        <v>600</v>
      </c>
      <c r="BT117" s="122"/>
      <c r="BU117" s="122"/>
      <c r="BV117" s="126"/>
      <c r="BW117" s="126"/>
      <c r="BX117" s="127"/>
      <c r="BY117" s="127"/>
      <c r="BZ117" s="13"/>
      <c r="CA117" s="13"/>
      <c r="CB117" s="13"/>
      <c r="CC117" s="13"/>
    </row>
    <row r="118">
      <c r="A118" s="44" t="str">
        <f>LOOKUP(H118,'Letter grades'!$A$1:$B$6)</f>
        <v>F</v>
      </c>
      <c r="B118" s="44">
        <f t="shared" si="3"/>
        <v>114</v>
      </c>
      <c r="C118" s="107" t="s">
        <v>110</v>
      </c>
      <c r="D118" s="107" t="s">
        <v>111</v>
      </c>
      <c r="E118" s="57" t="s">
        <v>107</v>
      </c>
      <c r="F118" s="47">
        <f t="shared" si="4"/>
        <v>0.3333333333</v>
      </c>
      <c r="G118" s="47">
        <f t="shared" si="5"/>
        <v>0.3265306122</v>
      </c>
      <c r="H118" s="105">
        <f t="shared" si="6"/>
        <v>0.3287981859</v>
      </c>
      <c r="I118" s="13"/>
      <c r="J118" s="53" t="s">
        <v>487</v>
      </c>
      <c r="K118" s="53" t="s">
        <v>594</v>
      </c>
      <c r="L118" s="107" t="s">
        <v>594</v>
      </c>
      <c r="M118" s="53" t="s">
        <v>594</v>
      </c>
      <c r="N118" s="107" t="s">
        <v>594</v>
      </c>
      <c r="O118" s="53" t="s">
        <v>490</v>
      </c>
      <c r="P118" s="108" t="s">
        <v>53</v>
      </c>
      <c r="Q118" s="110" t="s">
        <v>53</v>
      </c>
      <c r="R118" s="108" t="s">
        <v>491</v>
      </c>
      <c r="S118" s="107" t="s">
        <v>53</v>
      </c>
      <c r="T118" s="107" t="s">
        <v>561</v>
      </c>
      <c r="U118" s="107" t="s">
        <v>53</v>
      </c>
      <c r="V118" s="107" t="s">
        <v>796</v>
      </c>
      <c r="W118" s="107" t="s">
        <v>796</v>
      </c>
      <c r="X118" s="53" t="s">
        <v>766</v>
      </c>
      <c r="Y118" s="107" t="s">
        <v>561</v>
      </c>
      <c r="Z118" s="53" t="s">
        <v>53</v>
      </c>
      <c r="AA118" s="107" t="s">
        <v>53</v>
      </c>
      <c r="AB118" s="53" t="s">
        <v>53</v>
      </c>
      <c r="AC118" s="53" t="s">
        <v>561</v>
      </c>
      <c r="AD118" s="107" t="s">
        <v>53</v>
      </c>
      <c r="AE118" s="107" t="s">
        <v>53</v>
      </c>
      <c r="AF118" s="107" t="s">
        <v>801</v>
      </c>
      <c r="AG118" s="107" t="s">
        <v>53</v>
      </c>
      <c r="AH118" s="107" t="s">
        <v>53</v>
      </c>
      <c r="AI118" s="107" t="s">
        <v>561</v>
      </c>
      <c r="AJ118" s="107" t="s">
        <v>561</v>
      </c>
      <c r="AK118" s="107" t="s">
        <v>561</v>
      </c>
      <c r="AL118" s="107" t="s">
        <v>561</v>
      </c>
      <c r="AM118" s="107" t="s">
        <v>561</v>
      </c>
      <c r="AN118" s="53" t="s">
        <v>561</v>
      </c>
      <c r="AO118" s="107" t="s">
        <v>561</v>
      </c>
      <c r="AP118" s="53" t="s">
        <v>561</v>
      </c>
      <c r="AQ118" s="53" t="s">
        <v>561</v>
      </c>
      <c r="AR118" s="53" t="s">
        <v>53</v>
      </c>
      <c r="AS118" s="53" t="s">
        <v>561</v>
      </c>
      <c r="AT118" s="53" t="s">
        <v>53</v>
      </c>
      <c r="AU118" s="107" t="s">
        <v>801</v>
      </c>
      <c r="AV118" s="53" t="s">
        <v>561</v>
      </c>
      <c r="AW118" s="53" t="s">
        <v>561</v>
      </c>
      <c r="AX118" s="53" t="s">
        <v>561</v>
      </c>
      <c r="AY118" s="53" t="s">
        <v>561</v>
      </c>
      <c r="AZ118" s="53" t="s">
        <v>53</v>
      </c>
      <c r="BA118" s="53" t="s">
        <v>561</v>
      </c>
      <c r="BB118" s="53" t="s">
        <v>53</v>
      </c>
      <c r="BC118" s="53" t="s">
        <v>561</v>
      </c>
      <c r="BD118" s="53" t="s">
        <v>561</v>
      </c>
      <c r="BE118" s="53" t="s">
        <v>561</v>
      </c>
      <c r="BF118" s="53" t="s">
        <v>561</v>
      </c>
      <c r="BG118" s="53" t="s">
        <v>561</v>
      </c>
      <c r="BH118" s="53" t="s">
        <v>561</v>
      </c>
      <c r="BI118" s="107" t="s">
        <v>561</v>
      </c>
      <c r="BJ118" s="107" t="s">
        <v>561</v>
      </c>
      <c r="BK118" s="53" t="s">
        <v>561</v>
      </c>
      <c r="BL118" s="53" t="s">
        <v>561</v>
      </c>
      <c r="BM118" s="53" t="s">
        <v>561</v>
      </c>
      <c r="BN118" s="53" t="s">
        <v>561</v>
      </c>
      <c r="BO118" s="53" t="s">
        <v>561</v>
      </c>
      <c r="BP118" s="53" t="s">
        <v>561</v>
      </c>
      <c r="BQ118" s="118" t="s">
        <v>821</v>
      </c>
      <c r="BR118" s="118" t="s">
        <v>821</v>
      </c>
      <c r="BS118" s="118" t="s">
        <v>821</v>
      </c>
      <c r="BT118" s="122"/>
      <c r="BU118" s="122">
        <f t="shared" ref="BU118:BU137" si="20">SUM(BV118:BY118)</f>
        <v>14900</v>
      </c>
      <c r="BV118" s="126">
        <v>14900.0</v>
      </c>
      <c r="BW118" s="126"/>
      <c r="BX118" s="127"/>
      <c r="BY118" s="127"/>
      <c r="BZ118" s="13"/>
      <c r="CA118" s="13"/>
      <c r="CB118" s="13"/>
      <c r="CC118" s="13" t="s">
        <v>561</v>
      </c>
    </row>
    <row r="119">
      <c r="A119" s="44" t="str">
        <f>LOOKUP(H119,'Letter grades'!$A$1:$B$6)</f>
        <v>F</v>
      </c>
      <c r="B119" s="44">
        <f t="shared" si="3"/>
        <v>115</v>
      </c>
      <c r="C119" s="44" t="s">
        <v>601</v>
      </c>
      <c r="D119" s="44" t="s">
        <v>602</v>
      </c>
      <c r="E119" s="98" t="s">
        <v>598</v>
      </c>
      <c r="F119" s="47">
        <f t="shared" si="4"/>
        <v>0.1666666667</v>
      </c>
      <c r="G119" s="47">
        <f t="shared" si="5"/>
        <v>0.40625</v>
      </c>
      <c r="H119" s="105">
        <f t="shared" si="6"/>
        <v>0.3263888889</v>
      </c>
      <c r="I119" s="13" t="s">
        <v>108</v>
      </c>
      <c r="J119" s="53" t="s">
        <v>594</v>
      </c>
      <c r="K119" s="53" t="s">
        <v>594</v>
      </c>
      <c r="L119" s="107" t="s">
        <v>594</v>
      </c>
      <c r="M119" s="53" t="s">
        <v>594</v>
      </c>
      <c r="N119" s="107" t="s">
        <v>594</v>
      </c>
      <c r="O119" s="53" t="s">
        <v>490</v>
      </c>
      <c r="P119" s="108" t="s">
        <v>53</v>
      </c>
      <c r="Q119" s="110" t="s">
        <v>53</v>
      </c>
      <c r="R119" s="108" t="s">
        <v>766</v>
      </c>
      <c r="S119" s="107" t="s">
        <v>53</v>
      </c>
      <c r="T119" s="107" t="s">
        <v>53</v>
      </c>
      <c r="U119" s="107" t="s">
        <v>561</v>
      </c>
      <c r="V119" s="107" t="s">
        <v>796</v>
      </c>
      <c r="W119" s="107" t="s">
        <v>796</v>
      </c>
      <c r="X119" s="53" t="s">
        <v>766</v>
      </c>
      <c r="Y119" s="107" t="s">
        <v>561</v>
      </c>
      <c r="Z119" s="53" t="s">
        <v>53</v>
      </c>
      <c r="AA119" s="107" t="s">
        <v>53</v>
      </c>
      <c r="AB119" s="53" t="s">
        <v>53</v>
      </c>
      <c r="AC119" s="53" t="s">
        <v>561</v>
      </c>
      <c r="AD119" s="107" t="s">
        <v>53</v>
      </c>
      <c r="AE119" s="107" t="s">
        <v>53</v>
      </c>
      <c r="AF119" s="107" t="s">
        <v>53</v>
      </c>
      <c r="AG119" s="107" t="s">
        <v>53</v>
      </c>
      <c r="AH119" s="107" t="s">
        <v>53</v>
      </c>
      <c r="AI119" s="107" t="s">
        <v>53</v>
      </c>
      <c r="AJ119" s="107" t="s">
        <v>561</v>
      </c>
      <c r="AK119" s="107" t="s">
        <v>561</v>
      </c>
      <c r="AL119" s="107" t="s">
        <v>561</v>
      </c>
      <c r="AM119" s="107" t="s">
        <v>561</v>
      </c>
      <c r="AN119" s="53" t="s">
        <v>561</v>
      </c>
      <c r="AO119" s="107" t="s">
        <v>561</v>
      </c>
      <c r="AP119" s="53" t="s">
        <v>561</v>
      </c>
      <c r="AQ119" s="53" t="s">
        <v>561</v>
      </c>
      <c r="AR119" s="53" t="s">
        <v>53</v>
      </c>
      <c r="AS119" s="53" t="s">
        <v>561</v>
      </c>
      <c r="AT119" s="53" t="s">
        <v>53</v>
      </c>
      <c r="AU119" s="53" t="s">
        <v>561</v>
      </c>
      <c r="AV119" s="53" t="s">
        <v>799</v>
      </c>
      <c r="AW119" s="53" t="s">
        <v>561</v>
      </c>
      <c r="AX119" s="53" t="s">
        <v>561</v>
      </c>
      <c r="AY119" s="53" t="s">
        <v>53</v>
      </c>
      <c r="AZ119" s="53" t="s">
        <v>53</v>
      </c>
      <c r="BA119" s="53" t="s">
        <v>561</v>
      </c>
      <c r="BB119" s="53" t="s">
        <v>53</v>
      </c>
      <c r="BC119" s="53" t="s">
        <v>561</v>
      </c>
      <c r="BD119" s="53" t="s">
        <v>561</v>
      </c>
      <c r="BE119" s="53" t="s">
        <v>53</v>
      </c>
      <c r="BF119" s="53" t="s">
        <v>561</v>
      </c>
      <c r="BG119" s="53" t="s">
        <v>801</v>
      </c>
      <c r="BH119" s="53" t="s">
        <v>561</v>
      </c>
      <c r="BI119" s="107" t="s">
        <v>561</v>
      </c>
      <c r="BJ119" s="107" t="s">
        <v>561</v>
      </c>
      <c r="BK119" s="53" t="s">
        <v>561</v>
      </c>
      <c r="BL119" s="53" t="s">
        <v>561</v>
      </c>
      <c r="BM119" s="53" t="s">
        <v>561</v>
      </c>
      <c r="BN119" s="53" t="s">
        <v>561</v>
      </c>
      <c r="BO119" s="53" t="s">
        <v>600</v>
      </c>
      <c r="BP119" s="53" t="s">
        <v>600</v>
      </c>
      <c r="BQ119" s="118" t="s">
        <v>821</v>
      </c>
      <c r="BR119" s="180" t="s">
        <v>1832</v>
      </c>
      <c r="BS119" s="118" t="s">
        <v>821</v>
      </c>
      <c r="BT119" s="122"/>
      <c r="BU119" s="122">
        <f t="shared" si="20"/>
        <v>554377</v>
      </c>
      <c r="BV119" s="155"/>
      <c r="BW119" s="155"/>
      <c r="BX119" s="127">
        <f>2000</f>
        <v>2000</v>
      </c>
      <c r="BY119" s="127">
        <v>552377.0</v>
      </c>
      <c r="BZ119" s="13"/>
      <c r="CA119" s="13" t="s">
        <v>561</v>
      </c>
      <c r="CB119" s="13" t="s">
        <v>561</v>
      </c>
      <c r="CC119" s="13"/>
    </row>
    <row r="120">
      <c r="A120" s="44" t="str">
        <f>LOOKUP(H120,'Letter grades'!$A$1:$B$6)</f>
        <v>F</v>
      </c>
      <c r="B120" s="44">
        <f t="shared" si="3"/>
        <v>116</v>
      </c>
      <c r="C120" s="44" t="s">
        <v>200</v>
      </c>
      <c r="D120" s="44" t="s">
        <v>201</v>
      </c>
      <c r="E120" s="98" t="s">
        <v>195</v>
      </c>
      <c r="F120" s="47">
        <f t="shared" si="4"/>
        <v>0.3333333333</v>
      </c>
      <c r="G120" s="47">
        <f t="shared" si="5"/>
        <v>0.32</v>
      </c>
      <c r="H120" s="105">
        <f t="shared" si="6"/>
        <v>0.3244444444</v>
      </c>
      <c r="I120" s="13" t="s">
        <v>108</v>
      </c>
      <c r="J120" s="53" t="s">
        <v>487</v>
      </c>
      <c r="K120" s="53" t="s">
        <v>487</v>
      </c>
      <c r="L120" s="107" t="s">
        <v>594</v>
      </c>
      <c r="M120" s="53" t="s">
        <v>594</v>
      </c>
      <c r="N120" s="107" t="s">
        <v>594</v>
      </c>
      <c r="O120" s="53" t="s">
        <v>1065</v>
      </c>
      <c r="P120" s="108" t="s">
        <v>53</v>
      </c>
      <c r="Q120" s="110" t="s">
        <v>53</v>
      </c>
      <c r="R120" s="108" t="s">
        <v>491</v>
      </c>
      <c r="S120" s="107" t="s">
        <v>53</v>
      </c>
      <c r="T120" s="107" t="s">
        <v>561</v>
      </c>
      <c r="U120" s="107" t="s">
        <v>561</v>
      </c>
      <c r="V120" s="107" t="s">
        <v>796</v>
      </c>
      <c r="W120" s="107" t="s">
        <v>796</v>
      </c>
      <c r="X120" s="53" t="s">
        <v>766</v>
      </c>
      <c r="Y120" s="107" t="s">
        <v>561</v>
      </c>
      <c r="Z120" s="53" t="s">
        <v>53</v>
      </c>
      <c r="AA120" s="107" t="s">
        <v>561</v>
      </c>
      <c r="AB120" s="53" t="s">
        <v>53</v>
      </c>
      <c r="AC120" s="53" t="s">
        <v>561</v>
      </c>
      <c r="AD120" s="107" t="s">
        <v>53</v>
      </c>
      <c r="AE120" s="107" t="s">
        <v>53</v>
      </c>
      <c r="AF120" s="107" t="s">
        <v>53</v>
      </c>
      <c r="AG120" s="107" t="s">
        <v>53</v>
      </c>
      <c r="AH120" s="107" t="s">
        <v>53</v>
      </c>
      <c r="AI120" s="107" t="s">
        <v>561</v>
      </c>
      <c r="AJ120" s="107" t="s">
        <v>561</v>
      </c>
      <c r="AK120" s="107" t="s">
        <v>561</v>
      </c>
      <c r="AL120" s="107" t="s">
        <v>561</v>
      </c>
      <c r="AM120" s="107" t="s">
        <v>561</v>
      </c>
      <c r="AN120" s="53" t="s">
        <v>561</v>
      </c>
      <c r="AO120" s="107" t="s">
        <v>561</v>
      </c>
      <c r="AP120" s="53" t="s">
        <v>561</v>
      </c>
      <c r="AQ120" s="53" t="s">
        <v>561</v>
      </c>
      <c r="AR120" s="53" t="s">
        <v>53</v>
      </c>
      <c r="AS120" s="53" t="s">
        <v>561</v>
      </c>
      <c r="AT120" s="53" t="s">
        <v>53</v>
      </c>
      <c r="AU120" s="53" t="s">
        <v>561</v>
      </c>
      <c r="AV120" s="53" t="s">
        <v>561</v>
      </c>
      <c r="AW120" s="53" t="s">
        <v>561</v>
      </c>
      <c r="AX120" s="53" t="s">
        <v>561</v>
      </c>
      <c r="AY120" s="53" t="s">
        <v>561</v>
      </c>
      <c r="AZ120" s="53" t="s">
        <v>53</v>
      </c>
      <c r="BA120" s="53" t="s">
        <v>561</v>
      </c>
      <c r="BB120" s="53" t="s">
        <v>53</v>
      </c>
      <c r="BC120" s="53" t="s">
        <v>561</v>
      </c>
      <c r="BD120" s="53" t="s">
        <v>561</v>
      </c>
      <c r="BE120" s="53" t="s">
        <v>561</v>
      </c>
      <c r="BF120" s="53" t="s">
        <v>561</v>
      </c>
      <c r="BG120" s="53" t="s">
        <v>561</v>
      </c>
      <c r="BH120" s="53" t="s">
        <v>561</v>
      </c>
      <c r="BI120" s="107" t="s">
        <v>561</v>
      </c>
      <c r="BJ120" s="107" t="s">
        <v>561</v>
      </c>
      <c r="BK120" s="53" t="s">
        <v>561</v>
      </c>
      <c r="BL120" s="53" t="s">
        <v>561</v>
      </c>
      <c r="BM120" s="53" t="s">
        <v>561</v>
      </c>
      <c r="BN120" s="53" t="s">
        <v>561</v>
      </c>
      <c r="BO120" s="53" t="s">
        <v>53</v>
      </c>
      <c r="BP120" s="53" t="s">
        <v>600</v>
      </c>
      <c r="BQ120" s="118" t="s">
        <v>821</v>
      </c>
      <c r="BR120" s="180" t="s">
        <v>1832</v>
      </c>
      <c r="BS120" s="118" t="s">
        <v>821</v>
      </c>
      <c r="BT120" s="122"/>
      <c r="BU120" s="122">
        <f t="shared" si="20"/>
        <v>4000</v>
      </c>
      <c r="BV120" s="126">
        <v>4000.0</v>
      </c>
      <c r="BW120" s="126"/>
      <c r="BX120" s="127"/>
      <c r="BY120" s="127"/>
      <c r="BZ120" s="13"/>
      <c r="CA120" s="13" t="s">
        <v>561</v>
      </c>
      <c r="CB120" s="13"/>
      <c r="CC120" s="13" t="s">
        <v>561</v>
      </c>
    </row>
    <row r="121">
      <c r="A121" s="44" t="str">
        <f>LOOKUP(H121,'Letter grades'!$A$1:$B$6)</f>
        <v>F</v>
      </c>
      <c r="B121" s="44">
        <f t="shared" si="3"/>
        <v>117</v>
      </c>
      <c r="C121" s="44" t="s">
        <v>377</v>
      </c>
      <c r="D121" s="44" t="s">
        <v>414</v>
      </c>
      <c r="E121" s="98" t="s">
        <v>412</v>
      </c>
      <c r="F121" s="47">
        <f t="shared" si="4"/>
        <v>0.5</v>
      </c>
      <c r="G121" s="47">
        <f t="shared" si="5"/>
        <v>0.2352941176</v>
      </c>
      <c r="H121" s="105">
        <f t="shared" si="6"/>
        <v>0.3235294118</v>
      </c>
      <c r="I121" s="13" t="s">
        <v>108</v>
      </c>
      <c r="J121" s="53" t="s">
        <v>487</v>
      </c>
      <c r="K121" s="53" t="s">
        <v>487</v>
      </c>
      <c r="L121" s="107" t="s">
        <v>594</v>
      </c>
      <c r="M121" s="53" t="s">
        <v>594</v>
      </c>
      <c r="N121" s="107" t="s">
        <v>594</v>
      </c>
      <c r="O121" s="53" t="s">
        <v>490</v>
      </c>
      <c r="P121" s="108" t="s">
        <v>53</v>
      </c>
      <c r="Q121" s="110" t="s">
        <v>53</v>
      </c>
      <c r="R121" s="108" t="s">
        <v>766</v>
      </c>
      <c r="S121" s="107" t="s">
        <v>561</v>
      </c>
      <c r="T121" s="107" t="s">
        <v>561</v>
      </c>
      <c r="U121" s="107" t="s">
        <v>561</v>
      </c>
      <c r="V121" s="107" t="s">
        <v>796</v>
      </c>
      <c r="W121" s="107" t="s">
        <v>796</v>
      </c>
      <c r="X121" s="53" t="s">
        <v>766</v>
      </c>
      <c r="Y121" s="107" t="s">
        <v>561</v>
      </c>
      <c r="Z121" s="53" t="s">
        <v>53</v>
      </c>
      <c r="AA121" s="107" t="s">
        <v>561</v>
      </c>
      <c r="AB121" s="53" t="s">
        <v>53</v>
      </c>
      <c r="AC121" s="53" t="s">
        <v>561</v>
      </c>
      <c r="AD121" s="107" t="s">
        <v>53</v>
      </c>
      <c r="AE121" s="107" t="s">
        <v>53</v>
      </c>
      <c r="AF121" s="107" t="s">
        <v>53</v>
      </c>
      <c r="AG121" s="107" t="s">
        <v>53</v>
      </c>
      <c r="AH121" s="107" t="s">
        <v>53</v>
      </c>
      <c r="AI121" s="107" t="s">
        <v>561</v>
      </c>
      <c r="AJ121" s="107" t="s">
        <v>561</v>
      </c>
      <c r="AK121" s="107" t="s">
        <v>561</v>
      </c>
      <c r="AL121" s="107" t="s">
        <v>561</v>
      </c>
      <c r="AM121" s="107" t="s">
        <v>561</v>
      </c>
      <c r="AN121" s="53" t="s">
        <v>561</v>
      </c>
      <c r="AO121" s="107" t="s">
        <v>561</v>
      </c>
      <c r="AP121" s="53" t="s">
        <v>561</v>
      </c>
      <c r="AQ121" s="53" t="s">
        <v>561</v>
      </c>
      <c r="AR121" s="53" t="s">
        <v>53</v>
      </c>
      <c r="AS121" s="53" t="s">
        <v>561</v>
      </c>
      <c r="AT121" s="53" t="s">
        <v>561</v>
      </c>
      <c r="AU121" s="53" t="s">
        <v>561</v>
      </c>
      <c r="AV121" s="53" t="s">
        <v>561</v>
      </c>
      <c r="AW121" s="53" t="s">
        <v>561</v>
      </c>
      <c r="AX121" s="53" t="s">
        <v>561</v>
      </c>
      <c r="AY121" s="53" t="s">
        <v>561</v>
      </c>
      <c r="AZ121" s="53" t="s">
        <v>53</v>
      </c>
      <c r="BA121" s="53" t="s">
        <v>561</v>
      </c>
      <c r="BB121" s="53" t="s">
        <v>53</v>
      </c>
      <c r="BC121" s="53" t="s">
        <v>561</v>
      </c>
      <c r="BD121" s="53" t="s">
        <v>561</v>
      </c>
      <c r="BE121" s="53" t="s">
        <v>561</v>
      </c>
      <c r="BF121" s="53" t="s">
        <v>561</v>
      </c>
      <c r="BG121" s="53" t="s">
        <v>561</v>
      </c>
      <c r="BH121" s="53" t="s">
        <v>561</v>
      </c>
      <c r="BI121" s="107" t="s">
        <v>561</v>
      </c>
      <c r="BJ121" s="107" t="s">
        <v>561</v>
      </c>
      <c r="BK121" s="53" t="s">
        <v>561</v>
      </c>
      <c r="BL121" s="53" t="s">
        <v>561</v>
      </c>
      <c r="BM121" s="53" t="s">
        <v>561</v>
      </c>
      <c r="BN121" s="53" t="s">
        <v>561</v>
      </c>
      <c r="BO121" s="53" t="s">
        <v>561</v>
      </c>
      <c r="BP121" s="53" t="s">
        <v>561</v>
      </c>
      <c r="BQ121" s="118" t="s">
        <v>821</v>
      </c>
      <c r="BR121" s="180" t="s">
        <v>1832</v>
      </c>
      <c r="BS121" s="118" t="s">
        <v>821</v>
      </c>
      <c r="BT121" s="122"/>
      <c r="BU121" s="122">
        <f t="shared" si="20"/>
        <v>25000</v>
      </c>
      <c r="BV121" s="126">
        <v>25000.0</v>
      </c>
      <c r="BW121" s="126"/>
      <c r="BX121" s="127"/>
      <c r="BY121" s="127"/>
      <c r="BZ121" s="13"/>
      <c r="CA121" s="13" t="s">
        <v>561</v>
      </c>
      <c r="CB121" s="13"/>
      <c r="CC121" s="13" t="s">
        <v>561</v>
      </c>
    </row>
    <row r="122">
      <c r="A122" s="44" t="str">
        <f>LOOKUP(H122,'Letter grades'!$A$1:$B$6)</f>
        <v>F</v>
      </c>
      <c r="B122" s="44">
        <f t="shared" si="3"/>
        <v>118</v>
      </c>
      <c r="C122" s="44" t="s">
        <v>971</v>
      </c>
      <c r="D122" s="44" t="s">
        <v>972</v>
      </c>
      <c r="E122" s="98" t="s">
        <v>968</v>
      </c>
      <c r="F122" s="47">
        <f t="shared" si="4"/>
        <v>0.3333333333</v>
      </c>
      <c r="G122" s="47">
        <f t="shared" si="5"/>
        <v>0.3139534884</v>
      </c>
      <c r="H122" s="105">
        <f t="shared" si="6"/>
        <v>0.3204134367</v>
      </c>
      <c r="I122" s="13" t="s">
        <v>108</v>
      </c>
      <c r="J122" s="53" t="s">
        <v>594</v>
      </c>
      <c r="K122" s="53" t="s">
        <v>594</v>
      </c>
      <c r="L122" s="107" t="s">
        <v>487</v>
      </c>
      <c r="M122" s="53" t="s">
        <v>594</v>
      </c>
      <c r="N122" s="107" t="s">
        <v>594</v>
      </c>
      <c r="O122" s="53" t="s">
        <v>490</v>
      </c>
      <c r="P122" s="108" t="s">
        <v>53</v>
      </c>
      <c r="Q122" s="110" t="s">
        <v>53</v>
      </c>
      <c r="R122" s="108" t="s">
        <v>491</v>
      </c>
      <c r="S122" s="107" t="s">
        <v>53</v>
      </c>
      <c r="T122" s="107" t="s">
        <v>561</v>
      </c>
      <c r="U122" s="107" t="s">
        <v>561</v>
      </c>
      <c r="V122" s="107" t="s">
        <v>796</v>
      </c>
      <c r="W122" s="107" t="s">
        <v>796</v>
      </c>
      <c r="X122" s="53" t="s">
        <v>766</v>
      </c>
      <c r="Y122" s="107" t="s">
        <v>561</v>
      </c>
      <c r="Z122" s="53" t="s">
        <v>53</v>
      </c>
      <c r="AA122" s="107" t="s">
        <v>561</v>
      </c>
      <c r="AB122" s="53" t="s">
        <v>53</v>
      </c>
      <c r="AC122" s="53" t="s">
        <v>561</v>
      </c>
      <c r="AD122" s="107" t="s">
        <v>561</v>
      </c>
      <c r="AE122" s="107" t="s">
        <v>53</v>
      </c>
      <c r="AF122" s="107" t="s">
        <v>53</v>
      </c>
      <c r="AG122" s="107" t="s">
        <v>53</v>
      </c>
      <c r="AH122" s="107" t="s">
        <v>53</v>
      </c>
      <c r="AI122" s="107" t="s">
        <v>561</v>
      </c>
      <c r="AJ122" s="107" t="s">
        <v>561</v>
      </c>
      <c r="AK122" s="107" t="s">
        <v>561</v>
      </c>
      <c r="AL122" s="107" t="s">
        <v>561</v>
      </c>
      <c r="AM122" s="107" t="s">
        <v>561</v>
      </c>
      <c r="AN122" s="53" t="s">
        <v>561</v>
      </c>
      <c r="AO122" s="107" t="s">
        <v>561</v>
      </c>
      <c r="AP122" s="53" t="s">
        <v>561</v>
      </c>
      <c r="AQ122" s="53" t="s">
        <v>561</v>
      </c>
      <c r="AR122" s="53" t="s">
        <v>53</v>
      </c>
      <c r="AS122" s="53" t="s">
        <v>561</v>
      </c>
      <c r="AT122" s="53" t="s">
        <v>561</v>
      </c>
      <c r="AU122" s="53" t="s">
        <v>561</v>
      </c>
      <c r="AV122" s="53" t="s">
        <v>799</v>
      </c>
      <c r="AW122" s="53" t="s">
        <v>561</v>
      </c>
      <c r="AX122" s="53" t="s">
        <v>561</v>
      </c>
      <c r="AY122" s="53" t="s">
        <v>561</v>
      </c>
      <c r="AZ122" s="53" t="s">
        <v>53</v>
      </c>
      <c r="BA122" s="53" t="s">
        <v>561</v>
      </c>
      <c r="BB122" s="53" t="s">
        <v>53</v>
      </c>
      <c r="BC122" s="53" t="s">
        <v>561</v>
      </c>
      <c r="BD122" s="53" t="s">
        <v>561</v>
      </c>
      <c r="BE122" s="53" t="s">
        <v>561</v>
      </c>
      <c r="BF122" s="53" t="s">
        <v>561</v>
      </c>
      <c r="BG122" s="53" t="s">
        <v>561</v>
      </c>
      <c r="BH122" s="53" t="s">
        <v>561</v>
      </c>
      <c r="BI122" s="107" t="s">
        <v>600</v>
      </c>
      <c r="BJ122" s="107" t="s">
        <v>600</v>
      </c>
      <c r="BK122" s="53" t="s">
        <v>600</v>
      </c>
      <c r="BL122" s="53" t="s">
        <v>600</v>
      </c>
      <c r="BM122" s="53" t="s">
        <v>600</v>
      </c>
      <c r="BN122" s="53" t="s">
        <v>600</v>
      </c>
      <c r="BO122" s="53" t="s">
        <v>600</v>
      </c>
      <c r="BP122" s="53" t="s">
        <v>600</v>
      </c>
      <c r="BQ122" s="118" t="s">
        <v>821</v>
      </c>
      <c r="BR122" s="118" t="s">
        <v>821</v>
      </c>
      <c r="BS122" s="180" t="s">
        <v>1832</v>
      </c>
      <c r="BT122" s="122"/>
      <c r="BU122" s="122">
        <f t="shared" si="20"/>
        <v>3000</v>
      </c>
      <c r="BV122" s="126"/>
      <c r="BW122" s="126"/>
      <c r="BX122" s="127">
        <f>3000</f>
        <v>3000</v>
      </c>
      <c r="BY122" s="127"/>
      <c r="BZ122" s="13"/>
      <c r="CA122" s="13" t="s">
        <v>561</v>
      </c>
      <c r="CB122" s="13" t="s">
        <v>561</v>
      </c>
      <c r="CC122" s="13"/>
    </row>
    <row r="123">
      <c r="A123" s="44" t="str">
        <f>LOOKUP(H123,'Letter grades'!$A$1:$B$6)</f>
        <v>F</v>
      </c>
      <c r="B123" s="44">
        <f t="shared" si="3"/>
        <v>119</v>
      </c>
      <c r="C123" s="44" t="s">
        <v>120</v>
      </c>
      <c r="D123" s="44" t="s">
        <v>409</v>
      </c>
      <c r="E123" s="98" t="s">
        <v>405</v>
      </c>
      <c r="F123" s="47">
        <f t="shared" si="4"/>
        <v>0.3333333333</v>
      </c>
      <c r="G123" s="47">
        <f t="shared" si="5"/>
        <v>0.3137254902</v>
      </c>
      <c r="H123" s="105">
        <f t="shared" si="6"/>
        <v>0.3202614379</v>
      </c>
      <c r="I123" s="13" t="s">
        <v>1208</v>
      </c>
      <c r="J123" s="53" t="s">
        <v>487</v>
      </c>
      <c r="K123" s="53" t="s">
        <v>487</v>
      </c>
      <c r="L123" s="107" t="s">
        <v>594</v>
      </c>
      <c r="M123" s="53" t="s">
        <v>594</v>
      </c>
      <c r="N123" s="107" t="s">
        <v>594</v>
      </c>
      <c r="O123" s="53" t="s">
        <v>1065</v>
      </c>
      <c r="P123" s="108" t="s">
        <v>53</v>
      </c>
      <c r="Q123" s="110" t="s">
        <v>53</v>
      </c>
      <c r="R123" s="108" t="s">
        <v>766</v>
      </c>
      <c r="S123" s="107" t="s">
        <v>53</v>
      </c>
      <c r="T123" s="107" t="s">
        <v>561</v>
      </c>
      <c r="U123" s="107" t="s">
        <v>561</v>
      </c>
      <c r="V123" s="107" t="s">
        <v>796</v>
      </c>
      <c r="W123" s="107" t="s">
        <v>796</v>
      </c>
      <c r="X123" s="53" t="s">
        <v>766</v>
      </c>
      <c r="Y123" s="107" t="s">
        <v>561</v>
      </c>
      <c r="Z123" s="53" t="s">
        <v>53</v>
      </c>
      <c r="AA123" s="107" t="s">
        <v>53</v>
      </c>
      <c r="AB123" s="53" t="s">
        <v>53</v>
      </c>
      <c r="AC123" s="53" t="s">
        <v>561</v>
      </c>
      <c r="AD123" s="107" t="s">
        <v>53</v>
      </c>
      <c r="AE123" s="107" t="s">
        <v>53</v>
      </c>
      <c r="AF123" s="107" t="s">
        <v>53</v>
      </c>
      <c r="AG123" s="107" t="s">
        <v>53</v>
      </c>
      <c r="AH123" s="107" t="s">
        <v>53</v>
      </c>
      <c r="AI123" s="107" t="s">
        <v>561</v>
      </c>
      <c r="AJ123" s="107" t="s">
        <v>561</v>
      </c>
      <c r="AK123" s="107" t="s">
        <v>561</v>
      </c>
      <c r="AL123" s="107" t="s">
        <v>561</v>
      </c>
      <c r="AM123" s="107" t="s">
        <v>561</v>
      </c>
      <c r="AN123" s="53" t="s">
        <v>561</v>
      </c>
      <c r="AO123" s="107" t="s">
        <v>561</v>
      </c>
      <c r="AP123" s="53" t="s">
        <v>561</v>
      </c>
      <c r="AQ123" s="53" t="s">
        <v>561</v>
      </c>
      <c r="AR123" s="53" t="s">
        <v>53</v>
      </c>
      <c r="AS123" s="53" t="s">
        <v>561</v>
      </c>
      <c r="AT123" s="53" t="s">
        <v>53</v>
      </c>
      <c r="AU123" s="53" t="s">
        <v>561</v>
      </c>
      <c r="AV123" s="53" t="s">
        <v>561</v>
      </c>
      <c r="AW123" s="53" t="s">
        <v>561</v>
      </c>
      <c r="AX123" s="53" t="s">
        <v>561</v>
      </c>
      <c r="AY123" s="53" t="s">
        <v>561</v>
      </c>
      <c r="AZ123" s="53" t="s">
        <v>53</v>
      </c>
      <c r="BA123" s="53" t="s">
        <v>561</v>
      </c>
      <c r="BB123" s="53" t="s">
        <v>53</v>
      </c>
      <c r="BC123" s="53" t="s">
        <v>561</v>
      </c>
      <c r="BD123" s="53" t="s">
        <v>561</v>
      </c>
      <c r="BE123" s="53" t="s">
        <v>561</v>
      </c>
      <c r="BF123" s="53" t="s">
        <v>561</v>
      </c>
      <c r="BG123" s="53" t="s">
        <v>561</v>
      </c>
      <c r="BH123" s="53" t="s">
        <v>561</v>
      </c>
      <c r="BI123" s="107" t="s">
        <v>561</v>
      </c>
      <c r="BJ123" s="107" t="s">
        <v>561</v>
      </c>
      <c r="BK123" s="53" t="s">
        <v>561</v>
      </c>
      <c r="BL123" s="53" t="s">
        <v>561</v>
      </c>
      <c r="BM123" s="53" t="s">
        <v>561</v>
      </c>
      <c r="BN123" s="53" t="s">
        <v>561</v>
      </c>
      <c r="BO123" s="53" t="s">
        <v>53</v>
      </c>
      <c r="BP123" s="53" t="s">
        <v>561</v>
      </c>
      <c r="BQ123" s="118" t="s">
        <v>821</v>
      </c>
      <c r="BR123" s="118" t="s">
        <v>821</v>
      </c>
      <c r="BS123" s="118" t="s">
        <v>821</v>
      </c>
      <c r="BT123" s="122"/>
      <c r="BU123" s="122">
        <f t="shared" si="20"/>
        <v>12000</v>
      </c>
      <c r="BV123" s="126">
        <v>10000.0</v>
      </c>
      <c r="BW123" s="126"/>
      <c r="BX123" s="127">
        <f>2000</f>
        <v>2000</v>
      </c>
      <c r="BY123" s="127"/>
      <c r="BZ123" s="13"/>
      <c r="CA123" s="13"/>
      <c r="CB123" s="13" t="s">
        <v>561</v>
      </c>
      <c r="CC123" s="13" t="s">
        <v>561</v>
      </c>
    </row>
    <row r="124">
      <c r="A124" s="44" t="str">
        <f>LOOKUP(H124,'Letter grades'!$A$1:$B$6)</f>
        <v>F</v>
      </c>
      <c r="B124" s="44">
        <f t="shared" si="3"/>
        <v>119</v>
      </c>
      <c r="C124" s="44" t="s">
        <v>1479</v>
      </c>
      <c r="D124" s="44" t="s">
        <v>731</v>
      </c>
      <c r="E124" s="145" t="s">
        <v>728</v>
      </c>
      <c r="F124" s="47">
        <f t="shared" si="4"/>
        <v>0.3333333333</v>
      </c>
      <c r="G124" s="47">
        <f t="shared" si="5"/>
        <v>0.3137254902</v>
      </c>
      <c r="H124" s="105">
        <f t="shared" si="6"/>
        <v>0.3202614379</v>
      </c>
      <c r="I124" s="13" t="s">
        <v>2594</v>
      </c>
      <c r="J124" s="53" t="s">
        <v>487</v>
      </c>
      <c r="K124" s="53" t="s">
        <v>594</v>
      </c>
      <c r="L124" s="107" t="s">
        <v>594</v>
      </c>
      <c r="M124" s="53" t="s">
        <v>594</v>
      </c>
      <c r="N124" s="107" t="s">
        <v>594</v>
      </c>
      <c r="O124" s="53" t="s">
        <v>490</v>
      </c>
      <c r="P124" s="108" t="s">
        <v>53</v>
      </c>
      <c r="Q124" s="110" t="s">
        <v>53</v>
      </c>
      <c r="R124" s="108" t="s">
        <v>491</v>
      </c>
      <c r="S124" s="107" t="s">
        <v>53</v>
      </c>
      <c r="T124" s="107" t="s">
        <v>561</v>
      </c>
      <c r="U124" s="107" t="s">
        <v>561</v>
      </c>
      <c r="V124" s="107" t="s">
        <v>796</v>
      </c>
      <c r="W124" s="107" t="s">
        <v>796</v>
      </c>
      <c r="X124" s="53" t="s">
        <v>766</v>
      </c>
      <c r="Y124" s="107" t="s">
        <v>561</v>
      </c>
      <c r="Z124" s="53" t="s">
        <v>53</v>
      </c>
      <c r="AA124" s="107" t="s">
        <v>53</v>
      </c>
      <c r="AB124" s="53" t="s">
        <v>53</v>
      </c>
      <c r="AC124" s="53" t="s">
        <v>561</v>
      </c>
      <c r="AD124" s="107" t="s">
        <v>53</v>
      </c>
      <c r="AE124" s="107" t="s">
        <v>53</v>
      </c>
      <c r="AF124" s="107" t="s">
        <v>53</v>
      </c>
      <c r="AG124" s="107" t="s">
        <v>53</v>
      </c>
      <c r="AH124" s="107" t="s">
        <v>53</v>
      </c>
      <c r="AI124" s="107" t="s">
        <v>561</v>
      </c>
      <c r="AJ124" s="107" t="s">
        <v>561</v>
      </c>
      <c r="AK124" s="107" t="s">
        <v>561</v>
      </c>
      <c r="AL124" s="107" t="s">
        <v>561</v>
      </c>
      <c r="AM124" s="107" t="s">
        <v>561</v>
      </c>
      <c r="AN124" s="53" t="s">
        <v>561</v>
      </c>
      <c r="AO124" s="107" t="s">
        <v>561</v>
      </c>
      <c r="AP124" s="53" t="s">
        <v>561</v>
      </c>
      <c r="AQ124" s="53" t="s">
        <v>561</v>
      </c>
      <c r="AR124" s="53" t="s">
        <v>53</v>
      </c>
      <c r="AS124" s="53" t="s">
        <v>561</v>
      </c>
      <c r="AT124" s="53" t="s">
        <v>53</v>
      </c>
      <c r="AU124" s="53" t="s">
        <v>561</v>
      </c>
      <c r="AV124" s="53" t="s">
        <v>561</v>
      </c>
      <c r="AW124" s="53" t="s">
        <v>561</v>
      </c>
      <c r="AX124" s="53" t="s">
        <v>561</v>
      </c>
      <c r="AY124" s="53" t="s">
        <v>561</v>
      </c>
      <c r="AZ124" s="53" t="s">
        <v>53</v>
      </c>
      <c r="BA124" s="53" t="s">
        <v>561</v>
      </c>
      <c r="BB124" s="53" t="s">
        <v>53</v>
      </c>
      <c r="BC124" s="53" t="s">
        <v>561</v>
      </c>
      <c r="BD124" s="53" t="s">
        <v>561</v>
      </c>
      <c r="BE124" s="53" t="s">
        <v>561</v>
      </c>
      <c r="BF124" s="53" t="s">
        <v>561</v>
      </c>
      <c r="BG124" s="53" t="s">
        <v>561</v>
      </c>
      <c r="BH124" s="53" t="s">
        <v>561</v>
      </c>
      <c r="BI124" s="107" t="s">
        <v>561</v>
      </c>
      <c r="BJ124" s="107" t="s">
        <v>561</v>
      </c>
      <c r="BK124" s="53" t="s">
        <v>561</v>
      </c>
      <c r="BL124" s="53" t="s">
        <v>561</v>
      </c>
      <c r="BM124" s="53" t="s">
        <v>561</v>
      </c>
      <c r="BN124" s="53" t="s">
        <v>561</v>
      </c>
      <c r="BO124" s="53" t="s">
        <v>561</v>
      </c>
      <c r="BP124" s="53" t="s">
        <v>561</v>
      </c>
      <c r="BQ124" s="118" t="s">
        <v>821</v>
      </c>
      <c r="BR124" s="118" t="s">
        <v>821</v>
      </c>
      <c r="BS124" s="118" t="s">
        <v>821</v>
      </c>
      <c r="BT124" s="122"/>
      <c r="BU124" s="122">
        <f t="shared" si="20"/>
        <v>47000</v>
      </c>
      <c r="BV124" s="126">
        <v>47000.0</v>
      </c>
      <c r="BW124" s="126"/>
      <c r="BX124" s="127"/>
      <c r="BY124" s="127"/>
      <c r="BZ124" s="13"/>
      <c r="CA124" s="13"/>
      <c r="CB124" s="13"/>
      <c r="CC124" s="13" t="s">
        <v>561</v>
      </c>
    </row>
    <row r="125">
      <c r="A125" s="44" t="str">
        <f>LOOKUP(H125,'Letter grades'!$A$1:$B$6)</f>
        <v>F</v>
      </c>
      <c r="B125" s="44">
        <f t="shared" si="3"/>
        <v>121</v>
      </c>
      <c r="C125" s="44" t="s">
        <v>1359</v>
      </c>
      <c r="D125" s="44" t="s">
        <v>1360</v>
      </c>
      <c r="E125" s="98" t="s">
        <v>1355</v>
      </c>
      <c r="F125" s="47">
        <f t="shared" si="4"/>
        <v>0.3333333333</v>
      </c>
      <c r="G125" s="47">
        <f t="shared" si="5"/>
        <v>0.31</v>
      </c>
      <c r="H125" s="105">
        <f t="shared" si="6"/>
        <v>0.3177777778</v>
      </c>
      <c r="I125" s="13" t="s">
        <v>2594</v>
      </c>
      <c r="J125" s="53" t="s">
        <v>487</v>
      </c>
      <c r="K125" s="53" t="s">
        <v>594</v>
      </c>
      <c r="L125" s="107" t="s">
        <v>594</v>
      </c>
      <c r="M125" s="53" t="s">
        <v>594</v>
      </c>
      <c r="N125" s="107" t="s">
        <v>594</v>
      </c>
      <c r="O125" s="53" t="s">
        <v>490</v>
      </c>
      <c r="P125" s="108" t="s">
        <v>53</v>
      </c>
      <c r="Q125" s="110" t="s">
        <v>53</v>
      </c>
      <c r="R125" s="108" t="s">
        <v>766</v>
      </c>
      <c r="S125" s="107" t="s">
        <v>53</v>
      </c>
      <c r="T125" s="107" t="s">
        <v>561</v>
      </c>
      <c r="U125" s="107" t="s">
        <v>561</v>
      </c>
      <c r="V125" s="107" t="s">
        <v>796</v>
      </c>
      <c r="W125" s="107" t="s">
        <v>796</v>
      </c>
      <c r="X125" s="53" t="s">
        <v>766</v>
      </c>
      <c r="Y125" s="107" t="s">
        <v>561</v>
      </c>
      <c r="Z125" s="53" t="s">
        <v>53</v>
      </c>
      <c r="AA125" s="107" t="s">
        <v>53</v>
      </c>
      <c r="AB125" s="53" t="s">
        <v>53</v>
      </c>
      <c r="AC125" s="53" t="s">
        <v>561</v>
      </c>
      <c r="AD125" s="107" t="s">
        <v>53</v>
      </c>
      <c r="AE125" s="107" t="s">
        <v>53</v>
      </c>
      <c r="AF125" s="107" t="s">
        <v>53</v>
      </c>
      <c r="AG125" s="107" t="s">
        <v>53</v>
      </c>
      <c r="AH125" s="107" t="s">
        <v>53</v>
      </c>
      <c r="AI125" s="107" t="s">
        <v>561</v>
      </c>
      <c r="AJ125" s="107" t="s">
        <v>561</v>
      </c>
      <c r="AK125" s="107" t="s">
        <v>561</v>
      </c>
      <c r="AL125" s="107" t="s">
        <v>561</v>
      </c>
      <c r="AM125" s="107" t="s">
        <v>561</v>
      </c>
      <c r="AN125" s="53" t="s">
        <v>561</v>
      </c>
      <c r="AO125" s="107" t="s">
        <v>561</v>
      </c>
      <c r="AP125" s="53" t="s">
        <v>561</v>
      </c>
      <c r="AQ125" s="53" t="s">
        <v>561</v>
      </c>
      <c r="AR125" s="53" t="s">
        <v>53</v>
      </c>
      <c r="AS125" s="53" t="s">
        <v>561</v>
      </c>
      <c r="AT125" s="53" t="s">
        <v>53</v>
      </c>
      <c r="AU125" s="53" t="s">
        <v>561</v>
      </c>
      <c r="AV125" s="53" t="s">
        <v>799</v>
      </c>
      <c r="AW125" s="53" t="s">
        <v>561</v>
      </c>
      <c r="AX125" s="53" t="s">
        <v>561</v>
      </c>
      <c r="AY125" s="53" t="s">
        <v>561</v>
      </c>
      <c r="AZ125" s="53" t="s">
        <v>53</v>
      </c>
      <c r="BA125" s="53" t="s">
        <v>561</v>
      </c>
      <c r="BB125" s="53" t="s">
        <v>53</v>
      </c>
      <c r="BC125" s="53" t="s">
        <v>561</v>
      </c>
      <c r="BD125" s="53" t="s">
        <v>561</v>
      </c>
      <c r="BE125" s="53" t="s">
        <v>561</v>
      </c>
      <c r="BF125" s="53" t="s">
        <v>561</v>
      </c>
      <c r="BG125" s="53" t="s">
        <v>561</v>
      </c>
      <c r="BH125" s="53" t="s">
        <v>561</v>
      </c>
      <c r="BI125" s="107" t="s">
        <v>561</v>
      </c>
      <c r="BJ125" s="107" t="s">
        <v>561</v>
      </c>
      <c r="BK125" s="53" t="s">
        <v>561</v>
      </c>
      <c r="BL125" s="53" t="s">
        <v>561</v>
      </c>
      <c r="BM125" s="53" t="s">
        <v>561</v>
      </c>
      <c r="BN125" s="53" t="s">
        <v>561</v>
      </c>
      <c r="BO125" s="53" t="s">
        <v>561</v>
      </c>
      <c r="BP125" s="53" t="s">
        <v>600</v>
      </c>
      <c r="BQ125" s="118" t="s">
        <v>821</v>
      </c>
      <c r="BR125" s="118" t="s">
        <v>821</v>
      </c>
      <c r="BS125" s="118" t="s">
        <v>821</v>
      </c>
      <c r="BT125" s="122"/>
      <c r="BU125" s="122">
        <f t="shared" si="20"/>
        <v>40400</v>
      </c>
      <c r="BV125" s="126">
        <v>40400.0</v>
      </c>
      <c r="BW125" s="126"/>
      <c r="BX125" s="127"/>
      <c r="BY125" s="127"/>
      <c r="BZ125" s="13"/>
      <c r="CA125" s="13" t="s">
        <v>561</v>
      </c>
      <c r="CB125" s="13"/>
      <c r="CC125" s="13"/>
    </row>
    <row r="126">
      <c r="A126" s="44" t="str">
        <f>LOOKUP(H126,'Letter grades'!$A$1:$B$6)</f>
        <v>F</v>
      </c>
      <c r="B126" s="44">
        <f t="shared" si="3"/>
        <v>122</v>
      </c>
      <c r="C126" s="44" t="s">
        <v>753</v>
      </c>
      <c r="D126" s="44" t="s">
        <v>754</v>
      </c>
      <c r="E126" s="145" t="s">
        <v>749</v>
      </c>
      <c r="F126" s="47">
        <f t="shared" si="4"/>
        <v>0.1666666667</v>
      </c>
      <c r="G126" s="47">
        <f t="shared" si="5"/>
        <v>0.3913043478</v>
      </c>
      <c r="H126" s="105">
        <f t="shared" si="6"/>
        <v>0.3164251208</v>
      </c>
      <c r="I126" s="13" t="s">
        <v>1208</v>
      </c>
      <c r="J126" s="53" t="s">
        <v>487</v>
      </c>
      <c r="K126" s="53" t="s">
        <v>594</v>
      </c>
      <c r="L126" s="107" t="s">
        <v>594</v>
      </c>
      <c r="M126" s="53" t="s">
        <v>594</v>
      </c>
      <c r="N126" s="107" t="s">
        <v>594</v>
      </c>
      <c r="O126" s="53" t="s">
        <v>1065</v>
      </c>
      <c r="P126" s="108" t="s">
        <v>53</v>
      </c>
      <c r="Q126" s="110" t="s">
        <v>53</v>
      </c>
      <c r="R126" s="108" t="s">
        <v>491</v>
      </c>
      <c r="S126" s="107" t="s">
        <v>53</v>
      </c>
      <c r="T126" s="107" t="s">
        <v>561</v>
      </c>
      <c r="U126" s="107" t="s">
        <v>53</v>
      </c>
      <c r="V126" s="107" t="s">
        <v>796</v>
      </c>
      <c r="W126" s="107" t="s">
        <v>796</v>
      </c>
      <c r="X126" s="53" t="s">
        <v>766</v>
      </c>
      <c r="Y126" s="107" t="s">
        <v>561</v>
      </c>
      <c r="Z126" s="53" t="s">
        <v>53</v>
      </c>
      <c r="AA126" s="107" t="s">
        <v>53</v>
      </c>
      <c r="AB126" s="53" t="s">
        <v>53</v>
      </c>
      <c r="AC126" s="53" t="s">
        <v>561</v>
      </c>
      <c r="AD126" s="107" t="s">
        <v>53</v>
      </c>
      <c r="AE126" s="107" t="s">
        <v>53</v>
      </c>
      <c r="AF126" s="107" t="s">
        <v>561</v>
      </c>
      <c r="AG126" s="107" t="s">
        <v>53</v>
      </c>
      <c r="AH126" s="107" t="s">
        <v>53</v>
      </c>
      <c r="AI126" s="107" t="s">
        <v>53</v>
      </c>
      <c r="AJ126" s="107" t="s">
        <v>561</v>
      </c>
      <c r="AK126" s="107" t="s">
        <v>561</v>
      </c>
      <c r="AL126" s="107" t="s">
        <v>561</v>
      </c>
      <c r="AM126" s="107" t="s">
        <v>561</v>
      </c>
      <c r="AN126" s="53" t="s">
        <v>561</v>
      </c>
      <c r="AO126" s="107" t="s">
        <v>561</v>
      </c>
      <c r="AP126" s="53" t="s">
        <v>561</v>
      </c>
      <c r="AQ126" s="53" t="s">
        <v>561</v>
      </c>
      <c r="AR126" s="53" t="s">
        <v>561</v>
      </c>
      <c r="AS126" s="53" t="s">
        <v>561</v>
      </c>
      <c r="AT126" s="53" t="s">
        <v>53</v>
      </c>
      <c r="AU126" s="53" t="s">
        <v>53</v>
      </c>
      <c r="AV126" s="53" t="s">
        <v>561</v>
      </c>
      <c r="AW126" s="53" t="s">
        <v>561</v>
      </c>
      <c r="AX126" s="53" t="s">
        <v>561</v>
      </c>
      <c r="AY126" s="53" t="s">
        <v>561</v>
      </c>
      <c r="AZ126" s="53" t="s">
        <v>53</v>
      </c>
      <c r="BA126" s="53" t="s">
        <v>561</v>
      </c>
      <c r="BB126" s="53" t="s">
        <v>53</v>
      </c>
      <c r="BC126" s="53" t="s">
        <v>801</v>
      </c>
      <c r="BD126" s="53" t="s">
        <v>561</v>
      </c>
      <c r="BE126" s="53" t="s">
        <v>561</v>
      </c>
      <c r="BF126" s="53" t="s">
        <v>561</v>
      </c>
      <c r="BG126" s="53" t="s">
        <v>561</v>
      </c>
      <c r="BH126" s="53" t="s">
        <v>561</v>
      </c>
      <c r="BI126" s="107" t="s">
        <v>53</v>
      </c>
      <c r="BJ126" s="107" t="s">
        <v>561</v>
      </c>
      <c r="BK126" s="53" t="s">
        <v>561</v>
      </c>
      <c r="BL126" s="53" t="s">
        <v>561</v>
      </c>
      <c r="BM126" s="53" t="s">
        <v>600</v>
      </c>
      <c r="BN126" s="53" t="s">
        <v>600</v>
      </c>
      <c r="BO126" s="53" t="s">
        <v>600</v>
      </c>
      <c r="BP126" s="53" t="s">
        <v>600</v>
      </c>
      <c r="BQ126" s="180" t="s">
        <v>1832</v>
      </c>
      <c r="BR126" s="118" t="s">
        <v>821</v>
      </c>
      <c r="BS126" s="180" t="s">
        <v>1832</v>
      </c>
      <c r="BT126" s="122"/>
      <c r="BU126" s="122">
        <f t="shared" si="20"/>
        <v>173316</v>
      </c>
      <c r="BV126" s="126">
        <v>166316.0</v>
      </c>
      <c r="BW126" s="126"/>
      <c r="BX126" s="127">
        <f>5000+2000</f>
        <v>7000</v>
      </c>
      <c r="BY126" s="127"/>
      <c r="BZ126" s="13"/>
      <c r="CA126" s="13"/>
      <c r="CB126" s="13" t="s">
        <v>561</v>
      </c>
      <c r="CC126" s="13" t="s">
        <v>561</v>
      </c>
    </row>
    <row r="127">
      <c r="A127" s="44" t="str">
        <f>LOOKUP(H127,'Letter grades'!$A$1:$B$6)</f>
        <v>F</v>
      </c>
      <c r="B127" s="44">
        <f t="shared" si="3"/>
        <v>123</v>
      </c>
      <c r="C127" s="44" t="s">
        <v>2590</v>
      </c>
      <c r="D127" s="44" t="s">
        <v>348</v>
      </c>
      <c r="E127" s="98" t="s">
        <v>1321</v>
      </c>
      <c r="F127" s="47">
        <f t="shared" si="4"/>
        <v>0.1666666667</v>
      </c>
      <c r="G127" s="47">
        <f t="shared" si="5"/>
        <v>0.3823529412</v>
      </c>
      <c r="H127" s="105">
        <f t="shared" si="6"/>
        <v>0.3104575163</v>
      </c>
      <c r="I127" s="13" t="s">
        <v>108</v>
      </c>
      <c r="J127" s="53" t="s">
        <v>594</v>
      </c>
      <c r="K127" s="53" t="s">
        <v>594</v>
      </c>
      <c r="L127" s="107" t="s">
        <v>594</v>
      </c>
      <c r="M127" s="53" t="s">
        <v>594</v>
      </c>
      <c r="N127" s="107" t="s">
        <v>594</v>
      </c>
      <c r="O127" s="53" t="s">
        <v>490</v>
      </c>
      <c r="P127" s="108" t="s">
        <v>53</v>
      </c>
      <c r="Q127" s="110" t="s">
        <v>53</v>
      </c>
      <c r="R127" s="108" t="s">
        <v>491</v>
      </c>
      <c r="S127" s="107" t="s">
        <v>53</v>
      </c>
      <c r="T127" s="107" t="s">
        <v>561</v>
      </c>
      <c r="U127" s="107" t="s">
        <v>561</v>
      </c>
      <c r="V127" s="107" t="s">
        <v>796</v>
      </c>
      <c r="W127" s="107" t="s">
        <v>796</v>
      </c>
      <c r="X127" s="53" t="s">
        <v>766</v>
      </c>
      <c r="Y127" s="107" t="s">
        <v>561</v>
      </c>
      <c r="Z127" s="53" t="s">
        <v>53</v>
      </c>
      <c r="AA127" s="107" t="s">
        <v>561</v>
      </c>
      <c r="AB127" s="53" t="s">
        <v>53</v>
      </c>
      <c r="AC127" s="53" t="s">
        <v>561</v>
      </c>
      <c r="AD127" s="107" t="s">
        <v>53</v>
      </c>
      <c r="AE127" s="107" t="s">
        <v>53</v>
      </c>
      <c r="AF127" s="107" t="s">
        <v>53</v>
      </c>
      <c r="AG127" s="107" t="s">
        <v>53</v>
      </c>
      <c r="AH127" s="107" t="s">
        <v>53</v>
      </c>
      <c r="AI127" s="107" t="s">
        <v>53</v>
      </c>
      <c r="AJ127" s="107" t="s">
        <v>561</v>
      </c>
      <c r="AK127" s="107" t="s">
        <v>561</v>
      </c>
      <c r="AL127" s="107" t="s">
        <v>561</v>
      </c>
      <c r="AM127" s="107" t="s">
        <v>561</v>
      </c>
      <c r="AN127" s="53" t="s">
        <v>561</v>
      </c>
      <c r="AO127" s="107" t="s">
        <v>561</v>
      </c>
      <c r="AP127" s="53" t="s">
        <v>561</v>
      </c>
      <c r="AQ127" s="53" t="s">
        <v>561</v>
      </c>
      <c r="AR127" s="53" t="s">
        <v>53</v>
      </c>
      <c r="AS127" s="53" t="s">
        <v>561</v>
      </c>
      <c r="AT127" s="53" t="s">
        <v>53</v>
      </c>
      <c r="AU127" s="53" t="s">
        <v>53</v>
      </c>
      <c r="AV127" s="53" t="s">
        <v>799</v>
      </c>
      <c r="AW127" s="53" t="s">
        <v>561</v>
      </c>
      <c r="AX127" s="53" t="s">
        <v>561</v>
      </c>
      <c r="AY127" s="53" t="s">
        <v>53</v>
      </c>
      <c r="AZ127" s="53" t="s">
        <v>53</v>
      </c>
      <c r="BA127" s="53" t="s">
        <v>561</v>
      </c>
      <c r="BB127" s="53" t="s">
        <v>53</v>
      </c>
      <c r="BC127" s="53" t="s">
        <v>561</v>
      </c>
      <c r="BD127" s="53" t="s">
        <v>561</v>
      </c>
      <c r="BE127" s="53" t="s">
        <v>561</v>
      </c>
      <c r="BF127" s="53" t="s">
        <v>561</v>
      </c>
      <c r="BG127" s="53" t="s">
        <v>561</v>
      </c>
      <c r="BH127" s="53" t="s">
        <v>561</v>
      </c>
      <c r="BI127" s="107" t="s">
        <v>561</v>
      </c>
      <c r="BJ127" s="107" t="s">
        <v>561</v>
      </c>
      <c r="BK127" s="53" t="s">
        <v>561</v>
      </c>
      <c r="BL127" s="53" t="s">
        <v>561</v>
      </c>
      <c r="BM127" s="53" t="s">
        <v>561</v>
      </c>
      <c r="BN127" s="53" t="s">
        <v>561</v>
      </c>
      <c r="BO127" s="53" t="s">
        <v>53</v>
      </c>
      <c r="BP127" s="53" t="s">
        <v>561</v>
      </c>
      <c r="BQ127" s="118" t="s">
        <v>821</v>
      </c>
      <c r="BR127" s="118" t="s">
        <v>821</v>
      </c>
      <c r="BS127" s="118" t="s">
        <v>821</v>
      </c>
      <c r="BT127" s="122"/>
      <c r="BU127" s="122">
        <f t="shared" si="20"/>
        <v>0</v>
      </c>
      <c r="BV127" s="126"/>
      <c r="BW127" s="126"/>
      <c r="BX127" s="127"/>
      <c r="BY127" s="127"/>
      <c r="BZ127" s="13"/>
      <c r="CA127" s="13"/>
      <c r="CB127" s="13"/>
      <c r="CC127" s="13"/>
    </row>
    <row r="128">
      <c r="A128" s="44" t="str">
        <f>LOOKUP(H128,'Letter grades'!$A$1:$B$6)</f>
        <v>F</v>
      </c>
      <c r="B128" s="44">
        <f t="shared" si="3"/>
        <v>124</v>
      </c>
      <c r="C128" s="44" t="s">
        <v>718</v>
      </c>
      <c r="D128" s="44" t="s">
        <v>719</v>
      </c>
      <c r="E128" s="98" t="s">
        <v>715</v>
      </c>
      <c r="F128" s="47">
        <f t="shared" si="4"/>
        <v>0.3333333333</v>
      </c>
      <c r="G128" s="47">
        <f t="shared" si="5"/>
        <v>0.2916666667</v>
      </c>
      <c r="H128" s="105">
        <f t="shared" si="6"/>
        <v>0.3055555556</v>
      </c>
      <c r="I128" s="13" t="s">
        <v>1208</v>
      </c>
      <c r="J128" s="53" t="s">
        <v>487</v>
      </c>
      <c r="K128" s="53" t="s">
        <v>487</v>
      </c>
      <c r="L128" s="107" t="s">
        <v>594</v>
      </c>
      <c r="M128" s="53" t="s">
        <v>594</v>
      </c>
      <c r="N128" s="107" t="s">
        <v>594</v>
      </c>
      <c r="O128" s="53" t="s">
        <v>1065</v>
      </c>
      <c r="P128" s="108" t="s">
        <v>53</v>
      </c>
      <c r="Q128" s="110" t="s">
        <v>53</v>
      </c>
      <c r="R128" s="108" t="s">
        <v>766</v>
      </c>
      <c r="S128" s="107" t="s">
        <v>53</v>
      </c>
      <c r="T128" s="107" t="s">
        <v>561</v>
      </c>
      <c r="U128" s="107" t="s">
        <v>53</v>
      </c>
      <c r="V128" s="107" t="s">
        <v>766</v>
      </c>
      <c r="W128" s="107" t="s">
        <v>766</v>
      </c>
      <c r="X128" s="53" t="s">
        <v>766</v>
      </c>
      <c r="Y128" s="107" t="s">
        <v>561</v>
      </c>
      <c r="Z128" s="53" t="s">
        <v>53</v>
      </c>
      <c r="AA128" s="107" t="s">
        <v>561</v>
      </c>
      <c r="AB128" s="53" t="s">
        <v>53</v>
      </c>
      <c r="AC128" s="53" t="s">
        <v>561</v>
      </c>
      <c r="AD128" s="53" t="s">
        <v>801</v>
      </c>
      <c r="AE128" s="107" t="s">
        <v>53</v>
      </c>
      <c r="AF128" s="107" t="s">
        <v>53</v>
      </c>
      <c r="AG128" s="107" t="s">
        <v>53</v>
      </c>
      <c r="AH128" s="107" t="s">
        <v>53</v>
      </c>
      <c r="AI128" s="107" t="s">
        <v>561</v>
      </c>
      <c r="AJ128" s="107" t="s">
        <v>561</v>
      </c>
      <c r="AK128" s="107" t="s">
        <v>561</v>
      </c>
      <c r="AL128" s="107" t="s">
        <v>561</v>
      </c>
      <c r="AM128" s="107" t="s">
        <v>561</v>
      </c>
      <c r="AN128" s="53" t="s">
        <v>561</v>
      </c>
      <c r="AO128" s="107" t="s">
        <v>561</v>
      </c>
      <c r="AP128" s="53" t="s">
        <v>561</v>
      </c>
      <c r="AQ128" s="53" t="s">
        <v>561</v>
      </c>
      <c r="AR128" s="53" t="s">
        <v>53</v>
      </c>
      <c r="AS128" s="53" t="s">
        <v>561</v>
      </c>
      <c r="AT128" s="53" t="s">
        <v>53</v>
      </c>
      <c r="AU128" s="53" t="s">
        <v>561</v>
      </c>
      <c r="AV128" s="53" t="s">
        <v>561</v>
      </c>
      <c r="AW128" s="53" t="s">
        <v>561</v>
      </c>
      <c r="AX128" s="53" t="s">
        <v>561</v>
      </c>
      <c r="AY128" s="53" t="s">
        <v>561</v>
      </c>
      <c r="AZ128" s="53" t="s">
        <v>53</v>
      </c>
      <c r="BA128" s="53" t="s">
        <v>561</v>
      </c>
      <c r="BB128" s="53" t="s">
        <v>53</v>
      </c>
      <c r="BC128" s="53" t="s">
        <v>561</v>
      </c>
      <c r="BD128" s="53" t="s">
        <v>561</v>
      </c>
      <c r="BE128" s="53" t="s">
        <v>561</v>
      </c>
      <c r="BF128" s="53" t="s">
        <v>561</v>
      </c>
      <c r="BG128" s="53" t="s">
        <v>561</v>
      </c>
      <c r="BH128" s="53" t="s">
        <v>561</v>
      </c>
      <c r="BI128" s="107" t="s">
        <v>561</v>
      </c>
      <c r="BJ128" s="107" t="s">
        <v>561</v>
      </c>
      <c r="BK128" s="53" t="s">
        <v>561</v>
      </c>
      <c r="BL128" s="53" t="s">
        <v>561</v>
      </c>
      <c r="BM128" s="53" t="s">
        <v>600</v>
      </c>
      <c r="BN128" s="53" t="s">
        <v>600</v>
      </c>
      <c r="BO128" s="53" t="s">
        <v>600</v>
      </c>
      <c r="BP128" s="53" t="s">
        <v>600</v>
      </c>
      <c r="BQ128" s="118" t="s">
        <v>821</v>
      </c>
      <c r="BR128" s="118" t="s">
        <v>821</v>
      </c>
      <c r="BS128" s="118" t="s">
        <v>821</v>
      </c>
      <c r="BT128" s="122"/>
      <c r="BU128" s="122">
        <f t="shared" si="20"/>
        <v>44042</v>
      </c>
      <c r="BV128" s="126">
        <v>39042.0</v>
      </c>
      <c r="BW128" s="126"/>
      <c r="BX128" s="127">
        <f>5000</f>
        <v>5000</v>
      </c>
      <c r="BY128" s="127"/>
      <c r="BZ128" s="13"/>
      <c r="CA128" s="13"/>
      <c r="CB128" s="13"/>
      <c r="CC128" s="13" t="s">
        <v>561</v>
      </c>
    </row>
    <row r="129">
      <c r="A129" s="44" t="str">
        <f>LOOKUP(H129,'Letter grades'!$A$1:$B$6)</f>
        <v>F</v>
      </c>
      <c r="B129" s="44">
        <f t="shared" si="3"/>
        <v>124</v>
      </c>
      <c r="C129" s="44" t="s">
        <v>1244</v>
      </c>
      <c r="D129" s="44" t="s">
        <v>1245</v>
      </c>
      <c r="E129" s="98" t="s">
        <v>1242</v>
      </c>
      <c r="F129" s="47">
        <f t="shared" si="4"/>
        <v>0.3333333333</v>
      </c>
      <c r="G129" s="47">
        <f t="shared" si="5"/>
        <v>0.2916666667</v>
      </c>
      <c r="H129" s="105">
        <f t="shared" si="6"/>
        <v>0.3055555556</v>
      </c>
      <c r="I129" s="13" t="s">
        <v>2030</v>
      </c>
      <c r="J129" s="53" t="s">
        <v>487</v>
      </c>
      <c r="K129" s="53" t="s">
        <v>594</v>
      </c>
      <c r="L129" s="107" t="s">
        <v>594</v>
      </c>
      <c r="M129" s="53" t="s">
        <v>594</v>
      </c>
      <c r="N129" s="107" t="s">
        <v>594</v>
      </c>
      <c r="O129" s="53" t="s">
        <v>490</v>
      </c>
      <c r="P129" s="108" t="s">
        <v>53</v>
      </c>
      <c r="Q129" s="110" t="s">
        <v>53</v>
      </c>
      <c r="R129" s="108" t="s">
        <v>766</v>
      </c>
      <c r="S129" s="107" t="s">
        <v>53</v>
      </c>
      <c r="T129" s="107" t="s">
        <v>53</v>
      </c>
      <c r="U129" s="107" t="s">
        <v>561</v>
      </c>
      <c r="V129" s="107" t="s">
        <v>796</v>
      </c>
      <c r="W129" s="107" t="s">
        <v>796</v>
      </c>
      <c r="X129" s="53" t="s">
        <v>766</v>
      </c>
      <c r="Y129" s="107" t="s">
        <v>561</v>
      </c>
      <c r="Z129" s="53" t="s">
        <v>53</v>
      </c>
      <c r="AA129" s="107" t="s">
        <v>53</v>
      </c>
      <c r="AB129" s="53" t="s">
        <v>53</v>
      </c>
      <c r="AC129" s="53" t="s">
        <v>561</v>
      </c>
      <c r="AD129" s="107" t="s">
        <v>53</v>
      </c>
      <c r="AE129" s="107" t="s">
        <v>53</v>
      </c>
      <c r="AF129" s="107" t="s">
        <v>561</v>
      </c>
      <c r="AG129" s="107" t="s">
        <v>53</v>
      </c>
      <c r="AH129" s="107" t="s">
        <v>53</v>
      </c>
      <c r="AI129" s="107" t="s">
        <v>561</v>
      </c>
      <c r="AJ129" s="107" t="s">
        <v>561</v>
      </c>
      <c r="AK129" s="107" t="s">
        <v>561</v>
      </c>
      <c r="AL129" s="107" t="s">
        <v>561</v>
      </c>
      <c r="AM129" s="107" t="s">
        <v>561</v>
      </c>
      <c r="AN129" s="53" t="s">
        <v>561</v>
      </c>
      <c r="AO129" s="107" t="s">
        <v>561</v>
      </c>
      <c r="AP129" s="53" t="s">
        <v>561</v>
      </c>
      <c r="AQ129" s="53" t="s">
        <v>561</v>
      </c>
      <c r="AR129" s="53" t="s">
        <v>53</v>
      </c>
      <c r="AS129" s="53" t="s">
        <v>561</v>
      </c>
      <c r="AT129" s="53" t="s">
        <v>561</v>
      </c>
      <c r="AU129" s="107" t="s">
        <v>801</v>
      </c>
      <c r="AV129" s="53" t="s">
        <v>561</v>
      </c>
      <c r="AW129" s="53" t="s">
        <v>561</v>
      </c>
      <c r="AX129" s="53" t="s">
        <v>561</v>
      </c>
      <c r="AY129" s="53" t="s">
        <v>561</v>
      </c>
      <c r="AZ129" s="53" t="s">
        <v>53</v>
      </c>
      <c r="BA129" s="53" t="s">
        <v>561</v>
      </c>
      <c r="BB129" s="53" t="s">
        <v>53</v>
      </c>
      <c r="BC129" s="53" t="s">
        <v>561</v>
      </c>
      <c r="BD129" s="53" t="s">
        <v>561</v>
      </c>
      <c r="BE129" s="53" t="s">
        <v>561</v>
      </c>
      <c r="BF129" s="53" t="s">
        <v>561</v>
      </c>
      <c r="BG129" s="53" t="s">
        <v>561</v>
      </c>
      <c r="BH129" s="53" t="s">
        <v>561</v>
      </c>
      <c r="BI129" s="107" t="s">
        <v>561</v>
      </c>
      <c r="BJ129" s="107" t="s">
        <v>561</v>
      </c>
      <c r="BK129" s="53" t="s">
        <v>561</v>
      </c>
      <c r="BL129" s="53" t="s">
        <v>561</v>
      </c>
      <c r="BM129" s="53" t="s">
        <v>561</v>
      </c>
      <c r="BN129" s="53" t="s">
        <v>561</v>
      </c>
      <c r="BO129" s="53" t="s">
        <v>600</v>
      </c>
      <c r="BP129" s="53" t="s">
        <v>600</v>
      </c>
      <c r="BQ129" s="118" t="s">
        <v>821</v>
      </c>
      <c r="BR129" s="118" t="s">
        <v>821</v>
      </c>
      <c r="BS129" s="180" t="s">
        <v>1832</v>
      </c>
      <c r="BT129" s="122"/>
      <c r="BU129" s="122">
        <f t="shared" si="20"/>
        <v>39055</v>
      </c>
      <c r="BV129" s="126">
        <v>35055.0</v>
      </c>
      <c r="BW129" s="126"/>
      <c r="BX129" s="127">
        <f>2000+2000</f>
        <v>4000</v>
      </c>
      <c r="BY129" s="127"/>
      <c r="BZ129" s="13"/>
      <c r="CA129" s="13"/>
      <c r="CB129" s="13" t="s">
        <v>561</v>
      </c>
      <c r="CC129" s="13" t="s">
        <v>561</v>
      </c>
    </row>
    <row r="130">
      <c r="A130" s="44" t="str">
        <f>LOOKUP(H130,'Letter grades'!$A$1:$B$6)</f>
        <v>F</v>
      </c>
      <c r="B130" s="44">
        <f t="shared" si="3"/>
        <v>124</v>
      </c>
      <c r="C130" s="44" t="s">
        <v>240</v>
      </c>
      <c r="D130" s="44" t="s">
        <v>877</v>
      </c>
      <c r="E130" s="98" t="s">
        <v>1388</v>
      </c>
      <c r="F130" s="47">
        <f t="shared" si="4"/>
        <v>0.3333333333</v>
      </c>
      <c r="G130" s="47">
        <f t="shared" si="5"/>
        <v>0.2916666667</v>
      </c>
      <c r="H130" s="105">
        <f t="shared" si="6"/>
        <v>0.3055555556</v>
      </c>
      <c r="I130" s="13" t="s">
        <v>1208</v>
      </c>
      <c r="J130" s="53" t="s">
        <v>487</v>
      </c>
      <c r="K130" s="53" t="s">
        <v>594</v>
      </c>
      <c r="L130" s="107" t="s">
        <v>594</v>
      </c>
      <c r="M130" s="53" t="s">
        <v>594</v>
      </c>
      <c r="N130" s="107" t="s">
        <v>594</v>
      </c>
      <c r="O130" s="53" t="s">
        <v>490</v>
      </c>
      <c r="P130" s="108" t="s">
        <v>53</v>
      </c>
      <c r="Q130" s="110" t="s">
        <v>53</v>
      </c>
      <c r="R130" s="108" t="s">
        <v>491</v>
      </c>
      <c r="S130" s="107" t="s">
        <v>53</v>
      </c>
      <c r="T130" s="107" t="s">
        <v>561</v>
      </c>
      <c r="U130" s="107" t="s">
        <v>561</v>
      </c>
      <c r="V130" s="107" t="s">
        <v>796</v>
      </c>
      <c r="W130" s="107" t="s">
        <v>796</v>
      </c>
      <c r="X130" s="53" t="s">
        <v>766</v>
      </c>
      <c r="Y130" s="107" t="s">
        <v>561</v>
      </c>
      <c r="Z130" s="53" t="s">
        <v>801</v>
      </c>
      <c r="AA130" s="107" t="s">
        <v>53</v>
      </c>
      <c r="AB130" s="53" t="s">
        <v>801</v>
      </c>
      <c r="AC130" s="53" t="s">
        <v>561</v>
      </c>
      <c r="AD130" s="107" t="s">
        <v>53</v>
      </c>
      <c r="AE130" s="107" t="s">
        <v>53</v>
      </c>
      <c r="AF130" s="107" t="s">
        <v>53</v>
      </c>
      <c r="AG130" s="107" t="s">
        <v>53</v>
      </c>
      <c r="AH130" s="107" t="s">
        <v>53</v>
      </c>
      <c r="AI130" s="107" t="s">
        <v>561</v>
      </c>
      <c r="AJ130" s="107" t="s">
        <v>561</v>
      </c>
      <c r="AK130" s="107" t="s">
        <v>561</v>
      </c>
      <c r="AL130" s="107" t="s">
        <v>561</v>
      </c>
      <c r="AM130" s="107" t="s">
        <v>561</v>
      </c>
      <c r="AN130" s="53" t="s">
        <v>801</v>
      </c>
      <c r="AO130" s="107" t="s">
        <v>561</v>
      </c>
      <c r="AP130" s="53" t="s">
        <v>561</v>
      </c>
      <c r="AQ130" s="53" t="s">
        <v>561</v>
      </c>
      <c r="AR130" s="53" t="s">
        <v>53</v>
      </c>
      <c r="AS130" s="53" t="s">
        <v>561</v>
      </c>
      <c r="AT130" s="53" t="s">
        <v>561</v>
      </c>
      <c r="AU130" s="53" t="s">
        <v>561</v>
      </c>
      <c r="AV130" s="53" t="s">
        <v>561</v>
      </c>
      <c r="AW130" s="53" t="s">
        <v>561</v>
      </c>
      <c r="AX130" s="53" t="s">
        <v>561</v>
      </c>
      <c r="AY130" s="53" t="s">
        <v>561</v>
      </c>
      <c r="AZ130" s="53" t="s">
        <v>53</v>
      </c>
      <c r="BA130" s="53" t="s">
        <v>561</v>
      </c>
      <c r="BB130" s="53" t="s">
        <v>53</v>
      </c>
      <c r="BC130" s="53" t="s">
        <v>561</v>
      </c>
      <c r="BD130" s="53" t="s">
        <v>561</v>
      </c>
      <c r="BE130" s="53" t="s">
        <v>53</v>
      </c>
      <c r="BF130" s="53" t="s">
        <v>561</v>
      </c>
      <c r="BG130" s="53" t="s">
        <v>561</v>
      </c>
      <c r="BH130" s="53" t="s">
        <v>561</v>
      </c>
      <c r="BI130" s="107" t="s">
        <v>561</v>
      </c>
      <c r="BJ130" s="107" t="s">
        <v>561</v>
      </c>
      <c r="BK130" s="53" t="s">
        <v>561</v>
      </c>
      <c r="BL130" s="53" t="s">
        <v>561</v>
      </c>
      <c r="BM130" s="53" t="s">
        <v>561</v>
      </c>
      <c r="BN130" s="53" t="s">
        <v>561</v>
      </c>
      <c r="BO130" s="53" t="s">
        <v>561</v>
      </c>
      <c r="BP130" s="53" t="s">
        <v>561</v>
      </c>
      <c r="BQ130" s="118" t="s">
        <v>821</v>
      </c>
      <c r="BR130" s="118" t="s">
        <v>821</v>
      </c>
      <c r="BS130" s="118" t="s">
        <v>821</v>
      </c>
      <c r="BT130" s="122"/>
      <c r="BU130" s="122">
        <f t="shared" si="20"/>
        <v>97125</v>
      </c>
      <c r="BV130" s="126">
        <v>96125.0</v>
      </c>
      <c r="BW130" s="126"/>
      <c r="BX130" s="127">
        <f>1000</f>
        <v>1000</v>
      </c>
      <c r="BY130" s="127"/>
      <c r="BZ130" s="13"/>
      <c r="CA130" s="13" t="s">
        <v>561</v>
      </c>
      <c r="CB130" s="13" t="s">
        <v>561</v>
      </c>
      <c r="CC130" s="13" t="s">
        <v>561</v>
      </c>
    </row>
    <row r="131">
      <c r="A131" s="44" t="str">
        <f>LOOKUP(H131,'Letter grades'!$A$1:$B$6)</f>
        <v>F</v>
      </c>
      <c r="B131" s="44">
        <f t="shared" si="3"/>
        <v>127</v>
      </c>
      <c r="C131" s="44" t="s">
        <v>215</v>
      </c>
      <c r="D131" s="44" t="s">
        <v>216</v>
      </c>
      <c r="E131" s="98" t="s">
        <v>212</v>
      </c>
      <c r="F131" s="47">
        <f t="shared" si="4"/>
        <v>0.3333333333</v>
      </c>
      <c r="G131" s="47">
        <f t="shared" si="5"/>
        <v>0.28125</v>
      </c>
      <c r="H131" s="105">
        <f t="shared" si="6"/>
        <v>0.2986111111</v>
      </c>
      <c r="I131" s="13" t="s">
        <v>1208</v>
      </c>
      <c r="J131" s="53" t="s">
        <v>487</v>
      </c>
      <c r="K131" s="53" t="s">
        <v>594</v>
      </c>
      <c r="L131" s="107" t="s">
        <v>594</v>
      </c>
      <c r="M131" s="53" t="s">
        <v>594</v>
      </c>
      <c r="N131" s="107" t="s">
        <v>594</v>
      </c>
      <c r="O131" s="53" t="s">
        <v>490</v>
      </c>
      <c r="P131" s="108" t="s">
        <v>53</v>
      </c>
      <c r="Q131" s="110" t="s">
        <v>53</v>
      </c>
      <c r="R131" s="108" t="s">
        <v>491</v>
      </c>
      <c r="S131" s="107" t="s">
        <v>53</v>
      </c>
      <c r="T131" s="107" t="s">
        <v>561</v>
      </c>
      <c r="U131" s="107" t="s">
        <v>561</v>
      </c>
      <c r="V131" s="107" t="s">
        <v>796</v>
      </c>
      <c r="W131" s="107" t="s">
        <v>796</v>
      </c>
      <c r="X131" s="53" t="s">
        <v>766</v>
      </c>
      <c r="Y131" s="107" t="s">
        <v>561</v>
      </c>
      <c r="Z131" s="53" t="s">
        <v>801</v>
      </c>
      <c r="AA131" s="107" t="s">
        <v>53</v>
      </c>
      <c r="AB131" s="53" t="s">
        <v>801</v>
      </c>
      <c r="AC131" s="53" t="s">
        <v>561</v>
      </c>
      <c r="AD131" s="107" t="s">
        <v>53</v>
      </c>
      <c r="AE131" s="107" t="s">
        <v>53</v>
      </c>
      <c r="AF131" s="107" t="s">
        <v>53</v>
      </c>
      <c r="AG131" s="107" t="s">
        <v>53</v>
      </c>
      <c r="AH131" s="107" t="s">
        <v>53</v>
      </c>
      <c r="AI131" s="107" t="s">
        <v>561</v>
      </c>
      <c r="AJ131" s="107" t="s">
        <v>561</v>
      </c>
      <c r="AK131" s="107" t="s">
        <v>561</v>
      </c>
      <c r="AL131" s="107" t="s">
        <v>561</v>
      </c>
      <c r="AM131" s="107" t="s">
        <v>561</v>
      </c>
      <c r="AN131" s="53" t="s">
        <v>561</v>
      </c>
      <c r="AO131" s="107" t="s">
        <v>561</v>
      </c>
      <c r="AP131" s="53" t="s">
        <v>561</v>
      </c>
      <c r="AQ131" s="53" t="s">
        <v>561</v>
      </c>
      <c r="AR131" s="53" t="s">
        <v>53</v>
      </c>
      <c r="AS131" s="53" t="s">
        <v>561</v>
      </c>
      <c r="AT131" s="53" t="s">
        <v>799</v>
      </c>
      <c r="AU131" s="53" t="s">
        <v>561</v>
      </c>
      <c r="AV131" s="53" t="s">
        <v>561</v>
      </c>
      <c r="AW131" s="53" t="s">
        <v>561</v>
      </c>
      <c r="AX131" s="53" t="s">
        <v>561</v>
      </c>
      <c r="AY131" s="53" t="s">
        <v>561</v>
      </c>
      <c r="AZ131" s="53" t="s">
        <v>53</v>
      </c>
      <c r="BA131" s="53" t="s">
        <v>561</v>
      </c>
      <c r="BB131" s="53" t="s">
        <v>53</v>
      </c>
      <c r="BC131" s="53" t="s">
        <v>561</v>
      </c>
      <c r="BD131" s="53" t="s">
        <v>561</v>
      </c>
      <c r="BE131" s="53" t="s">
        <v>561</v>
      </c>
      <c r="BF131" s="53" t="s">
        <v>561</v>
      </c>
      <c r="BG131" s="53" t="s">
        <v>561</v>
      </c>
      <c r="BH131" s="53" t="s">
        <v>561</v>
      </c>
      <c r="BI131" s="107" t="s">
        <v>561</v>
      </c>
      <c r="BJ131" s="107" t="s">
        <v>561</v>
      </c>
      <c r="BK131" s="53" t="s">
        <v>561</v>
      </c>
      <c r="BL131" s="53" t="s">
        <v>561</v>
      </c>
      <c r="BM131" s="53" t="s">
        <v>561</v>
      </c>
      <c r="BN131" s="53" t="s">
        <v>561</v>
      </c>
      <c r="BO131" s="53" t="s">
        <v>561</v>
      </c>
      <c r="BP131" s="53" t="s">
        <v>600</v>
      </c>
      <c r="BQ131" s="118" t="s">
        <v>821</v>
      </c>
      <c r="BR131" s="180" t="s">
        <v>1832</v>
      </c>
      <c r="BS131" s="118" t="s">
        <v>821</v>
      </c>
      <c r="BT131" s="122"/>
      <c r="BU131" s="122">
        <f t="shared" si="20"/>
        <v>23350</v>
      </c>
      <c r="BV131" s="126">
        <v>23350.0</v>
      </c>
      <c r="BW131" s="126"/>
      <c r="BX131" s="127"/>
      <c r="BY131" s="127"/>
      <c r="BZ131" s="13"/>
      <c r="CA131" s="13" t="s">
        <v>561</v>
      </c>
      <c r="CB131" s="13"/>
      <c r="CC131" s="13" t="s">
        <v>561</v>
      </c>
    </row>
    <row r="132">
      <c r="A132" s="44" t="str">
        <f>LOOKUP(H132,'Letter grades'!$A$1:$B$6)</f>
        <v>F</v>
      </c>
      <c r="B132" s="44">
        <f t="shared" si="3"/>
        <v>128</v>
      </c>
      <c r="C132" s="44" t="s">
        <v>426</v>
      </c>
      <c r="D132" s="44" t="s">
        <v>427</v>
      </c>
      <c r="E132" s="98" t="s">
        <v>423</v>
      </c>
      <c r="F132" s="47">
        <f t="shared" si="4"/>
        <v>0.3333333333</v>
      </c>
      <c r="G132" s="47">
        <f t="shared" si="5"/>
        <v>0.28</v>
      </c>
      <c r="H132" s="105">
        <f t="shared" si="6"/>
        <v>0.2977777778</v>
      </c>
      <c r="I132" s="13"/>
      <c r="J132" s="53" t="s">
        <v>487</v>
      </c>
      <c r="K132" s="53" t="s">
        <v>594</v>
      </c>
      <c r="L132" s="107" t="s">
        <v>594</v>
      </c>
      <c r="M132" s="53" t="s">
        <v>594</v>
      </c>
      <c r="N132" s="107" t="s">
        <v>594</v>
      </c>
      <c r="O132" s="53" t="s">
        <v>490</v>
      </c>
      <c r="P132" s="108" t="s">
        <v>53</v>
      </c>
      <c r="Q132" s="110" t="s">
        <v>53</v>
      </c>
      <c r="R132" s="108" t="s">
        <v>766</v>
      </c>
      <c r="S132" s="107" t="s">
        <v>561</v>
      </c>
      <c r="T132" s="107" t="s">
        <v>561</v>
      </c>
      <c r="U132" s="107" t="s">
        <v>561</v>
      </c>
      <c r="V132" s="107" t="s">
        <v>796</v>
      </c>
      <c r="W132" s="107" t="s">
        <v>796</v>
      </c>
      <c r="X132" s="53" t="s">
        <v>766</v>
      </c>
      <c r="Y132" s="107" t="s">
        <v>561</v>
      </c>
      <c r="Z132" s="53" t="s">
        <v>53</v>
      </c>
      <c r="AA132" s="107" t="s">
        <v>561</v>
      </c>
      <c r="AB132" s="53" t="s">
        <v>53</v>
      </c>
      <c r="AC132" s="53" t="s">
        <v>561</v>
      </c>
      <c r="AD132" s="107" t="s">
        <v>53</v>
      </c>
      <c r="AE132" s="107" t="s">
        <v>53</v>
      </c>
      <c r="AF132" s="107" t="s">
        <v>53</v>
      </c>
      <c r="AG132" s="107" t="s">
        <v>53</v>
      </c>
      <c r="AH132" s="107" t="s">
        <v>53</v>
      </c>
      <c r="AI132" s="107" t="s">
        <v>561</v>
      </c>
      <c r="AJ132" s="107" t="s">
        <v>561</v>
      </c>
      <c r="AK132" s="107" t="s">
        <v>561</v>
      </c>
      <c r="AL132" s="107" t="s">
        <v>561</v>
      </c>
      <c r="AM132" s="107" t="s">
        <v>561</v>
      </c>
      <c r="AN132" s="53" t="s">
        <v>561</v>
      </c>
      <c r="AO132" s="107" t="s">
        <v>801</v>
      </c>
      <c r="AP132" s="53" t="s">
        <v>561</v>
      </c>
      <c r="AQ132" s="53" t="s">
        <v>561</v>
      </c>
      <c r="AR132" s="53" t="s">
        <v>53</v>
      </c>
      <c r="AS132" s="53" t="s">
        <v>561</v>
      </c>
      <c r="AT132" s="53" t="s">
        <v>53</v>
      </c>
      <c r="AU132" s="53" t="s">
        <v>53</v>
      </c>
      <c r="AV132" s="53" t="s">
        <v>561</v>
      </c>
      <c r="AW132" s="53" t="s">
        <v>561</v>
      </c>
      <c r="AX132" s="53" t="s">
        <v>561</v>
      </c>
      <c r="AY132" s="53" t="s">
        <v>561</v>
      </c>
      <c r="AZ132" s="53" t="s">
        <v>53</v>
      </c>
      <c r="BA132" s="53" t="s">
        <v>561</v>
      </c>
      <c r="BB132" s="53" t="s">
        <v>53</v>
      </c>
      <c r="BC132" s="53" t="s">
        <v>561</v>
      </c>
      <c r="BD132" s="53" t="s">
        <v>561</v>
      </c>
      <c r="BE132" s="53" t="s">
        <v>561</v>
      </c>
      <c r="BF132" s="53" t="s">
        <v>561</v>
      </c>
      <c r="BG132" s="53" t="s">
        <v>561</v>
      </c>
      <c r="BH132" s="53" t="s">
        <v>561</v>
      </c>
      <c r="BI132" s="107" t="s">
        <v>561</v>
      </c>
      <c r="BJ132" s="107" t="s">
        <v>561</v>
      </c>
      <c r="BK132" s="53" t="s">
        <v>561</v>
      </c>
      <c r="BL132" s="53" t="s">
        <v>561</v>
      </c>
      <c r="BM132" s="53" t="s">
        <v>561</v>
      </c>
      <c r="BN132" s="53" t="s">
        <v>561</v>
      </c>
      <c r="BO132" s="53" t="s">
        <v>561</v>
      </c>
      <c r="BP132" s="53" t="s">
        <v>561</v>
      </c>
      <c r="BQ132" s="118" t="s">
        <v>821</v>
      </c>
      <c r="BR132" s="118" t="s">
        <v>821</v>
      </c>
      <c r="BS132" s="118" t="s">
        <v>821</v>
      </c>
      <c r="BT132" s="122"/>
      <c r="BU132" s="122">
        <f t="shared" si="20"/>
        <v>41000</v>
      </c>
      <c r="BV132" s="126">
        <v>41000.0</v>
      </c>
      <c r="BW132" s="126"/>
      <c r="BX132" s="127"/>
      <c r="BY132" s="127"/>
      <c r="BZ132" s="13"/>
      <c r="CA132" s="13"/>
      <c r="CB132" s="13"/>
      <c r="CC132" s="13" t="s">
        <v>561</v>
      </c>
    </row>
    <row r="133">
      <c r="A133" s="44" t="str">
        <f>LOOKUP(H133,'Letter grades'!$A$1:$B$6)</f>
        <v>F</v>
      </c>
      <c r="B133" s="44">
        <f t="shared" si="3"/>
        <v>129</v>
      </c>
      <c r="C133" s="44" t="s">
        <v>1122</v>
      </c>
      <c r="D133" s="44" t="s">
        <v>1123</v>
      </c>
      <c r="E133" s="98" t="s">
        <v>1120</v>
      </c>
      <c r="F133" s="47">
        <f t="shared" si="4"/>
        <v>0.1666666667</v>
      </c>
      <c r="G133" s="47">
        <f t="shared" si="5"/>
        <v>0.3555555556</v>
      </c>
      <c r="H133" s="105">
        <f t="shared" si="6"/>
        <v>0.2925925926</v>
      </c>
      <c r="I133" s="13" t="s">
        <v>2030</v>
      </c>
      <c r="J133" s="53" t="s">
        <v>594</v>
      </c>
      <c r="K133" s="53" t="s">
        <v>487</v>
      </c>
      <c r="L133" s="107" t="s">
        <v>594</v>
      </c>
      <c r="M133" s="53" t="s">
        <v>594</v>
      </c>
      <c r="N133" s="107" t="s">
        <v>594</v>
      </c>
      <c r="O133" s="53" t="s">
        <v>1065</v>
      </c>
      <c r="P133" s="108" t="s">
        <v>53</v>
      </c>
      <c r="Q133" s="110" t="s">
        <v>53</v>
      </c>
      <c r="R133" s="108" t="s">
        <v>799</v>
      </c>
      <c r="S133" s="107" t="s">
        <v>53</v>
      </c>
      <c r="T133" s="107" t="s">
        <v>561</v>
      </c>
      <c r="U133" s="107" t="s">
        <v>561</v>
      </c>
      <c r="V133" s="107" t="s">
        <v>796</v>
      </c>
      <c r="W133" s="107" t="s">
        <v>796</v>
      </c>
      <c r="X133" s="53" t="s">
        <v>766</v>
      </c>
      <c r="Y133" s="107" t="s">
        <v>561</v>
      </c>
      <c r="Z133" s="53" t="s">
        <v>53</v>
      </c>
      <c r="AA133" s="107" t="s">
        <v>53</v>
      </c>
      <c r="AB133" s="53" t="s">
        <v>53</v>
      </c>
      <c r="AC133" s="53" t="s">
        <v>561</v>
      </c>
      <c r="AD133" s="107" t="s">
        <v>53</v>
      </c>
      <c r="AE133" s="107" t="s">
        <v>53</v>
      </c>
      <c r="AF133" s="107" t="s">
        <v>53</v>
      </c>
      <c r="AG133" s="107" t="s">
        <v>53</v>
      </c>
      <c r="AH133" s="107" t="s">
        <v>53</v>
      </c>
      <c r="AI133" s="107" t="s">
        <v>561</v>
      </c>
      <c r="AJ133" s="107" t="s">
        <v>561</v>
      </c>
      <c r="AK133" s="107" t="s">
        <v>561</v>
      </c>
      <c r="AL133" s="107" t="s">
        <v>561</v>
      </c>
      <c r="AM133" s="107" t="s">
        <v>561</v>
      </c>
      <c r="AN133" s="53" t="s">
        <v>561</v>
      </c>
      <c r="AO133" s="107" t="s">
        <v>561</v>
      </c>
      <c r="AP133" s="53" t="s">
        <v>561</v>
      </c>
      <c r="AQ133" s="53" t="s">
        <v>561</v>
      </c>
      <c r="AR133" s="53" t="s">
        <v>53</v>
      </c>
      <c r="AS133" s="53" t="s">
        <v>561</v>
      </c>
      <c r="AT133" s="53" t="s">
        <v>53</v>
      </c>
      <c r="AU133" s="53" t="s">
        <v>561</v>
      </c>
      <c r="AV133" s="53" t="s">
        <v>799</v>
      </c>
      <c r="AW133" s="53" t="s">
        <v>561</v>
      </c>
      <c r="AX133" s="53" t="s">
        <v>561</v>
      </c>
      <c r="AY133" s="53" t="s">
        <v>561</v>
      </c>
      <c r="AZ133" s="53" t="s">
        <v>53</v>
      </c>
      <c r="BA133" s="53" t="s">
        <v>561</v>
      </c>
      <c r="BB133" s="53" t="s">
        <v>53</v>
      </c>
      <c r="BC133" s="53" t="s">
        <v>561</v>
      </c>
      <c r="BD133" s="53" t="s">
        <v>561</v>
      </c>
      <c r="BE133" s="53" t="s">
        <v>561</v>
      </c>
      <c r="BF133" s="53" t="s">
        <v>561</v>
      </c>
      <c r="BG133" s="53" t="s">
        <v>561</v>
      </c>
      <c r="BH133" s="53" t="s">
        <v>561</v>
      </c>
      <c r="BI133" s="107" t="s">
        <v>561</v>
      </c>
      <c r="BJ133" s="107" t="s">
        <v>561</v>
      </c>
      <c r="BK133" s="53" t="s">
        <v>600</v>
      </c>
      <c r="BL133" s="53" t="s">
        <v>600</v>
      </c>
      <c r="BM133" s="53" t="s">
        <v>600</v>
      </c>
      <c r="BN133" s="53" t="s">
        <v>600</v>
      </c>
      <c r="BO133" s="53" t="s">
        <v>600</v>
      </c>
      <c r="BP133" s="53" t="s">
        <v>600</v>
      </c>
      <c r="BQ133" s="180" t="s">
        <v>1832</v>
      </c>
      <c r="BR133" s="180" t="s">
        <v>1832</v>
      </c>
      <c r="BS133" s="180" t="s">
        <v>1832</v>
      </c>
      <c r="BT133" s="122"/>
      <c r="BU133" s="122">
        <f t="shared" si="20"/>
        <v>3769555</v>
      </c>
      <c r="BV133" s="126">
        <v>351861.0</v>
      </c>
      <c r="BW133" s="126">
        <v>282051.0</v>
      </c>
      <c r="BX133" s="127">
        <f t="shared" ref="BX133:BX134" si="21">2000</f>
        <v>2000</v>
      </c>
      <c r="BY133" s="127">
        <v>3133643.0</v>
      </c>
      <c r="BZ133" s="13"/>
      <c r="CA133" s="13"/>
      <c r="CB133" s="13" t="s">
        <v>561</v>
      </c>
      <c r="CC133" s="13" t="s">
        <v>561</v>
      </c>
    </row>
    <row r="134">
      <c r="A134" s="44" t="str">
        <f>LOOKUP(H134,'Letter grades'!$A$1:$B$6)</f>
        <v>F</v>
      </c>
      <c r="B134" s="44">
        <f t="shared" si="3"/>
        <v>130</v>
      </c>
      <c r="C134" s="44" t="s">
        <v>391</v>
      </c>
      <c r="D134" s="44" t="s">
        <v>392</v>
      </c>
      <c r="E134" s="98" t="s">
        <v>388</v>
      </c>
      <c r="F134" s="47">
        <f t="shared" si="4"/>
        <v>0.1666666667</v>
      </c>
      <c r="G134" s="47">
        <f t="shared" si="5"/>
        <v>0.3488372093</v>
      </c>
      <c r="H134" s="105">
        <f t="shared" si="6"/>
        <v>0.2881136951</v>
      </c>
      <c r="I134" s="13" t="s">
        <v>2594</v>
      </c>
      <c r="J134" s="53" t="s">
        <v>594</v>
      </c>
      <c r="K134" s="53" t="s">
        <v>594</v>
      </c>
      <c r="L134" s="107" t="s">
        <v>594</v>
      </c>
      <c r="M134" s="53" t="s">
        <v>594</v>
      </c>
      <c r="N134" s="107" t="s">
        <v>594</v>
      </c>
      <c r="O134" s="53" t="s">
        <v>490</v>
      </c>
      <c r="P134" s="108" t="s">
        <v>53</v>
      </c>
      <c r="Q134" s="110" t="s">
        <v>53</v>
      </c>
      <c r="R134" s="108" t="s">
        <v>491</v>
      </c>
      <c r="S134" s="107" t="s">
        <v>53</v>
      </c>
      <c r="T134" s="107" t="s">
        <v>561</v>
      </c>
      <c r="U134" s="107" t="s">
        <v>53</v>
      </c>
      <c r="V134" s="107" t="s">
        <v>796</v>
      </c>
      <c r="W134" s="107" t="s">
        <v>796</v>
      </c>
      <c r="X134" s="53" t="s">
        <v>766</v>
      </c>
      <c r="Y134" s="107" t="s">
        <v>561</v>
      </c>
      <c r="Z134" s="53" t="s">
        <v>53</v>
      </c>
      <c r="AA134" s="107" t="s">
        <v>53</v>
      </c>
      <c r="AB134" s="53" t="s">
        <v>53</v>
      </c>
      <c r="AC134" s="53" t="s">
        <v>561</v>
      </c>
      <c r="AD134" s="107" t="s">
        <v>53</v>
      </c>
      <c r="AE134" s="107" t="s">
        <v>53</v>
      </c>
      <c r="AF134" s="107" t="s">
        <v>561</v>
      </c>
      <c r="AG134" s="107" t="s">
        <v>53</v>
      </c>
      <c r="AH134" s="107" t="s">
        <v>53</v>
      </c>
      <c r="AI134" s="107" t="s">
        <v>561</v>
      </c>
      <c r="AJ134" s="107" t="s">
        <v>561</v>
      </c>
      <c r="AK134" s="107" t="s">
        <v>561</v>
      </c>
      <c r="AL134" s="107" t="s">
        <v>561</v>
      </c>
      <c r="AM134" s="107" t="s">
        <v>561</v>
      </c>
      <c r="AN134" s="53" t="s">
        <v>561</v>
      </c>
      <c r="AO134" s="107" t="s">
        <v>561</v>
      </c>
      <c r="AP134" s="53" t="s">
        <v>561</v>
      </c>
      <c r="AQ134" s="53" t="s">
        <v>561</v>
      </c>
      <c r="AR134" s="53" t="s">
        <v>53</v>
      </c>
      <c r="AS134" s="53" t="s">
        <v>561</v>
      </c>
      <c r="AT134" s="53" t="s">
        <v>561</v>
      </c>
      <c r="AU134" s="53" t="s">
        <v>561</v>
      </c>
      <c r="AV134" s="53" t="s">
        <v>561</v>
      </c>
      <c r="AW134" s="53" t="s">
        <v>561</v>
      </c>
      <c r="AX134" s="53" t="s">
        <v>561</v>
      </c>
      <c r="AY134" s="53" t="s">
        <v>561</v>
      </c>
      <c r="AZ134" s="53" t="s">
        <v>53</v>
      </c>
      <c r="BA134" s="53" t="s">
        <v>561</v>
      </c>
      <c r="BB134" s="53" t="s">
        <v>53</v>
      </c>
      <c r="BC134" s="53" t="s">
        <v>561</v>
      </c>
      <c r="BD134" s="53" t="s">
        <v>561</v>
      </c>
      <c r="BE134" s="53" t="s">
        <v>561</v>
      </c>
      <c r="BF134" s="53" t="s">
        <v>561</v>
      </c>
      <c r="BG134" s="53" t="s">
        <v>561</v>
      </c>
      <c r="BH134" s="53" t="s">
        <v>561</v>
      </c>
      <c r="BI134" s="107" t="s">
        <v>600</v>
      </c>
      <c r="BJ134" s="107" t="s">
        <v>600</v>
      </c>
      <c r="BK134" s="53" t="s">
        <v>600</v>
      </c>
      <c r="BL134" s="53" t="s">
        <v>600</v>
      </c>
      <c r="BM134" s="53" t="s">
        <v>600</v>
      </c>
      <c r="BN134" s="53" t="s">
        <v>600</v>
      </c>
      <c r="BO134" s="53" t="s">
        <v>600</v>
      </c>
      <c r="BP134" s="53" t="s">
        <v>600</v>
      </c>
      <c r="BQ134" s="180" t="s">
        <v>1832</v>
      </c>
      <c r="BR134" s="180" t="s">
        <v>1832</v>
      </c>
      <c r="BS134" s="180" t="s">
        <v>1832</v>
      </c>
      <c r="BT134" s="122"/>
      <c r="BU134" s="122">
        <f t="shared" si="20"/>
        <v>24150</v>
      </c>
      <c r="BV134" s="126">
        <v>22150.0</v>
      </c>
      <c r="BW134" s="126"/>
      <c r="BX134" s="127">
        <f t="shared" si="21"/>
        <v>2000</v>
      </c>
      <c r="BY134" s="127"/>
      <c r="BZ134" s="13"/>
      <c r="CA134" s="13" t="s">
        <v>561</v>
      </c>
      <c r="CB134" s="13" t="s">
        <v>561</v>
      </c>
      <c r="CC134" s="13" t="s">
        <v>561</v>
      </c>
    </row>
    <row r="135">
      <c r="A135" s="44" t="str">
        <f>LOOKUP(H135,'Letter grades'!$A$1:$B$6)</f>
        <v>F</v>
      </c>
      <c r="B135" s="44">
        <f t="shared" si="3"/>
        <v>131</v>
      </c>
      <c r="C135" s="44" t="s">
        <v>922</v>
      </c>
      <c r="D135" s="44" t="s">
        <v>2452</v>
      </c>
      <c r="E135" s="53" t="s">
        <v>2450</v>
      </c>
      <c r="F135" s="47">
        <f t="shared" si="4"/>
        <v>0.3333333333</v>
      </c>
      <c r="G135" s="47">
        <f t="shared" si="5"/>
        <v>0.2653061224</v>
      </c>
      <c r="H135" s="105">
        <f t="shared" si="6"/>
        <v>0.2879818594</v>
      </c>
      <c r="I135" s="13" t="s">
        <v>2594</v>
      </c>
      <c r="J135" s="53" t="s">
        <v>487</v>
      </c>
      <c r="K135" s="53" t="s">
        <v>594</v>
      </c>
      <c r="L135" s="107" t="s">
        <v>594</v>
      </c>
      <c r="M135" s="53" t="s">
        <v>594</v>
      </c>
      <c r="N135" s="107" t="s">
        <v>594</v>
      </c>
      <c r="O135" s="53" t="s">
        <v>490</v>
      </c>
      <c r="P135" s="108" t="s">
        <v>53</v>
      </c>
      <c r="Q135" s="110" t="s">
        <v>53</v>
      </c>
      <c r="R135" s="108" t="s">
        <v>491</v>
      </c>
      <c r="S135" s="107" t="s">
        <v>53</v>
      </c>
      <c r="T135" s="107" t="s">
        <v>561</v>
      </c>
      <c r="U135" s="107" t="s">
        <v>561</v>
      </c>
      <c r="V135" s="107" t="s">
        <v>796</v>
      </c>
      <c r="W135" s="107" t="s">
        <v>796</v>
      </c>
      <c r="X135" s="53" t="s">
        <v>766</v>
      </c>
      <c r="Y135" s="107" t="s">
        <v>561</v>
      </c>
      <c r="Z135" s="53" t="s">
        <v>53</v>
      </c>
      <c r="AA135" s="107" t="s">
        <v>561</v>
      </c>
      <c r="AB135" s="53" t="s">
        <v>53</v>
      </c>
      <c r="AC135" s="53" t="s">
        <v>561</v>
      </c>
      <c r="AD135" s="107" t="s">
        <v>561</v>
      </c>
      <c r="AE135" s="107" t="s">
        <v>53</v>
      </c>
      <c r="AF135" s="107" t="s">
        <v>561</v>
      </c>
      <c r="AG135" s="107" t="s">
        <v>53</v>
      </c>
      <c r="AH135" s="107" t="s">
        <v>53</v>
      </c>
      <c r="AI135" s="107" t="s">
        <v>561</v>
      </c>
      <c r="AJ135" s="107" t="s">
        <v>561</v>
      </c>
      <c r="AK135" s="107" t="s">
        <v>561</v>
      </c>
      <c r="AL135" s="107" t="s">
        <v>561</v>
      </c>
      <c r="AM135" s="107" t="s">
        <v>561</v>
      </c>
      <c r="AN135" s="53" t="s">
        <v>561</v>
      </c>
      <c r="AO135" s="107" t="s">
        <v>561</v>
      </c>
      <c r="AP135" s="53" t="s">
        <v>561</v>
      </c>
      <c r="AQ135" s="53" t="s">
        <v>561</v>
      </c>
      <c r="AR135" s="53" t="s">
        <v>53</v>
      </c>
      <c r="AS135" s="53" t="s">
        <v>561</v>
      </c>
      <c r="AT135" s="53" t="s">
        <v>53</v>
      </c>
      <c r="AU135" s="53" t="s">
        <v>561</v>
      </c>
      <c r="AV135" s="53" t="s">
        <v>561</v>
      </c>
      <c r="AW135" s="53" t="s">
        <v>561</v>
      </c>
      <c r="AX135" s="53" t="s">
        <v>561</v>
      </c>
      <c r="AY135" s="53" t="s">
        <v>561</v>
      </c>
      <c r="AZ135" s="53" t="s">
        <v>53</v>
      </c>
      <c r="BA135" s="53" t="s">
        <v>561</v>
      </c>
      <c r="BB135" s="53" t="s">
        <v>53</v>
      </c>
      <c r="BC135" s="53" t="s">
        <v>561</v>
      </c>
      <c r="BD135" s="53" t="s">
        <v>561</v>
      </c>
      <c r="BE135" s="53" t="s">
        <v>561</v>
      </c>
      <c r="BF135" s="53" t="s">
        <v>561</v>
      </c>
      <c r="BG135" s="53" t="s">
        <v>561</v>
      </c>
      <c r="BH135" s="53" t="s">
        <v>561</v>
      </c>
      <c r="BI135" s="107" t="s">
        <v>561</v>
      </c>
      <c r="BJ135" s="107" t="s">
        <v>561</v>
      </c>
      <c r="BK135" s="53" t="s">
        <v>561</v>
      </c>
      <c r="BL135" s="53" t="s">
        <v>561</v>
      </c>
      <c r="BM135" s="53" t="s">
        <v>561</v>
      </c>
      <c r="BN135" s="53" t="s">
        <v>561</v>
      </c>
      <c r="BO135" s="53" t="s">
        <v>600</v>
      </c>
      <c r="BP135" s="53" t="s">
        <v>600</v>
      </c>
      <c r="BQ135" s="118" t="s">
        <v>821</v>
      </c>
      <c r="BR135" s="118" t="s">
        <v>821</v>
      </c>
      <c r="BS135" s="118" t="s">
        <v>821</v>
      </c>
      <c r="BT135" s="122"/>
      <c r="BU135" s="122">
        <f t="shared" si="20"/>
        <v>37300</v>
      </c>
      <c r="BV135" s="126">
        <v>37300.0</v>
      </c>
      <c r="BW135" s="126"/>
      <c r="BX135" s="127"/>
      <c r="BY135" s="127"/>
      <c r="BZ135" s="13"/>
      <c r="CA135" s="13" t="s">
        <v>561</v>
      </c>
      <c r="CB135" s="13"/>
      <c r="CC135" s="13" t="s">
        <v>561</v>
      </c>
    </row>
    <row r="136">
      <c r="A136" s="44" t="str">
        <f>LOOKUP(H136,'Letter grades'!$A$1:$B$6)</f>
        <v>F</v>
      </c>
      <c r="B136" s="44">
        <f t="shared" si="3"/>
        <v>132</v>
      </c>
      <c r="C136" s="44" t="s">
        <v>1117</v>
      </c>
      <c r="D136" s="44" t="s">
        <v>1118</v>
      </c>
      <c r="E136" s="98" t="s">
        <v>1114</v>
      </c>
      <c r="F136" s="47">
        <f t="shared" si="4"/>
        <v>0.3333333333</v>
      </c>
      <c r="G136" s="47">
        <f t="shared" si="5"/>
        <v>0.2647058824</v>
      </c>
      <c r="H136" s="105">
        <f t="shared" si="6"/>
        <v>0.2875816993</v>
      </c>
      <c r="I136" s="13" t="s">
        <v>108</v>
      </c>
      <c r="J136" s="53" t="s">
        <v>487</v>
      </c>
      <c r="K136" s="53" t="s">
        <v>594</v>
      </c>
      <c r="L136" s="107" t="s">
        <v>594</v>
      </c>
      <c r="M136" s="53" t="s">
        <v>594</v>
      </c>
      <c r="N136" s="107" t="s">
        <v>594</v>
      </c>
      <c r="O136" s="53" t="s">
        <v>490</v>
      </c>
      <c r="P136" s="108" t="s">
        <v>53</v>
      </c>
      <c r="Q136" s="110" t="s">
        <v>53</v>
      </c>
      <c r="R136" s="108" t="s">
        <v>766</v>
      </c>
      <c r="S136" s="107" t="s">
        <v>561</v>
      </c>
      <c r="T136" s="107" t="s">
        <v>561</v>
      </c>
      <c r="U136" s="107" t="s">
        <v>561</v>
      </c>
      <c r="V136" s="107" t="s">
        <v>796</v>
      </c>
      <c r="W136" s="107" t="s">
        <v>796</v>
      </c>
      <c r="X136" s="53" t="s">
        <v>766</v>
      </c>
      <c r="Y136" s="107" t="s">
        <v>561</v>
      </c>
      <c r="Z136" s="53" t="s">
        <v>53</v>
      </c>
      <c r="AA136" s="107" t="s">
        <v>561</v>
      </c>
      <c r="AB136" s="53" t="s">
        <v>53</v>
      </c>
      <c r="AC136" s="53" t="s">
        <v>561</v>
      </c>
      <c r="AD136" s="107" t="s">
        <v>561</v>
      </c>
      <c r="AE136" s="107" t="s">
        <v>53</v>
      </c>
      <c r="AF136" s="107" t="s">
        <v>53</v>
      </c>
      <c r="AG136" s="107" t="s">
        <v>53</v>
      </c>
      <c r="AH136" s="107" t="s">
        <v>53</v>
      </c>
      <c r="AI136" s="107" t="s">
        <v>561</v>
      </c>
      <c r="AJ136" s="107" t="s">
        <v>561</v>
      </c>
      <c r="AK136" s="107" t="s">
        <v>561</v>
      </c>
      <c r="AL136" s="107" t="s">
        <v>561</v>
      </c>
      <c r="AM136" s="107" t="s">
        <v>561</v>
      </c>
      <c r="AN136" s="53" t="s">
        <v>561</v>
      </c>
      <c r="AO136" s="107" t="s">
        <v>561</v>
      </c>
      <c r="AP136" s="53" t="s">
        <v>561</v>
      </c>
      <c r="AQ136" s="53" t="s">
        <v>561</v>
      </c>
      <c r="AR136" s="53" t="s">
        <v>53</v>
      </c>
      <c r="AS136" s="53" t="s">
        <v>561</v>
      </c>
      <c r="AT136" s="53" t="s">
        <v>561</v>
      </c>
      <c r="AU136" s="53" t="s">
        <v>561</v>
      </c>
      <c r="AV136" s="53" t="s">
        <v>799</v>
      </c>
      <c r="AW136" s="53" t="s">
        <v>561</v>
      </c>
      <c r="AX136" s="53" t="s">
        <v>561</v>
      </c>
      <c r="AY136" s="53" t="s">
        <v>561</v>
      </c>
      <c r="AZ136" s="53" t="s">
        <v>53</v>
      </c>
      <c r="BA136" s="53" t="s">
        <v>561</v>
      </c>
      <c r="BB136" s="53" t="s">
        <v>53</v>
      </c>
      <c r="BC136" s="53" t="s">
        <v>561</v>
      </c>
      <c r="BD136" s="53" t="s">
        <v>561</v>
      </c>
      <c r="BE136" s="53" t="s">
        <v>53</v>
      </c>
      <c r="BF136" s="53" t="s">
        <v>561</v>
      </c>
      <c r="BG136" s="53" t="s">
        <v>561</v>
      </c>
      <c r="BH136" s="53" t="s">
        <v>561</v>
      </c>
      <c r="BI136" s="107" t="s">
        <v>561</v>
      </c>
      <c r="BJ136" s="107" t="s">
        <v>561</v>
      </c>
      <c r="BK136" s="53" t="s">
        <v>561</v>
      </c>
      <c r="BL136" s="53" t="s">
        <v>561</v>
      </c>
      <c r="BM136" s="53" t="s">
        <v>561</v>
      </c>
      <c r="BN136" s="53" t="s">
        <v>561</v>
      </c>
      <c r="BO136" s="53" t="s">
        <v>53</v>
      </c>
      <c r="BP136" s="53" t="s">
        <v>561</v>
      </c>
      <c r="BQ136" s="118" t="s">
        <v>821</v>
      </c>
      <c r="BR136" s="118" t="s">
        <v>821</v>
      </c>
      <c r="BS136" s="118" t="s">
        <v>821</v>
      </c>
      <c r="BT136" s="122"/>
      <c r="BU136" s="122">
        <f t="shared" si="20"/>
        <v>0</v>
      </c>
      <c r="BV136" s="126"/>
      <c r="BW136" s="126"/>
      <c r="BX136" s="127"/>
      <c r="BY136" s="127"/>
      <c r="BZ136" s="13"/>
      <c r="CA136" s="13" t="s">
        <v>561</v>
      </c>
      <c r="CB136" s="13"/>
      <c r="CC136" s="13"/>
    </row>
    <row r="137">
      <c r="A137" s="44" t="str">
        <f>LOOKUP(H137,'Letter grades'!$A$1:$B$6)</f>
        <v>F</v>
      </c>
      <c r="B137" s="44">
        <f t="shared" si="3"/>
        <v>133</v>
      </c>
      <c r="C137" s="44" t="s">
        <v>384</v>
      </c>
      <c r="D137" s="44" t="s">
        <v>386</v>
      </c>
      <c r="E137" s="98" t="s">
        <v>381</v>
      </c>
      <c r="F137" s="47">
        <f t="shared" si="4"/>
        <v>0.1666666667</v>
      </c>
      <c r="G137" s="47">
        <f t="shared" si="5"/>
        <v>0.3333333333</v>
      </c>
      <c r="H137" s="105">
        <f t="shared" si="6"/>
        <v>0.2777777778</v>
      </c>
      <c r="I137" s="13" t="s">
        <v>108</v>
      </c>
      <c r="J137" s="53" t="s">
        <v>594</v>
      </c>
      <c r="K137" s="53" t="s">
        <v>594</v>
      </c>
      <c r="L137" s="107" t="s">
        <v>594</v>
      </c>
      <c r="M137" s="53" t="s">
        <v>594</v>
      </c>
      <c r="N137" s="107" t="s">
        <v>594</v>
      </c>
      <c r="O137" s="53" t="s">
        <v>490</v>
      </c>
      <c r="P137" s="108" t="s">
        <v>53</v>
      </c>
      <c r="Q137" s="110" t="s">
        <v>53</v>
      </c>
      <c r="R137" s="108" t="s">
        <v>491</v>
      </c>
      <c r="S137" s="107" t="s">
        <v>53</v>
      </c>
      <c r="T137" s="107" t="s">
        <v>561</v>
      </c>
      <c r="U137" s="107" t="s">
        <v>561</v>
      </c>
      <c r="V137" s="107" t="s">
        <v>796</v>
      </c>
      <c r="W137" s="107" t="s">
        <v>796</v>
      </c>
      <c r="X137" s="53" t="s">
        <v>766</v>
      </c>
      <c r="Y137" s="107" t="s">
        <v>561</v>
      </c>
      <c r="Z137" s="53" t="s">
        <v>53</v>
      </c>
      <c r="AA137" s="107" t="s">
        <v>561</v>
      </c>
      <c r="AB137" s="53" t="s">
        <v>53</v>
      </c>
      <c r="AC137" s="53" t="s">
        <v>561</v>
      </c>
      <c r="AD137" s="107" t="s">
        <v>53</v>
      </c>
      <c r="AE137" s="107" t="s">
        <v>53</v>
      </c>
      <c r="AF137" s="107" t="s">
        <v>53</v>
      </c>
      <c r="AG137" s="107" t="s">
        <v>53</v>
      </c>
      <c r="AH137" s="107" t="s">
        <v>53</v>
      </c>
      <c r="AI137" s="107" t="s">
        <v>561</v>
      </c>
      <c r="AJ137" s="107" t="s">
        <v>561</v>
      </c>
      <c r="AK137" s="107" t="s">
        <v>561</v>
      </c>
      <c r="AL137" s="107" t="s">
        <v>561</v>
      </c>
      <c r="AM137" s="107" t="s">
        <v>561</v>
      </c>
      <c r="AN137" s="53" t="s">
        <v>561</v>
      </c>
      <c r="AO137" s="107" t="s">
        <v>561</v>
      </c>
      <c r="AP137" s="53" t="s">
        <v>561</v>
      </c>
      <c r="AQ137" s="53" t="s">
        <v>561</v>
      </c>
      <c r="AR137" s="53" t="s">
        <v>53</v>
      </c>
      <c r="AS137" s="53" t="s">
        <v>561</v>
      </c>
      <c r="AT137" s="53" t="s">
        <v>53</v>
      </c>
      <c r="AU137" s="53" t="s">
        <v>561</v>
      </c>
      <c r="AV137" s="53" t="s">
        <v>561</v>
      </c>
      <c r="AW137" s="53" t="s">
        <v>561</v>
      </c>
      <c r="AX137" s="53" t="s">
        <v>561</v>
      </c>
      <c r="AY137" s="53" t="s">
        <v>561</v>
      </c>
      <c r="AZ137" s="53" t="s">
        <v>53</v>
      </c>
      <c r="BA137" s="53" t="s">
        <v>561</v>
      </c>
      <c r="BB137" s="53" t="s">
        <v>53</v>
      </c>
      <c r="BC137" s="53" t="s">
        <v>561</v>
      </c>
      <c r="BD137" s="53" t="s">
        <v>561</v>
      </c>
      <c r="BE137" s="53" t="s">
        <v>53</v>
      </c>
      <c r="BF137" s="53" t="s">
        <v>561</v>
      </c>
      <c r="BG137" s="53" t="s">
        <v>561</v>
      </c>
      <c r="BH137" s="53" t="s">
        <v>801</v>
      </c>
      <c r="BI137" s="107" t="s">
        <v>561</v>
      </c>
      <c r="BJ137" s="107" t="s">
        <v>561</v>
      </c>
      <c r="BK137" s="53" t="s">
        <v>561</v>
      </c>
      <c r="BL137" s="53" t="s">
        <v>561</v>
      </c>
      <c r="BM137" s="53" t="s">
        <v>561</v>
      </c>
      <c r="BN137" s="53" t="s">
        <v>561</v>
      </c>
      <c r="BO137" s="53" t="s">
        <v>600</v>
      </c>
      <c r="BP137" s="53" t="s">
        <v>600</v>
      </c>
      <c r="BQ137" s="118" t="s">
        <v>821</v>
      </c>
      <c r="BR137" s="118" t="s">
        <v>821</v>
      </c>
      <c r="BS137" s="118" t="s">
        <v>821</v>
      </c>
      <c r="BT137" s="122"/>
      <c r="BU137" s="122">
        <f t="shared" si="20"/>
        <v>27805</v>
      </c>
      <c r="BV137" s="126">
        <v>23805.0</v>
      </c>
      <c r="BW137" s="126"/>
      <c r="BX137" s="127">
        <f>2000+2000</f>
        <v>4000</v>
      </c>
      <c r="BY137" s="127"/>
      <c r="BZ137" s="13"/>
      <c r="CA137" s="13" t="s">
        <v>561</v>
      </c>
      <c r="CB137" s="13" t="s">
        <v>561</v>
      </c>
      <c r="CC137" s="13" t="s">
        <v>561</v>
      </c>
    </row>
    <row r="138">
      <c r="A138" s="44" t="str">
        <f>LOOKUP(H138,'Letter grades'!$A$1:$B$6)</f>
        <v>F</v>
      </c>
      <c r="B138" s="44">
        <f t="shared" si="3"/>
        <v>133</v>
      </c>
      <c r="C138" s="107" t="s">
        <v>2792</v>
      </c>
      <c r="D138" s="107" t="s">
        <v>2793</v>
      </c>
      <c r="E138" s="148" t="s">
        <v>1412</v>
      </c>
      <c r="F138" s="47">
        <f t="shared" si="4"/>
        <v>0.1666666667</v>
      </c>
      <c r="G138" s="47">
        <f t="shared" si="5"/>
        <v>0.3333333333</v>
      </c>
      <c r="H138" s="105">
        <f t="shared" si="6"/>
        <v>0.2777777778</v>
      </c>
      <c r="I138" s="13"/>
      <c r="J138" s="53" t="s">
        <v>594</v>
      </c>
      <c r="K138" s="53" t="s">
        <v>594</v>
      </c>
      <c r="L138" s="107" t="s">
        <v>594</v>
      </c>
      <c r="M138" s="53" t="s">
        <v>594</v>
      </c>
      <c r="N138" s="107" t="s">
        <v>594</v>
      </c>
      <c r="O138" s="53" t="s">
        <v>490</v>
      </c>
      <c r="P138" s="108" t="s">
        <v>53</v>
      </c>
      <c r="Q138" s="110" t="s">
        <v>53</v>
      </c>
      <c r="R138" s="108" t="s">
        <v>766</v>
      </c>
      <c r="S138" s="107" t="s">
        <v>53</v>
      </c>
      <c r="T138" s="107" t="s">
        <v>561</v>
      </c>
      <c r="U138" s="107" t="s">
        <v>561</v>
      </c>
      <c r="V138" s="107" t="s">
        <v>796</v>
      </c>
      <c r="W138" s="107" t="s">
        <v>796</v>
      </c>
      <c r="X138" s="53" t="s">
        <v>766</v>
      </c>
      <c r="Y138" s="107" t="s">
        <v>561</v>
      </c>
      <c r="Z138" s="107" t="s">
        <v>561</v>
      </c>
      <c r="AA138" s="53" t="s">
        <v>600</v>
      </c>
      <c r="AB138" s="53" t="s">
        <v>600</v>
      </c>
      <c r="AC138" s="53" t="s">
        <v>600</v>
      </c>
      <c r="AD138" s="53" t="s">
        <v>600</v>
      </c>
      <c r="AE138" s="53" t="s">
        <v>600</v>
      </c>
      <c r="AF138" s="53" t="s">
        <v>600</v>
      </c>
      <c r="AG138" s="53" t="s">
        <v>600</v>
      </c>
      <c r="AH138" s="53" t="s">
        <v>600</v>
      </c>
      <c r="AI138" s="53" t="s">
        <v>600</v>
      </c>
      <c r="AJ138" s="53" t="s">
        <v>600</v>
      </c>
      <c r="AK138" s="53" t="s">
        <v>600</v>
      </c>
      <c r="AL138" s="53" t="s">
        <v>600</v>
      </c>
      <c r="AM138" s="53" t="s">
        <v>600</v>
      </c>
      <c r="AN138" s="53" t="s">
        <v>600</v>
      </c>
      <c r="AO138" s="53" t="s">
        <v>600</v>
      </c>
      <c r="AP138" s="53" t="s">
        <v>600</v>
      </c>
      <c r="AQ138" s="53" t="s">
        <v>600</v>
      </c>
      <c r="AR138" s="53" t="s">
        <v>600</v>
      </c>
      <c r="AS138" s="53" t="s">
        <v>600</v>
      </c>
      <c r="AT138" s="53" t="s">
        <v>600</v>
      </c>
      <c r="AU138" s="53" t="s">
        <v>600</v>
      </c>
      <c r="AV138" s="53" t="s">
        <v>600</v>
      </c>
      <c r="AW138" s="53" t="s">
        <v>600</v>
      </c>
      <c r="AX138" s="53" t="s">
        <v>600</v>
      </c>
      <c r="AY138" s="53" t="s">
        <v>600</v>
      </c>
      <c r="AZ138" s="53" t="s">
        <v>600</v>
      </c>
      <c r="BA138" s="53" t="s">
        <v>600</v>
      </c>
      <c r="BB138" s="53" t="s">
        <v>600</v>
      </c>
      <c r="BC138" s="53" t="s">
        <v>600</v>
      </c>
      <c r="BD138" s="53" t="s">
        <v>600</v>
      </c>
      <c r="BE138" s="53" t="s">
        <v>600</v>
      </c>
      <c r="BF138" s="53" t="s">
        <v>600</v>
      </c>
      <c r="BG138" s="53" t="s">
        <v>600</v>
      </c>
      <c r="BH138" s="53" t="s">
        <v>600</v>
      </c>
      <c r="BI138" s="107" t="s">
        <v>600</v>
      </c>
      <c r="BJ138" s="107" t="s">
        <v>600</v>
      </c>
      <c r="BK138" s="53" t="s">
        <v>600</v>
      </c>
      <c r="BL138" s="53" t="s">
        <v>600</v>
      </c>
      <c r="BM138" s="53" t="s">
        <v>600</v>
      </c>
      <c r="BN138" s="53" t="s">
        <v>600</v>
      </c>
      <c r="BO138" s="53" t="s">
        <v>600</v>
      </c>
      <c r="BP138" s="53" t="s">
        <v>600</v>
      </c>
      <c r="BQ138" s="118" t="s">
        <v>821</v>
      </c>
      <c r="BR138" s="53" t="s">
        <v>600</v>
      </c>
      <c r="BS138" s="53" t="s">
        <v>600</v>
      </c>
      <c r="BT138" s="122"/>
      <c r="BU138" s="122"/>
      <c r="BV138" s="126"/>
      <c r="BW138" s="126"/>
      <c r="BX138" s="127"/>
      <c r="BY138" s="127"/>
      <c r="BZ138" s="13"/>
      <c r="CA138" s="13"/>
      <c r="CB138" s="13"/>
      <c r="CC138" s="13"/>
    </row>
    <row r="139">
      <c r="A139" s="44" t="str">
        <f>LOOKUP(H139,'Letter grades'!$A$1:$B$6)</f>
        <v>F</v>
      </c>
      <c r="B139" s="44">
        <f t="shared" si="3"/>
        <v>133</v>
      </c>
      <c r="C139" s="107" t="s">
        <v>2797</v>
      </c>
      <c r="D139" s="107" t="s">
        <v>2798</v>
      </c>
      <c r="E139" s="148" t="s">
        <v>244</v>
      </c>
      <c r="F139" s="47">
        <f t="shared" si="4"/>
        <v>0.1666666667</v>
      </c>
      <c r="G139" s="47">
        <f t="shared" si="5"/>
        <v>0.3333333333</v>
      </c>
      <c r="H139" s="105">
        <f t="shared" si="6"/>
        <v>0.2777777778</v>
      </c>
      <c r="I139" s="13" t="s">
        <v>1208</v>
      </c>
      <c r="J139" s="53" t="s">
        <v>487</v>
      </c>
      <c r="K139" s="53" t="s">
        <v>594</v>
      </c>
      <c r="L139" s="107" t="s">
        <v>594</v>
      </c>
      <c r="M139" s="53" t="s">
        <v>594</v>
      </c>
      <c r="N139" s="107" t="s">
        <v>594</v>
      </c>
      <c r="O139" s="53" t="s">
        <v>1065</v>
      </c>
      <c r="P139" s="108" t="s">
        <v>53</v>
      </c>
      <c r="Q139" s="110" t="s">
        <v>53</v>
      </c>
      <c r="R139" s="108" t="s">
        <v>766</v>
      </c>
      <c r="S139" s="107" t="s">
        <v>53</v>
      </c>
      <c r="T139" s="107" t="s">
        <v>561</v>
      </c>
      <c r="U139" s="107" t="s">
        <v>561</v>
      </c>
      <c r="V139" s="107" t="s">
        <v>796</v>
      </c>
      <c r="W139" s="107" t="s">
        <v>796</v>
      </c>
      <c r="X139" s="53" t="s">
        <v>766</v>
      </c>
      <c r="Y139" s="107" t="s">
        <v>561</v>
      </c>
      <c r="Z139" s="107" t="s">
        <v>561</v>
      </c>
      <c r="AA139" s="53" t="s">
        <v>600</v>
      </c>
      <c r="AB139" s="53" t="s">
        <v>600</v>
      </c>
      <c r="AC139" s="53" t="s">
        <v>600</v>
      </c>
      <c r="AD139" s="53" t="s">
        <v>600</v>
      </c>
      <c r="AE139" s="53" t="s">
        <v>600</v>
      </c>
      <c r="AF139" s="53" t="s">
        <v>600</v>
      </c>
      <c r="AG139" s="53" t="s">
        <v>600</v>
      </c>
      <c r="AH139" s="53" t="s">
        <v>600</v>
      </c>
      <c r="AI139" s="53" t="s">
        <v>600</v>
      </c>
      <c r="AJ139" s="53" t="s">
        <v>600</v>
      </c>
      <c r="AK139" s="53" t="s">
        <v>600</v>
      </c>
      <c r="AL139" s="53" t="s">
        <v>600</v>
      </c>
      <c r="AM139" s="53" t="s">
        <v>600</v>
      </c>
      <c r="AN139" s="53" t="s">
        <v>600</v>
      </c>
      <c r="AO139" s="53" t="s">
        <v>600</v>
      </c>
      <c r="AP139" s="53" t="s">
        <v>600</v>
      </c>
      <c r="AQ139" s="53" t="s">
        <v>600</v>
      </c>
      <c r="AR139" s="53" t="s">
        <v>600</v>
      </c>
      <c r="AS139" s="53" t="s">
        <v>600</v>
      </c>
      <c r="AT139" s="53" t="s">
        <v>600</v>
      </c>
      <c r="AU139" s="53" t="s">
        <v>600</v>
      </c>
      <c r="AV139" s="53" t="s">
        <v>600</v>
      </c>
      <c r="AW139" s="53" t="s">
        <v>600</v>
      </c>
      <c r="AX139" s="53" t="s">
        <v>600</v>
      </c>
      <c r="AY139" s="53" t="s">
        <v>600</v>
      </c>
      <c r="AZ139" s="53" t="s">
        <v>600</v>
      </c>
      <c r="BA139" s="53" t="s">
        <v>600</v>
      </c>
      <c r="BB139" s="53" t="s">
        <v>600</v>
      </c>
      <c r="BC139" s="53" t="s">
        <v>600</v>
      </c>
      <c r="BD139" s="53" t="s">
        <v>600</v>
      </c>
      <c r="BE139" s="53" t="s">
        <v>600</v>
      </c>
      <c r="BF139" s="53" t="s">
        <v>600</v>
      </c>
      <c r="BG139" s="53" t="s">
        <v>600</v>
      </c>
      <c r="BH139" s="53" t="s">
        <v>600</v>
      </c>
      <c r="BI139" s="107" t="s">
        <v>600</v>
      </c>
      <c r="BJ139" s="107" t="s">
        <v>600</v>
      </c>
      <c r="BK139" s="53" t="s">
        <v>600</v>
      </c>
      <c r="BL139" s="53" t="s">
        <v>600</v>
      </c>
      <c r="BM139" s="53" t="s">
        <v>600</v>
      </c>
      <c r="BN139" s="53" t="s">
        <v>600</v>
      </c>
      <c r="BO139" s="53" t="s">
        <v>600</v>
      </c>
      <c r="BP139" s="53" t="s">
        <v>600</v>
      </c>
      <c r="BQ139" s="180" t="s">
        <v>1832</v>
      </c>
      <c r="BR139" s="53" t="s">
        <v>600</v>
      </c>
      <c r="BS139" s="53" t="s">
        <v>600</v>
      </c>
      <c r="BT139" s="122"/>
      <c r="BU139" s="122"/>
      <c r="BV139" s="126"/>
      <c r="BW139" s="126"/>
      <c r="BX139" s="127"/>
      <c r="BY139" s="127"/>
      <c r="BZ139" s="13"/>
      <c r="CA139" s="13"/>
      <c r="CB139" s="13"/>
      <c r="CC139" s="13"/>
    </row>
    <row r="140">
      <c r="A140" s="44" t="str">
        <f>LOOKUP(H140,'Letter grades'!$A$1:$B$6)</f>
        <v>F</v>
      </c>
      <c r="B140" s="44">
        <f t="shared" si="3"/>
        <v>136</v>
      </c>
      <c r="C140" s="44" t="s">
        <v>1026</v>
      </c>
      <c r="D140" s="44" t="s">
        <v>1027</v>
      </c>
      <c r="E140" s="98" t="s">
        <v>1023</v>
      </c>
      <c r="F140" s="47">
        <f t="shared" si="4"/>
        <v>0.1666666667</v>
      </c>
      <c r="G140" s="47">
        <f t="shared" si="5"/>
        <v>0.3163265306</v>
      </c>
      <c r="H140" s="105">
        <f t="shared" si="6"/>
        <v>0.2664399093</v>
      </c>
      <c r="I140" s="13" t="s">
        <v>122</v>
      </c>
      <c r="J140" s="53" t="s">
        <v>594</v>
      </c>
      <c r="K140" s="53" t="s">
        <v>594</v>
      </c>
      <c r="L140" s="107" t="s">
        <v>594</v>
      </c>
      <c r="M140" s="53" t="s">
        <v>594</v>
      </c>
      <c r="N140" s="107" t="s">
        <v>594</v>
      </c>
      <c r="O140" s="53" t="s">
        <v>490</v>
      </c>
      <c r="P140" s="108" t="s">
        <v>53</v>
      </c>
      <c r="Q140" s="110" t="s">
        <v>53</v>
      </c>
      <c r="R140" s="108" t="s">
        <v>766</v>
      </c>
      <c r="S140" s="107" t="s">
        <v>53</v>
      </c>
      <c r="T140" s="107" t="s">
        <v>53</v>
      </c>
      <c r="U140" s="107" t="s">
        <v>53</v>
      </c>
      <c r="V140" s="107" t="s">
        <v>796</v>
      </c>
      <c r="W140" s="107" t="s">
        <v>796</v>
      </c>
      <c r="X140" s="53" t="s">
        <v>766</v>
      </c>
      <c r="Y140" s="107" t="s">
        <v>561</v>
      </c>
      <c r="Z140" s="53" t="s">
        <v>53</v>
      </c>
      <c r="AA140" s="107" t="s">
        <v>53</v>
      </c>
      <c r="AB140" s="53" t="s">
        <v>53</v>
      </c>
      <c r="AC140" s="53" t="s">
        <v>561</v>
      </c>
      <c r="AD140" s="107" t="s">
        <v>53</v>
      </c>
      <c r="AE140" s="107" t="s">
        <v>53</v>
      </c>
      <c r="AF140" s="107" t="s">
        <v>561</v>
      </c>
      <c r="AG140" s="107" t="s">
        <v>53</v>
      </c>
      <c r="AH140" s="107" t="s">
        <v>53</v>
      </c>
      <c r="AI140" s="107" t="s">
        <v>561</v>
      </c>
      <c r="AJ140" s="107" t="s">
        <v>561</v>
      </c>
      <c r="AK140" s="107" t="s">
        <v>561</v>
      </c>
      <c r="AL140" s="107" t="s">
        <v>561</v>
      </c>
      <c r="AM140" s="107" t="s">
        <v>561</v>
      </c>
      <c r="AN140" s="53" t="s">
        <v>561</v>
      </c>
      <c r="AO140" s="107" t="s">
        <v>561</v>
      </c>
      <c r="AP140" s="53" t="s">
        <v>561</v>
      </c>
      <c r="AQ140" s="53" t="s">
        <v>561</v>
      </c>
      <c r="AR140" s="53" t="s">
        <v>561</v>
      </c>
      <c r="AS140" s="53" t="s">
        <v>561</v>
      </c>
      <c r="AT140" s="53" t="s">
        <v>561</v>
      </c>
      <c r="AU140" s="53" t="s">
        <v>561</v>
      </c>
      <c r="AV140" s="53" t="s">
        <v>799</v>
      </c>
      <c r="AW140" s="53" t="s">
        <v>561</v>
      </c>
      <c r="AX140" s="53" t="s">
        <v>561</v>
      </c>
      <c r="AY140" s="53" t="s">
        <v>561</v>
      </c>
      <c r="AZ140" s="53" t="s">
        <v>53</v>
      </c>
      <c r="BA140" s="53" t="s">
        <v>561</v>
      </c>
      <c r="BB140" s="53" t="s">
        <v>53</v>
      </c>
      <c r="BC140" s="53" t="s">
        <v>561</v>
      </c>
      <c r="BD140" s="53" t="s">
        <v>561</v>
      </c>
      <c r="BE140" s="53" t="s">
        <v>801</v>
      </c>
      <c r="BF140" s="53" t="s">
        <v>561</v>
      </c>
      <c r="BG140" s="53" t="s">
        <v>561</v>
      </c>
      <c r="BH140" s="53" t="s">
        <v>561</v>
      </c>
      <c r="BI140" s="107" t="s">
        <v>53</v>
      </c>
      <c r="BJ140" s="107" t="s">
        <v>561</v>
      </c>
      <c r="BK140" s="53" t="s">
        <v>561</v>
      </c>
      <c r="BL140" s="53" t="s">
        <v>561</v>
      </c>
      <c r="BM140" s="53" t="s">
        <v>561</v>
      </c>
      <c r="BN140" s="53" t="s">
        <v>561</v>
      </c>
      <c r="BO140" s="53" t="s">
        <v>561</v>
      </c>
      <c r="BP140" s="53" t="s">
        <v>600</v>
      </c>
      <c r="BQ140" s="118" t="s">
        <v>821</v>
      </c>
      <c r="BR140" s="118" t="s">
        <v>821</v>
      </c>
      <c r="BS140" s="118" t="s">
        <v>821</v>
      </c>
      <c r="BT140" s="122"/>
      <c r="BU140" s="122">
        <f t="shared" ref="BU140:BU146" si="22">SUM(BV140:BY140)</f>
        <v>63750</v>
      </c>
      <c r="BV140" s="126">
        <v>61750.0</v>
      </c>
      <c r="BW140" s="126"/>
      <c r="BX140" s="127">
        <f>2000</f>
        <v>2000</v>
      </c>
      <c r="BY140" s="127"/>
      <c r="BZ140" s="13"/>
      <c r="CA140" s="13"/>
      <c r="CB140" s="13" t="s">
        <v>561</v>
      </c>
      <c r="CC140" s="13" t="s">
        <v>561</v>
      </c>
    </row>
    <row r="141">
      <c r="A141" s="44" t="str">
        <f>LOOKUP(H141,'Letter grades'!$A$1:$B$6)</f>
        <v>F</v>
      </c>
      <c r="B141" s="44">
        <f t="shared" si="3"/>
        <v>136</v>
      </c>
      <c r="C141" s="44" t="s">
        <v>1111</v>
      </c>
      <c r="D141" s="44" t="s">
        <v>1112</v>
      </c>
      <c r="E141" s="98" t="s">
        <v>1109</v>
      </c>
      <c r="F141" s="47">
        <f t="shared" si="4"/>
        <v>0.1666666667</v>
      </c>
      <c r="G141" s="47">
        <f t="shared" si="5"/>
        <v>0.3163265306</v>
      </c>
      <c r="H141" s="105">
        <f t="shared" si="6"/>
        <v>0.2664399093</v>
      </c>
      <c r="I141" s="13" t="s">
        <v>2030</v>
      </c>
      <c r="J141" s="53" t="s">
        <v>594</v>
      </c>
      <c r="K141" s="53" t="s">
        <v>594</v>
      </c>
      <c r="L141" s="107" t="s">
        <v>594</v>
      </c>
      <c r="M141" s="53" t="s">
        <v>594</v>
      </c>
      <c r="N141" s="107" t="s">
        <v>594</v>
      </c>
      <c r="O141" s="53" t="s">
        <v>490</v>
      </c>
      <c r="P141" s="108" t="s">
        <v>53</v>
      </c>
      <c r="Q141" s="110" t="s">
        <v>53</v>
      </c>
      <c r="R141" s="108" t="s">
        <v>766</v>
      </c>
      <c r="S141" s="107" t="s">
        <v>53</v>
      </c>
      <c r="T141" s="107" t="s">
        <v>561</v>
      </c>
      <c r="U141" s="107" t="s">
        <v>561</v>
      </c>
      <c r="V141" s="107" t="s">
        <v>796</v>
      </c>
      <c r="W141" s="107" t="s">
        <v>796</v>
      </c>
      <c r="X141" s="53" t="s">
        <v>766</v>
      </c>
      <c r="Y141" s="107" t="s">
        <v>561</v>
      </c>
      <c r="Z141" s="53" t="s">
        <v>53</v>
      </c>
      <c r="AA141" s="107" t="s">
        <v>53</v>
      </c>
      <c r="AB141" s="53" t="s">
        <v>53</v>
      </c>
      <c r="AC141" s="53" t="s">
        <v>561</v>
      </c>
      <c r="AD141" s="107" t="s">
        <v>53</v>
      </c>
      <c r="AE141" s="107" t="s">
        <v>53</v>
      </c>
      <c r="AF141" s="107" t="s">
        <v>53</v>
      </c>
      <c r="AG141" s="107" t="s">
        <v>53</v>
      </c>
      <c r="AH141" s="107" t="s">
        <v>53</v>
      </c>
      <c r="AI141" s="107" t="s">
        <v>561</v>
      </c>
      <c r="AJ141" s="107" t="s">
        <v>561</v>
      </c>
      <c r="AK141" s="107" t="s">
        <v>561</v>
      </c>
      <c r="AL141" s="107" t="s">
        <v>561</v>
      </c>
      <c r="AM141" s="107" t="s">
        <v>561</v>
      </c>
      <c r="AN141" s="53" t="s">
        <v>561</v>
      </c>
      <c r="AO141" s="107" t="s">
        <v>561</v>
      </c>
      <c r="AP141" s="53" t="s">
        <v>561</v>
      </c>
      <c r="AQ141" s="53" t="s">
        <v>561</v>
      </c>
      <c r="AR141" s="53" t="s">
        <v>53</v>
      </c>
      <c r="AS141" s="53" t="s">
        <v>561</v>
      </c>
      <c r="AT141" s="53" t="s">
        <v>53</v>
      </c>
      <c r="AU141" s="53" t="s">
        <v>561</v>
      </c>
      <c r="AV141" s="53" t="s">
        <v>799</v>
      </c>
      <c r="AW141" s="53" t="s">
        <v>561</v>
      </c>
      <c r="AX141" s="53" t="s">
        <v>561</v>
      </c>
      <c r="AY141" s="53" t="s">
        <v>801</v>
      </c>
      <c r="AZ141" s="53" t="s">
        <v>53</v>
      </c>
      <c r="BA141" s="53" t="s">
        <v>561</v>
      </c>
      <c r="BB141" s="53" t="s">
        <v>53</v>
      </c>
      <c r="BC141" s="53" t="s">
        <v>561</v>
      </c>
      <c r="BD141" s="53" t="s">
        <v>561</v>
      </c>
      <c r="BE141" s="53" t="s">
        <v>561</v>
      </c>
      <c r="BF141" s="53" t="s">
        <v>561</v>
      </c>
      <c r="BG141" s="53" t="s">
        <v>561</v>
      </c>
      <c r="BH141" s="53" t="s">
        <v>561</v>
      </c>
      <c r="BI141" s="107" t="s">
        <v>561</v>
      </c>
      <c r="BJ141" s="107" t="s">
        <v>561</v>
      </c>
      <c r="BK141" s="53" t="s">
        <v>561</v>
      </c>
      <c r="BL141" s="53" t="s">
        <v>561</v>
      </c>
      <c r="BM141" s="53" t="s">
        <v>561</v>
      </c>
      <c r="BN141" s="53" t="s">
        <v>561</v>
      </c>
      <c r="BO141" s="53" t="s">
        <v>561</v>
      </c>
      <c r="BP141" s="53" t="s">
        <v>600</v>
      </c>
      <c r="BQ141" s="118" t="s">
        <v>821</v>
      </c>
      <c r="BR141" s="118" t="s">
        <v>821</v>
      </c>
      <c r="BS141" s="118" t="s">
        <v>821</v>
      </c>
      <c r="BT141" s="122"/>
      <c r="BU141" s="122">
        <f t="shared" si="22"/>
        <v>46371</v>
      </c>
      <c r="BV141" s="126">
        <v>42371.0</v>
      </c>
      <c r="BW141" s="126"/>
      <c r="BX141" s="127">
        <f>2000+2000</f>
        <v>4000</v>
      </c>
      <c r="BY141" s="127"/>
      <c r="BZ141" s="13"/>
      <c r="CA141" s="13"/>
      <c r="CB141" s="13" t="s">
        <v>561</v>
      </c>
      <c r="CC141" s="13" t="s">
        <v>561</v>
      </c>
    </row>
    <row r="142">
      <c r="A142" s="44" t="str">
        <f>LOOKUP(H142,'Letter grades'!$A$1:$B$6)</f>
        <v>F</v>
      </c>
      <c r="B142" s="44">
        <f t="shared" si="3"/>
        <v>138</v>
      </c>
      <c r="C142" s="44" t="s">
        <v>347</v>
      </c>
      <c r="D142" s="44" t="s">
        <v>789</v>
      </c>
      <c r="E142" s="145" t="s">
        <v>785</v>
      </c>
      <c r="F142" s="47">
        <f t="shared" si="4"/>
        <v>0.1666666667</v>
      </c>
      <c r="G142" s="47">
        <f t="shared" si="5"/>
        <v>0.3137254902</v>
      </c>
      <c r="H142" s="105">
        <f t="shared" si="6"/>
        <v>0.2647058824</v>
      </c>
      <c r="I142" s="13" t="s">
        <v>1208</v>
      </c>
      <c r="J142" s="53" t="s">
        <v>487</v>
      </c>
      <c r="K142" s="53" t="s">
        <v>594</v>
      </c>
      <c r="L142" s="107" t="s">
        <v>594</v>
      </c>
      <c r="M142" s="53" t="s">
        <v>594</v>
      </c>
      <c r="N142" s="107" t="s">
        <v>594</v>
      </c>
      <c r="O142" s="53" t="s">
        <v>1065</v>
      </c>
      <c r="P142" s="108" t="s">
        <v>53</v>
      </c>
      <c r="Q142" s="110" t="s">
        <v>53</v>
      </c>
      <c r="R142" s="108" t="s">
        <v>491</v>
      </c>
      <c r="S142" s="107" t="s">
        <v>53</v>
      </c>
      <c r="T142" s="107" t="s">
        <v>53</v>
      </c>
      <c r="U142" s="107" t="s">
        <v>53</v>
      </c>
      <c r="V142" s="107" t="s">
        <v>766</v>
      </c>
      <c r="W142" s="107" t="s">
        <v>766</v>
      </c>
      <c r="X142" s="53" t="s">
        <v>766</v>
      </c>
      <c r="Y142" s="107" t="s">
        <v>561</v>
      </c>
      <c r="Z142" s="53" t="s">
        <v>53</v>
      </c>
      <c r="AA142" s="107" t="s">
        <v>53</v>
      </c>
      <c r="AB142" s="53" t="s">
        <v>53</v>
      </c>
      <c r="AC142" s="53" t="s">
        <v>561</v>
      </c>
      <c r="AD142" s="53" t="s">
        <v>801</v>
      </c>
      <c r="AE142" s="107" t="s">
        <v>53</v>
      </c>
      <c r="AF142" s="107" t="s">
        <v>53</v>
      </c>
      <c r="AG142" s="107" t="s">
        <v>53</v>
      </c>
      <c r="AH142" s="107" t="s">
        <v>53</v>
      </c>
      <c r="AI142" s="107" t="s">
        <v>561</v>
      </c>
      <c r="AJ142" s="107" t="s">
        <v>561</v>
      </c>
      <c r="AK142" s="107" t="s">
        <v>561</v>
      </c>
      <c r="AL142" s="107" t="s">
        <v>561</v>
      </c>
      <c r="AM142" s="107" t="s">
        <v>561</v>
      </c>
      <c r="AN142" s="53" t="s">
        <v>561</v>
      </c>
      <c r="AO142" s="107" t="s">
        <v>801</v>
      </c>
      <c r="AP142" s="53" t="s">
        <v>561</v>
      </c>
      <c r="AQ142" s="53" t="s">
        <v>561</v>
      </c>
      <c r="AR142" s="53" t="s">
        <v>53</v>
      </c>
      <c r="AS142" s="53" t="s">
        <v>561</v>
      </c>
      <c r="AT142" s="53" t="s">
        <v>561</v>
      </c>
      <c r="AU142" s="53" t="s">
        <v>561</v>
      </c>
      <c r="AV142" s="53" t="s">
        <v>561</v>
      </c>
      <c r="AW142" s="53" t="s">
        <v>561</v>
      </c>
      <c r="AX142" s="53" t="s">
        <v>561</v>
      </c>
      <c r="AY142" s="53" t="s">
        <v>561</v>
      </c>
      <c r="AZ142" s="53" t="s">
        <v>53</v>
      </c>
      <c r="BA142" s="53" t="s">
        <v>561</v>
      </c>
      <c r="BB142" s="53" t="s">
        <v>53</v>
      </c>
      <c r="BC142" s="53" t="s">
        <v>561</v>
      </c>
      <c r="BD142" s="53" t="s">
        <v>561</v>
      </c>
      <c r="BE142" s="53" t="s">
        <v>561</v>
      </c>
      <c r="BF142" s="53" t="s">
        <v>561</v>
      </c>
      <c r="BG142" s="53" t="s">
        <v>561</v>
      </c>
      <c r="BH142" s="53" t="s">
        <v>561</v>
      </c>
      <c r="BI142" s="107" t="s">
        <v>561</v>
      </c>
      <c r="BJ142" s="107" t="s">
        <v>561</v>
      </c>
      <c r="BK142" s="53" t="s">
        <v>561</v>
      </c>
      <c r="BL142" s="53" t="s">
        <v>561</v>
      </c>
      <c r="BM142" s="53" t="s">
        <v>561</v>
      </c>
      <c r="BN142" s="53" t="s">
        <v>561</v>
      </c>
      <c r="BO142" s="53" t="s">
        <v>561</v>
      </c>
      <c r="BP142" s="53" t="s">
        <v>561</v>
      </c>
      <c r="BQ142" s="118" t="s">
        <v>821</v>
      </c>
      <c r="BR142" s="180" t="s">
        <v>1832</v>
      </c>
      <c r="BS142" s="118" t="s">
        <v>821</v>
      </c>
      <c r="BT142" s="122"/>
      <c r="BU142" s="122">
        <f t="shared" si="22"/>
        <v>25700</v>
      </c>
      <c r="BV142" s="126">
        <v>25700.0</v>
      </c>
      <c r="BW142" s="126"/>
      <c r="BX142" s="127"/>
      <c r="BY142" s="127"/>
      <c r="BZ142" s="13"/>
      <c r="CA142" s="13" t="s">
        <v>561</v>
      </c>
      <c r="CB142" s="13"/>
      <c r="CC142" s="13" t="s">
        <v>561</v>
      </c>
    </row>
    <row r="143">
      <c r="A143" s="44" t="str">
        <f>LOOKUP(H143,'Letter grades'!$A$1:$B$6)</f>
        <v>F</v>
      </c>
      <c r="B143" s="44">
        <f t="shared" si="3"/>
        <v>139</v>
      </c>
      <c r="C143" s="44" t="s">
        <v>767</v>
      </c>
      <c r="D143" s="44" t="s">
        <v>768</v>
      </c>
      <c r="E143" s="145" t="s">
        <v>764</v>
      </c>
      <c r="F143" s="47">
        <f t="shared" si="4"/>
        <v>0.1666666667</v>
      </c>
      <c r="G143" s="47">
        <f t="shared" si="5"/>
        <v>0.3125</v>
      </c>
      <c r="H143" s="105">
        <f t="shared" si="6"/>
        <v>0.2638888889</v>
      </c>
      <c r="I143" s="13" t="s">
        <v>1208</v>
      </c>
      <c r="J143" s="53" t="s">
        <v>487</v>
      </c>
      <c r="K143" s="53" t="s">
        <v>594</v>
      </c>
      <c r="L143" s="107" t="s">
        <v>594</v>
      </c>
      <c r="M143" s="53" t="s">
        <v>594</v>
      </c>
      <c r="N143" s="107" t="s">
        <v>594</v>
      </c>
      <c r="O143" s="53" t="s">
        <v>1065</v>
      </c>
      <c r="P143" s="108" t="s">
        <v>53</v>
      </c>
      <c r="Q143" s="110" t="s">
        <v>53</v>
      </c>
      <c r="R143" s="108" t="s">
        <v>491</v>
      </c>
      <c r="S143" s="107" t="s">
        <v>53</v>
      </c>
      <c r="T143" s="107" t="s">
        <v>53</v>
      </c>
      <c r="U143" s="107" t="s">
        <v>561</v>
      </c>
      <c r="V143" s="107" t="s">
        <v>796</v>
      </c>
      <c r="W143" s="107" t="s">
        <v>796</v>
      </c>
      <c r="X143" s="53" t="s">
        <v>766</v>
      </c>
      <c r="Y143" s="107" t="s">
        <v>561</v>
      </c>
      <c r="Z143" s="53" t="s">
        <v>801</v>
      </c>
      <c r="AA143" s="107" t="s">
        <v>53</v>
      </c>
      <c r="AB143" s="53" t="s">
        <v>53</v>
      </c>
      <c r="AC143" s="53" t="s">
        <v>561</v>
      </c>
      <c r="AD143" s="107" t="s">
        <v>53</v>
      </c>
      <c r="AE143" s="107" t="s">
        <v>53</v>
      </c>
      <c r="AF143" s="107" t="s">
        <v>53</v>
      </c>
      <c r="AG143" s="107" t="s">
        <v>53</v>
      </c>
      <c r="AH143" s="107" t="s">
        <v>53</v>
      </c>
      <c r="AI143" s="107" t="s">
        <v>561</v>
      </c>
      <c r="AJ143" s="107" t="s">
        <v>561</v>
      </c>
      <c r="AK143" s="107" t="s">
        <v>561</v>
      </c>
      <c r="AL143" s="107" t="s">
        <v>561</v>
      </c>
      <c r="AM143" s="107" t="s">
        <v>561</v>
      </c>
      <c r="AN143" s="53" t="s">
        <v>561</v>
      </c>
      <c r="AO143" s="107" t="s">
        <v>561</v>
      </c>
      <c r="AP143" s="53" t="s">
        <v>561</v>
      </c>
      <c r="AQ143" s="53" t="s">
        <v>561</v>
      </c>
      <c r="AR143" s="53" t="s">
        <v>53</v>
      </c>
      <c r="AS143" s="53" t="s">
        <v>561</v>
      </c>
      <c r="AT143" s="53" t="s">
        <v>561</v>
      </c>
      <c r="AU143" s="53" t="s">
        <v>561</v>
      </c>
      <c r="AV143" s="53" t="s">
        <v>561</v>
      </c>
      <c r="AW143" s="53" t="s">
        <v>561</v>
      </c>
      <c r="AX143" s="53" t="s">
        <v>561</v>
      </c>
      <c r="AY143" s="53" t="s">
        <v>561</v>
      </c>
      <c r="AZ143" s="53" t="s">
        <v>53</v>
      </c>
      <c r="BA143" s="53" t="s">
        <v>561</v>
      </c>
      <c r="BB143" s="53" t="s">
        <v>53</v>
      </c>
      <c r="BC143" s="53" t="s">
        <v>561</v>
      </c>
      <c r="BD143" s="53" t="s">
        <v>561</v>
      </c>
      <c r="BE143" s="53" t="s">
        <v>561</v>
      </c>
      <c r="BF143" s="53" t="s">
        <v>561</v>
      </c>
      <c r="BG143" s="53" t="s">
        <v>561</v>
      </c>
      <c r="BH143" s="53" t="s">
        <v>561</v>
      </c>
      <c r="BI143" s="107" t="s">
        <v>561</v>
      </c>
      <c r="BJ143" s="107" t="s">
        <v>561</v>
      </c>
      <c r="BK143" s="53" t="s">
        <v>561</v>
      </c>
      <c r="BL143" s="53" t="s">
        <v>561</v>
      </c>
      <c r="BM143" s="53" t="s">
        <v>561</v>
      </c>
      <c r="BN143" s="53" t="s">
        <v>801</v>
      </c>
      <c r="BO143" s="53" t="s">
        <v>561</v>
      </c>
      <c r="BP143" s="53" t="s">
        <v>600</v>
      </c>
      <c r="BQ143" s="180" t="s">
        <v>1832</v>
      </c>
      <c r="BR143" s="180" t="s">
        <v>1832</v>
      </c>
      <c r="BS143" s="118" t="s">
        <v>821</v>
      </c>
      <c r="BT143" s="122"/>
      <c r="BU143" s="122">
        <f t="shared" si="22"/>
        <v>0</v>
      </c>
      <c r="BV143" s="126"/>
      <c r="BW143" s="126"/>
      <c r="BX143" s="127"/>
      <c r="BY143" s="127"/>
      <c r="BZ143" s="13"/>
      <c r="CA143" s="13" t="s">
        <v>561</v>
      </c>
      <c r="CB143" s="13"/>
      <c r="CC143" s="13"/>
    </row>
    <row r="144">
      <c r="A144" s="44" t="str">
        <f>LOOKUP(H144,'Letter grades'!$A$1:$B$6)</f>
        <v>F</v>
      </c>
      <c r="B144" s="44">
        <f t="shared" si="3"/>
        <v>140</v>
      </c>
      <c r="C144" s="44" t="s">
        <v>426</v>
      </c>
      <c r="D144" s="44" t="s">
        <v>1233</v>
      </c>
      <c r="E144" s="98" t="s">
        <v>1229</v>
      </c>
      <c r="F144" s="47">
        <f t="shared" si="4"/>
        <v>0.1666666667</v>
      </c>
      <c r="G144" s="47">
        <f t="shared" si="5"/>
        <v>0.31</v>
      </c>
      <c r="H144" s="105">
        <f t="shared" si="6"/>
        <v>0.2622222222</v>
      </c>
      <c r="I144" s="13" t="s">
        <v>108</v>
      </c>
      <c r="J144" s="53" t="s">
        <v>594</v>
      </c>
      <c r="K144" s="53" t="s">
        <v>594</v>
      </c>
      <c r="L144" s="107" t="s">
        <v>594</v>
      </c>
      <c r="M144" s="53" t="s">
        <v>594</v>
      </c>
      <c r="N144" s="107" t="s">
        <v>594</v>
      </c>
      <c r="O144" s="53" t="s">
        <v>490</v>
      </c>
      <c r="P144" s="108" t="s">
        <v>53</v>
      </c>
      <c r="Q144" s="110" t="s">
        <v>53</v>
      </c>
      <c r="R144" s="108" t="s">
        <v>766</v>
      </c>
      <c r="S144" s="107" t="s">
        <v>561</v>
      </c>
      <c r="T144" s="107" t="s">
        <v>561</v>
      </c>
      <c r="U144" s="107" t="s">
        <v>561</v>
      </c>
      <c r="V144" s="107" t="s">
        <v>796</v>
      </c>
      <c r="W144" s="107" t="s">
        <v>796</v>
      </c>
      <c r="X144" s="53" t="s">
        <v>766</v>
      </c>
      <c r="Y144" s="107" t="s">
        <v>561</v>
      </c>
      <c r="Z144" s="53" t="s">
        <v>801</v>
      </c>
      <c r="AA144" s="107" t="s">
        <v>561</v>
      </c>
      <c r="AB144" s="53" t="s">
        <v>53</v>
      </c>
      <c r="AC144" s="53" t="s">
        <v>561</v>
      </c>
      <c r="AD144" s="107" t="s">
        <v>53</v>
      </c>
      <c r="AE144" s="107" t="s">
        <v>53</v>
      </c>
      <c r="AF144" s="107" t="s">
        <v>53</v>
      </c>
      <c r="AG144" s="107" t="s">
        <v>53</v>
      </c>
      <c r="AH144" s="107" t="s">
        <v>53</v>
      </c>
      <c r="AI144" s="107" t="s">
        <v>53</v>
      </c>
      <c r="AJ144" s="107" t="s">
        <v>561</v>
      </c>
      <c r="AK144" s="107" t="s">
        <v>53</v>
      </c>
      <c r="AL144" s="107" t="s">
        <v>561</v>
      </c>
      <c r="AM144" s="107" t="s">
        <v>561</v>
      </c>
      <c r="AN144" s="53" t="s">
        <v>561</v>
      </c>
      <c r="AO144" s="107" t="s">
        <v>561</v>
      </c>
      <c r="AP144" s="53" t="s">
        <v>561</v>
      </c>
      <c r="AQ144" s="53" t="s">
        <v>561</v>
      </c>
      <c r="AR144" s="53" t="s">
        <v>53</v>
      </c>
      <c r="AS144" s="53" t="s">
        <v>561</v>
      </c>
      <c r="AT144" s="53" t="s">
        <v>53</v>
      </c>
      <c r="AU144" s="53" t="s">
        <v>561</v>
      </c>
      <c r="AV144" s="53" t="s">
        <v>799</v>
      </c>
      <c r="AW144" s="53" t="s">
        <v>561</v>
      </c>
      <c r="AX144" s="53" t="s">
        <v>561</v>
      </c>
      <c r="AY144" s="53" t="s">
        <v>561</v>
      </c>
      <c r="AZ144" s="53" t="s">
        <v>53</v>
      </c>
      <c r="BA144" s="53" t="s">
        <v>561</v>
      </c>
      <c r="BB144" s="53" t="s">
        <v>53</v>
      </c>
      <c r="BC144" s="53" t="s">
        <v>561</v>
      </c>
      <c r="BD144" s="53" t="s">
        <v>561</v>
      </c>
      <c r="BE144" s="53" t="s">
        <v>561</v>
      </c>
      <c r="BF144" s="53" t="s">
        <v>561</v>
      </c>
      <c r="BG144" s="53" t="s">
        <v>561</v>
      </c>
      <c r="BH144" s="53" t="s">
        <v>561</v>
      </c>
      <c r="BI144" s="107" t="s">
        <v>561</v>
      </c>
      <c r="BJ144" s="107" t="s">
        <v>561</v>
      </c>
      <c r="BK144" s="53" t="s">
        <v>561</v>
      </c>
      <c r="BL144" s="53" t="s">
        <v>561</v>
      </c>
      <c r="BM144" s="53" t="s">
        <v>561</v>
      </c>
      <c r="BN144" s="53" t="s">
        <v>561</v>
      </c>
      <c r="BO144" s="53" t="s">
        <v>53</v>
      </c>
      <c r="BP144" s="53" t="s">
        <v>561</v>
      </c>
      <c r="BQ144" s="118" t="s">
        <v>821</v>
      </c>
      <c r="BR144" s="118" t="s">
        <v>821</v>
      </c>
      <c r="BS144" s="118" t="s">
        <v>821</v>
      </c>
      <c r="BT144" s="122"/>
      <c r="BU144" s="122">
        <f t="shared" si="22"/>
        <v>89385</v>
      </c>
      <c r="BV144" s="126">
        <v>89385.0</v>
      </c>
      <c r="BW144" s="126"/>
      <c r="BX144" s="127"/>
      <c r="BY144" s="127"/>
      <c r="BZ144" s="13"/>
      <c r="CA144" s="13" t="s">
        <v>561</v>
      </c>
      <c r="CB144" s="13"/>
      <c r="CC144" s="13" t="s">
        <v>561</v>
      </c>
    </row>
    <row r="145">
      <c r="A145" s="44" t="str">
        <f>LOOKUP(H145,'Letter grades'!$A$1:$B$6)</f>
        <v>F</v>
      </c>
      <c r="B145" s="44">
        <f t="shared" si="3"/>
        <v>141</v>
      </c>
      <c r="C145" s="44" t="s">
        <v>634</v>
      </c>
      <c r="D145" s="44" t="s">
        <v>635</v>
      </c>
      <c r="E145" s="98" t="s">
        <v>631</v>
      </c>
      <c r="F145" s="47">
        <f t="shared" si="4"/>
        <v>0.1666666667</v>
      </c>
      <c r="G145" s="47">
        <f t="shared" si="5"/>
        <v>0.3023255814</v>
      </c>
      <c r="H145" s="105">
        <f t="shared" si="6"/>
        <v>0.2571059432</v>
      </c>
      <c r="I145" s="13" t="s">
        <v>2594</v>
      </c>
      <c r="J145" s="53" t="s">
        <v>594</v>
      </c>
      <c r="K145" s="53" t="s">
        <v>594</v>
      </c>
      <c r="L145" s="107" t="s">
        <v>594</v>
      </c>
      <c r="M145" s="53" t="s">
        <v>594</v>
      </c>
      <c r="N145" s="107" t="s">
        <v>594</v>
      </c>
      <c r="O145" s="53" t="s">
        <v>490</v>
      </c>
      <c r="P145" s="108" t="s">
        <v>53</v>
      </c>
      <c r="Q145" s="110" t="s">
        <v>53</v>
      </c>
      <c r="R145" s="108" t="s">
        <v>766</v>
      </c>
      <c r="S145" s="107" t="s">
        <v>53</v>
      </c>
      <c r="T145" s="107" t="s">
        <v>561</v>
      </c>
      <c r="U145" s="107" t="s">
        <v>53</v>
      </c>
      <c r="V145" s="107" t="s">
        <v>796</v>
      </c>
      <c r="W145" s="107" t="s">
        <v>796</v>
      </c>
      <c r="X145" s="53" t="s">
        <v>766</v>
      </c>
      <c r="Y145" s="107" t="s">
        <v>561</v>
      </c>
      <c r="Z145" s="53" t="s">
        <v>53</v>
      </c>
      <c r="AA145" s="107" t="s">
        <v>561</v>
      </c>
      <c r="AB145" s="53" t="s">
        <v>53</v>
      </c>
      <c r="AC145" s="53" t="s">
        <v>561</v>
      </c>
      <c r="AD145" s="107" t="s">
        <v>561</v>
      </c>
      <c r="AE145" s="107" t="s">
        <v>53</v>
      </c>
      <c r="AF145" s="107" t="s">
        <v>53</v>
      </c>
      <c r="AG145" s="107" t="s">
        <v>53</v>
      </c>
      <c r="AH145" s="107" t="s">
        <v>53</v>
      </c>
      <c r="AI145" s="107" t="s">
        <v>561</v>
      </c>
      <c r="AJ145" s="107" t="s">
        <v>561</v>
      </c>
      <c r="AK145" s="107" t="s">
        <v>561</v>
      </c>
      <c r="AL145" s="107" t="s">
        <v>561</v>
      </c>
      <c r="AM145" s="107" t="s">
        <v>561</v>
      </c>
      <c r="AN145" s="53" t="s">
        <v>561</v>
      </c>
      <c r="AO145" s="107" t="s">
        <v>561</v>
      </c>
      <c r="AP145" s="53" t="s">
        <v>561</v>
      </c>
      <c r="AQ145" s="53" t="s">
        <v>561</v>
      </c>
      <c r="AR145" s="53" t="s">
        <v>53</v>
      </c>
      <c r="AS145" s="53" t="s">
        <v>561</v>
      </c>
      <c r="AT145" s="53" t="s">
        <v>561</v>
      </c>
      <c r="AU145" s="53" t="s">
        <v>561</v>
      </c>
      <c r="AV145" s="53" t="s">
        <v>561</v>
      </c>
      <c r="AW145" s="53" t="s">
        <v>561</v>
      </c>
      <c r="AX145" s="53" t="s">
        <v>561</v>
      </c>
      <c r="AY145" s="53" t="s">
        <v>561</v>
      </c>
      <c r="AZ145" s="53" t="s">
        <v>53</v>
      </c>
      <c r="BA145" s="53" t="s">
        <v>561</v>
      </c>
      <c r="BB145" s="53" t="s">
        <v>53</v>
      </c>
      <c r="BC145" s="53" t="s">
        <v>561</v>
      </c>
      <c r="BD145" s="53" t="s">
        <v>561</v>
      </c>
      <c r="BE145" s="53" t="s">
        <v>561</v>
      </c>
      <c r="BF145" s="53" t="s">
        <v>561</v>
      </c>
      <c r="BG145" s="53" t="s">
        <v>561</v>
      </c>
      <c r="BH145" s="53" t="s">
        <v>561</v>
      </c>
      <c r="BI145" s="107" t="s">
        <v>600</v>
      </c>
      <c r="BJ145" s="107" t="s">
        <v>600</v>
      </c>
      <c r="BK145" s="53" t="s">
        <v>600</v>
      </c>
      <c r="BL145" s="53" t="s">
        <v>600</v>
      </c>
      <c r="BM145" s="53" t="s">
        <v>600</v>
      </c>
      <c r="BN145" s="53" t="s">
        <v>600</v>
      </c>
      <c r="BO145" s="53" t="s">
        <v>600</v>
      </c>
      <c r="BP145" s="53" t="s">
        <v>600</v>
      </c>
      <c r="BQ145" s="118" t="s">
        <v>821</v>
      </c>
      <c r="BR145" s="180" t="s">
        <v>1832</v>
      </c>
      <c r="BS145" s="118" t="s">
        <v>821</v>
      </c>
      <c r="BT145" s="122"/>
      <c r="BU145" s="122">
        <f t="shared" si="22"/>
        <v>3000</v>
      </c>
      <c r="BV145" s="155"/>
      <c r="BW145" s="155"/>
      <c r="BX145" s="127">
        <f>3000</f>
        <v>3000</v>
      </c>
      <c r="BY145" s="127"/>
      <c r="BZ145" s="13"/>
      <c r="CA145" s="13" t="s">
        <v>561</v>
      </c>
      <c r="CB145" s="13" t="s">
        <v>561</v>
      </c>
      <c r="CC145" s="13"/>
    </row>
    <row r="146">
      <c r="A146" s="44" t="str">
        <f>LOOKUP(H146,'Letter grades'!$A$1:$B$6)</f>
        <v>F</v>
      </c>
      <c r="B146" s="44">
        <f t="shared" si="3"/>
        <v>142</v>
      </c>
      <c r="C146" s="44" t="s">
        <v>339</v>
      </c>
      <c r="D146" s="44" t="s">
        <v>341</v>
      </c>
      <c r="E146" s="98" t="s">
        <v>331</v>
      </c>
      <c r="F146" s="47">
        <f t="shared" si="4"/>
        <v>0.1666666667</v>
      </c>
      <c r="G146" s="47">
        <f t="shared" si="5"/>
        <v>0.3020833333</v>
      </c>
      <c r="H146" s="105">
        <f t="shared" si="6"/>
        <v>0.2569444444</v>
      </c>
      <c r="I146" s="13" t="s">
        <v>122</v>
      </c>
      <c r="J146" s="53" t="s">
        <v>594</v>
      </c>
      <c r="K146" s="53" t="s">
        <v>594</v>
      </c>
      <c r="L146" s="107" t="s">
        <v>594</v>
      </c>
      <c r="M146" s="53" t="s">
        <v>594</v>
      </c>
      <c r="N146" s="107" t="s">
        <v>594</v>
      </c>
      <c r="O146" s="53" t="s">
        <v>490</v>
      </c>
      <c r="P146" s="108" t="s">
        <v>53</v>
      </c>
      <c r="Q146" s="110" t="s">
        <v>53</v>
      </c>
      <c r="R146" s="108" t="s">
        <v>766</v>
      </c>
      <c r="S146" s="107" t="s">
        <v>53</v>
      </c>
      <c r="T146" s="107" t="s">
        <v>561</v>
      </c>
      <c r="U146" s="107" t="s">
        <v>561</v>
      </c>
      <c r="V146" s="107" t="s">
        <v>796</v>
      </c>
      <c r="W146" s="107" t="s">
        <v>796</v>
      </c>
      <c r="X146" s="53" t="s">
        <v>766</v>
      </c>
      <c r="Y146" s="107" t="s">
        <v>561</v>
      </c>
      <c r="Z146" s="53" t="s">
        <v>53</v>
      </c>
      <c r="AA146" s="107" t="s">
        <v>53</v>
      </c>
      <c r="AB146" s="53" t="s">
        <v>53</v>
      </c>
      <c r="AC146" s="53" t="s">
        <v>561</v>
      </c>
      <c r="AD146" s="107" t="s">
        <v>53</v>
      </c>
      <c r="AE146" s="107" t="s">
        <v>53</v>
      </c>
      <c r="AF146" s="107" t="s">
        <v>561</v>
      </c>
      <c r="AG146" s="107" t="s">
        <v>53</v>
      </c>
      <c r="AH146" s="107" t="s">
        <v>53</v>
      </c>
      <c r="AI146" s="107" t="s">
        <v>561</v>
      </c>
      <c r="AJ146" s="107" t="s">
        <v>561</v>
      </c>
      <c r="AK146" s="107" t="s">
        <v>561</v>
      </c>
      <c r="AL146" s="107" t="s">
        <v>561</v>
      </c>
      <c r="AM146" s="107" t="s">
        <v>561</v>
      </c>
      <c r="AN146" s="53" t="s">
        <v>561</v>
      </c>
      <c r="AO146" s="107" t="s">
        <v>561</v>
      </c>
      <c r="AP146" s="53" t="s">
        <v>53</v>
      </c>
      <c r="AQ146" s="53" t="s">
        <v>561</v>
      </c>
      <c r="AR146" s="53" t="s">
        <v>561</v>
      </c>
      <c r="AS146" s="53" t="s">
        <v>561</v>
      </c>
      <c r="AT146" s="53" t="s">
        <v>53</v>
      </c>
      <c r="AU146" s="53" t="s">
        <v>561</v>
      </c>
      <c r="AV146" s="53" t="s">
        <v>799</v>
      </c>
      <c r="AW146" s="53" t="s">
        <v>561</v>
      </c>
      <c r="AX146" s="53" t="s">
        <v>561</v>
      </c>
      <c r="AY146" s="53" t="s">
        <v>561</v>
      </c>
      <c r="AZ146" s="53" t="s">
        <v>53</v>
      </c>
      <c r="BA146" s="53" t="s">
        <v>561</v>
      </c>
      <c r="BB146" s="53" t="s">
        <v>53</v>
      </c>
      <c r="BC146" s="53" t="s">
        <v>801</v>
      </c>
      <c r="BD146" s="53" t="s">
        <v>801</v>
      </c>
      <c r="BE146" s="53" t="s">
        <v>561</v>
      </c>
      <c r="BF146" s="53" t="s">
        <v>561</v>
      </c>
      <c r="BG146" s="53" t="s">
        <v>561</v>
      </c>
      <c r="BH146" s="53" t="s">
        <v>561</v>
      </c>
      <c r="BI146" s="107" t="s">
        <v>561</v>
      </c>
      <c r="BJ146" s="107" t="s">
        <v>561</v>
      </c>
      <c r="BK146" s="53" t="s">
        <v>561</v>
      </c>
      <c r="BL146" s="53" t="s">
        <v>561</v>
      </c>
      <c r="BM146" s="53" t="s">
        <v>561</v>
      </c>
      <c r="BN146" s="53" t="s">
        <v>561</v>
      </c>
      <c r="BO146" s="53" t="s">
        <v>561</v>
      </c>
      <c r="BP146" s="53" t="s">
        <v>600</v>
      </c>
      <c r="BQ146" s="118" t="s">
        <v>821</v>
      </c>
      <c r="BR146" s="180" t="s">
        <v>1832</v>
      </c>
      <c r="BS146" s="118" t="s">
        <v>821</v>
      </c>
      <c r="BT146" s="122"/>
      <c r="BU146" s="122">
        <f t="shared" si="22"/>
        <v>5600</v>
      </c>
      <c r="BV146" s="126">
        <v>5600.0</v>
      </c>
      <c r="BW146" s="126"/>
      <c r="BX146" s="127"/>
      <c r="BY146" s="127"/>
      <c r="BZ146" s="13"/>
      <c r="CA146" s="13"/>
      <c r="CB146" s="13"/>
      <c r="CC146" s="13" t="s">
        <v>561</v>
      </c>
    </row>
    <row r="147">
      <c r="A147" s="44" t="str">
        <f>LOOKUP(H147,'Letter grades'!$A$1:$B$6)</f>
        <v>F</v>
      </c>
      <c r="B147" s="44">
        <f t="shared" si="3"/>
        <v>143</v>
      </c>
      <c r="C147" s="107" t="s">
        <v>1962</v>
      </c>
      <c r="D147" s="107" t="s">
        <v>2803</v>
      </c>
      <c r="E147" s="148" t="s">
        <v>2470</v>
      </c>
      <c r="F147" s="47">
        <f t="shared" si="4"/>
        <v>0</v>
      </c>
      <c r="G147" s="47">
        <f t="shared" si="5"/>
        <v>0.375</v>
      </c>
      <c r="H147" s="105">
        <f t="shared" si="6"/>
        <v>0.25</v>
      </c>
      <c r="I147" s="13" t="s">
        <v>122</v>
      </c>
      <c r="J147" s="53" t="s">
        <v>594</v>
      </c>
      <c r="K147" s="53" t="s">
        <v>594</v>
      </c>
      <c r="L147" s="107" t="s">
        <v>594</v>
      </c>
      <c r="M147" s="53" t="s">
        <v>594</v>
      </c>
      <c r="N147" s="107" t="s">
        <v>594</v>
      </c>
      <c r="O147" s="53" t="s">
        <v>1065</v>
      </c>
      <c r="P147" s="108" t="s">
        <v>53</v>
      </c>
      <c r="Q147" s="110" t="s">
        <v>53</v>
      </c>
      <c r="R147" s="108" t="s">
        <v>766</v>
      </c>
      <c r="S147" s="107" t="s">
        <v>53</v>
      </c>
      <c r="T147" s="107" t="s">
        <v>561</v>
      </c>
      <c r="U147" s="107" t="s">
        <v>561</v>
      </c>
      <c r="V147" s="107" t="s">
        <v>796</v>
      </c>
      <c r="W147" s="107" t="s">
        <v>796</v>
      </c>
      <c r="X147" s="53" t="s">
        <v>766</v>
      </c>
      <c r="Y147" s="107" t="s">
        <v>561</v>
      </c>
      <c r="Z147" s="53" t="s">
        <v>801</v>
      </c>
      <c r="AA147" s="53" t="s">
        <v>600</v>
      </c>
      <c r="AB147" s="53" t="s">
        <v>600</v>
      </c>
      <c r="AC147" s="53" t="s">
        <v>600</v>
      </c>
      <c r="AD147" s="53" t="s">
        <v>600</v>
      </c>
      <c r="AE147" s="53" t="s">
        <v>600</v>
      </c>
      <c r="AF147" s="53" t="s">
        <v>600</v>
      </c>
      <c r="AG147" s="53" t="s">
        <v>600</v>
      </c>
      <c r="AH147" s="53" t="s">
        <v>600</v>
      </c>
      <c r="AI147" s="53" t="s">
        <v>600</v>
      </c>
      <c r="AJ147" s="53" t="s">
        <v>600</v>
      </c>
      <c r="AK147" s="53" t="s">
        <v>600</v>
      </c>
      <c r="AL147" s="53" t="s">
        <v>600</v>
      </c>
      <c r="AM147" s="53" t="s">
        <v>600</v>
      </c>
      <c r="AN147" s="53" t="s">
        <v>600</v>
      </c>
      <c r="AO147" s="53" t="s">
        <v>600</v>
      </c>
      <c r="AP147" s="53" t="s">
        <v>600</v>
      </c>
      <c r="AQ147" s="53" t="s">
        <v>600</v>
      </c>
      <c r="AR147" s="53" t="s">
        <v>600</v>
      </c>
      <c r="AS147" s="53" t="s">
        <v>600</v>
      </c>
      <c r="AT147" s="53" t="s">
        <v>600</v>
      </c>
      <c r="AU147" s="53" t="s">
        <v>600</v>
      </c>
      <c r="AV147" s="53" t="s">
        <v>600</v>
      </c>
      <c r="AW147" s="53" t="s">
        <v>600</v>
      </c>
      <c r="AX147" s="53" t="s">
        <v>600</v>
      </c>
      <c r="AY147" s="53" t="s">
        <v>600</v>
      </c>
      <c r="AZ147" s="53" t="s">
        <v>600</v>
      </c>
      <c r="BA147" s="53" t="s">
        <v>600</v>
      </c>
      <c r="BB147" s="53" t="s">
        <v>600</v>
      </c>
      <c r="BC147" s="53" t="s">
        <v>600</v>
      </c>
      <c r="BD147" s="53" t="s">
        <v>600</v>
      </c>
      <c r="BE147" s="53" t="s">
        <v>600</v>
      </c>
      <c r="BF147" s="53" t="s">
        <v>600</v>
      </c>
      <c r="BG147" s="53" t="s">
        <v>600</v>
      </c>
      <c r="BH147" s="53" t="s">
        <v>600</v>
      </c>
      <c r="BI147" s="107" t="s">
        <v>600</v>
      </c>
      <c r="BJ147" s="107" t="s">
        <v>600</v>
      </c>
      <c r="BK147" s="53" t="s">
        <v>600</v>
      </c>
      <c r="BL147" s="53" t="s">
        <v>600</v>
      </c>
      <c r="BM147" s="53" t="s">
        <v>600</v>
      </c>
      <c r="BN147" s="53" t="s">
        <v>600</v>
      </c>
      <c r="BO147" s="53" t="s">
        <v>600</v>
      </c>
      <c r="BP147" s="53" t="s">
        <v>600</v>
      </c>
      <c r="BQ147" s="118" t="s">
        <v>821</v>
      </c>
      <c r="BR147" s="53" t="s">
        <v>600</v>
      </c>
      <c r="BS147" s="53" t="s">
        <v>600</v>
      </c>
      <c r="BT147" s="122"/>
      <c r="BU147" s="122"/>
      <c r="BV147" s="126"/>
      <c r="BW147" s="126"/>
      <c r="BX147" s="127"/>
      <c r="BY147" s="127"/>
      <c r="BZ147" s="13"/>
      <c r="CA147" s="13"/>
      <c r="CB147" s="13"/>
      <c r="CC147" s="13"/>
    </row>
    <row r="148">
      <c r="A148" s="44" t="str">
        <f>LOOKUP(H148,'Letter grades'!$A$1:$B$6)</f>
        <v>F</v>
      </c>
      <c r="B148" s="44">
        <f t="shared" si="3"/>
        <v>144</v>
      </c>
      <c r="C148" s="107" t="s">
        <v>2804</v>
      </c>
      <c r="D148" s="107" t="s">
        <v>2805</v>
      </c>
      <c r="E148" s="148" t="s">
        <v>687</v>
      </c>
      <c r="F148" s="47">
        <f t="shared" si="4"/>
        <v>0</v>
      </c>
      <c r="G148" s="47">
        <f t="shared" si="5"/>
        <v>0.3636363636</v>
      </c>
      <c r="H148" s="105">
        <f t="shared" si="6"/>
        <v>0.2424242424</v>
      </c>
      <c r="I148" s="13" t="s">
        <v>2594</v>
      </c>
      <c r="J148" s="53" t="s">
        <v>594</v>
      </c>
      <c r="K148" s="53" t="s">
        <v>594</v>
      </c>
      <c r="L148" s="107" t="s">
        <v>594</v>
      </c>
      <c r="M148" s="53" t="s">
        <v>594</v>
      </c>
      <c r="N148" s="107" t="s">
        <v>594</v>
      </c>
      <c r="O148" s="53" t="s">
        <v>1065</v>
      </c>
      <c r="P148" s="108" t="s">
        <v>53</v>
      </c>
      <c r="Q148" s="110" t="s">
        <v>53</v>
      </c>
      <c r="R148" s="108" t="s">
        <v>766</v>
      </c>
      <c r="S148" s="107" t="s">
        <v>53</v>
      </c>
      <c r="T148" s="107" t="s">
        <v>561</v>
      </c>
      <c r="U148" s="107" t="s">
        <v>561</v>
      </c>
      <c r="V148" s="107" t="s">
        <v>766</v>
      </c>
      <c r="W148" s="107" t="s">
        <v>766</v>
      </c>
      <c r="X148" s="53" t="s">
        <v>766</v>
      </c>
      <c r="Y148" s="107" t="s">
        <v>561</v>
      </c>
      <c r="Z148" s="53" t="s">
        <v>53</v>
      </c>
      <c r="AA148" s="53" t="s">
        <v>600</v>
      </c>
      <c r="AB148" s="53" t="s">
        <v>600</v>
      </c>
      <c r="AC148" s="53" t="s">
        <v>600</v>
      </c>
      <c r="AD148" s="53" t="s">
        <v>600</v>
      </c>
      <c r="AE148" s="53" t="s">
        <v>600</v>
      </c>
      <c r="AF148" s="53" t="s">
        <v>600</v>
      </c>
      <c r="AG148" s="53" t="s">
        <v>600</v>
      </c>
      <c r="AH148" s="53" t="s">
        <v>600</v>
      </c>
      <c r="AI148" s="53" t="s">
        <v>600</v>
      </c>
      <c r="AJ148" s="53" t="s">
        <v>600</v>
      </c>
      <c r="AK148" s="53" t="s">
        <v>600</v>
      </c>
      <c r="AL148" s="53" t="s">
        <v>600</v>
      </c>
      <c r="AM148" s="53" t="s">
        <v>600</v>
      </c>
      <c r="AN148" s="53" t="s">
        <v>600</v>
      </c>
      <c r="AO148" s="53" t="s">
        <v>600</v>
      </c>
      <c r="AP148" s="53" t="s">
        <v>600</v>
      </c>
      <c r="AQ148" s="53" t="s">
        <v>600</v>
      </c>
      <c r="AR148" s="53" t="s">
        <v>600</v>
      </c>
      <c r="AS148" s="53" t="s">
        <v>600</v>
      </c>
      <c r="AT148" s="53" t="s">
        <v>600</v>
      </c>
      <c r="AU148" s="53" t="s">
        <v>600</v>
      </c>
      <c r="AV148" s="53" t="s">
        <v>600</v>
      </c>
      <c r="AW148" s="53" t="s">
        <v>600</v>
      </c>
      <c r="AX148" s="53" t="s">
        <v>600</v>
      </c>
      <c r="AY148" s="53" t="s">
        <v>600</v>
      </c>
      <c r="AZ148" s="53" t="s">
        <v>600</v>
      </c>
      <c r="BA148" s="53" t="s">
        <v>600</v>
      </c>
      <c r="BB148" s="53" t="s">
        <v>600</v>
      </c>
      <c r="BC148" s="53" t="s">
        <v>600</v>
      </c>
      <c r="BD148" s="53" t="s">
        <v>600</v>
      </c>
      <c r="BE148" s="53" t="s">
        <v>600</v>
      </c>
      <c r="BF148" s="53" t="s">
        <v>600</v>
      </c>
      <c r="BG148" s="53" t="s">
        <v>600</v>
      </c>
      <c r="BH148" s="53" t="s">
        <v>600</v>
      </c>
      <c r="BI148" s="107" t="s">
        <v>600</v>
      </c>
      <c r="BJ148" s="107" t="s">
        <v>600</v>
      </c>
      <c r="BK148" s="53" t="s">
        <v>600</v>
      </c>
      <c r="BL148" s="53" t="s">
        <v>600</v>
      </c>
      <c r="BM148" s="53" t="s">
        <v>600</v>
      </c>
      <c r="BN148" s="53" t="s">
        <v>600</v>
      </c>
      <c r="BO148" s="53" t="s">
        <v>600</v>
      </c>
      <c r="BP148" s="53" t="s">
        <v>600</v>
      </c>
      <c r="BQ148" s="180" t="s">
        <v>1832</v>
      </c>
      <c r="BR148" s="53" t="s">
        <v>600</v>
      </c>
      <c r="BS148" s="53" t="s">
        <v>600</v>
      </c>
      <c r="BT148" s="122"/>
      <c r="BU148" s="122"/>
      <c r="BV148" s="126"/>
      <c r="BW148" s="126"/>
      <c r="BX148" s="127"/>
      <c r="BY148" s="127"/>
      <c r="BZ148" s="13"/>
      <c r="CA148" s="13"/>
      <c r="CB148" s="13"/>
      <c r="CC148" s="13"/>
    </row>
    <row r="149">
      <c r="A149" s="44" t="str">
        <f>LOOKUP(H149,'Letter grades'!$A$1:$B$6)</f>
        <v>F</v>
      </c>
      <c r="B149" s="44">
        <f t="shared" si="3"/>
        <v>145</v>
      </c>
      <c r="C149" s="44" t="s">
        <v>701</v>
      </c>
      <c r="D149" s="44" t="s">
        <v>702</v>
      </c>
      <c r="E149" s="98" t="s">
        <v>696</v>
      </c>
      <c r="F149" s="47">
        <f t="shared" si="4"/>
        <v>0</v>
      </c>
      <c r="G149" s="47">
        <f t="shared" si="5"/>
        <v>0.3604651163</v>
      </c>
      <c r="H149" s="105">
        <f t="shared" si="6"/>
        <v>0.2403100775</v>
      </c>
      <c r="I149" s="13" t="s">
        <v>2030</v>
      </c>
      <c r="J149" s="53" t="s">
        <v>594</v>
      </c>
      <c r="K149" s="53" t="s">
        <v>594</v>
      </c>
      <c r="L149" s="107" t="s">
        <v>594</v>
      </c>
      <c r="M149" s="53" t="s">
        <v>594</v>
      </c>
      <c r="N149" s="107" t="s">
        <v>594</v>
      </c>
      <c r="O149" s="53" t="s">
        <v>1065</v>
      </c>
      <c r="P149" s="108" t="s">
        <v>53</v>
      </c>
      <c r="Q149" s="110" t="s">
        <v>53</v>
      </c>
      <c r="R149" s="108" t="s">
        <v>491</v>
      </c>
      <c r="S149" s="107" t="s">
        <v>53</v>
      </c>
      <c r="T149" s="107" t="s">
        <v>561</v>
      </c>
      <c r="U149" s="107" t="s">
        <v>561</v>
      </c>
      <c r="V149" s="107" t="s">
        <v>796</v>
      </c>
      <c r="W149" s="107" t="s">
        <v>796</v>
      </c>
      <c r="X149" s="53" t="s">
        <v>766</v>
      </c>
      <c r="Y149" s="107" t="s">
        <v>561</v>
      </c>
      <c r="Z149" s="53" t="s">
        <v>53</v>
      </c>
      <c r="AA149" s="107" t="s">
        <v>561</v>
      </c>
      <c r="AB149" s="53" t="s">
        <v>53</v>
      </c>
      <c r="AC149" s="53" t="s">
        <v>561</v>
      </c>
      <c r="AD149" s="107" t="s">
        <v>53</v>
      </c>
      <c r="AE149" s="107" t="s">
        <v>53</v>
      </c>
      <c r="AF149" s="107" t="s">
        <v>53</v>
      </c>
      <c r="AG149" s="107" t="s">
        <v>53</v>
      </c>
      <c r="AH149" s="107" t="s">
        <v>53</v>
      </c>
      <c r="AI149" s="107" t="s">
        <v>561</v>
      </c>
      <c r="AJ149" s="107" t="s">
        <v>561</v>
      </c>
      <c r="AK149" s="107" t="s">
        <v>561</v>
      </c>
      <c r="AL149" s="107" t="s">
        <v>561</v>
      </c>
      <c r="AM149" s="107" t="s">
        <v>561</v>
      </c>
      <c r="AN149" s="53" t="s">
        <v>561</v>
      </c>
      <c r="AO149" s="107" t="s">
        <v>561</v>
      </c>
      <c r="AP149" s="53" t="s">
        <v>561</v>
      </c>
      <c r="AQ149" s="53" t="s">
        <v>561</v>
      </c>
      <c r="AR149" s="53" t="s">
        <v>53</v>
      </c>
      <c r="AS149" s="53" t="s">
        <v>561</v>
      </c>
      <c r="AT149" s="53" t="s">
        <v>561</v>
      </c>
      <c r="AU149" s="53" t="s">
        <v>561</v>
      </c>
      <c r="AV149" s="53" t="s">
        <v>799</v>
      </c>
      <c r="AW149" s="53" t="s">
        <v>561</v>
      </c>
      <c r="AX149" s="53" t="s">
        <v>561</v>
      </c>
      <c r="AY149" s="53" t="s">
        <v>561</v>
      </c>
      <c r="AZ149" s="53" t="s">
        <v>53</v>
      </c>
      <c r="BA149" s="53" t="s">
        <v>561</v>
      </c>
      <c r="BB149" s="53" t="s">
        <v>53</v>
      </c>
      <c r="BC149" s="53" t="s">
        <v>53</v>
      </c>
      <c r="BD149" s="53" t="s">
        <v>561</v>
      </c>
      <c r="BE149" s="53" t="s">
        <v>561</v>
      </c>
      <c r="BF149" s="53" t="s">
        <v>561</v>
      </c>
      <c r="BG149" s="53" t="s">
        <v>561</v>
      </c>
      <c r="BH149" s="53" t="s">
        <v>561</v>
      </c>
      <c r="BI149" s="107" t="s">
        <v>600</v>
      </c>
      <c r="BJ149" s="107" t="s">
        <v>600</v>
      </c>
      <c r="BK149" s="53" t="s">
        <v>600</v>
      </c>
      <c r="BL149" s="53" t="s">
        <v>600</v>
      </c>
      <c r="BM149" s="53" t="s">
        <v>600</v>
      </c>
      <c r="BN149" s="53" t="s">
        <v>600</v>
      </c>
      <c r="BO149" s="53" t="s">
        <v>600</v>
      </c>
      <c r="BP149" s="53" t="s">
        <v>600</v>
      </c>
      <c r="BQ149" s="118" t="s">
        <v>821</v>
      </c>
      <c r="BR149" s="180" t="s">
        <v>1832</v>
      </c>
      <c r="BS149" s="180" t="s">
        <v>1832</v>
      </c>
      <c r="BT149" s="122"/>
      <c r="BU149" s="122">
        <f t="shared" ref="BU149:BU158" si="23">SUM(BV149:BY149)</f>
        <v>7196574</v>
      </c>
      <c r="BV149" s="126">
        <v>771657.0</v>
      </c>
      <c r="BW149" s="126">
        <v>5992920.0</v>
      </c>
      <c r="BX149" s="127">
        <f>2000</f>
        <v>2000</v>
      </c>
      <c r="BY149" s="127">
        <v>429997.0</v>
      </c>
      <c r="BZ149" s="13"/>
      <c r="CA149" s="13"/>
      <c r="CB149" s="13" t="s">
        <v>561</v>
      </c>
      <c r="CC149" s="13" t="s">
        <v>561</v>
      </c>
    </row>
    <row r="150">
      <c r="A150" s="44" t="str">
        <f>LOOKUP(H150,'Letter grades'!$A$1:$B$6)</f>
        <v>F</v>
      </c>
      <c r="B150" s="44">
        <f t="shared" si="3"/>
        <v>146</v>
      </c>
      <c r="C150" s="44" t="s">
        <v>266</v>
      </c>
      <c r="D150" s="44" t="s">
        <v>268</v>
      </c>
      <c r="E150" s="98" t="s">
        <v>262</v>
      </c>
      <c r="F150" s="47">
        <f t="shared" si="4"/>
        <v>0.1666666667</v>
      </c>
      <c r="G150" s="47">
        <f t="shared" si="5"/>
        <v>0.2755102041</v>
      </c>
      <c r="H150" s="105">
        <f t="shared" si="6"/>
        <v>0.2392290249</v>
      </c>
      <c r="I150" s="13" t="s">
        <v>1208</v>
      </c>
      <c r="J150" s="53" t="s">
        <v>594</v>
      </c>
      <c r="K150" s="53" t="s">
        <v>594</v>
      </c>
      <c r="L150" s="107" t="s">
        <v>594</v>
      </c>
      <c r="M150" s="53" t="s">
        <v>594</v>
      </c>
      <c r="N150" s="107" t="s">
        <v>594</v>
      </c>
      <c r="O150" s="53" t="s">
        <v>490</v>
      </c>
      <c r="P150" s="108" t="s">
        <v>53</v>
      </c>
      <c r="Q150" s="110" t="s">
        <v>53</v>
      </c>
      <c r="R150" s="108" t="s">
        <v>766</v>
      </c>
      <c r="S150" s="107" t="s">
        <v>53</v>
      </c>
      <c r="T150" s="107" t="s">
        <v>561</v>
      </c>
      <c r="U150" s="107" t="s">
        <v>561</v>
      </c>
      <c r="V150" s="107" t="s">
        <v>796</v>
      </c>
      <c r="W150" s="107" t="s">
        <v>796</v>
      </c>
      <c r="X150" s="53" t="s">
        <v>766</v>
      </c>
      <c r="Y150" s="107" t="s">
        <v>561</v>
      </c>
      <c r="Z150" s="53" t="s">
        <v>801</v>
      </c>
      <c r="AA150" s="107" t="s">
        <v>561</v>
      </c>
      <c r="AB150" s="53" t="s">
        <v>53</v>
      </c>
      <c r="AC150" s="53" t="s">
        <v>561</v>
      </c>
      <c r="AD150" s="107" t="s">
        <v>53</v>
      </c>
      <c r="AE150" s="107" t="s">
        <v>53</v>
      </c>
      <c r="AF150" s="107" t="s">
        <v>53</v>
      </c>
      <c r="AG150" s="107" t="s">
        <v>53</v>
      </c>
      <c r="AH150" s="107" t="s">
        <v>53</v>
      </c>
      <c r="AI150" s="107" t="s">
        <v>561</v>
      </c>
      <c r="AJ150" s="107" t="s">
        <v>561</v>
      </c>
      <c r="AK150" s="107" t="s">
        <v>561</v>
      </c>
      <c r="AL150" s="107" t="s">
        <v>561</v>
      </c>
      <c r="AM150" s="107" t="s">
        <v>561</v>
      </c>
      <c r="AN150" s="53" t="s">
        <v>561</v>
      </c>
      <c r="AO150" s="107" t="s">
        <v>561</v>
      </c>
      <c r="AP150" s="53" t="s">
        <v>561</v>
      </c>
      <c r="AQ150" s="53" t="s">
        <v>561</v>
      </c>
      <c r="AR150" s="53" t="s">
        <v>53</v>
      </c>
      <c r="AS150" s="53" t="s">
        <v>561</v>
      </c>
      <c r="AT150" s="53" t="s">
        <v>53</v>
      </c>
      <c r="AU150" s="53" t="s">
        <v>561</v>
      </c>
      <c r="AV150" s="53" t="s">
        <v>799</v>
      </c>
      <c r="AW150" s="53" t="s">
        <v>561</v>
      </c>
      <c r="AX150" s="53" t="s">
        <v>561</v>
      </c>
      <c r="AY150" s="53" t="s">
        <v>561</v>
      </c>
      <c r="AZ150" s="53" t="s">
        <v>53</v>
      </c>
      <c r="BA150" s="53" t="s">
        <v>561</v>
      </c>
      <c r="BB150" s="53" t="s">
        <v>53</v>
      </c>
      <c r="BC150" s="53" t="s">
        <v>561</v>
      </c>
      <c r="BD150" s="53" t="s">
        <v>561</v>
      </c>
      <c r="BE150" s="53" t="s">
        <v>561</v>
      </c>
      <c r="BF150" s="53" t="s">
        <v>561</v>
      </c>
      <c r="BG150" s="53" t="s">
        <v>561</v>
      </c>
      <c r="BH150" s="53" t="s">
        <v>561</v>
      </c>
      <c r="BI150" s="107" t="s">
        <v>561</v>
      </c>
      <c r="BJ150" s="107" t="s">
        <v>561</v>
      </c>
      <c r="BK150" s="53" t="s">
        <v>561</v>
      </c>
      <c r="BL150" s="53" t="s">
        <v>561</v>
      </c>
      <c r="BM150" s="53" t="s">
        <v>561</v>
      </c>
      <c r="BN150" s="53" t="s">
        <v>561</v>
      </c>
      <c r="BO150" s="53" t="s">
        <v>561</v>
      </c>
      <c r="BP150" s="53" t="s">
        <v>600</v>
      </c>
      <c r="BQ150" s="118" t="s">
        <v>821</v>
      </c>
      <c r="BR150" s="118" t="s">
        <v>821</v>
      </c>
      <c r="BS150" s="118" t="s">
        <v>821</v>
      </c>
      <c r="BT150" s="122"/>
      <c r="BU150" s="122">
        <f t="shared" si="23"/>
        <v>60667</v>
      </c>
      <c r="BV150" s="126">
        <v>60667.0</v>
      </c>
      <c r="BW150" s="126"/>
      <c r="BX150" s="127"/>
      <c r="BY150" s="127"/>
      <c r="BZ150" s="13"/>
      <c r="CA150" s="13" t="s">
        <v>561</v>
      </c>
      <c r="CB150" s="13" t="s">
        <v>561</v>
      </c>
      <c r="CC150" s="13" t="s">
        <v>561</v>
      </c>
    </row>
    <row r="151">
      <c r="A151" s="44" t="str">
        <f>LOOKUP(H151,'Letter grades'!$A$1:$B$6)</f>
        <v>F</v>
      </c>
      <c r="B151" s="44">
        <f t="shared" si="3"/>
        <v>147</v>
      </c>
      <c r="C151" s="44" t="s">
        <v>1004</v>
      </c>
      <c r="D151" s="44" t="s">
        <v>1005</v>
      </c>
      <c r="E151" s="98" t="s">
        <v>1002</v>
      </c>
      <c r="F151" s="47">
        <f t="shared" si="4"/>
        <v>0.1666666667</v>
      </c>
      <c r="G151" s="47">
        <f t="shared" si="5"/>
        <v>0.27</v>
      </c>
      <c r="H151" s="105">
        <f t="shared" si="6"/>
        <v>0.2355555556</v>
      </c>
      <c r="I151" s="13" t="s">
        <v>1208</v>
      </c>
      <c r="J151" s="53" t="s">
        <v>594</v>
      </c>
      <c r="K151" s="53" t="s">
        <v>594</v>
      </c>
      <c r="L151" s="107" t="s">
        <v>594</v>
      </c>
      <c r="M151" s="53" t="s">
        <v>594</v>
      </c>
      <c r="N151" s="107" t="s">
        <v>594</v>
      </c>
      <c r="O151" s="53" t="s">
        <v>490</v>
      </c>
      <c r="P151" s="108" t="s">
        <v>53</v>
      </c>
      <c r="Q151" s="110" t="s">
        <v>53</v>
      </c>
      <c r="R151" s="108" t="s">
        <v>766</v>
      </c>
      <c r="S151" s="107" t="s">
        <v>53</v>
      </c>
      <c r="T151" s="107" t="s">
        <v>561</v>
      </c>
      <c r="U151" s="107" t="s">
        <v>561</v>
      </c>
      <c r="V151" s="107" t="s">
        <v>796</v>
      </c>
      <c r="W151" s="107" t="s">
        <v>796</v>
      </c>
      <c r="X151" s="53" t="s">
        <v>766</v>
      </c>
      <c r="Y151" s="107" t="s">
        <v>561</v>
      </c>
      <c r="Z151" s="53" t="s">
        <v>53</v>
      </c>
      <c r="AA151" s="107" t="s">
        <v>561</v>
      </c>
      <c r="AB151" s="53" t="s">
        <v>53</v>
      </c>
      <c r="AC151" s="53" t="s">
        <v>561</v>
      </c>
      <c r="AD151" s="107" t="s">
        <v>53</v>
      </c>
      <c r="AE151" s="107" t="s">
        <v>53</v>
      </c>
      <c r="AF151" s="107" t="s">
        <v>53</v>
      </c>
      <c r="AG151" s="107" t="s">
        <v>53</v>
      </c>
      <c r="AH151" s="107" t="s">
        <v>53</v>
      </c>
      <c r="AI151" s="107" t="s">
        <v>561</v>
      </c>
      <c r="AJ151" s="107" t="s">
        <v>561</v>
      </c>
      <c r="AK151" s="107" t="s">
        <v>561</v>
      </c>
      <c r="AL151" s="107" t="s">
        <v>561</v>
      </c>
      <c r="AM151" s="107" t="s">
        <v>561</v>
      </c>
      <c r="AN151" s="53" t="s">
        <v>561</v>
      </c>
      <c r="AO151" s="107" t="s">
        <v>561</v>
      </c>
      <c r="AP151" s="53" t="s">
        <v>561</v>
      </c>
      <c r="AQ151" s="53" t="s">
        <v>561</v>
      </c>
      <c r="AR151" s="53" t="s">
        <v>53</v>
      </c>
      <c r="AS151" s="53" t="s">
        <v>561</v>
      </c>
      <c r="AT151" s="53" t="s">
        <v>561</v>
      </c>
      <c r="AU151" s="53" t="s">
        <v>561</v>
      </c>
      <c r="AV151" s="53" t="s">
        <v>799</v>
      </c>
      <c r="AW151" s="53" t="s">
        <v>561</v>
      </c>
      <c r="AX151" s="53" t="s">
        <v>561</v>
      </c>
      <c r="AY151" s="53" t="s">
        <v>561</v>
      </c>
      <c r="AZ151" s="53" t="s">
        <v>53</v>
      </c>
      <c r="BA151" s="53" t="s">
        <v>561</v>
      </c>
      <c r="BB151" s="53" t="s">
        <v>53</v>
      </c>
      <c r="BC151" s="53" t="s">
        <v>561</v>
      </c>
      <c r="BD151" s="53" t="s">
        <v>561</v>
      </c>
      <c r="BE151" s="53" t="s">
        <v>561</v>
      </c>
      <c r="BF151" s="53" t="s">
        <v>561</v>
      </c>
      <c r="BG151" s="53" t="s">
        <v>561</v>
      </c>
      <c r="BH151" s="53" t="s">
        <v>561</v>
      </c>
      <c r="BI151" s="107" t="s">
        <v>561</v>
      </c>
      <c r="BJ151" s="107" t="s">
        <v>561</v>
      </c>
      <c r="BK151" s="53" t="s">
        <v>561</v>
      </c>
      <c r="BL151" s="53" t="s">
        <v>561</v>
      </c>
      <c r="BM151" s="53" t="s">
        <v>561</v>
      </c>
      <c r="BN151" s="53" t="s">
        <v>561</v>
      </c>
      <c r="BO151" s="53" t="s">
        <v>561</v>
      </c>
      <c r="BP151" s="53" t="s">
        <v>600</v>
      </c>
      <c r="BQ151" s="118" t="s">
        <v>821</v>
      </c>
      <c r="BR151" s="118" t="s">
        <v>821</v>
      </c>
      <c r="BS151" s="118" t="s">
        <v>821</v>
      </c>
      <c r="BT151" s="122"/>
      <c r="BU151" s="122">
        <f t="shared" si="23"/>
        <v>501615</v>
      </c>
      <c r="BV151" s="126">
        <v>498615.0</v>
      </c>
      <c r="BW151" s="126"/>
      <c r="BX151" s="127">
        <f>3000</f>
        <v>3000</v>
      </c>
      <c r="BY151" s="127"/>
      <c r="BZ151" s="13"/>
      <c r="CA151" s="13"/>
      <c r="CB151" s="13" t="s">
        <v>561</v>
      </c>
      <c r="CC151" s="13" t="s">
        <v>561</v>
      </c>
    </row>
    <row r="152">
      <c r="A152" s="44" t="str">
        <f>LOOKUP(H152,'Letter grades'!$A$1:$B$6)</f>
        <v>F</v>
      </c>
      <c r="B152" s="44">
        <f t="shared" si="3"/>
        <v>148</v>
      </c>
      <c r="C152" s="44" t="s">
        <v>377</v>
      </c>
      <c r="D152" s="44" t="s">
        <v>378</v>
      </c>
      <c r="E152" s="98" t="s">
        <v>374</v>
      </c>
      <c r="F152" s="47">
        <f t="shared" si="4"/>
        <v>0</v>
      </c>
      <c r="G152" s="47">
        <f t="shared" si="5"/>
        <v>0.3469387755</v>
      </c>
      <c r="H152" s="105">
        <f t="shared" si="6"/>
        <v>0.231292517</v>
      </c>
      <c r="I152" s="13" t="s">
        <v>2594</v>
      </c>
      <c r="J152" s="53" t="s">
        <v>594</v>
      </c>
      <c r="K152" s="53" t="s">
        <v>594</v>
      </c>
      <c r="L152" s="107" t="s">
        <v>594</v>
      </c>
      <c r="M152" s="53" t="s">
        <v>594</v>
      </c>
      <c r="N152" s="107" t="s">
        <v>594</v>
      </c>
      <c r="O152" s="53" t="s">
        <v>1065</v>
      </c>
      <c r="P152" s="108" t="s">
        <v>53</v>
      </c>
      <c r="Q152" s="110" t="s">
        <v>53</v>
      </c>
      <c r="R152" s="108" t="s">
        <v>491</v>
      </c>
      <c r="S152" s="107" t="s">
        <v>53</v>
      </c>
      <c r="T152" s="107" t="s">
        <v>561</v>
      </c>
      <c r="U152" s="107" t="s">
        <v>53</v>
      </c>
      <c r="V152" s="107" t="s">
        <v>796</v>
      </c>
      <c r="W152" s="107" t="s">
        <v>796</v>
      </c>
      <c r="X152" s="53" t="s">
        <v>766</v>
      </c>
      <c r="Y152" s="107" t="s">
        <v>561</v>
      </c>
      <c r="Z152" s="53" t="s">
        <v>53</v>
      </c>
      <c r="AA152" s="107" t="s">
        <v>53</v>
      </c>
      <c r="AB152" s="53" t="s">
        <v>53</v>
      </c>
      <c r="AC152" s="53" t="s">
        <v>561</v>
      </c>
      <c r="AD152" s="107" t="s">
        <v>53</v>
      </c>
      <c r="AE152" s="107" t="s">
        <v>53</v>
      </c>
      <c r="AF152" s="107" t="s">
        <v>53</v>
      </c>
      <c r="AG152" s="107" t="s">
        <v>53</v>
      </c>
      <c r="AH152" s="107" t="s">
        <v>53</v>
      </c>
      <c r="AI152" s="107" t="s">
        <v>561</v>
      </c>
      <c r="AJ152" s="107" t="s">
        <v>561</v>
      </c>
      <c r="AK152" s="107" t="s">
        <v>561</v>
      </c>
      <c r="AL152" s="107" t="s">
        <v>561</v>
      </c>
      <c r="AM152" s="107" t="s">
        <v>561</v>
      </c>
      <c r="AN152" s="53" t="s">
        <v>561</v>
      </c>
      <c r="AO152" s="107" t="s">
        <v>561</v>
      </c>
      <c r="AP152" s="53" t="s">
        <v>561</v>
      </c>
      <c r="AQ152" s="53" t="s">
        <v>561</v>
      </c>
      <c r="AR152" s="53" t="s">
        <v>53</v>
      </c>
      <c r="AS152" s="53" t="s">
        <v>561</v>
      </c>
      <c r="AT152" s="53" t="s">
        <v>53</v>
      </c>
      <c r="AU152" s="53" t="s">
        <v>561</v>
      </c>
      <c r="AV152" s="53" t="s">
        <v>561</v>
      </c>
      <c r="AW152" s="53" t="s">
        <v>561</v>
      </c>
      <c r="AX152" s="53" t="s">
        <v>561</v>
      </c>
      <c r="AY152" s="53" t="s">
        <v>561</v>
      </c>
      <c r="AZ152" s="53" t="s">
        <v>53</v>
      </c>
      <c r="BA152" s="53" t="s">
        <v>561</v>
      </c>
      <c r="BB152" s="53" t="s">
        <v>53</v>
      </c>
      <c r="BC152" s="53" t="s">
        <v>561</v>
      </c>
      <c r="BD152" s="53" t="s">
        <v>561</v>
      </c>
      <c r="BE152" s="53" t="s">
        <v>561</v>
      </c>
      <c r="BF152" s="53" t="s">
        <v>561</v>
      </c>
      <c r="BG152" s="53" t="s">
        <v>561</v>
      </c>
      <c r="BH152" s="53" t="s">
        <v>561</v>
      </c>
      <c r="BI152" s="107" t="s">
        <v>561</v>
      </c>
      <c r="BJ152" s="107" t="s">
        <v>561</v>
      </c>
      <c r="BK152" s="53" t="s">
        <v>561</v>
      </c>
      <c r="BL152" s="53" t="s">
        <v>561</v>
      </c>
      <c r="BM152" s="53" t="s">
        <v>561</v>
      </c>
      <c r="BN152" s="53" t="s">
        <v>561</v>
      </c>
      <c r="BO152" s="53" t="s">
        <v>600</v>
      </c>
      <c r="BP152" s="53" t="s">
        <v>600</v>
      </c>
      <c r="BQ152" s="118" t="s">
        <v>821</v>
      </c>
      <c r="BR152" s="118" t="s">
        <v>821</v>
      </c>
      <c r="BS152" s="180" t="s">
        <v>1832</v>
      </c>
      <c r="BT152" s="122"/>
      <c r="BU152" s="122">
        <f t="shared" si="23"/>
        <v>42580</v>
      </c>
      <c r="BV152" s="126">
        <v>42580.0</v>
      </c>
      <c r="BW152" s="126"/>
      <c r="BX152" s="127"/>
      <c r="BY152" s="127"/>
      <c r="BZ152" s="13"/>
      <c r="CA152" s="13" t="s">
        <v>561</v>
      </c>
      <c r="CB152" s="13"/>
      <c r="CC152" s="13" t="s">
        <v>561</v>
      </c>
    </row>
    <row r="153">
      <c r="A153" s="44" t="str">
        <f>LOOKUP(H153,'Letter grades'!$A$1:$B$6)</f>
        <v>F</v>
      </c>
      <c r="B153" s="44">
        <f t="shared" si="3"/>
        <v>149</v>
      </c>
      <c r="C153" s="44" t="s">
        <v>934</v>
      </c>
      <c r="D153" s="44" t="s">
        <v>935</v>
      </c>
      <c r="E153" s="98" t="s">
        <v>931</v>
      </c>
      <c r="F153" s="47">
        <f t="shared" si="4"/>
        <v>0</v>
      </c>
      <c r="G153" s="47">
        <f t="shared" si="5"/>
        <v>0.3452380952</v>
      </c>
      <c r="H153" s="105">
        <f t="shared" si="6"/>
        <v>0.2301587302</v>
      </c>
      <c r="I153" s="13" t="s">
        <v>2030</v>
      </c>
      <c r="J153" s="53" t="s">
        <v>594</v>
      </c>
      <c r="K153" s="53" t="s">
        <v>594</v>
      </c>
      <c r="L153" s="107" t="s">
        <v>594</v>
      </c>
      <c r="M153" s="53" t="s">
        <v>594</v>
      </c>
      <c r="N153" s="107" t="s">
        <v>594</v>
      </c>
      <c r="O153" s="53" t="s">
        <v>1065</v>
      </c>
      <c r="P153" s="108" t="s">
        <v>53</v>
      </c>
      <c r="Q153" s="110" t="s">
        <v>53</v>
      </c>
      <c r="R153" s="108" t="s">
        <v>766</v>
      </c>
      <c r="S153" s="107" t="s">
        <v>53</v>
      </c>
      <c r="T153" s="107" t="s">
        <v>53</v>
      </c>
      <c r="U153" s="107" t="s">
        <v>53</v>
      </c>
      <c r="V153" s="107" t="s">
        <v>796</v>
      </c>
      <c r="W153" s="107" t="s">
        <v>796</v>
      </c>
      <c r="X153" s="53" t="s">
        <v>766</v>
      </c>
      <c r="Y153" s="107" t="s">
        <v>561</v>
      </c>
      <c r="Z153" s="107" t="s">
        <v>561</v>
      </c>
      <c r="AA153" s="107" t="s">
        <v>53</v>
      </c>
      <c r="AB153" s="53" t="s">
        <v>53</v>
      </c>
      <c r="AC153" s="53" t="s">
        <v>561</v>
      </c>
      <c r="AD153" s="107" t="s">
        <v>53</v>
      </c>
      <c r="AE153" s="107" t="s">
        <v>53</v>
      </c>
      <c r="AF153" s="107" t="s">
        <v>53</v>
      </c>
      <c r="AG153" s="107" t="s">
        <v>801</v>
      </c>
      <c r="AH153" s="107" t="s">
        <v>53</v>
      </c>
      <c r="AI153" s="107" t="s">
        <v>561</v>
      </c>
      <c r="AJ153" s="107" t="s">
        <v>561</v>
      </c>
      <c r="AK153" s="107" t="s">
        <v>561</v>
      </c>
      <c r="AL153" s="107" t="s">
        <v>561</v>
      </c>
      <c r="AM153" s="107" t="s">
        <v>561</v>
      </c>
      <c r="AN153" s="53" t="s">
        <v>561</v>
      </c>
      <c r="AO153" s="107" t="s">
        <v>561</v>
      </c>
      <c r="AP153" s="53" t="s">
        <v>561</v>
      </c>
      <c r="AQ153" s="53" t="s">
        <v>561</v>
      </c>
      <c r="AR153" s="53" t="s">
        <v>561</v>
      </c>
      <c r="AS153" s="53" t="s">
        <v>561</v>
      </c>
      <c r="AT153" s="53" t="s">
        <v>53</v>
      </c>
      <c r="AU153" s="53" t="s">
        <v>561</v>
      </c>
      <c r="AV153" s="53" t="s">
        <v>799</v>
      </c>
      <c r="AW153" s="53" t="s">
        <v>561</v>
      </c>
      <c r="AX153" s="53" t="s">
        <v>561</v>
      </c>
      <c r="AY153" s="53" t="s">
        <v>561</v>
      </c>
      <c r="AZ153" s="53" t="s">
        <v>53</v>
      </c>
      <c r="BA153" s="53" t="s">
        <v>561</v>
      </c>
      <c r="BB153" s="53" t="s">
        <v>53</v>
      </c>
      <c r="BC153" s="53" t="s">
        <v>561</v>
      </c>
      <c r="BD153" s="53" t="s">
        <v>561</v>
      </c>
      <c r="BE153" s="53" t="s">
        <v>561</v>
      </c>
      <c r="BF153" s="53" t="s">
        <v>561</v>
      </c>
      <c r="BG153" s="53" t="s">
        <v>561</v>
      </c>
      <c r="BH153" s="53" t="s">
        <v>561</v>
      </c>
      <c r="BI153" s="107" t="s">
        <v>600</v>
      </c>
      <c r="BJ153" s="107" t="s">
        <v>600</v>
      </c>
      <c r="BK153" s="53" t="s">
        <v>600</v>
      </c>
      <c r="BL153" s="53" t="s">
        <v>600</v>
      </c>
      <c r="BM153" s="53" t="s">
        <v>600</v>
      </c>
      <c r="BN153" s="53" t="s">
        <v>600</v>
      </c>
      <c r="BO153" s="53" t="s">
        <v>600</v>
      </c>
      <c r="BP153" s="53" t="s">
        <v>600</v>
      </c>
      <c r="BQ153" s="118" t="s">
        <v>821</v>
      </c>
      <c r="BR153" s="180" t="s">
        <v>1832</v>
      </c>
      <c r="BS153" s="180" t="s">
        <v>1832</v>
      </c>
      <c r="BT153" s="122"/>
      <c r="BU153" s="122">
        <f t="shared" si="23"/>
        <v>66500</v>
      </c>
      <c r="BV153" s="126">
        <v>64500.0</v>
      </c>
      <c r="BW153" s="126"/>
      <c r="BX153" s="127">
        <f t="shared" ref="BX153:BX154" si="24">2000</f>
        <v>2000</v>
      </c>
      <c r="BY153" s="127"/>
      <c r="BZ153" s="13"/>
      <c r="CA153" s="13"/>
      <c r="CB153" s="13" t="s">
        <v>561</v>
      </c>
      <c r="CC153" s="13" t="s">
        <v>561</v>
      </c>
    </row>
    <row r="154">
      <c r="A154" s="44" t="str">
        <f>LOOKUP(H154,'Letter grades'!$A$1:$B$6)</f>
        <v>F</v>
      </c>
      <c r="B154" s="44">
        <f t="shared" si="3"/>
        <v>149</v>
      </c>
      <c r="C154" s="44" t="s">
        <v>151</v>
      </c>
      <c r="D154" s="44" t="s">
        <v>647</v>
      </c>
      <c r="E154" s="98" t="s">
        <v>642</v>
      </c>
      <c r="F154" s="47">
        <f t="shared" si="4"/>
        <v>0.1666666667</v>
      </c>
      <c r="G154" s="47">
        <f t="shared" si="5"/>
        <v>0.2619047619</v>
      </c>
      <c r="H154" s="105">
        <f t="shared" si="6"/>
        <v>0.2301587302</v>
      </c>
      <c r="I154" s="13" t="s">
        <v>1208</v>
      </c>
      <c r="J154" s="53" t="s">
        <v>487</v>
      </c>
      <c r="K154" s="53" t="s">
        <v>594</v>
      </c>
      <c r="L154" s="107" t="s">
        <v>594</v>
      </c>
      <c r="M154" s="53" t="s">
        <v>594</v>
      </c>
      <c r="N154" s="107" t="s">
        <v>594</v>
      </c>
      <c r="O154" s="53" t="s">
        <v>1065</v>
      </c>
      <c r="P154" s="108" t="s">
        <v>53</v>
      </c>
      <c r="Q154" s="110" t="s">
        <v>53</v>
      </c>
      <c r="R154" s="108" t="s">
        <v>766</v>
      </c>
      <c r="S154" s="107" t="s">
        <v>53</v>
      </c>
      <c r="T154" s="107" t="s">
        <v>561</v>
      </c>
      <c r="U154" s="107" t="s">
        <v>561</v>
      </c>
      <c r="V154" s="107" t="s">
        <v>796</v>
      </c>
      <c r="W154" s="107" t="s">
        <v>796</v>
      </c>
      <c r="X154" s="53" t="s">
        <v>766</v>
      </c>
      <c r="Y154" s="107" t="s">
        <v>561</v>
      </c>
      <c r="Z154" s="53" t="s">
        <v>53</v>
      </c>
      <c r="AA154" s="107" t="s">
        <v>53</v>
      </c>
      <c r="AB154" s="53" t="s">
        <v>53</v>
      </c>
      <c r="AC154" s="53" t="s">
        <v>561</v>
      </c>
      <c r="AD154" s="107" t="s">
        <v>561</v>
      </c>
      <c r="AE154" s="107" t="s">
        <v>53</v>
      </c>
      <c r="AF154" s="107" t="s">
        <v>801</v>
      </c>
      <c r="AG154" s="107" t="s">
        <v>53</v>
      </c>
      <c r="AH154" s="107" t="s">
        <v>53</v>
      </c>
      <c r="AI154" s="107" t="s">
        <v>561</v>
      </c>
      <c r="AJ154" s="107" t="s">
        <v>561</v>
      </c>
      <c r="AK154" s="107" t="s">
        <v>561</v>
      </c>
      <c r="AL154" s="107" t="s">
        <v>561</v>
      </c>
      <c r="AM154" s="107" t="s">
        <v>561</v>
      </c>
      <c r="AN154" s="53" t="s">
        <v>561</v>
      </c>
      <c r="AO154" s="107" t="s">
        <v>561</v>
      </c>
      <c r="AP154" s="53" t="s">
        <v>561</v>
      </c>
      <c r="AQ154" s="53" t="s">
        <v>561</v>
      </c>
      <c r="AR154" s="53" t="s">
        <v>561</v>
      </c>
      <c r="AS154" s="53" t="s">
        <v>561</v>
      </c>
      <c r="AT154" s="53" t="s">
        <v>561</v>
      </c>
      <c r="AU154" s="53" t="s">
        <v>561</v>
      </c>
      <c r="AV154" s="53" t="s">
        <v>561</v>
      </c>
      <c r="AW154" s="53" t="s">
        <v>561</v>
      </c>
      <c r="AX154" s="53" t="s">
        <v>561</v>
      </c>
      <c r="AY154" s="53" t="s">
        <v>561</v>
      </c>
      <c r="AZ154" s="53" t="s">
        <v>53</v>
      </c>
      <c r="BA154" s="53" t="s">
        <v>561</v>
      </c>
      <c r="BB154" s="53" t="s">
        <v>53</v>
      </c>
      <c r="BC154" s="53" t="s">
        <v>561</v>
      </c>
      <c r="BD154" s="53" t="s">
        <v>561</v>
      </c>
      <c r="BE154" s="53" t="s">
        <v>561</v>
      </c>
      <c r="BF154" s="53" t="s">
        <v>561</v>
      </c>
      <c r="BG154" s="53" t="s">
        <v>561</v>
      </c>
      <c r="BH154" s="53" t="s">
        <v>561</v>
      </c>
      <c r="BI154" s="107" t="s">
        <v>600</v>
      </c>
      <c r="BJ154" s="107" t="s">
        <v>600</v>
      </c>
      <c r="BK154" s="53" t="s">
        <v>600</v>
      </c>
      <c r="BL154" s="53" t="s">
        <v>600</v>
      </c>
      <c r="BM154" s="53" t="s">
        <v>600</v>
      </c>
      <c r="BN154" s="53" t="s">
        <v>600</v>
      </c>
      <c r="BO154" s="53" t="s">
        <v>600</v>
      </c>
      <c r="BP154" s="53" t="s">
        <v>600</v>
      </c>
      <c r="BQ154" s="180" t="s">
        <v>1832</v>
      </c>
      <c r="BR154" s="180" t="s">
        <v>1832</v>
      </c>
      <c r="BS154" s="180" t="s">
        <v>1832</v>
      </c>
      <c r="BT154" s="122"/>
      <c r="BU154" s="122">
        <f t="shared" si="23"/>
        <v>2000</v>
      </c>
      <c r="BV154" s="126"/>
      <c r="BW154" s="126"/>
      <c r="BX154" s="127">
        <f t="shared" si="24"/>
        <v>2000</v>
      </c>
      <c r="BY154" s="127"/>
      <c r="BZ154" s="13"/>
      <c r="CA154" s="13" t="s">
        <v>561</v>
      </c>
      <c r="CB154" s="13" t="s">
        <v>561</v>
      </c>
      <c r="CC154" s="13"/>
    </row>
    <row r="155">
      <c r="A155" s="44" t="str">
        <f>LOOKUP(H155,'Letter grades'!$A$1:$B$6)</f>
        <v>F</v>
      </c>
      <c r="B155" s="44">
        <f t="shared" si="3"/>
        <v>151</v>
      </c>
      <c r="C155" s="44" t="s">
        <v>548</v>
      </c>
      <c r="D155" s="44" t="s">
        <v>549</v>
      </c>
      <c r="E155" s="98" t="s">
        <v>543</v>
      </c>
      <c r="F155" s="47">
        <f t="shared" si="4"/>
        <v>0.1666666667</v>
      </c>
      <c r="G155" s="47">
        <f t="shared" si="5"/>
        <v>0.2604166667</v>
      </c>
      <c r="H155" s="105">
        <f t="shared" si="6"/>
        <v>0.2291666667</v>
      </c>
      <c r="I155" s="13" t="s">
        <v>122</v>
      </c>
      <c r="J155" s="53" t="s">
        <v>487</v>
      </c>
      <c r="K155" s="53" t="s">
        <v>594</v>
      </c>
      <c r="L155" s="107" t="s">
        <v>594</v>
      </c>
      <c r="M155" s="53" t="s">
        <v>594</v>
      </c>
      <c r="N155" s="107" t="s">
        <v>594</v>
      </c>
      <c r="O155" s="53" t="s">
        <v>1065</v>
      </c>
      <c r="P155" s="108" t="s">
        <v>53</v>
      </c>
      <c r="Q155" s="110" t="s">
        <v>53</v>
      </c>
      <c r="R155" s="108" t="s">
        <v>766</v>
      </c>
      <c r="S155" s="107" t="s">
        <v>561</v>
      </c>
      <c r="T155" s="107" t="s">
        <v>561</v>
      </c>
      <c r="U155" s="107" t="s">
        <v>561</v>
      </c>
      <c r="V155" s="107" t="s">
        <v>796</v>
      </c>
      <c r="W155" s="107" t="s">
        <v>796</v>
      </c>
      <c r="X155" s="53" t="s">
        <v>766</v>
      </c>
      <c r="Y155" s="107" t="s">
        <v>561</v>
      </c>
      <c r="Z155" s="53" t="s">
        <v>801</v>
      </c>
      <c r="AA155" s="107" t="s">
        <v>561</v>
      </c>
      <c r="AB155" s="53" t="s">
        <v>561</v>
      </c>
      <c r="AC155" s="53" t="s">
        <v>561</v>
      </c>
      <c r="AD155" s="107" t="s">
        <v>561</v>
      </c>
      <c r="AE155" s="107" t="s">
        <v>53</v>
      </c>
      <c r="AF155" s="107" t="s">
        <v>53</v>
      </c>
      <c r="AG155" s="107" t="s">
        <v>53</v>
      </c>
      <c r="AH155" s="107" t="s">
        <v>53</v>
      </c>
      <c r="AI155" s="107" t="s">
        <v>53</v>
      </c>
      <c r="AJ155" s="107" t="s">
        <v>561</v>
      </c>
      <c r="AK155" s="107" t="s">
        <v>561</v>
      </c>
      <c r="AL155" s="107" t="s">
        <v>561</v>
      </c>
      <c r="AM155" s="107" t="s">
        <v>561</v>
      </c>
      <c r="AN155" s="53" t="s">
        <v>561</v>
      </c>
      <c r="AO155" s="107" t="s">
        <v>561</v>
      </c>
      <c r="AP155" s="53" t="s">
        <v>561</v>
      </c>
      <c r="AQ155" s="53" t="s">
        <v>561</v>
      </c>
      <c r="AR155" s="53" t="s">
        <v>53</v>
      </c>
      <c r="AS155" s="53" t="s">
        <v>561</v>
      </c>
      <c r="AT155" s="53" t="s">
        <v>53</v>
      </c>
      <c r="AU155" s="53" t="s">
        <v>561</v>
      </c>
      <c r="AV155" s="53" t="s">
        <v>799</v>
      </c>
      <c r="AW155" s="53" t="s">
        <v>561</v>
      </c>
      <c r="AX155" s="53" t="s">
        <v>561</v>
      </c>
      <c r="AY155" s="53" t="s">
        <v>53</v>
      </c>
      <c r="AZ155" s="53" t="s">
        <v>53</v>
      </c>
      <c r="BA155" s="53" t="s">
        <v>561</v>
      </c>
      <c r="BB155" s="53" t="s">
        <v>53</v>
      </c>
      <c r="BC155" s="53" t="s">
        <v>561</v>
      </c>
      <c r="BD155" s="53" t="s">
        <v>561</v>
      </c>
      <c r="BE155" s="53" t="s">
        <v>561</v>
      </c>
      <c r="BF155" s="53" t="s">
        <v>561</v>
      </c>
      <c r="BG155" s="53" t="s">
        <v>561</v>
      </c>
      <c r="BH155" s="53" t="s">
        <v>561</v>
      </c>
      <c r="BI155" s="107" t="s">
        <v>561</v>
      </c>
      <c r="BJ155" s="107" t="s">
        <v>561</v>
      </c>
      <c r="BK155" s="53" t="s">
        <v>561</v>
      </c>
      <c r="BL155" s="53" t="s">
        <v>561</v>
      </c>
      <c r="BM155" s="53" t="s">
        <v>561</v>
      </c>
      <c r="BN155" s="53" t="s">
        <v>561</v>
      </c>
      <c r="BO155" s="53" t="s">
        <v>600</v>
      </c>
      <c r="BP155" s="53" t="s">
        <v>600</v>
      </c>
      <c r="BQ155" s="118" t="s">
        <v>821</v>
      </c>
      <c r="BR155" s="118" t="s">
        <v>821</v>
      </c>
      <c r="BS155" s="180" t="s">
        <v>1832</v>
      </c>
      <c r="BT155" s="122"/>
      <c r="BU155" s="122">
        <f t="shared" si="23"/>
        <v>43450</v>
      </c>
      <c r="BV155" s="126">
        <v>43450.0</v>
      </c>
      <c r="BW155" s="126"/>
      <c r="BX155" s="127"/>
      <c r="BY155" s="127"/>
      <c r="BZ155" s="13"/>
      <c r="CA155" s="13"/>
      <c r="CB155" s="13"/>
      <c r="CC155" s="13" t="s">
        <v>561</v>
      </c>
    </row>
    <row r="156">
      <c r="A156" s="44" t="str">
        <f>LOOKUP(H156,'Letter grades'!$A$1:$B$6)</f>
        <v>F</v>
      </c>
      <c r="B156" s="44">
        <f t="shared" si="3"/>
        <v>152</v>
      </c>
      <c r="C156" s="44" t="s">
        <v>207</v>
      </c>
      <c r="D156" s="44" t="s">
        <v>208</v>
      </c>
      <c r="E156" s="98" t="s">
        <v>203</v>
      </c>
      <c r="F156" s="47">
        <f t="shared" si="4"/>
        <v>0.1666666667</v>
      </c>
      <c r="G156" s="47">
        <f t="shared" si="5"/>
        <v>0.2551020408</v>
      </c>
      <c r="H156" s="105">
        <f t="shared" si="6"/>
        <v>0.2256235828</v>
      </c>
      <c r="I156" s="13" t="s">
        <v>2594</v>
      </c>
      <c r="J156" s="53" t="s">
        <v>594</v>
      </c>
      <c r="K156" s="53" t="s">
        <v>594</v>
      </c>
      <c r="L156" s="107" t="s">
        <v>594</v>
      </c>
      <c r="M156" s="53" t="s">
        <v>594</v>
      </c>
      <c r="N156" s="107" t="s">
        <v>594</v>
      </c>
      <c r="O156" s="53" t="s">
        <v>490</v>
      </c>
      <c r="P156" s="108" t="s">
        <v>53</v>
      </c>
      <c r="Q156" s="110" t="s">
        <v>53</v>
      </c>
      <c r="R156" s="108" t="s">
        <v>766</v>
      </c>
      <c r="S156" s="107" t="s">
        <v>53</v>
      </c>
      <c r="T156" s="107" t="s">
        <v>561</v>
      </c>
      <c r="U156" s="107" t="s">
        <v>561</v>
      </c>
      <c r="V156" s="107" t="s">
        <v>796</v>
      </c>
      <c r="W156" s="107" t="s">
        <v>796</v>
      </c>
      <c r="X156" s="53" t="s">
        <v>766</v>
      </c>
      <c r="Y156" s="107" t="s">
        <v>561</v>
      </c>
      <c r="Z156" s="53" t="s">
        <v>801</v>
      </c>
      <c r="AA156" s="107" t="s">
        <v>561</v>
      </c>
      <c r="AB156" s="53" t="s">
        <v>53</v>
      </c>
      <c r="AC156" s="53" t="s">
        <v>561</v>
      </c>
      <c r="AD156" s="107" t="s">
        <v>53</v>
      </c>
      <c r="AE156" s="107" t="s">
        <v>53</v>
      </c>
      <c r="AF156" s="107" t="s">
        <v>53</v>
      </c>
      <c r="AG156" s="107" t="s">
        <v>53</v>
      </c>
      <c r="AH156" s="107" t="s">
        <v>53</v>
      </c>
      <c r="AI156" s="107" t="s">
        <v>561</v>
      </c>
      <c r="AJ156" s="107" t="s">
        <v>561</v>
      </c>
      <c r="AK156" s="107" t="s">
        <v>561</v>
      </c>
      <c r="AL156" s="107" t="s">
        <v>561</v>
      </c>
      <c r="AM156" s="107" t="s">
        <v>561</v>
      </c>
      <c r="AN156" s="53" t="s">
        <v>561</v>
      </c>
      <c r="AO156" s="107" t="s">
        <v>561</v>
      </c>
      <c r="AP156" s="53" t="s">
        <v>561</v>
      </c>
      <c r="AQ156" s="53" t="s">
        <v>561</v>
      </c>
      <c r="AR156" s="53" t="s">
        <v>53</v>
      </c>
      <c r="AS156" s="53" t="s">
        <v>561</v>
      </c>
      <c r="AT156" s="53" t="s">
        <v>561</v>
      </c>
      <c r="AU156" s="53" t="s">
        <v>561</v>
      </c>
      <c r="AV156" s="53" t="s">
        <v>799</v>
      </c>
      <c r="AW156" s="53" t="s">
        <v>561</v>
      </c>
      <c r="AX156" s="53" t="s">
        <v>561</v>
      </c>
      <c r="AY156" s="53" t="s">
        <v>561</v>
      </c>
      <c r="AZ156" s="53" t="s">
        <v>53</v>
      </c>
      <c r="BA156" s="53" t="s">
        <v>561</v>
      </c>
      <c r="BB156" s="53" t="s">
        <v>53</v>
      </c>
      <c r="BC156" s="53" t="s">
        <v>561</v>
      </c>
      <c r="BD156" s="53" t="s">
        <v>561</v>
      </c>
      <c r="BE156" s="53" t="s">
        <v>561</v>
      </c>
      <c r="BF156" s="53" t="s">
        <v>561</v>
      </c>
      <c r="BG156" s="53" t="s">
        <v>561</v>
      </c>
      <c r="BH156" s="53" t="s">
        <v>561</v>
      </c>
      <c r="BI156" s="107" t="s">
        <v>561</v>
      </c>
      <c r="BJ156" s="107" t="s">
        <v>561</v>
      </c>
      <c r="BK156" s="53" t="s">
        <v>561</v>
      </c>
      <c r="BL156" s="53" t="s">
        <v>561</v>
      </c>
      <c r="BM156" s="53" t="s">
        <v>561</v>
      </c>
      <c r="BN156" s="53" t="s">
        <v>561</v>
      </c>
      <c r="BO156" s="53" t="s">
        <v>561</v>
      </c>
      <c r="BP156" s="53" t="s">
        <v>600</v>
      </c>
      <c r="BQ156" s="118" t="s">
        <v>821</v>
      </c>
      <c r="BR156" s="118" t="s">
        <v>821</v>
      </c>
      <c r="BS156" s="118" t="s">
        <v>821</v>
      </c>
      <c r="BT156" s="122"/>
      <c r="BU156" s="122">
        <f t="shared" si="23"/>
        <v>7900</v>
      </c>
      <c r="BV156" s="126">
        <v>7900.0</v>
      </c>
      <c r="BW156" s="126"/>
      <c r="BX156" s="127"/>
      <c r="BY156" s="127"/>
      <c r="BZ156" s="13"/>
      <c r="CA156" s="13"/>
      <c r="CB156" s="13"/>
      <c r="CC156" s="13" t="s">
        <v>561</v>
      </c>
    </row>
    <row r="157">
      <c r="A157" s="44" t="str">
        <f>LOOKUP(H157,'Letter grades'!$A$1:$B$6)</f>
        <v>F</v>
      </c>
      <c r="B157" s="44">
        <f t="shared" si="3"/>
        <v>153</v>
      </c>
      <c r="C157" s="44" t="s">
        <v>348</v>
      </c>
      <c r="D157" s="44" t="s">
        <v>349</v>
      </c>
      <c r="E157" s="98" t="s">
        <v>344</v>
      </c>
      <c r="F157" s="47">
        <f t="shared" si="4"/>
        <v>0.1666666667</v>
      </c>
      <c r="G157" s="47">
        <f t="shared" si="5"/>
        <v>0.25</v>
      </c>
      <c r="H157" s="105">
        <f t="shared" si="6"/>
        <v>0.2222222222</v>
      </c>
      <c r="I157" s="13" t="s">
        <v>1208</v>
      </c>
      <c r="J157" s="53" t="s">
        <v>487</v>
      </c>
      <c r="K157" s="53" t="s">
        <v>594</v>
      </c>
      <c r="L157" s="107" t="s">
        <v>594</v>
      </c>
      <c r="M157" s="53" t="s">
        <v>594</v>
      </c>
      <c r="N157" s="107" t="s">
        <v>594</v>
      </c>
      <c r="O157" s="53" t="s">
        <v>1065</v>
      </c>
      <c r="P157" s="108" t="s">
        <v>53</v>
      </c>
      <c r="Q157" s="110" t="s">
        <v>53</v>
      </c>
      <c r="R157" s="108" t="s">
        <v>766</v>
      </c>
      <c r="S157" s="107" t="s">
        <v>561</v>
      </c>
      <c r="T157" s="107" t="s">
        <v>561</v>
      </c>
      <c r="U157" s="107" t="s">
        <v>561</v>
      </c>
      <c r="V157" s="107" t="s">
        <v>796</v>
      </c>
      <c r="W157" s="107" t="s">
        <v>796</v>
      </c>
      <c r="X157" s="53" t="s">
        <v>766</v>
      </c>
      <c r="Y157" s="107" t="s">
        <v>561</v>
      </c>
      <c r="Z157" s="107" t="s">
        <v>561</v>
      </c>
      <c r="AA157" s="107" t="s">
        <v>53</v>
      </c>
      <c r="AB157" s="53" t="s">
        <v>53</v>
      </c>
      <c r="AC157" s="53" t="s">
        <v>561</v>
      </c>
      <c r="AD157" s="107" t="s">
        <v>53</v>
      </c>
      <c r="AE157" s="107" t="s">
        <v>53</v>
      </c>
      <c r="AF157" s="107" t="s">
        <v>53</v>
      </c>
      <c r="AG157" s="107" t="s">
        <v>561</v>
      </c>
      <c r="AH157" s="107" t="s">
        <v>53</v>
      </c>
      <c r="AI157" s="107" t="s">
        <v>561</v>
      </c>
      <c r="AJ157" s="107" t="s">
        <v>561</v>
      </c>
      <c r="AK157" s="107" t="s">
        <v>561</v>
      </c>
      <c r="AL157" s="107" t="s">
        <v>561</v>
      </c>
      <c r="AM157" s="107" t="s">
        <v>561</v>
      </c>
      <c r="AN157" s="53" t="s">
        <v>561</v>
      </c>
      <c r="AO157" s="107" t="s">
        <v>561</v>
      </c>
      <c r="AP157" s="53" t="s">
        <v>561</v>
      </c>
      <c r="AQ157" s="53" t="s">
        <v>561</v>
      </c>
      <c r="AR157" s="53" t="s">
        <v>53</v>
      </c>
      <c r="AS157" s="53" t="s">
        <v>561</v>
      </c>
      <c r="AT157" s="53" t="s">
        <v>561</v>
      </c>
      <c r="AU157" s="53" t="s">
        <v>561</v>
      </c>
      <c r="AV157" s="53" t="s">
        <v>561</v>
      </c>
      <c r="AW157" s="53" t="s">
        <v>561</v>
      </c>
      <c r="AX157" s="53" t="s">
        <v>561</v>
      </c>
      <c r="AY157" s="53" t="s">
        <v>53</v>
      </c>
      <c r="AZ157" s="53" t="s">
        <v>53</v>
      </c>
      <c r="BA157" s="53" t="s">
        <v>561</v>
      </c>
      <c r="BB157" s="53" t="s">
        <v>53</v>
      </c>
      <c r="BC157" s="53" t="s">
        <v>561</v>
      </c>
      <c r="BD157" s="53" t="s">
        <v>561</v>
      </c>
      <c r="BE157" s="53" t="s">
        <v>561</v>
      </c>
      <c r="BF157" s="53" t="s">
        <v>801</v>
      </c>
      <c r="BG157" s="53" t="s">
        <v>561</v>
      </c>
      <c r="BH157" s="53" t="s">
        <v>801</v>
      </c>
      <c r="BI157" s="107" t="s">
        <v>561</v>
      </c>
      <c r="BJ157" s="107" t="s">
        <v>561</v>
      </c>
      <c r="BK157" s="53" t="s">
        <v>561</v>
      </c>
      <c r="BL157" s="53" t="s">
        <v>561</v>
      </c>
      <c r="BM157" s="53" t="s">
        <v>561</v>
      </c>
      <c r="BN157" s="53" t="s">
        <v>561</v>
      </c>
      <c r="BO157" s="53" t="s">
        <v>561</v>
      </c>
      <c r="BP157" s="53" t="s">
        <v>600</v>
      </c>
      <c r="BQ157" s="180" t="s">
        <v>1832</v>
      </c>
      <c r="BR157" s="180" t="s">
        <v>1832</v>
      </c>
      <c r="BS157" s="118" t="s">
        <v>821</v>
      </c>
      <c r="BT157" s="122"/>
      <c r="BU157" s="122">
        <f t="shared" si="23"/>
        <v>19920</v>
      </c>
      <c r="BV157" s="126">
        <v>19920.0</v>
      </c>
      <c r="BW157" s="126"/>
      <c r="BX157" s="127"/>
      <c r="BY157" s="127"/>
      <c r="BZ157" s="13"/>
      <c r="CA157" s="13" t="s">
        <v>561</v>
      </c>
      <c r="CB157" s="13"/>
      <c r="CC157" s="13" t="s">
        <v>561</v>
      </c>
    </row>
    <row r="158">
      <c r="A158" s="44" t="str">
        <f>LOOKUP(H158,'Letter grades'!$A$1:$B$6)</f>
        <v>F</v>
      </c>
      <c r="B158" s="44">
        <f t="shared" si="3"/>
        <v>153</v>
      </c>
      <c r="C158" s="44" t="s">
        <v>889</v>
      </c>
      <c r="D158" s="44" t="s">
        <v>890</v>
      </c>
      <c r="E158" s="98" t="s">
        <v>887</v>
      </c>
      <c r="F158" s="47">
        <f t="shared" si="4"/>
        <v>0.1666666667</v>
      </c>
      <c r="G158" s="47">
        <f t="shared" si="5"/>
        <v>0.25</v>
      </c>
      <c r="H158" s="105">
        <f t="shared" si="6"/>
        <v>0.2222222222</v>
      </c>
      <c r="I158" s="13" t="s">
        <v>122</v>
      </c>
      <c r="J158" s="53" t="s">
        <v>594</v>
      </c>
      <c r="K158" s="53" t="s">
        <v>594</v>
      </c>
      <c r="L158" s="107" t="s">
        <v>487</v>
      </c>
      <c r="M158" s="53" t="s">
        <v>594</v>
      </c>
      <c r="N158" s="107" t="s">
        <v>594</v>
      </c>
      <c r="O158" s="53" t="s">
        <v>1065</v>
      </c>
      <c r="P158" s="108" t="s">
        <v>53</v>
      </c>
      <c r="Q158" s="110" t="s">
        <v>53</v>
      </c>
      <c r="R158" s="108" t="s">
        <v>491</v>
      </c>
      <c r="S158" s="107" t="s">
        <v>53</v>
      </c>
      <c r="T158" s="107" t="s">
        <v>561</v>
      </c>
      <c r="U158" s="107" t="s">
        <v>561</v>
      </c>
      <c r="V158" s="107" t="s">
        <v>796</v>
      </c>
      <c r="W158" s="107" t="s">
        <v>796</v>
      </c>
      <c r="X158" s="53" t="s">
        <v>766</v>
      </c>
      <c r="Y158" s="107" t="s">
        <v>561</v>
      </c>
      <c r="Z158" s="107" t="s">
        <v>561</v>
      </c>
      <c r="AA158" s="107" t="s">
        <v>561</v>
      </c>
      <c r="AB158" s="53" t="s">
        <v>53</v>
      </c>
      <c r="AC158" s="53" t="s">
        <v>561</v>
      </c>
      <c r="AD158" s="107" t="s">
        <v>53</v>
      </c>
      <c r="AE158" s="107" t="s">
        <v>53</v>
      </c>
      <c r="AF158" s="107" t="s">
        <v>53</v>
      </c>
      <c r="AG158" s="107" t="s">
        <v>561</v>
      </c>
      <c r="AH158" s="107" t="s">
        <v>53</v>
      </c>
      <c r="AI158" s="107" t="s">
        <v>561</v>
      </c>
      <c r="AJ158" s="107" t="s">
        <v>561</v>
      </c>
      <c r="AK158" s="107" t="s">
        <v>561</v>
      </c>
      <c r="AL158" s="107" t="s">
        <v>561</v>
      </c>
      <c r="AM158" s="107" t="s">
        <v>561</v>
      </c>
      <c r="AN158" s="53" t="s">
        <v>561</v>
      </c>
      <c r="AO158" s="107" t="s">
        <v>561</v>
      </c>
      <c r="AP158" s="53" t="s">
        <v>561</v>
      </c>
      <c r="AQ158" s="53" t="s">
        <v>561</v>
      </c>
      <c r="AR158" s="53" t="s">
        <v>53</v>
      </c>
      <c r="AS158" s="53" t="s">
        <v>561</v>
      </c>
      <c r="AT158" s="53" t="s">
        <v>561</v>
      </c>
      <c r="AU158" s="107" t="s">
        <v>801</v>
      </c>
      <c r="AV158" s="53" t="s">
        <v>561</v>
      </c>
      <c r="AW158" s="53" t="s">
        <v>561</v>
      </c>
      <c r="AX158" s="53" t="s">
        <v>561</v>
      </c>
      <c r="AY158" s="53" t="s">
        <v>561</v>
      </c>
      <c r="AZ158" s="53" t="s">
        <v>53</v>
      </c>
      <c r="BA158" s="53" t="s">
        <v>561</v>
      </c>
      <c r="BB158" s="53" t="s">
        <v>53</v>
      </c>
      <c r="BC158" s="53" t="s">
        <v>561</v>
      </c>
      <c r="BD158" s="53" t="s">
        <v>561</v>
      </c>
      <c r="BE158" s="53" t="s">
        <v>561</v>
      </c>
      <c r="BF158" s="53" t="s">
        <v>561</v>
      </c>
      <c r="BG158" s="53" t="s">
        <v>561</v>
      </c>
      <c r="BH158" s="53" t="s">
        <v>561</v>
      </c>
      <c r="BI158" s="107" t="s">
        <v>561</v>
      </c>
      <c r="BJ158" s="107" t="s">
        <v>561</v>
      </c>
      <c r="BK158" s="53" t="s">
        <v>561</v>
      </c>
      <c r="BL158" s="53" t="s">
        <v>561</v>
      </c>
      <c r="BM158" s="53" t="s">
        <v>561</v>
      </c>
      <c r="BN158" s="53" t="s">
        <v>561</v>
      </c>
      <c r="BO158" s="53" t="s">
        <v>600</v>
      </c>
      <c r="BP158" s="53" t="s">
        <v>600</v>
      </c>
      <c r="BQ158" s="118" t="s">
        <v>821</v>
      </c>
      <c r="BR158" s="118" t="s">
        <v>821</v>
      </c>
      <c r="BS158" s="118" t="s">
        <v>821</v>
      </c>
      <c r="BT158" s="122"/>
      <c r="BU158" s="122">
        <f t="shared" si="23"/>
        <v>20991</v>
      </c>
      <c r="BV158" s="126">
        <v>16991.0</v>
      </c>
      <c r="BW158" s="126"/>
      <c r="BX158" s="127">
        <f>2000+2000</f>
        <v>4000</v>
      </c>
      <c r="BY158" s="127"/>
      <c r="BZ158" s="13"/>
      <c r="CA158" s="13"/>
      <c r="CB158" s="13" t="s">
        <v>561</v>
      </c>
      <c r="CC158" s="13" t="s">
        <v>561</v>
      </c>
    </row>
    <row r="159">
      <c r="A159" s="44" t="str">
        <f>LOOKUP(H159,'Letter grades'!$A$1:$B$6)</f>
        <v>F</v>
      </c>
      <c r="B159" s="44">
        <f t="shared" si="3"/>
        <v>153</v>
      </c>
      <c r="C159" s="107" t="s">
        <v>2810</v>
      </c>
      <c r="D159" s="107" t="s">
        <v>2811</v>
      </c>
      <c r="E159" s="54" t="s">
        <v>711</v>
      </c>
      <c r="F159" s="47">
        <f t="shared" si="4"/>
        <v>0</v>
      </c>
      <c r="G159" s="47">
        <f t="shared" si="5"/>
        <v>0.3333333333</v>
      </c>
      <c r="H159" s="105">
        <f t="shared" si="6"/>
        <v>0.2222222222</v>
      </c>
      <c r="I159" s="13" t="s">
        <v>2030</v>
      </c>
      <c r="J159" s="53" t="s">
        <v>594</v>
      </c>
      <c r="K159" s="53" t="s">
        <v>594</v>
      </c>
      <c r="L159" s="107" t="s">
        <v>594</v>
      </c>
      <c r="M159" s="53" t="s">
        <v>594</v>
      </c>
      <c r="N159" s="107" t="s">
        <v>594</v>
      </c>
      <c r="O159" s="53" t="s">
        <v>1065</v>
      </c>
      <c r="P159" s="108" t="s">
        <v>53</v>
      </c>
      <c r="Q159" s="110" t="s">
        <v>53</v>
      </c>
      <c r="R159" s="108" t="s">
        <v>766</v>
      </c>
      <c r="S159" s="107" t="s">
        <v>53</v>
      </c>
      <c r="T159" s="107" t="s">
        <v>561</v>
      </c>
      <c r="U159" s="107" t="s">
        <v>561</v>
      </c>
      <c r="V159" s="107" t="s">
        <v>796</v>
      </c>
      <c r="W159" s="107" t="s">
        <v>796</v>
      </c>
      <c r="X159" s="53" t="s">
        <v>766</v>
      </c>
      <c r="Y159" s="107" t="s">
        <v>561</v>
      </c>
      <c r="Z159" s="107" t="s">
        <v>561</v>
      </c>
      <c r="AA159" s="53" t="s">
        <v>600</v>
      </c>
      <c r="AB159" s="53" t="s">
        <v>600</v>
      </c>
      <c r="AC159" s="53" t="s">
        <v>600</v>
      </c>
      <c r="AD159" s="53" t="s">
        <v>600</v>
      </c>
      <c r="AE159" s="53" t="s">
        <v>600</v>
      </c>
      <c r="AF159" s="53" t="s">
        <v>600</v>
      </c>
      <c r="AG159" s="53" t="s">
        <v>600</v>
      </c>
      <c r="AH159" s="53" t="s">
        <v>600</v>
      </c>
      <c r="AI159" s="53" t="s">
        <v>600</v>
      </c>
      <c r="AJ159" s="53" t="s">
        <v>600</v>
      </c>
      <c r="AK159" s="53" t="s">
        <v>600</v>
      </c>
      <c r="AL159" s="53" t="s">
        <v>600</v>
      </c>
      <c r="AM159" s="53" t="s">
        <v>600</v>
      </c>
      <c r="AN159" s="53" t="s">
        <v>600</v>
      </c>
      <c r="AO159" s="53" t="s">
        <v>600</v>
      </c>
      <c r="AP159" s="53" t="s">
        <v>600</v>
      </c>
      <c r="AQ159" s="53" t="s">
        <v>600</v>
      </c>
      <c r="AR159" s="53" t="s">
        <v>600</v>
      </c>
      <c r="AS159" s="53" t="s">
        <v>600</v>
      </c>
      <c r="AT159" s="53" t="s">
        <v>600</v>
      </c>
      <c r="AU159" s="53" t="s">
        <v>600</v>
      </c>
      <c r="AV159" s="53" t="s">
        <v>600</v>
      </c>
      <c r="AW159" s="53" t="s">
        <v>600</v>
      </c>
      <c r="AX159" s="53" t="s">
        <v>600</v>
      </c>
      <c r="AY159" s="53" t="s">
        <v>600</v>
      </c>
      <c r="AZ159" s="53" t="s">
        <v>600</v>
      </c>
      <c r="BA159" s="53" t="s">
        <v>600</v>
      </c>
      <c r="BB159" s="53" t="s">
        <v>600</v>
      </c>
      <c r="BC159" s="53" t="s">
        <v>600</v>
      </c>
      <c r="BD159" s="53" t="s">
        <v>600</v>
      </c>
      <c r="BE159" s="53" t="s">
        <v>600</v>
      </c>
      <c r="BF159" s="53" t="s">
        <v>600</v>
      </c>
      <c r="BG159" s="53" t="s">
        <v>600</v>
      </c>
      <c r="BH159" s="53" t="s">
        <v>600</v>
      </c>
      <c r="BI159" s="107" t="s">
        <v>600</v>
      </c>
      <c r="BJ159" s="107" t="s">
        <v>600</v>
      </c>
      <c r="BK159" s="53" t="s">
        <v>600</v>
      </c>
      <c r="BL159" s="53" t="s">
        <v>600</v>
      </c>
      <c r="BM159" s="53" t="s">
        <v>600</v>
      </c>
      <c r="BN159" s="53" t="s">
        <v>600</v>
      </c>
      <c r="BO159" s="53" t="s">
        <v>600</v>
      </c>
      <c r="BP159" s="53" t="s">
        <v>600</v>
      </c>
      <c r="BQ159" s="180" t="s">
        <v>1832</v>
      </c>
      <c r="BR159" s="53" t="s">
        <v>600</v>
      </c>
      <c r="BS159" s="53" t="s">
        <v>600</v>
      </c>
      <c r="BT159" s="122"/>
      <c r="BU159" s="122"/>
      <c r="BV159" s="126"/>
      <c r="BW159" s="126"/>
      <c r="BX159" s="127"/>
      <c r="BY159" s="127"/>
      <c r="BZ159" s="13"/>
      <c r="CA159" s="13"/>
      <c r="CB159" s="13"/>
      <c r="CC159" s="13"/>
    </row>
    <row r="160">
      <c r="A160" s="44" t="str">
        <f>LOOKUP(H160,'Letter grades'!$A$1:$B$6)</f>
        <v>F</v>
      </c>
      <c r="B160" s="44">
        <f t="shared" si="3"/>
        <v>153</v>
      </c>
      <c r="C160" s="107" t="s">
        <v>2337</v>
      </c>
      <c r="D160" s="107" t="s">
        <v>2812</v>
      </c>
      <c r="E160" s="148" t="s">
        <v>863</v>
      </c>
      <c r="F160" s="47">
        <f t="shared" si="4"/>
        <v>0</v>
      </c>
      <c r="G160" s="47">
        <f t="shared" si="5"/>
        <v>0.3333333333</v>
      </c>
      <c r="H160" s="105">
        <f t="shared" si="6"/>
        <v>0.2222222222</v>
      </c>
      <c r="I160" s="13" t="s">
        <v>2030</v>
      </c>
      <c r="J160" s="53" t="s">
        <v>594</v>
      </c>
      <c r="K160" s="53" t="s">
        <v>594</v>
      </c>
      <c r="L160" s="107" t="s">
        <v>594</v>
      </c>
      <c r="M160" s="53" t="s">
        <v>594</v>
      </c>
      <c r="N160" s="107" t="s">
        <v>594</v>
      </c>
      <c r="O160" s="53" t="s">
        <v>1065</v>
      </c>
      <c r="P160" s="108" t="s">
        <v>53</v>
      </c>
      <c r="Q160" s="110" t="s">
        <v>53</v>
      </c>
      <c r="R160" s="108" t="s">
        <v>766</v>
      </c>
      <c r="S160" s="107" t="s">
        <v>53</v>
      </c>
      <c r="T160" s="107" t="s">
        <v>561</v>
      </c>
      <c r="U160" s="107" t="s">
        <v>561</v>
      </c>
      <c r="V160" s="107" t="s">
        <v>796</v>
      </c>
      <c r="W160" s="107" t="s">
        <v>796</v>
      </c>
      <c r="X160" s="53" t="s">
        <v>766</v>
      </c>
      <c r="Y160" s="107" t="s">
        <v>561</v>
      </c>
      <c r="Z160" s="107" t="s">
        <v>561</v>
      </c>
      <c r="AA160" s="53" t="s">
        <v>600</v>
      </c>
      <c r="AB160" s="53" t="s">
        <v>600</v>
      </c>
      <c r="AC160" s="53" t="s">
        <v>600</v>
      </c>
      <c r="AD160" s="53" t="s">
        <v>600</v>
      </c>
      <c r="AE160" s="53" t="s">
        <v>600</v>
      </c>
      <c r="AF160" s="53" t="s">
        <v>600</v>
      </c>
      <c r="AG160" s="53" t="s">
        <v>600</v>
      </c>
      <c r="AH160" s="53" t="s">
        <v>600</v>
      </c>
      <c r="AI160" s="53" t="s">
        <v>600</v>
      </c>
      <c r="AJ160" s="53" t="s">
        <v>600</v>
      </c>
      <c r="AK160" s="53" t="s">
        <v>600</v>
      </c>
      <c r="AL160" s="53" t="s">
        <v>600</v>
      </c>
      <c r="AM160" s="53" t="s">
        <v>600</v>
      </c>
      <c r="AN160" s="53" t="s">
        <v>600</v>
      </c>
      <c r="AO160" s="53" t="s">
        <v>600</v>
      </c>
      <c r="AP160" s="53" t="s">
        <v>600</v>
      </c>
      <c r="AQ160" s="53" t="s">
        <v>600</v>
      </c>
      <c r="AR160" s="53" t="s">
        <v>600</v>
      </c>
      <c r="AS160" s="53" t="s">
        <v>600</v>
      </c>
      <c r="AT160" s="53" t="s">
        <v>600</v>
      </c>
      <c r="AU160" s="53" t="s">
        <v>600</v>
      </c>
      <c r="AV160" s="53" t="s">
        <v>600</v>
      </c>
      <c r="AW160" s="53" t="s">
        <v>600</v>
      </c>
      <c r="AX160" s="53" t="s">
        <v>600</v>
      </c>
      <c r="AY160" s="53" t="s">
        <v>600</v>
      </c>
      <c r="AZ160" s="53" t="s">
        <v>600</v>
      </c>
      <c r="BA160" s="53" t="s">
        <v>600</v>
      </c>
      <c r="BB160" s="53" t="s">
        <v>600</v>
      </c>
      <c r="BC160" s="53" t="s">
        <v>600</v>
      </c>
      <c r="BD160" s="53" t="s">
        <v>600</v>
      </c>
      <c r="BE160" s="53" t="s">
        <v>600</v>
      </c>
      <c r="BF160" s="53" t="s">
        <v>600</v>
      </c>
      <c r="BG160" s="53" t="s">
        <v>600</v>
      </c>
      <c r="BH160" s="53" t="s">
        <v>600</v>
      </c>
      <c r="BI160" s="107" t="s">
        <v>600</v>
      </c>
      <c r="BJ160" s="107" t="s">
        <v>600</v>
      </c>
      <c r="BK160" s="53" t="s">
        <v>600</v>
      </c>
      <c r="BL160" s="53" t="s">
        <v>600</v>
      </c>
      <c r="BM160" s="53" t="s">
        <v>600</v>
      </c>
      <c r="BN160" s="53" t="s">
        <v>600</v>
      </c>
      <c r="BO160" s="53" t="s">
        <v>600</v>
      </c>
      <c r="BP160" s="53" t="s">
        <v>600</v>
      </c>
      <c r="BQ160" s="118" t="s">
        <v>821</v>
      </c>
      <c r="BR160" s="53" t="s">
        <v>600</v>
      </c>
      <c r="BS160" s="53" t="s">
        <v>600</v>
      </c>
      <c r="BT160" s="122"/>
      <c r="BU160" s="122"/>
      <c r="BV160" s="126"/>
      <c r="BW160" s="126"/>
      <c r="BX160" s="127"/>
      <c r="BY160" s="127"/>
      <c r="BZ160" s="13"/>
      <c r="CA160" s="13"/>
      <c r="CB160" s="13"/>
      <c r="CC160" s="13"/>
    </row>
    <row r="161">
      <c r="A161" s="44" t="str">
        <f>LOOKUP(H161,'Letter grades'!$A$1:$B$6)</f>
        <v>F</v>
      </c>
      <c r="B161" s="44">
        <f t="shared" si="3"/>
        <v>153</v>
      </c>
      <c r="C161" s="107" t="s">
        <v>922</v>
      </c>
      <c r="D161" s="107" t="s">
        <v>2813</v>
      </c>
      <c r="E161" s="148" t="s">
        <v>1982</v>
      </c>
      <c r="F161" s="47">
        <f t="shared" si="4"/>
        <v>0</v>
      </c>
      <c r="G161" s="47">
        <f t="shared" si="5"/>
        <v>0.3333333333</v>
      </c>
      <c r="H161" s="105">
        <f t="shared" si="6"/>
        <v>0.2222222222</v>
      </c>
      <c r="I161" s="13" t="s">
        <v>2030</v>
      </c>
      <c r="J161" s="53" t="s">
        <v>594</v>
      </c>
      <c r="K161" s="53" t="s">
        <v>594</v>
      </c>
      <c r="L161" s="107" t="s">
        <v>594</v>
      </c>
      <c r="M161" s="53" t="s">
        <v>594</v>
      </c>
      <c r="N161" s="107" t="s">
        <v>594</v>
      </c>
      <c r="O161" s="53" t="s">
        <v>1065</v>
      </c>
      <c r="P161" s="108" t="s">
        <v>53</v>
      </c>
      <c r="Q161" s="110" t="s">
        <v>53</v>
      </c>
      <c r="R161" s="108" t="s">
        <v>766</v>
      </c>
      <c r="S161" s="107" t="s">
        <v>53</v>
      </c>
      <c r="T161" s="107" t="s">
        <v>561</v>
      </c>
      <c r="U161" s="107" t="s">
        <v>561</v>
      </c>
      <c r="V161" s="107" t="s">
        <v>796</v>
      </c>
      <c r="W161" s="107" t="s">
        <v>796</v>
      </c>
      <c r="X161" s="53" t="s">
        <v>766</v>
      </c>
      <c r="Y161" s="107" t="s">
        <v>561</v>
      </c>
      <c r="Z161" s="107" t="s">
        <v>561</v>
      </c>
      <c r="AA161" s="53" t="s">
        <v>600</v>
      </c>
      <c r="AB161" s="53" t="s">
        <v>600</v>
      </c>
      <c r="AC161" s="53" t="s">
        <v>600</v>
      </c>
      <c r="AD161" s="53" t="s">
        <v>600</v>
      </c>
      <c r="AE161" s="53" t="s">
        <v>600</v>
      </c>
      <c r="AF161" s="53" t="s">
        <v>600</v>
      </c>
      <c r="AG161" s="53" t="s">
        <v>600</v>
      </c>
      <c r="AH161" s="53" t="s">
        <v>600</v>
      </c>
      <c r="AI161" s="53" t="s">
        <v>600</v>
      </c>
      <c r="AJ161" s="53" t="s">
        <v>600</v>
      </c>
      <c r="AK161" s="53" t="s">
        <v>600</v>
      </c>
      <c r="AL161" s="53" t="s">
        <v>600</v>
      </c>
      <c r="AM161" s="53" t="s">
        <v>600</v>
      </c>
      <c r="AN161" s="53" t="s">
        <v>600</v>
      </c>
      <c r="AO161" s="53" t="s">
        <v>600</v>
      </c>
      <c r="AP161" s="53" t="s">
        <v>600</v>
      </c>
      <c r="AQ161" s="53" t="s">
        <v>600</v>
      </c>
      <c r="AR161" s="53" t="s">
        <v>600</v>
      </c>
      <c r="AS161" s="53" t="s">
        <v>600</v>
      </c>
      <c r="AT161" s="53" t="s">
        <v>600</v>
      </c>
      <c r="AU161" s="53" t="s">
        <v>600</v>
      </c>
      <c r="AV161" s="53" t="s">
        <v>600</v>
      </c>
      <c r="AW161" s="53" t="s">
        <v>600</v>
      </c>
      <c r="AX161" s="53" t="s">
        <v>600</v>
      </c>
      <c r="AY161" s="53" t="s">
        <v>600</v>
      </c>
      <c r="AZ161" s="53" t="s">
        <v>600</v>
      </c>
      <c r="BA161" s="53" t="s">
        <v>600</v>
      </c>
      <c r="BB161" s="53" t="s">
        <v>600</v>
      </c>
      <c r="BC161" s="53" t="s">
        <v>600</v>
      </c>
      <c r="BD161" s="53" t="s">
        <v>600</v>
      </c>
      <c r="BE161" s="53" t="s">
        <v>600</v>
      </c>
      <c r="BF161" s="53" t="s">
        <v>600</v>
      </c>
      <c r="BG161" s="53" t="s">
        <v>600</v>
      </c>
      <c r="BH161" s="53" t="s">
        <v>600</v>
      </c>
      <c r="BI161" s="107" t="s">
        <v>600</v>
      </c>
      <c r="BJ161" s="107" t="s">
        <v>600</v>
      </c>
      <c r="BK161" s="53" t="s">
        <v>600</v>
      </c>
      <c r="BL161" s="53" t="s">
        <v>600</v>
      </c>
      <c r="BM161" s="53" t="s">
        <v>600</v>
      </c>
      <c r="BN161" s="53" t="s">
        <v>600</v>
      </c>
      <c r="BO161" s="53" t="s">
        <v>600</v>
      </c>
      <c r="BP161" s="53" t="s">
        <v>600</v>
      </c>
      <c r="BQ161" s="118" t="s">
        <v>821</v>
      </c>
      <c r="BR161" s="53" t="s">
        <v>600</v>
      </c>
      <c r="BS161" s="53" t="s">
        <v>600</v>
      </c>
      <c r="BT161" s="122"/>
      <c r="BU161" s="122"/>
      <c r="BV161" s="126"/>
      <c r="BW161" s="126"/>
      <c r="BX161" s="127"/>
      <c r="BY161" s="127"/>
      <c r="BZ161" s="13"/>
      <c r="CA161" s="13"/>
      <c r="CB161" s="13"/>
      <c r="CC161" s="13"/>
    </row>
    <row r="162">
      <c r="A162" s="44" t="str">
        <f>LOOKUP(H162,'Letter grades'!$A$1:$B$6)</f>
        <v>F</v>
      </c>
      <c r="B162" s="44">
        <f t="shared" si="3"/>
        <v>153</v>
      </c>
      <c r="C162" s="107" t="s">
        <v>2592</v>
      </c>
      <c r="D162" s="107" t="s">
        <v>2814</v>
      </c>
      <c r="E162" s="148" t="s">
        <v>1966</v>
      </c>
      <c r="F162" s="47">
        <f t="shared" si="4"/>
        <v>0</v>
      </c>
      <c r="G162" s="47">
        <f t="shared" si="5"/>
        <v>0.3333333333</v>
      </c>
      <c r="H162" s="105">
        <f t="shared" si="6"/>
        <v>0.2222222222</v>
      </c>
      <c r="I162" s="13" t="s">
        <v>2030</v>
      </c>
      <c r="J162" s="53" t="s">
        <v>594</v>
      </c>
      <c r="K162" s="53" t="s">
        <v>594</v>
      </c>
      <c r="L162" s="107" t="s">
        <v>594</v>
      </c>
      <c r="M162" s="53" t="s">
        <v>594</v>
      </c>
      <c r="N162" s="107" t="s">
        <v>594</v>
      </c>
      <c r="O162" s="53" t="s">
        <v>1065</v>
      </c>
      <c r="P162" s="108" t="s">
        <v>53</v>
      </c>
      <c r="Q162" s="110" t="s">
        <v>53</v>
      </c>
      <c r="R162" s="108" t="s">
        <v>766</v>
      </c>
      <c r="S162" s="107" t="s">
        <v>53</v>
      </c>
      <c r="T162" s="107" t="s">
        <v>561</v>
      </c>
      <c r="U162" s="107" t="s">
        <v>561</v>
      </c>
      <c r="V162" s="107" t="s">
        <v>796</v>
      </c>
      <c r="W162" s="107" t="s">
        <v>796</v>
      </c>
      <c r="X162" s="53" t="s">
        <v>766</v>
      </c>
      <c r="Y162" s="107" t="s">
        <v>561</v>
      </c>
      <c r="Z162" s="107" t="s">
        <v>561</v>
      </c>
      <c r="AA162" s="53" t="s">
        <v>600</v>
      </c>
      <c r="AB162" s="53" t="s">
        <v>600</v>
      </c>
      <c r="AC162" s="53" t="s">
        <v>600</v>
      </c>
      <c r="AD162" s="53" t="s">
        <v>600</v>
      </c>
      <c r="AE162" s="53" t="s">
        <v>600</v>
      </c>
      <c r="AF162" s="53" t="s">
        <v>600</v>
      </c>
      <c r="AG162" s="53" t="s">
        <v>600</v>
      </c>
      <c r="AH162" s="53" t="s">
        <v>600</v>
      </c>
      <c r="AI162" s="53" t="s">
        <v>600</v>
      </c>
      <c r="AJ162" s="53" t="s">
        <v>600</v>
      </c>
      <c r="AK162" s="53" t="s">
        <v>600</v>
      </c>
      <c r="AL162" s="53" t="s">
        <v>600</v>
      </c>
      <c r="AM162" s="53" t="s">
        <v>600</v>
      </c>
      <c r="AN162" s="53" t="s">
        <v>600</v>
      </c>
      <c r="AO162" s="53" t="s">
        <v>600</v>
      </c>
      <c r="AP162" s="53" t="s">
        <v>600</v>
      </c>
      <c r="AQ162" s="53" t="s">
        <v>600</v>
      </c>
      <c r="AR162" s="53" t="s">
        <v>600</v>
      </c>
      <c r="AS162" s="53" t="s">
        <v>600</v>
      </c>
      <c r="AT162" s="53" t="s">
        <v>600</v>
      </c>
      <c r="AU162" s="53" t="s">
        <v>600</v>
      </c>
      <c r="AV162" s="53" t="s">
        <v>600</v>
      </c>
      <c r="AW162" s="53" t="s">
        <v>600</v>
      </c>
      <c r="AX162" s="53" t="s">
        <v>600</v>
      </c>
      <c r="AY162" s="53" t="s">
        <v>600</v>
      </c>
      <c r="AZ162" s="53" t="s">
        <v>600</v>
      </c>
      <c r="BA162" s="53" t="s">
        <v>600</v>
      </c>
      <c r="BB162" s="53" t="s">
        <v>600</v>
      </c>
      <c r="BC162" s="53" t="s">
        <v>600</v>
      </c>
      <c r="BD162" s="53" t="s">
        <v>600</v>
      </c>
      <c r="BE162" s="53" t="s">
        <v>600</v>
      </c>
      <c r="BF162" s="53" t="s">
        <v>600</v>
      </c>
      <c r="BG162" s="53" t="s">
        <v>600</v>
      </c>
      <c r="BH162" s="53" t="s">
        <v>600</v>
      </c>
      <c r="BI162" s="107" t="s">
        <v>600</v>
      </c>
      <c r="BJ162" s="107" t="s">
        <v>600</v>
      </c>
      <c r="BK162" s="53" t="s">
        <v>600</v>
      </c>
      <c r="BL162" s="53" t="s">
        <v>600</v>
      </c>
      <c r="BM162" s="53" t="s">
        <v>600</v>
      </c>
      <c r="BN162" s="53" t="s">
        <v>600</v>
      </c>
      <c r="BO162" s="53" t="s">
        <v>600</v>
      </c>
      <c r="BP162" s="53" t="s">
        <v>600</v>
      </c>
      <c r="BQ162" s="118" t="s">
        <v>821</v>
      </c>
      <c r="BR162" s="53" t="s">
        <v>600</v>
      </c>
      <c r="BS162" s="53" t="s">
        <v>600</v>
      </c>
      <c r="BT162" s="122"/>
      <c r="BU162" s="122"/>
      <c r="BV162" s="126"/>
      <c r="BW162" s="126"/>
      <c r="BX162" s="127"/>
      <c r="BY162" s="127"/>
      <c r="BZ162" s="13"/>
      <c r="CA162" s="13"/>
      <c r="CB162" s="13"/>
      <c r="CC162" s="13"/>
    </row>
    <row r="163">
      <c r="A163" s="44" t="str">
        <f>LOOKUP(H163,'Letter grades'!$A$1:$B$6)</f>
        <v>F</v>
      </c>
      <c r="B163" s="44">
        <f t="shared" si="3"/>
        <v>159</v>
      </c>
      <c r="C163" s="44" t="s">
        <v>983</v>
      </c>
      <c r="D163" s="44" t="s">
        <v>984</v>
      </c>
      <c r="E163" s="98" t="s">
        <v>981</v>
      </c>
      <c r="F163" s="47">
        <f t="shared" si="4"/>
        <v>0</v>
      </c>
      <c r="G163" s="47">
        <f t="shared" si="5"/>
        <v>0.3301886792</v>
      </c>
      <c r="H163" s="105">
        <f t="shared" si="6"/>
        <v>0.2201257862</v>
      </c>
      <c r="I163" s="13" t="s">
        <v>2594</v>
      </c>
      <c r="J163" s="53" t="s">
        <v>594</v>
      </c>
      <c r="K163" s="53" t="s">
        <v>594</v>
      </c>
      <c r="L163" s="107" t="s">
        <v>594</v>
      </c>
      <c r="M163" s="53" t="s">
        <v>594</v>
      </c>
      <c r="N163" s="107" t="s">
        <v>594</v>
      </c>
      <c r="O163" s="53" t="s">
        <v>1065</v>
      </c>
      <c r="P163" s="108" t="s">
        <v>53</v>
      </c>
      <c r="Q163" s="110" t="s">
        <v>53</v>
      </c>
      <c r="R163" s="108" t="s">
        <v>766</v>
      </c>
      <c r="S163" s="107" t="s">
        <v>53</v>
      </c>
      <c r="T163" s="107" t="s">
        <v>53</v>
      </c>
      <c r="U163" s="107" t="s">
        <v>561</v>
      </c>
      <c r="V163" s="107" t="s">
        <v>766</v>
      </c>
      <c r="W163" s="107" t="s">
        <v>766</v>
      </c>
      <c r="X163" s="53" t="s">
        <v>766</v>
      </c>
      <c r="Y163" s="107" t="s">
        <v>561</v>
      </c>
      <c r="Z163" s="53" t="s">
        <v>53</v>
      </c>
      <c r="AA163" s="107" t="s">
        <v>561</v>
      </c>
      <c r="AB163" s="53" t="s">
        <v>53</v>
      </c>
      <c r="AC163" s="53" t="s">
        <v>561</v>
      </c>
      <c r="AD163" s="107" t="s">
        <v>53</v>
      </c>
      <c r="AE163" s="107" t="s">
        <v>53</v>
      </c>
      <c r="AF163" s="107" t="s">
        <v>53</v>
      </c>
      <c r="AG163" s="107" t="s">
        <v>53</v>
      </c>
      <c r="AH163" s="107" t="s">
        <v>53</v>
      </c>
      <c r="AI163" s="107" t="s">
        <v>561</v>
      </c>
      <c r="AJ163" s="107" t="s">
        <v>561</v>
      </c>
      <c r="AK163" s="107" t="s">
        <v>561</v>
      </c>
      <c r="AL163" s="107" t="s">
        <v>561</v>
      </c>
      <c r="AM163" s="107" t="s">
        <v>561</v>
      </c>
      <c r="AN163" s="53" t="s">
        <v>561</v>
      </c>
      <c r="AO163" s="107" t="s">
        <v>561</v>
      </c>
      <c r="AP163" s="53" t="s">
        <v>561</v>
      </c>
      <c r="AQ163" s="53" t="s">
        <v>561</v>
      </c>
      <c r="AR163" s="53" t="s">
        <v>53</v>
      </c>
      <c r="AS163" s="53" t="s">
        <v>561</v>
      </c>
      <c r="AT163" s="53" t="s">
        <v>53</v>
      </c>
      <c r="AU163" s="53" t="s">
        <v>561</v>
      </c>
      <c r="AV163" s="53" t="s">
        <v>799</v>
      </c>
      <c r="AW163" s="53" t="s">
        <v>561</v>
      </c>
      <c r="AX163" s="53" t="s">
        <v>561</v>
      </c>
      <c r="AY163" s="53" t="s">
        <v>561</v>
      </c>
      <c r="AZ163" s="53" t="s">
        <v>53</v>
      </c>
      <c r="BA163" s="53" t="s">
        <v>561</v>
      </c>
      <c r="BB163" s="53" t="s">
        <v>53</v>
      </c>
      <c r="BC163" s="53" t="s">
        <v>561</v>
      </c>
      <c r="BD163" s="53" t="s">
        <v>561</v>
      </c>
      <c r="BE163" s="53" t="s">
        <v>53</v>
      </c>
      <c r="BF163" s="53" t="s">
        <v>561</v>
      </c>
      <c r="BG163" s="53" t="s">
        <v>561</v>
      </c>
      <c r="BH163" s="53" t="s">
        <v>561</v>
      </c>
      <c r="BI163" s="107" t="s">
        <v>561</v>
      </c>
      <c r="BJ163" s="107" t="s">
        <v>561</v>
      </c>
      <c r="BK163" s="53" t="s">
        <v>561</v>
      </c>
      <c r="BL163" s="53" t="s">
        <v>561</v>
      </c>
      <c r="BM163" s="53" t="s">
        <v>561</v>
      </c>
      <c r="BN163" s="53" t="s">
        <v>561</v>
      </c>
      <c r="BO163" s="53" t="s">
        <v>53</v>
      </c>
      <c r="BP163" s="53" t="s">
        <v>561</v>
      </c>
      <c r="BQ163" s="118" t="s">
        <v>821</v>
      </c>
      <c r="BR163" s="118" t="s">
        <v>821</v>
      </c>
      <c r="BS163" s="118" t="s">
        <v>821</v>
      </c>
      <c r="BT163" s="122"/>
      <c r="BU163" s="122">
        <f t="shared" ref="BU163:BU170" si="25">SUM(BV163:BY163)</f>
        <v>149240</v>
      </c>
      <c r="BV163" s="126">
        <v>147240.0</v>
      </c>
      <c r="BW163" s="126"/>
      <c r="BX163" s="127">
        <f>2000</f>
        <v>2000</v>
      </c>
      <c r="BY163" s="127"/>
      <c r="BZ163" s="13"/>
      <c r="CA163" s="13" t="s">
        <v>561</v>
      </c>
      <c r="CB163" s="13" t="s">
        <v>561</v>
      </c>
      <c r="CC163" s="13" t="s">
        <v>561</v>
      </c>
    </row>
    <row r="164">
      <c r="A164" s="44" t="str">
        <f>LOOKUP(H164,'Letter grades'!$A$1:$B$6)</f>
        <v>F</v>
      </c>
      <c r="B164" s="44">
        <f t="shared" si="3"/>
        <v>160</v>
      </c>
      <c r="C164" s="44" t="s">
        <v>51</v>
      </c>
      <c r="D164" s="44" t="s">
        <v>52</v>
      </c>
      <c r="E164" s="53" t="s">
        <v>42</v>
      </c>
      <c r="F164" s="47">
        <f t="shared" si="4"/>
        <v>0.1666666667</v>
      </c>
      <c r="G164" s="47">
        <f t="shared" si="5"/>
        <v>0.24</v>
      </c>
      <c r="H164" s="105">
        <f t="shared" si="6"/>
        <v>0.2155555556</v>
      </c>
      <c r="I164" s="13"/>
      <c r="J164" s="53" t="s">
        <v>594</v>
      </c>
      <c r="K164" s="53" t="s">
        <v>594</v>
      </c>
      <c r="L164" s="107" t="s">
        <v>594</v>
      </c>
      <c r="M164" s="53" t="s">
        <v>594</v>
      </c>
      <c r="N164" s="107" t="s">
        <v>594</v>
      </c>
      <c r="O164" s="53" t="s">
        <v>490</v>
      </c>
      <c r="P164" s="108" t="s">
        <v>53</v>
      </c>
      <c r="Q164" s="110" t="s">
        <v>53</v>
      </c>
      <c r="R164" s="108" t="s">
        <v>766</v>
      </c>
      <c r="S164" s="107" t="s">
        <v>561</v>
      </c>
      <c r="T164" s="107" t="s">
        <v>561</v>
      </c>
      <c r="U164" s="107" t="s">
        <v>561</v>
      </c>
      <c r="V164" s="107" t="s">
        <v>796</v>
      </c>
      <c r="W164" s="107" t="s">
        <v>796</v>
      </c>
      <c r="X164" s="53" t="s">
        <v>766</v>
      </c>
      <c r="Y164" s="107" t="s">
        <v>561</v>
      </c>
      <c r="Z164" s="53" t="s">
        <v>53</v>
      </c>
      <c r="AA164" s="107" t="s">
        <v>561</v>
      </c>
      <c r="AB164" s="53" t="s">
        <v>53</v>
      </c>
      <c r="AC164" s="53" t="s">
        <v>561</v>
      </c>
      <c r="AD164" s="107" t="s">
        <v>53</v>
      </c>
      <c r="AE164" s="107" t="s">
        <v>801</v>
      </c>
      <c r="AF164" s="107" t="s">
        <v>53</v>
      </c>
      <c r="AG164" s="107" t="s">
        <v>53</v>
      </c>
      <c r="AH164" s="107" t="s">
        <v>53</v>
      </c>
      <c r="AI164" s="107" t="s">
        <v>561</v>
      </c>
      <c r="AJ164" s="107" t="s">
        <v>561</v>
      </c>
      <c r="AK164" s="107" t="s">
        <v>561</v>
      </c>
      <c r="AL164" s="107" t="s">
        <v>561</v>
      </c>
      <c r="AM164" s="107" t="s">
        <v>561</v>
      </c>
      <c r="AN164" s="53" t="s">
        <v>561</v>
      </c>
      <c r="AO164" s="107" t="s">
        <v>561</v>
      </c>
      <c r="AP164" s="53" t="s">
        <v>561</v>
      </c>
      <c r="AQ164" s="53" t="s">
        <v>561</v>
      </c>
      <c r="AR164" s="53" t="s">
        <v>53</v>
      </c>
      <c r="AS164" s="53" t="s">
        <v>561</v>
      </c>
      <c r="AT164" s="53" t="s">
        <v>53</v>
      </c>
      <c r="AU164" s="53" t="s">
        <v>561</v>
      </c>
      <c r="AV164" s="53" t="s">
        <v>561</v>
      </c>
      <c r="AW164" s="53" t="s">
        <v>561</v>
      </c>
      <c r="AX164" s="53" t="s">
        <v>561</v>
      </c>
      <c r="AY164" s="53" t="s">
        <v>561</v>
      </c>
      <c r="AZ164" s="53" t="s">
        <v>53</v>
      </c>
      <c r="BA164" s="53" t="s">
        <v>561</v>
      </c>
      <c r="BB164" s="53" t="s">
        <v>53</v>
      </c>
      <c r="BC164" s="53" t="s">
        <v>561</v>
      </c>
      <c r="BD164" s="53" t="s">
        <v>561</v>
      </c>
      <c r="BE164" s="53" t="s">
        <v>561</v>
      </c>
      <c r="BF164" s="53" t="s">
        <v>561</v>
      </c>
      <c r="BG164" s="53" t="s">
        <v>561</v>
      </c>
      <c r="BH164" s="53" t="s">
        <v>561</v>
      </c>
      <c r="BI164" s="107" t="s">
        <v>561</v>
      </c>
      <c r="BJ164" s="107" t="s">
        <v>561</v>
      </c>
      <c r="BK164" s="53" t="s">
        <v>561</v>
      </c>
      <c r="BL164" s="53" t="s">
        <v>561</v>
      </c>
      <c r="BM164" s="53" t="s">
        <v>561</v>
      </c>
      <c r="BN164" s="53" t="s">
        <v>561</v>
      </c>
      <c r="BO164" s="53" t="s">
        <v>561</v>
      </c>
      <c r="BP164" s="53" t="s">
        <v>561</v>
      </c>
      <c r="BQ164" s="118" t="s">
        <v>821</v>
      </c>
      <c r="BR164" s="180" t="s">
        <v>1832</v>
      </c>
      <c r="BS164" s="118" t="s">
        <v>821</v>
      </c>
      <c r="BT164" s="122"/>
      <c r="BU164" s="122">
        <f t="shared" si="25"/>
        <v>30450</v>
      </c>
      <c r="BV164" s="126">
        <v>30450.0</v>
      </c>
      <c r="BW164" s="126"/>
      <c r="BX164" s="127"/>
      <c r="BY164" s="127"/>
      <c r="BZ164" s="13"/>
      <c r="CA164" s="13"/>
      <c r="CB164" s="13"/>
      <c r="CC164" s="13" t="s">
        <v>561</v>
      </c>
    </row>
    <row r="165">
      <c r="A165" s="44" t="str">
        <f>LOOKUP(H165,'Letter grades'!$A$1:$B$6)</f>
        <v>F</v>
      </c>
      <c r="B165" s="44">
        <f t="shared" si="3"/>
        <v>161</v>
      </c>
      <c r="C165" s="44" t="s">
        <v>1048</v>
      </c>
      <c r="D165" s="44" t="s">
        <v>1049</v>
      </c>
      <c r="E165" s="98" t="s">
        <v>1044</v>
      </c>
      <c r="F165" s="47">
        <f t="shared" si="4"/>
        <v>0.1666666667</v>
      </c>
      <c r="G165" s="47">
        <f t="shared" si="5"/>
        <v>0.2386363636</v>
      </c>
      <c r="H165" s="105">
        <f t="shared" si="6"/>
        <v>0.2146464646</v>
      </c>
      <c r="I165" s="13"/>
      <c r="J165" s="53" t="s">
        <v>594</v>
      </c>
      <c r="K165" s="53" t="s">
        <v>594</v>
      </c>
      <c r="L165" s="53" t="s">
        <v>487</v>
      </c>
      <c r="M165" s="53" t="s">
        <v>594</v>
      </c>
      <c r="N165" s="107" t="s">
        <v>594</v>
      </c>
      <c r="O165" s="53" t="s">
        <v>1065</v>
      </c>
      <c r="P165" s="108" t="s">
        <v>53</v>
      </c>
      <c r="Q165" s="110" t="s">
        <v>53</v>
      </c>
      <c r="R165" s="108" t="s">
        <v>491</v>
      </c>
      <c r="S165" s="107" t="s">
        <v>53</v>
      </c>
      <c r="T165" s="107" t="s">
        <v>53</v>
      </c>
      <c r="U165" s="107" t="s">
        <v>561</v>
      </c>
      <c r="V165" s="107" t="s">
        <v>796</v>
      </c>
      <c r="W165" s="107" t="s">
        <v>796</v>
      </c>
      <c r="X165" s="53" t="s">
        <v>766</v>
      </c>
      <c r="Y165" s="107" t="s">
        <v>561</v>
      </c>
      <c r="Z165" s="107" t="s">
        <v>561</v>
      </c>
      <c r="AA165" s="107" t="s">
        <v>561</v>
      </c>
      <c r="AB165" s="53" t="s">
        <v>53</v>
      </c>
      <c r="AC165" s="53" t="s">
        <v>561</v>
      </c>
      <c r="AD165" s="107" t="s">
        <v>561</v>
      </c>
      <c r="AE165" s="107" t="s">
        <v>53</v>
      </c>
      <c r="AF165" s="107" t="s">
        <v>561</v>
      </c>
      <c r="AG165" s="107" t="s">
        <v>561</v>
      </c>
      <c r="AH165" s="107" t="s">
        <v>53</v>
      </c>
      <c r="AI165" s="107" t="s">
        <v>561</v>
      </c>
      <c r="AJ165" s="107" t="s">
        <v>561</v>
      </c>
      <c r="AK165" s="107" t="s">
        <v>561</v>
      </c>
      <c r="AL165" s="107" t="s">
        <v>561</v>
      </c>
      <c r="AM165" s="107" t="s">
        <v>561</v>
      </c>
      <c r="AN165" s="53" t="s">
        <v>561</v>
      </c>
      <c r="AO165" s="107" t="s">
        <v>561</v>
      </c>
      <c r="AP165" s="53" t="s">
        <v>561</v>
      </c>
      <c r="AQ165" s="53" t="s">
        <v>561</v>
      </c>
      <c r="AR165" s="53" t="s">
        <v>53</v>
      </c>
      <c r="AS165" s="53" t="s">
        <v>561</v>
      </c>
      <c r="AT165" s="53" t="s">
        <v>561</v>
      </c>
      <c r="AU165" s="53" t="s">
        <v>561</v>
      </c>
      <c r="AV165" s="53" t="s">
        <v>799</v>
      </c>
      <c r="AW165" s="53" t="s">
        <v>561</v>
      </c>
      <c r="AX165" s="53" t="s">
        <v>561</v>
      </c>
      <c r="AY165" s="53" t="s">
        <v>561</v>
      </c>
      <c r="AZ165" s="53" t="s">
        <v>561</v>
      </c>
      <c r="BA165" s="53" t="s">
        <v>561</v>
      </c>
      <c r="BB165" s="53" t="s">
        <v>53</v>
      </c>
      <c r="BC165" s="53" t="s">
        <v>561</v>
      </c>
      <c r="BD165" s="53" t="s">
        <v>561</v>
      </c>
      <c r="BE165" s="53" t="s">
        <v>561</v>
      </c>
      <c r="BF165" s="53" t="s">
        <v>561</v>
      </c>
      <c r="BG165" s="53" t="s">
        <v>561</v>
      </c>
      <c r="BH165" s="53" t="s">
        <v>561</v>
      </c>
      <c r="BI165" s="107" t="s">
        <v>561</v>
      </c>
      <c r="BJ165" s="107" t="s">
        <v>600</v>
      </c>
      <c r="BK165" s="53" t="s">
        <v>600</v>
      </c>
      <c r="BL165" s="53" t="s">
        <v>600</v>
      </c>
      <c r="BM165" s="53" t="s">
        <v>600</v>
      </c>
      <c r="BN165" s="53" t="s">
        <v>600</v>
      </c>
      <c r="BO165" s="53" t="s">
        <v>600</v>
      </c>
      <c r="BP165" s="53" t="s">
        <v>600</v>
      </c>
      <c r="BQ165" s="118" t="s">
        <v>821</v>
      </c>
      <c r="BR165" s="180" t="s">
        <v>1832</v>
      </c>
      <c r="BS165" s="180" t="s">
        <v>1832</v>
      </c>
      <c r="BT165" s="122"/>
      <c r="BU165" s="122">
        <f t="shared" si="25"/>
        <v>45825</v>
      </c>
      <c r="BV165" s="126">
        <v>45825.0</v>
      </c>
      <c r="BW165" s="126"/>
      <c r="BX165" s="127"/>
      <c r="BY165" s="127"/>
      <c r="BZ165" s="13"/>
      <c r="CA165" s="13"/>
      <c r="CB165" s="13"/>
      <c r="CC165" s="13"/>
    </row>
    <row r="166">
      <c r="A166" s="44" t="str">
        <f>LOOKUP(H166,'Letter grades'!$A$1:$B$6)</f>
        <v>F</v>
      </c>
      <c r="B166" s="44">
        <f t="shared" si="3"/>
        <v>162</v>
      </c>
      <c r="C166" s="44" t="s">
        <v>103</v>
      </c>
      <c r="D166" s="44" t="s">
        <v>104</v>
      </c>
      <c r="E166" s="98" t="s">
        <v>98</v>
      </c>
      <c r="F166" s="47">
        <f t="shared" si="4"/>
        <v>0</v>
      </c>
      <c r="G166" s="47">
        <f t="shared" si="5"/>
        <v>0.3173076923</v>
      </c>
      <c r="H166" s="105">
        <f t="shared" si="6"/>
        <v>0.2115384615</v>
      </c>
      <c r="I166" s="13" t="s">
        <v>108</v>
      </c>
      <c r="J166" s="53" t="s">
        <v>594</v>
      </c>
      <c r="K166" s="53" t="s">
        <v>594</v>
      </c>
      <c r="L166" s="107" t="s">
        <v>594</v>
      </c>
      <c r="M166" s="53" t="s">
        <v>594</v>
      </c>
      <c r="N166" s="107" t="s">
        <v>594</v>
      </c>
      <c r="O166" s="53" t="s">
        <v>1065</v>
      </c>
      <c r="P166" s="108" t="s">
        <v>53</v>
      </c>
      <c r="Q166" s="110" t="s">
        <v>53</v>
      </c>
      <c r="R166" s="108" t="s">
        <v>799</v>
      </c>
      <c r="S166" s="107" t="s">
        <v>53</v>
      </c>
      <c r="T166" s="107" t="s">
        <v>561</v>
      </c>
      <c r="U166" s="107" t="s">
        <v>561</v>
      </c>
      <c r="V166" s="107" t="s">
        <v>766</v>
      </c>
      <c r="W166" s="107" t="s">
        <v>766</v>
      </c>
      <c r="X166" s="53" t="s">
        <v>766</v>
      </c>
      <c r="Y166" s="107" t="s">
        <v>561</v>
      </c>
      <c r="Z166" s="53" t="s">
        <v>53</v>
      </c>
      <c r="AA166" s="107" t="s">
        <v>53</v>
      </c>
      <c r="AB166" s="53" t="s">
        <v>53</v>
      </c>
      <c r="AC166" s="53" t="s">
        <v>561</v>
      </c>
      <c r="AD166" s="107" t="s">
        <v>53</v>
      </c>
      <c r="AE166" s="107" t="s">
        <v>53</v>
      </c>
      <c r="AF166" s="107" t="s">
        <v>53</v>
      </c>
      <c r="AG166" s="107" t="s">
        <v>53</v>
      </c>
      <c r="AH166" s="107" t="s">
        <v>53</v>
      </c>
      <c r="AI166" s="107" t="s">
        <v>561</v>
      </c>
      <c r="AJ166" s="107" t="s">
        <v>561</v>
      </c>
      <c r="AK166" s="107" t="s">
        <v>561</v>
      </c>
      <c r="AL166" s="107" t="s">
        <v>561</v>
      </c>
      <c r="AM166" s="107" t="s">
        <v>561</v>
      </c>
      <c r="AN166" s="53" t="s">
        <v>561</v>
      </c>
      <c r="AO166" s="107" t="s">
        <v>561</v>
      </c>
      <c r="AP166" s="53" t="s">
        <v>561</v>
      </c>
      <c r="AQ166" s="53" t="s">
        <v>561</v>
      </c>
      <c r="AR166" s="53" t="s">
        <v>53</v>
      </c>
      <c r="AS166" s="53" t="s">
        <v>561</v>
      </c>
      <c r="AT166" s="53" t="s">
        <v>53</v>
      </c>
      <c r="AU166" s="53" t="s">
        <v>561</v>
      </c>
      <c r="AV166" s="53" t="s">
        <v>561</v>
      </c>
      <c r="AW166" s="53" t="s">
        <v>561</v>
      </c>
      <c r="AX166" s="53" t="s">
        <v>561</v>
      </c>
      <c r="AY166" s="53" t="s">
        <v>561</v>
      </c>
      <c r="AZ166" s="53" t="s">
        <v>53</v>
      </c>
      <c r="BA166" s="53" t="s">
        <v>561</v>
      </c>
      <c r="BB166" s="53" t="s">
        <v>53</v>
      </c>
      <c r="BC166" s="53" t="s">
        <v>561</v>
      </c>
      <c r="BD166" s="53" t="s">
        <v>561</v>
      </c>
      <c r="BE166" s="53" t="s">
        <v>53</v>
      </c>
      <c r="BF166" s="53" t="s">
        <v>561</v>
      </c>
      <c r="BG166" s="53" t="s">
        <v>561</v>
      </c>
      <c r="BH166" s="53" t="s">
        <v>561</v>
      </c>
      <c r="BI166" s="107" t="s">
        <v>561</v>
      </c>
      <c r="BJ166" s="107" t="s">
        <v>561</v>
      </c>
      <c r="BK166" s="53" t="s">
        <v>561</v>
      </c>
      <c r="BL166" s="53" t="s">
        <v>561</v>
      </c>
      <c r="BM166" s="53" t="s">
        <v>561</v>
      </c>
      <c r="BN166" s="53" t="s">
        <v>561</v>
      </c>
      <c r="BO166" s="53" t="s">
        <v>561</v>
      </c>
      <c r="BP166" s="53" t="s">
        <v>600</v>
      </c>
      <c r="BQ166" s="118" t="s">
        <v>821</v>
      </c>
      <c r="BR166" s="180" t="s">
        <v>1832</v>
      </c>
      <c r="BS166" s="118" t="s">
        <v>821</v>
      </c>
      <c r="BT166" s="122"/>
      <c r="BU166" s="122">
        <f t="shared" si="25"/>
        <v>52091</v>
      </c>
      <c r="BV166" s="126">
        <v>52091.0</v>
      </c>
      <c r="BW166" s="126"/>
      <c r="BX166" s="127"/>
      <c r="BY166" s="127"/>
      <c r="BZ166" s="13"/>
      <c r="CA166" s="13" t="s">
        <v>561</v>
      </c>
      <c r="CB166" s="13"/>
      <c r="CC166" s="13" t="s">
        <v>561</v>
      </c>
    </row>
    <row r="167">
      <c r="A167" s="44" t="str">
        <f>LOOKUP(H167,'Letter grades'!$A$1:$B$6)</f>
        <v>F</v>
      </c>
      <c r="B167" s="44">
        <f t="shared" si="3"/>
        <v>163</v>
      </c>
      <c r="C167" s="44" t="s">
        <v>1175</v>
      </c>
      <c r="D167" s="44" t="s">
        <v>1176</v>
      </c>
      <c r="E167" s="98" t="s">
        <v>1173</v>
      </c>
      <c r="F167" s="47">
        <f t="shared" si="4"/>
        <v>0</v>
      </c>
      <c r="G167" s="47">
        <f t="shared" si="5"/>
        <v>0.3125</v>
      </c>
      <c r="H167" s="105">
        <f t="shared" si="6"/>
        <v>0.2083333333</v>
      </c>
      <c r="I167" s="13" t="s">
        <v>2610</v>
      </c>
      <c r="J167" s="53" t="s">
        <v>594</v>
      </c>
      <c r="K167" s="53" t="s">
        <v>594</v>
      </c>
      <c r="L167" s="107" t="s">
        <v>594</v>
      </c>
      <c r="M167" s="53" t="s">
        <v>594</v>
      </c>
      <c r="N167" s="107" t="s">
        <v>594</v>
      </c>
      <c r="O167" s="53" t="s">
        <v>1065</v>
      </c>
      <c r="P167" s="108" t="s">
        <v>53</v>
      </c>
      <c r="Q167" s="110" t="s">
        <v>53</v>
      </c>
      <c r="R167" s="108" t="s">
        <v>491</v>
      </c>
      <c r="S167" s="107" t="s">
        <v>53</v>
      </c>
      <c r="T167" s="107" t="s">
        <v>561</v>
      </c>
      <c r="U167" s="107" t="s">
        <v>561</v>
      </c>
      <c r="V167" s="107" t="s">
        <v>796</v>
      </c>
      <c r="W167" s="107" t="s">
        <v>796</v>
      </c>
      <c r="X167" s="53" t="s">
        <v>766</v>
      </c>
      <c r="Y167" s="107" t="s">
        <v>561</v>
      </c>
      <c r="Z167" s="53" t="s">
        <v>53</v>
      </c>
      <c r="AA167" s="107" t="s">
        <v>561</v>
      </c>
      <c r="AB167" s="53" t="s">
        <v>53</v>
      </c>
      <c r="AC167" s="53" t="s">
        <v>561</v>
      </c>
      <c r="AD167" s="53" t="s">
        <v>801</v>
      </c>
      <c r="AE167" s="107" t="s">
        <v>53</v>
      </c>
      <c r="AF167" s="107" t="s">
        <v>53</v>
      </c>
      <c r="AG167" s="107" t="s">
        <v>53</v>
      </c>
      <c r="AH167" s="107" t="s">
        <v>53</v>
      </c>
      <c r="AI167" s="107" t="s">
        <v>561</v>
      </c>
      <c r="AJ167" s="107" t="s">
        <v>561</v>
      </c>
      <c r="AK167" s="107" t="s">
        <v>561</v>
      </c>
      <c r="AL167" s="107" t="s">
        <v>561</v>
      </c>
      <c r="AM167" s="107" t="s">
        <v>561</v>
      </c>
      <c r="AN167" s="53" t="s">
        <v>561</v>
      </c>
      <c r="AO167" s="107" t="s">
        <v>561</v>
      </c>
      <c r="AP167" s="53" t="s">
        <v>561</v>
      </c>
      <c r="AQ167" s="53" t="s">
        <v>561</v>
      </c>
      <c r="AR167" s="53" t="s">
        <v>53</v>
      </c>
      <c r="AS167" s="53" t="s">
        <v>561</v>
      </c>
      <c r="AT167" s="53" t="s">
        <v>799</v>
      </c>
      <c r="AU167" s="53" t="s">
        <v>561</v>
      </c>
      <c r="AV167" s="53" t="s">
        <v>799</v>
      </c>
      <c r="AW167" s="53" t="s">
        <v>561</v>
      </c>
      <c r="AX167" s="53" t="s">
        <v>561</v>
      </c>
      <c r="AY167" s="53" t="s">
        <v>561</v>
      </c>
      <c r="AZ167" s="53" t="s">
        <v>53</v>
      </c>
      <c r="BA167" s="53" t="s">
        <v>561</v>
      </c>
      <c r="BB167" s="53" t="s">
        <v>53</v>
      </c>
      <c r="BC167" s="53" t="s">
        <v>561</v>
      </c>
      <c r="BD167" s="53" t="s">
        <v>561</v>
      </c>
      <c r="BE167" s="53" t="s">
        <v>53</v>
      </c>
      <c r="BF167" s="53" t="s">
        <v>561</v>
      </c>
      <c r="BG167" s="53" t="s">
        <v>561</v>
      </c>
      <c r="BH167" s="53" t="s">
        <v>561</v>
      </c>
      <c r="BI167" s="107" t="s">
        <v>561</v>
      </c>
      <c r="BJ167" s="107" t="s">
        <v>561</v>
      </c>
      <c r="BK167" s="53" t="s">
        <v>561</v>
      </c>
      <c r="BL167" s="53" t="s">
        <v>561</v>
      </c>
      <c r="BM167" s="53" t="s">
        <v>561</v>
      </c>
      <c r="BN167" s="53" t="s">
        <v>561</v>
      </c>
      <c r="BO167" s="53" t="s">
        <v>600</v>
      </c>
      <c r="BP167" s="53" t="s">
        <v>600</v>
      </c>
      <c r="BQ167" s="118" t="s">
        <v>821</v>
      </c>
      <c r="BR167" s="118" t="s">
        <v>821</v>
      </c>
      <c r="BS167" s="118" t="s">
        <v>821</v>
      </c>
      <c r="BT167" s="122"/>
      <c r="BU167" s="122">
        <f t="shared" si="25"/>
        <v>30428</v>
      </c>
      <c r="BV167" s="126">
        <v>28428.0</v>
      </c>
      <c r="BW167" s="126"/>
      <c r="BX167" s="127">
        <f>2000</f>
        <v>2000</v>
      </c>
      <c r="BY167" s="127"/>
      <c r="BZ167" s="13"/>
      <c r="CA167" s="13"/>
      <c r="CB167" s="13" t="s">
        <v>561</v>
      </c>
      <c r="CC167" s="13" t="s">
        <v>561</v>
      </c>
    </row>
    <row r="168">
      <c r="A168" s="44" t="str">
        <f>LOOKUP(H168,'Letter grades'!$A$1:$B$6)</f>
        <v>F</v>
      </c>
      <c r="B168" s="44">
        <f t="shared" si="3"/>
        <v>164</v>
      </c>
      <c r="C168" s="44" t="s">
        <v>586</v>
      </c>
      <c r="D168" s="44" t="s">
        <v>1386</v>
      </c>
      <c r="E168" s="98" t="s">
        <v>1383</v>
      </c>
      <c r="F168" s="47">
        <f t="shared" si="4"/>
        <v>0.3333333333</v>
      </c>
      <c r="G168" s="47">
        <f t="shared" si="5"/>
        <v>0.1428571429</v>
      </c>
      <c r="H168" s="105">
        <f t="shared" si="6"/>
        <v>0.2063492063</v>
      </c>
      <c r="I168" s="13" t="s">
        <v>2594</v>
      </c>
      <c r="J168" s="53" t="s">
        <v>487</v>
      </c>
      <c r="K168" s="53" t="s">
        <v>594</v>
      </c>
      <c r="L168" s="107" t="s">
        <v>594</v>
      </c>
      <c r="M168" s="53" t="s">
        <v>594</v>
      </c>
      <c r="N168" s="107" t="s">
        <v>594</v>
      </c>
      <c r="O168" s="53" t="s">
        <v>490</v>
      </c>
      <c r="P168" s="108" t="s">
        <v>53</v>
      </c>
      <c r="Q168" s="110" t="s">
        <v>53</v>
      </c>
      <c r="R168" s="108" t="s">
        <v>766</v>
      </c>
      <c r="S168" s="107" t="s">
        <v>561</v>
      </c>
      <c r="T168" s="107" t="s">
        <v>561</v>
      </c>
      <c r="U168" s="107" t="s">
        <v>561</v>
      </c>
      <c r="V168" s="107" t="s">
        <v>796</v>
      </c>
      <c r="W168" s="107" t="s">
        <v>796</v>
      </c>
      <c r="X168" s="53" t="s">
        <v>766</v>
      </c>
      <c r="Y168" s="107" t="s">
        <v>561</v>
      </c>
      <c r="Z168" s="107" t="s">
        <v>561</v>
      </c>
      <c r="AA168" s="107" t="s">
        <v>561</v>
      </c>
      <c r="AB168" s="53" t="s">
        <v>53</v>
      </c>
      <c r="AC168" s="53" t="s">
        <v>561</v>
      </c>
      <c r="AD168" s="107" t="s">
        <v>561</v>
      </c>
      <c r="AE168" s="107" t="s">
        <v>53</v>
      </c>
      <c r="AF168" s="107" t="s">
        <v>561</v>
      </c>
      <c r="AG168" s="107" t="s">
        <v>561</v>
      </c>
      <c r="AH168" s="107" t="s">
        <v>53</v>
      </c>
      <c r="AI168" s="107" t="s">
        <v>561</v>
      </c>
      <c r="AJ168" s="107" t="s">
        <v>561</v>
      </c>
      <c r="AK168" s="107" t="s">
        <v>561</v>
      </c>
      <c r="AL168" s="107" t="s">
        <v>561</v>
      </c>
      <c r="AM168" s="107" t="s">
        <v>561</v>
      </c>
      <c r="AN168" s="53" t="s">
        <v>561</v>
      </c>
      <c r="AO168" s="107" t="s">
        <v>561</v>
      </c>
      <c r="AP168" s="53" t="s">
        <v>561</v>
      </c>
      <c r="AQ168" s="53" t="s">
        <v>561</v>
      </c>
      <c r="AR168" s="53" t="s">
        <v>53</v>
      </c>
      <c r="AS168" s="53" t="s">
        <v>561</v>
      </c>
      <c r="AT168" s="53" t="s">
        <v>561</v>
      </c>
      <c r="AU168" s="53" t="s">
        <v>561</v>
      </c>
      <c r="AV168" s="53" t="s">
        <v>561</v>
      </c>
      <c r="AW168" s="53" t="s">
        <v>561</v>
      </c>
      <c r="AX168" s="53" t="s">
        <v>561</v>
      </c>
      <c r="AY168" s="53" t="s">
        <v>561</v>
      </c>
      <c r="AZ168" s="53" t="s">
        <v>561</v>
      </c>
      <c r="BA168" s="53" t="s">
        <v>561</v>
      </c>
      <c r="BB168" s="53" t="s">
        <v>53</v>
      </c>
      <c r="BC168" s="53" t="s">
        <v>561</v>
      </c>
      <c r="BD168" s="53" t="s">
        <v>561</v>
      </c>
      <c r="BE168" s="53" t="s">
        <v>561</v>
      </c>
      <c r="BF168" s="53" t="s">
        <v>561</v>
      </c>
      <c r="BG168" s="53" t="s">
        <v>561</v>
      </c>
      <c r="BH168" s="53" t="s">
        <v>561</v>
      </c>
      <c r="BI168" s="107" t="s">
        <v>561</v>
      </c>
      <c r="BJ168" s="107" t="s">
        <v>561</v>
      </c>
      <c r="BK168" s="53" t="s">
        <v>561</v>
      </c>
      <c r="BL168" s="53" t="s">
        <v>561</v>
      </c>
      <c r="BM168" s="53" t="s">
        <v>561</v>
      </c>
      <c r="BN168" s="53" t="s">
        <v>561</v>
      </c>
      <c r="BO168" s="53" t="s">
        <v>600</v>
      </c>
      <c r="BP168" s="53" t="s">
        <v>600</v>
      </c>
      <c r="BQ168" s="180" t="s">
        <v>1832</v>
      </c>
      <c r="BR168" s="180" t="s">
        <v>1832</v>
      </c>
      <c r="BS168" s="118" t="s">
        <v>821</v>
      </c>
      <c r="BT168" s="122"/>
      <c r="BU168" s="122">
        <f t="shared" si="25"/>
        <v>52844</v>
      </c>
      <c r="BV168" s="126">
        <v>48844.0</v>
      </c>
      <c r="BW168" s="126"/>
      <c r="BX168" s="127">
        <f>2000+2000</f>
        <v>4000</v>
      </c>
      <c r="BY168" s="127"/>
      <c r="BZ168" s="13"/>
      <c r="CA168" s="13" t="s">
        <v>561</v>
      </c>
      <c r="CB168" s="13" t="s">
        <v>561</v>
      </c>
      <c r="CC168" s="13" t="s">
        <v>561</v>
      </c>
    </row>
    <row r="169">
      <c r="A169" s="44" t="str">
        <f>LOOKUP(H169,'Letter grades'!$A$1:$B$6)</f>
        <v>F</v>
      </c>
      <c r="B169" s="44">
        <f t="shared" si="3"/>
        <v>165</v>
      </c>
      <c r="C169" s="44" t="s">
        <v>1127</v>
      </c>
      <c r="D169" s="44" t="s">
        <v>1128</v>
      </c>
      <c r="E169" s="98" t="s">
        <v>1125</v>
      </c>
      <c r="F169" s="47">
        <f t="shared" si="4"/>
        <v>0</v>
      </c>
      <c r="G169" s="47">
        <f t="shared" si="5"/>
        <v>0.2857142857</v>
      </c>
      <c r="H169" s="105">
        <f t="shared" si="6"/>
        <v>0.1904761905</v>
      </c>
      <c r="I169" s="13" t="s">
        <v>2594</v>
      </c>
      <c r="J169" s="53" t="s">
        <v>594</v>
      </c>
      <c r="K169" s="53" t="s">
        <v>594</v>
      </c>
      <c r="L169" s="107" t="s">
        <v>594</v>
      </c>
      <c r="M169" s="53" t="s">
        <v>594</v>
      </c>
      <c r="N169" s="107" t="s">
        <v>594</v>
      </c>
      <c r="O169" s="53" t="s">
        <v>1065</v>
      </c>
      <c r="P169" s="108" t="s">
        <v>53</v>
      </c>
      <c r="Q169" s="110" t="s">
        <v>53</v>
      </c>
      <c r="R169" s="108" t="s">
        <v>766</v>
      </c>
      <c r="S169" s="107" t="s">
        <v>53</v>
      </c>
      <c r="T169" s="107" t="s">
        <v>561</v>
      </c>
      <c r="U169" s="107" t="s">
        <v>561</v>
      </c>
      <c r="V169" s="107" t="s">
        <v>796</v>
      </c>
      <c r="W169" s="107" t="s">
        <v>796</v>
      </c>
      <c r="X169" s="53" t="s">
        <v>766</v>
      </c>
      <c r="Y169" s="107" t="s">
        <v>561</v>
      </c>
      <c r="Z169" s="107" t="s">
        <v>561</v>
      </c>
      <c r="AA169" s="107" t="s">
        <v>561</v>
      </c>
      <c r="AB169" s="53" t="s">
        <v>53</v>
      </c>
      <c r="AC169" s="53" t="s">
        <v>561</v>
      </c>
      <c r="AD169" s="107" t="s">
        <v>561</v>
      </c>
      <c r="AE169" s="107" t="s">
        <v>53</v>
      </c>
      <c r="AF169" s="107" t="s">
        <v>53</v>
      </c>
      <c r="AG169" s="107" t="s">
        <v>53</v>
      </c>
      <c r="AH169" s="107" t="s">
        <v>53</v>
      </c>
      <c r="AI169" s="107" t="s">
        <v>801</v>
      </c>
      <c r="AJ169" s="107" t="s">
        <v>561</v>
      </c>
      <c r="AK169" s="107" t="s">
        <v>561</v>
      </c>
      <c r="AL169" s="107" t="s">
        <v>561</v>
      </c>
      <c r="AM169" s="107" t="s">
        <v>561</v>
      </c>
      <c r="AN169" s="53" t="s">
        <v>561</v>
      </c>
      <c r="AO169" s="107" t="s">
        <v>561</v>
      </c>
      <c r="AP169" s="53" t="s">
        <v>561</v>
      </c>
      <c r="AQ169" s="53" t="s">
        <v>561</v>
      </c>
      <c r="AR169" s="53" t="s">
        <v>53</v>
      </c>
      <c r="AS169" s="53" t="s">
        <v>561</v>
      </c>
      <c r="AT169" s="53" t="s">
        <v>53</v>
      </c>
      <c r="AU169" s="53" t="s">
        <v>561</v>
      </c>
      <c r="AV169" s="53" t="s">
        <v>561</v>
      </c>
      <c r="AW169" s="53" t="s">
        <v>561</v>
      </c>
      <c r="AX169" s="53" t="s">
        <v>561</v>
      </c>
      <c r="AY169" s="53" t="s">
        <v>561</v>
      </c>
      <c r="AZ169" s="53" t="s">
        <v>53</v>
      </c>
      <c r="BA169" s="53" t="s">
        <v>561</v>
      </c>
      <c r="BB169" s="53" t="s">
        <v>53</v>
      </c>
      <c r="BC169" s="53" t="s">
        <v>561</v>
      </c>
      <c r="BD169" s="53" t="s">
        <v>561</v>
      </c>
      <c r="BE169" s="53" t="s">
        <v>561</v>
      </c>
      <c r="BF169" s="53" t="s">
        <v>561</v>
      </c>
      <c r="BG169" s="53" t="s">
        <v>561</v>
      </c>
      <c r="BH169" s="53" t="s">
        <v>561</v>
      </c>
      <c r="BI169" s="107" t="s">
        <v>600</v>
      </c>
      <c r="BJ169" s="107" t="s">
        <v>600</v>
      </c>
      <c r="BK169" s="53" t="s">
        <v>600</v>
      </c>
      <c r="BL169" s="53" t="s">
        <v>600</v>
      </c>
      <c r="BM169" s="53" t="s">
        <v>600</v>
      </c>
      <c r="BN169" s="53" t="s">
        <v>600</v>
      </c>
      <c r="BO169" s="53" t="s">
        <v>600</v>
      </c>
      <c r="BP169" s="53" t="s">
        <v>600</v>
      </c>
      <c r="BQ169" s="118" t="s">
        <v>821</v>
      </c>
      <c r="BR169" s="180" t="s">
        <v>1832</v>
      </c>
      <c r="BS169" s="118" t="s">
        <v>821</v>
      </c>
      <c r="BT169" s="122"/>
      <c r="BU169" s="122">
        <f t="shared" si="25"/>
        <v>2000</v>
      </c>
      <c r="BV169" s="126"/>
      <c r="BW169" s="126"/>
      <c r="BX169" s="127">
        <f>2000</f>
        <v>2000</v>
      </c>
      <c r="BY169" s="127"/>
      <c r="BZ169" s="13"/>
      <c r="CA169" s="13" t="s">
        <v>561</v>
      </c>
      <c r="CB169" s="13" t="s">
        <v>561</v>
      </c>
      <c r="CC169" s="13"/>
    </row>
    <row r="170">
      <c r="A170" s="44" t="str">
        <f>LOOKUP(H170,'Letter grades'!$A$1:$B$6)</f>
        <v>F</v>
      </c>
      <c r="B170" s="44">
        <f t="shared" si="3"/>
        <v>166</v>
      </c>
      <c r="C170" s="44" t="s">
        <v>793</v>
      </c>
      <c r="D170" s="44" t="s">
        <v>794</v>
      </c>
      <c r="E170" s="98" t="s">
        <v>791</v>
      </c>
      <c r="F170" s="47">
        <f t="shared" si="4"/>
        <v>0</v>
      </c>
      <c r="G170" s="47">
        <f t="shared" si="5"/>
        <v>0.275</v>
      </c>
      <c r="H170" s="105">
        <f t="shared" si="6"/>
        <v>0.1833333333</v>
      </c>
      <c r="I170" s="13" t="s">
        <v>2594</v>
      </c>
      <c r="J170" s="53" t="s">
        <v>594</v>
      </c>
      <c r="K170" s="53" t="s">
        <v>594</v>
      </c>
      <c r="L170" s="107" t="s">
        <v>594</v>
      </c>
      <c r="M170" s="53" t="s">
        <v>594</v>
      </c>
      <c r="N170" s="107" t="s">
        <v>594</v>
      </c>
      <c r="O170" s="53" t="s">
        <v>1065</v>
      </c>
      <c r="P170" s="108" t="s">
        <v>53</v>
      </c>
      <c r="Q170" s="110" t="s">
        <v>53</v>
      </c>
      <c r="R170" s="108" t="s">
        <v>766</v>
      </c>
      <c r="S170" s="107" t="s">
        <v>53</v>
      </c>
      <c r="T170" s="107" t="s">
        <v>600</v>
      </c>
      <c r="U170" s="107" t="s">
        <v>600</v>
      </c>
      <c r="V170" s="107" t="s">
        <v>796</v>
      </c>
      <c r="W170" s="107" t="s">
        <v>796</v>
      </c>
      <c r="X170" s="53" t="s">
        <v>766</v>
      </c>
      <c r="Y170" s="107" t="s">
        <v>801</v>
      </c>
      <c r="Z170" s="53" t="s">
        <v>53</v>
      </c>
      <c r="AA170" s="107" t="s">
        <v>561</v>
      </c>
      <c r="AB170" s="53" t="s">
        <v>53</v>
      </c>
      <c r="AC170" s="53" t="s">
        <v>561</v>
      </c>
      <c r="AD170" s="107" t="s">
        <v>561</v>
      </c>
      <c r="AE170" s="107" t="s">
        <v>53</v>
      </c>
      <c r="AF170" s="107" t="s">
        <v>561</v>
      </c>
      <c r="AG170" s="107" t="s">
        <v>53</v>
      </c>
      <c r="AH170" s="107" t="s">
        <v>53</v>
      </c>
      <c r="AI170" s="107" t="s">
        <v>561</v>
      </c>
      <c r="AJ170" s="107" t="s">
        <v>561</v>
      </c>
      <c r="AK170" s="107" t="s">
        <v>561</v>
      </c>
      <c r="AL170" s="107" t="s">
        <v>561</v>
      </c>
      <c r="AM170" s="107" t="s">
        <v>561</v>
      </c>
      <c r="AN170" s="53" t="s">
        <v>561</v>
      </c>
      <c r="AO170" s="107" t="s">
        <v>561</v>
      </c>
      <c r="AP170" s="53" t="s">
        <v>561</v>
      </c>
      <c r="AQ170" s="53" t="s">
        <v>561</v>
      </c>
      <c r="AR170" s="53" t="s">
        <v>53</v>
      </c>
      <c r="AS170" s="53" t="s">
        <v>561</v>
      </c>
      <c r="AT170" s="53" t="s">
        <v>561</v>
      </c>
      <c r="AU170" s="53" t="s">
        <v>561</v>
      </c>
      <c r="AV170" s="53" t="s">
        <v>561</v>
      </c>
      <c r="AW170" s="53" t="s">
        <v>561</v>
      </c>
      <c r="AX170" s="53" t="s">
        <v>561</v>
      </c>
      <c r="AY170" s="53" t="s">
        <v>561</v>
      </c>
      <c r="AZ170" s="53" t="s">
        <v>53</v>
      </c>
      <c r="BA170" s="53" t="s">
        <v>561</v>
      </c>
      <c r="BB170" s="53" t="s">
        <v>53</v>
      </c>
      <c r="BC170" s="53" t="s">
        <v>561</v>
      </c>
      <c r="BD170" s="53" t="s">
        <v>561</v>
      </c>
      <c r="BE170" s="53" t="s">
        <v>561</v>
      </c>
      <c r="BF170" s="53" t="s">
        <v>561</v>
      </c>
      <c r="BG170" s="53" t="s">
        <v>561</v>
      </c>
      <c r="BH170" s="53" t="s">
        <v>561</v>
      </c>
      <c r="BI170" s="107" t="s">
        <v>600</v>
      </c>
      <c r="BJ170" s="107" t="s">
        <v>600</v>
      </c>
      <c r="BK170" s="53" t="s">
        <v>600</v>
      </c>
      <c r="BL170" s="53" t="s">
        <v>600</v>
      </c>
      <c r="BM170" s="53" t="s">
        <v>600</v>
      </c>
      <c r="BN170" s="53" t="s">
        <v>600</v>
      </c>
      <c r="BO170" s="53" t="s">
        <v>600</v>
      </c>
      <c r="BP170" s="53" t="s">
        <v>600</v>
      </c>
      <c r="BQ170" s="118" t="s">
        <v>821</v>
      </c>
      <c r="BR170" s="180" t="s">
        <v>1832</v>
      </c>
      <c r="BS170" s="180" t="s">
        <v>1832</v>
      </c>
      <c r="BT170" s="122"/>
      <c r="BU170" s="122">
        <f t="shared" si="25"/>
        <v>0</v>
      </c>
      <c r="BV170" s="126"/>
      <c r="BW170" s="126"/>
      <c r="BX170" s="127"/>
      <c r="BY170" s="127"/>
      <c r="BZ170" s="13"/>
      <c r="CA170" s="13" t="s">
        <v>561</v>
      </c>
      <c r="CB170" s="13"/>
      <c r="CC170" s="13"/>
    </row>
    <row r="171">
      <c r="A171" s="44" t="str">
        <f>LOOKUP(H171,'Letter grades'!$A$1:$B$6)</f>
        <v>F</v>
      </c>
      <c r="B171" s="44">
        <f t="shared" si="3"/>
        <v>167</v>
      </c>
      <c r="C171" s="107" t="s">
        <v>1962</v>
      </c>
      <c r="D171" s="107" t="s">
        <v>2815</v>
      </c>
      <c r="E171" s="148" t="s">
        <v>1039</v>
      </c>
      <c r="F171" s="47">
        <f t="shared" si="4"/>
        <v>0</v>
      </c>
      <c r="G171" s="47">
        <f t="shared" si="5"/>
        <v>0.2727272727</v>
      </c>
      <c r="H171" s="105">
        <f t="shared" si="6"/>
        <v>0.1818181818</v>
      </c>
      <c r="I171" s="13" t="s">
        <v>2030</v>
      </c>
      <c r="J171" s="53" t="s">
        <v>594</v>
      </c>
      <c r="K171" s="53" t="s">
        <v>594</v>
      </c>
      <c r="L171" s="107" t="s">
        <v>594</v>
      </c>
      <c r="M171" s="53" t="s">
        <v>594</v>
      </c>
      <c r="N171" s="107" t="s">
        <v>594</v>
      </c>
      <c r="O171" s="53" t="s">
        <v>1065</v>
      </c>
      <c r="P171" s="108" t="s">
        <v>53</v>
      </c>
      <c r="Q171" s="110" t="s">
        <v>53</v>
      </c>
      <c r="R171" s="108" t="s">
        <v>766</v>
      </c>
      <c r="S171" s="107" t="s">
        <v>53</v>
      </c>
      <c r="T171" s="107" t="s">
        <v>561</v>
      </c>
      <c r="U171" s="107" t="s">
        <v>561</v>
      </c>
      <c r="V171" s="107" t="s">
        <v>766</v>
      </c>
      <c r="W171" s="107" t="s">
        <v>766</v>
      </c>
      <c r="X171" s="53" t="s">
        <v>766</v>
      </c>
      <c r="Y171" s="107" t="s">
        <v>561</v>
      </c>
      <c r="Z171" s="107" t="s">
        <v>561</v>
      </c>
      <c r="AA171" s="53" t="s">
        <v>600</v>
      </c>
      <c r="AB171" s="53" t="s">
        <v>600</v>
      </c>
      <c r="AC171" s="53" t="s">
        <v>600</v>
      </c>
      <c r="AD171" s="53" t="s">
        <v>600</v>
      </c>
      <c r="AE171" s="53" t="s">
        <v>600</v>
      </c>
      <c r="AF171" s="53" t="s">
        <v>600</v>
      </c>
      <c r="AG171" s="53" t="s">
        <v>600</v>
      </c>
      <c r="AH171" s="53" t="s">
        <v>600</v>
      </c>
      <c r="AI171" s="53" t="s">
        <v>600</v>
      </c>
      <c r="AJ171" s="53" t="s">
        <v>600</v>
      </c>
      <c r="AK171" s="53" t="s">
        <v>600</v>
      </c>
      <c r="AL171" s="53" t="s">
        <v>600</v>
      </c>
      <c r="AM171" s="53" t="s">
        <v>600</v>
      </c>
      <c r="AN171" s="53" t="s">
        <v>600</v>
      </c>
      <c r="AO171" s="53" t="s">
        <v>600</v>
      </c>
      <c r="AP171" s="53" t="s">
        <v>600</v>
      </c>
      <c r="AQ171" s="53" t="s">
        <v>600</v>
      </c>
      <c r="AR171" s="53" t="s">
        <v>600</v>
      </c>
      <c r="AS171" s="53" t="s">
        <v>600</v>
      </c>
      <c r="AT171" s="53" t="s">
        <v>600</v>
      </c>
      <c r="AU171" s="53" t="s">
        <v>600</v>
      </c>
      <c r="AV171" s="53" t="s">
        <v>600</v>
      </c>
      <c r="AW171" s="53" t="s">
        <v>600</v>
      </c>
      <c r="AX171" s="53" t="s">
        <v>600</v>
      </c>
      <c r="AY171" s="53" t="s">
        <v>600</v>
      </c>
      <c r="AZ171" s="53" t="s">
        <v>600</v>
      </c>
      <c r="BA171" s="53" t="s">
        <v>600</v>
      </c>
      <c r="BB171" s="53" t="s">
        <v>600</v>
      </c>
      <c r="BC171" s="53" t="s">
        <v>600</v>
      </c>
      <c r="BD171" s="53" t="s">
        <v>600</v>
      </c>
      <c r="BE171" s="53" t="s">
        <v>600</v>
      </c>
      <c r="BF171" s="53" t="s">
        <v>600</v>
      </c>
      <c r="BG171" s="53" t="s">
        <v>600</v>
      </c>
      <c r="BH171" s="53" t="s">
        <v>600</v>
      </c>
      <c r="BI171" s="107" t="s">
        <v>600</v>
      </c>
      <c r="BJ171" s="107" t="s">
        <v>600</v>
      </c>
      <c r="BK171" s="53" t="s">
        <v>600</v>
      </c>
      <c r="BL171" s="53" t="s">
        <v>600</v>
      </c>
      <c r="BM171" s="53" t="s">
        <v>600</v>
      </c>
      <c r="BN171" s="53" t="s">
        <v>600</v>
      </c>
      <c r="BO171" s="53" t="s">
        <v>600</v>
      </c>
      <c r="BP171" s="53" t="s">
        <v>600</v>
      </c>
      <c r="BQ171" s="180" t="s">
        <v>1832</v>
      </c>
      <c r="BR171" s="53" t="s">
        <v>600</v>
      </c>
      <c r="BS171" s="53" t="s">
        <v>600</v>
      </c>
      <c r="BT171" s="122"/>
      <c r="BU171" s="122"/>
      <c r="BV171" s="126"/>
      <c r="BW171" s="126"/>
      <c r="BX171" s="127"/>
      <c r="BY171" s="127"/>
      <c r="BZ171" s="13"/>
      <c r="CA171" s="13"/>
      <c r="CB171" s="13"/>
      <c r="CC171" s="13"/>
    </row>
    <row r="172">
      <c r="A172" s="44" t="str">
        <f>LOOKUP(H172,'Letter grades'!$A$1:$B$6)</f>
        <v>F</v>
      </c>
      <c r="B172" s="44">
        <f t="shared" si="3"/>
        <v>168</v>
      </c>
      <c r="C172" s="44" t="s">
        <v>510</v>
      </c>
      <c r="D172" s="44" t="s">
        <v>511</v>
      </c>
      <c r="E172" s="98" t="s">
        <v>506</v>
      </c>
      <c r="F172" s="47">
        <f t="shared" si="4"/>
        <v>0</v>
      </c>
      <c r="G172" s="47">
        <f t="shared" si="5"/>
        <v>0.2708333333</v>
      </c>
      <c r="H172" s="105">
        <f t="shared" si="6"/>
        <v>0.1805555556</v>
      </c>
      <c r="I172" s="13"/>
      <c r="J172" s="53" t="s">
        <v>594</v>
      </c>
      <c r="K172" s="53" t="s">
        <v>594</v>
      </c>
      <c r="L172" s="107" t="s">
        <v>594</v>
      </c>
      <c r="M172" s="53" t="s">
        <v>594</v>
      </c>
      <c r="N172" s="107" t="s">
        <v>594</v>
      </c>
      <c r="O172" s="53" t="s">
        <v>1065</v>
      </c>
      <c r="P172" s="108" t="s">
        <v>53</v>
      </c>
      <c r="Q172" s="110" t="s">
        <v>53</v>
      </c>
      <c r="R172" s="108" t="s">
        <v>766</v>
      </c>
      <c r="S172" s="107" t="s">
        <v>561</v>
      </c>
      <c r="T172" s="107" t="s">
        <v>561</v>
      </c>
      <c r="U172" s="107" t="s">
        <v>561</v>
      </c>
      <c r="V172" s="107" t="s">
        <v>796</v>
      </c>
      <c r="W172" s="107" t="s">
        <v>796</v>
      </c>
      <c r="X172" s="53" t="s">
        <v>766</v>
      </c>
      <c r="Y172" s="107" t="s">
        <v>561</v>
      </c>
      <c r="Z172" s="53" t="s">
        <v>801</v>
      </c>
      <c r="AA172" s="107" t="s">
        <v>561</v>
      </c>
      <c r="AB172" s="53" t="s">
        <v>53</v>
      </c>
      <c r="AC172" s="53" t="s">
        <v>561</v>
      </c>
      <c r="AD172" s="107" t="s">
        <v>53</v>
      </c>
      <c r="AE172" s="107" t="s">
        <v>53</v>
      </c>
      <c r="AF172" s="107" t="s">
        <v>53</v>
      </c>
      <c r="AG172" s="107" t="s">
        <v>53</v>
      </c>
      <c r="AH172" s="107" t="s">
        <v>53</v>
      </c>
      <c r="AI172" s="107" t="s">
        <v>561</v>
      </c>
      <c r="AJ172" s="107" t="s">
        <v>561</v>
      </c>
      <c r="AK172" s="53" t="s">
        <v>801</v>
      </c>
      <c r="AL172" s="107" t="s">
        <v>561</v>
      </c>
      <c r="AM172" s="107" t="s">
        <v>561</v>
      </c>
      <c r="AN172" s="53" t="s">
        <v>561</v>
      </c>
      <c r="AO172" s="107" t="s">
        <v>561</v>
      </c>
      <c r="AP172" s="53" t="s">
        <v>561</v>
      </c>
      <c r="AQ172" s="53" t="s">
        <v>561</v>
      </c>
      <c r="AR172" s="53" t="s">
        <v>53</v>
      </c>
      <c r="AS172" s="53" t="s">
        <v>561</v>
      </c>
      <c r="AT172" s="53" t="s">
        <v>53</v>
      </c>
      <c r="AU172" s="53" t="s">
        <v>561</v>
      </c>
      <c r="AV172" s="53" t="s">
        <v>561</v>
      </c>
      <c r="AW172" s="53" t="s">
        <v>561</v>
      </c>
      <c r="AX172" s="53" t="s">
        <v>801</v>
      </c>
      <c r="AY172" s="53" t="s">
        <v>561</v>
      </c>
      <c r="AZ172" s="53" t="s">
        <v>53</v>
      </c>
      <c r="BA172" s="53" t="s">
        <v>561</v>
      </c>
      <c r="BB172" s="53" t="s">
        <v>53</v>
      </c>
      <c r="BC172" s="53" t="s">
        <v>561</v>
      </c>
      <c r="BD172" s="53" t="s">
        <v>561</v>
      </c>
      <c r="BE172" s="53" t="s">
        <v>561</v>
      </c>
      <c r="BF172" s="53" t="s">
        <v>561</v>
      </c>
      <c r="BG172" s="53" t="s">
        <v>561</v>
      </c>
      <c r="BH172" s="53" t="s">
        <v>561</v>
      </c>
      <c r="BI172" s="107" t="s">
        <v>561</v>
      </c>
      <c r="BJ172" s="107" t="s">
        <v>561</v>
      </c>
      <c r="BK172" s="53" t="s">
        <v>561</v>
      </c>
      <c r="BL172" s="53" t="s">
        <v>561</v>
      </c>
      <c r="BM172" s="53" t="s">
        <v>561</v>
      </c>
      <c r="BN172" s="53" t="s">
        <v>561</v>
      </c>
      <c r="BO172" s="53" t="s">
        <v>53</v>
      </c>
      <c r="BP172" s="53" t="s">
        <v>561</v>
      </c>
      <c r="BQ172" s="118" t="s">
        <v>821</v>
      </c>
      <c r="BR172" s="118" t="s">
        <v>821</v>
      </c>
      <c r="BS172" s="180" t="s">
        <v>1832</v>
      </c>
      <c r="BT172" s="122"/>
      <c r="BU172" s="122">
        <f t="shared" ref="BU172:BU184" si="26">SUM(BV172:BY172)</f>
        <v>34076</v>
      </c>
      <c r="BV172" s="126">
        <v>32076.0</v>
      </c>
      <c r="BW172" s="126"/>
      <c r="BX172" s="127">
        <f>2000</f>
        <v>2000</v>
      </c>
      <c r="BY172" s="127"/>
      <c r="BZ172" s="13"/>
      <c r="CA172" s="13"/>
      <c r="CB172" s="13" t="s">
        <v>561</v>
      </c>
      <c r="CC172" s="13" t="s">
        <v>561</v>
      </c>
    </row>
    <row r="173">
      <c r="A173" s="44" t="str">
        <f>LOOKUP(H173,'Letter grades'!$A$1:$B$6)</f>
        <v>F</v>
      </c>
      <c r="B173" s="44">
        <f t="shared" si="3"/>
        <v>168</v>
      </c>
      <c r="C173" s="44" t="s">
        <v>879</v>
      </c>
      <c r="D173" s="44" t="s">
        <v>880</v>
      </c>
      <c r="E173" s="98" t="s">
        <v>874</v>
      </c>
      <c r="F173" s="47">
        <f t="shared" si="4"/>
        <v>0</v>
      </c>
      <c r="G173" s="47">
        <f t="shared" si="5"/>
        <v>0.2708333333</v>
      </c>
      <c r="H173" s="105">
        <f t="shared" si="6"/>
        <v>0.1805555556</v>
      </c>
      <c r="I173" s="13" t="s">
        <v>2030</v>
      </c>
      <c r="J173" s="53" t="s">
        <v>594</v>
      </c>
      <c r="K173" s="53" t="s">
        <v>594</v>
      </c>
      <c r="L173" s="107" t="s">
        <v>594</v>
      </c>
      <c r="M173" s="53" t="s">
        <v>594</v>
      </c>
      <c r="N173" s="107" t="s">
        <v>594</v>
      </c>
      <c r="O173" s="53" t="s">
        <v>1065</v>
      </c>
      <c r="P173" s="108" t="s">
        <v>53</v>
      </c>
      <c r="Q173" s="110" t="s">
        <v>53</v>
      </c>
      <c r="R173" s="108" t="s">
        <v>766</v>
      </c>
      <c r="S173" s="107" t="s">
        <v>53</v>
      </c>
      <c r="T173" s="107" t="s">
        <v>561</v>
      </c>
      <c r="U173" s="107" t="s">
        <v>561</v>
      </c>
      <c r="V173" s="107" t="s">
        <v>766</v>
      </c>
      <c r="W173" s="107" t="s">
        <v>766</v>
      </c>
      <c r="X173" s="53" t="s">
        <v>766</v>
      </c>
      <c r="Y173" s="107" t="s">
        <v>561</v>
      </c>
      <c r="Z173" s="53" t="s">
        <v>53</v>
      </c>
      <c r="AA173" s="107" t="s">
        <v>53</v>
      </c>
      <c r="AB173" s="53" t="s">
        <v>53</v>
      </c>
      <c r="AC173" s="53" t="s">
        <v>561</v>
      </c>
      <c r="AD173" s="107" t="s">
        <v>53</v>
      </c>
      <c r="AE173" s="107" t="s">
        <v>53</v>
      </c>
      <c r="AF173" s="107" t="s">
        <v>53</v>
      </c>
      <c r="AG173" s="107" t="s">
        <v>801</v>
      </c>
      <c r="AH173" s="107" t="s">
        <v>53</v>
      </c>
      <c r="AI173" s="107" t="s">
        <v>561</v>
      </c>
      <c r="AJ173" s="107" t="s">
        <v>561</v>
      </c>
      <c r="AK173" s="107" t="s">
        <v>561</v>
      </c>
      <c r="AL173" s="107" t="s">
        <v>561</v>
      </c>
      <c r="AM173" s="107" t="s">
        <v>561</v>
      </c>
      <c r="AN173" s="53" t="s">
        <v>561</v>
      </c>
      <c r="AO173" s="107" t="s">
        <v>801</v>
      </c>
      <c r="AP173" s="53" t="s">
        <v>561</v>
      </c>
      <c r="AQ173" s="53" t="s">
        <v>561</v>
      </c>
      <c r="AR173" s="53" t="s">
        <v>53</v>
      </c>
      <c r="AS173" s="53" t="s">
        <v>561</v>
      </c>
      <c r="AT173" s="53" t="s">
        <v>561</v>
      </c>
      <c r="AU173" s="107" t="s">
        <v>801</v>
      </c>
      <c r="AV173" s="53" t="s">
        <v>561</v>
      </c>
      <c r="AW173" s="53" t="s">
        <v>561</v>
      </c>
      <c r="AX173" s="53" t="s">
        <v>561</v>
      </c>
      <c r="AY173" s="53" t="s">
        <v>561</v>
      </c>
      <c r="AZ173" s="53" t="s">
        <v>53</v>
      </c>
      <c r="BA173" s="53" t="s">
        <v>561</v>
      </c>
      <c r="BB173" s="53" t="s">
        <v>53</v>
      </c>
      <c r="BC173" s="53" t="s">
        <v>801</v>
      </c>
      <c r="BD173" s="53" t="s">
        <v>561</v>
      </c>
      <c r="BE173" s="53" t="s">
        <v>561</v>
      </c>
      <c r="BF173" s="53" t="s">
        <v>561</v>
      </c>
      <c r="BG173" s="53" t="s">
        <v>561</v>
      </c>
      <c r="BH173" s="53" t="s">
        <v>561</v>
      </c>
      <c r="BI173" s="107" t="s">
        <v>561</v>
      </c>
      <c r="BJ173" s="107" t="s">
        <v>561</v>
      </c>
      <c r="BK173" s="53" t="s">
        <v>561</v>
      </c>
      <c r="BL173" s="53" t="s">
        <v>561</v>
      </c>
      <c r="BM173" s="53" t="s">
        <v>561</v>
      </c>
      <c r="BN173" s="53" t="s">
        <v>561</v>
      </c>
      <c r="BO173" s="53" t="s">
        <v>561</v>
      </c>
      <c r="BP173" s="53" t="s">
        <v>600</v>
      </c>
      <c r="BQ173" s="180" t="s">
        <v>1832</v>
      </c>
      <c r="BR173" s="180" t="s">
        <v>1832</v>
      </c>
      <c r="BS173" s="180" t="s">
        <v>1832</v>
      </c>
      <c r="BT173" s="122"/>
      <c r="BU173" s="122">
        <f t="shared" si="26"/>
        <v>92157</v>
      </c>
      <c r="BV173" s="126">
        <v>55855.0</v>
      </c>
      <c r="BW173" s="126"/>
      <c r="BX173" s="127">
        <f>4000</f>
        <v>4000</v>
      </c>
      <c r="BY173" s="127">
        <v>32302.0</v>
      </c>
      <c r="BZ173" s="13"/>
      <c r="CA173" s="13"/>
      <c r="CB173" s="13" t="s">
        <v>561</v>
      </c>
      <c r="CC173" s="13" t="s">
        <v>561</v>
      </c>
    </row>
    <row r="174">
      <c r="A174" s="44" t="str">
        <f>LOOKUP(H174,'Letter grades'!$A$1:$B$6)</f>
        <v>F</v>
      </c>
      <c r="B174" s="44">
        <f t="shared" si="3"/>
        <v>170</v>
      </c>
      <c r="C174" s="44" t="s">
        <v>1564</v>
      </c>
      <c r="D174" s="44" t="s">
        <v>1015</v>
      </c>
      <c r="E174" s="98" t="s">
        <v>1013</v>
      </c>
      <c r="F174" s="47">
        <f t="shared" si="4"/>
        <v>0</v>
      </c>
      <c r="G174" s="47">
        <f t="shared" si="5"/>
        <v>0.2674418605</v>
      </c>
      <c r="H174" s="105">
        <f t="shared" si="6"/>
        <v>0.1782945736</v>
      </c>
      <c r="I174" s="13" t="s">
        <v>2594</v>
      </c>
      <c r="J174" s="53" t="s">
        <v>594</v>
      </c>
      <c r="K174" s="53" t="s">
        <v>594</v>
      </c>
      <c r="L174" s="107" t="s">
        <v>594</v>
      </c>
      <c r="M174" s="53" t="s">
        <v>594</v>
      </c>
      <c r="N174" s="107" t="s">
        <v>594</v>
      </c>
      <c r="O174" s="53" t="s">
        <v>1065</v>
      </c>
      <c r="P174" s="108" t="s">
        <v>53</v>
      </c>
      <c r="Q174" s="110" t="s">
        <v>53</v>
      </c>
      <c r="R174" s="108" t="s">
        <v>766</v>
      </c>
      <c r="S174" s="107" t="s">
        <v>53</v>
      </c>
      <c r="T174" s="107" t="s">
        <v>53</v>
      </c>
      <c r="U174" s="107" t="s">
        <v>53</v>
      </c>
      <c r="V174" s="107" t="s">
        <v>796</v>
      </c>
      <c r="W174" s="107" t="s">
        <v>796</v>
      </c>
      <c r="X174" s="53" t="s">
        <v>766</v>
      </c>
      <c r="Y174" s="107" t="s">
        <v>561</v>
      </c>
      <c r="Z174" s="107" t="s">
        <v>561</v>
      </c>
      <c r="AA174" s="107" t="s">
        <v>53</v>
      </c>
      <c r="AB174" s="53" t="s">
        <v>53</v>
      </c>
      <c r="AC174" s="53" t="s">
        <v>561</v>
      </c>
      <c r="AD174" s="107" t="s">
        <v>53</v>
      </c>
      <c r="AE174" s="107" t="s">
        <v>53</v>
      </c>
      <c r="AF174" s="107" t="s">
        <v>561</v>
      </c>
      <c r="AG174" s="107" t="s">
        <v>561</v>
      </c>
      <c r="AH174" s="107" t="s">
        <v>53</v>
      </c>
      <c r="AI174" s="107" t="s">
        <v>561</v>
      </c>
      <c r="AJ174" s="107" t="s">
        <v>561</v>
      </c>
      <c r="AK174" s="107" t="s">
        <v>561</v>
      </c>
      <c r="AL174" s="107" t="s">
        <v>561</v>
      </c>
      <c r="AM174" s="107" t="s">
        <v>561</v>
      </c>
      <c r="AN174" s="53" t="s">
        <v>561</v>
      </c>
      <c r="AO174" s="107" t="s">
        <v>561</v>
      </c>
      <c r="AP174" s="53" t="s">
        <v>561</v>
      </c>
      <c r="AQ174" s="53" t="s">
        <v>561</v>
      </c>
      <c r="AR174" s="53" t="s">
        <v>561</v>
      </c>
      <c r="AS174" s="53" t="s">
        <v>561</v>
      </c>
      <c r="AT174" s="53" t="s">
        <v>561</v>
      </c>
      <c r="AU174" s="53" t="s">
        <v>561</v>
      </c>
      <c r="AV174" s="53" t="s">
        <v>799</v>
      </c>
      <c r="AW174" s="53" t="s">
        <v>561</v>
      </c>
      <c r="AX174" s="53" t="s">
        <v>561</v>
      </c>
      <c r="AY174" s="53" t="s">
        <v>561</v>
      </c>
      <c r="AZ174" s="53" t="s">
        <v>561</v>
      </c>
      <c r="BA174" s="53" t="s">
        <v>561</v>
      </c>
      <c r="BB174" s="53" t="s">
        <v>53</v>
      </c>
      <c r="BC174" s="53" t="s">
        <v>561</v>
      </c>
      <c r="BD174" s="53" t="s">
        <v>561</v>
      </c>
      <c r="BE174" s="53" t="s">
        <v>561</v>
      </c>
      <c r="BF174" s="53" t="s">
        <v>561</v>
      </c>
      <c r="BG174" s="53" t="s">
        <v>561</v>
      </c>
      <c r="BH174" s="53" t="s">
        <v>561</v>
      </c>
      <c r="BI174" s="107" t="s">
        <v>600</v>
      </c>
      <c r="BJ174" s="107" t="s">
        <v>600</v>
      </c>
      <c r="BK174" s="53" t="s">
        <v>600</v>
      </c>
      <c r="BL174" s="53" t="s">
        <v>600</v>
      </c>
      <c r="BM174" s="53" t="s">
        <v>600</v>
      </c>
      <c r="BN174" s="53" t="s">
        <v>600</v>
      </c>
      <c r="BO174" s="53" t="s">
        <v>600</v>
      </c>
      <c r="BP174" s="53" t="s">
        <v>600</v>
      </c>
      <c r="BQ174" s="180" t="s">
        <v>1832</v>
      </c>
      <c r="BR174" s="180" t="s">
        <v>1832</v>
      </c>
      <c r="BS174" s="180" t="s">
        <v>1832</v>
      </c>
      <c r="BT174" s="122"/>
      <c r="BU174" s="122">
        <f t="shared" si="26"/>
        <v>400000</v>
      </c>
      <c r="BV174" s="126"/>
      <c r="BW174" s="341">
        <v>400000.0</v>
      </c>
      <c r="BX174" s="127"/>
      <c r="BY174" s="127"/>
      <c r="BZ174" s="13"/>
      <c r="CA174" s="13"/>
      <c r="CB174" s="13"/>
      <c r="CC174" s="13" t="s">
        <v>561</v>
      </c>
    </row>
    <row r="175">
      <c r="A175" s="44" t="str">
        <f>LOOKUP(H175,'Letter grades'!$A$1:$B$6)</f>
        <v>F</v>
      </c>
      <c r="B175" s="44">
        <f t="shared" si="3"/>
        <v>171</v>
      </c>
      <c r="C175" s="44" t="s">
        <v>95</v>
      </c>
      <c r="D175" s="44" t="s">
        <v>2498</v>
      </c>
      <c r="E175" s="53" t="s">
        <v>2497</v>
      </c>
      <c r="F175" s="47">
        <f t="shared" si="4"/>
        <v>0.1666666667</v>
      </c>
      <c r="G175" s="47">
        <f t="shared" si="5"/>
        <v>0.1836734694</v>
      </c>
      <c r="H175" s="105">
        <f t="shared" si="6"/>
        <v>0.1780045351</v>
      </c>
      <c r="I175" s="13" t="s">
        <v>2594</v>
      </c>
      <c r="J175" s="53" t="s">
        <v>487</v>
      </c>
      <c r="K175" s="53" t="s">
        <v>594</v>
      </c>
      <c r="L175" s="107" t="s">
        <v>594</v>
      </c>
      <c r="M175" s="53" t="s">
        <v>594</v>
      </c>
      <c r="N175" s="107" t="s">
        <v>594</v>
      </c>
      <c r="O175" s="53" t="s">
        <v>1065</v>
      </c>
      <c r="P175" s="108" t="s">
        <v>53</v>
      </c>
      <c r="Q175" s="110" t="s">
        <v>53</v>
      </c>
      <c r="R175" s="108" t="s">
        <v>766</v>
      </c>
      <c r="S175" s="107" t="s">
        <v>53</v>
      </c>
      <c r="T175" s="107" t="s">
        <v>561</v>
      </c>
      <c r="U175" s="107" t="s">
        <v>561</v>
      </c>
      <c r="V175" s="107" t="s">
        <v>796</v>
      </c>
      <c r="W175" s="107" t="s">
        <v>796</v>
      </c>
      <c r="X175" s="53" t="s">
        <v>766</v>
      </c>
      <c r="Y175" s="107" t="s">
        <v>561</v>
      </c>
      <c r="Z175" s="107" t="s">
        <v>561</v>
      </c>
      <c r="AA175" s="107" t="s">
        <v>561</v>
      </c>
      <c r="AB175" s="53" t="s">
        <v>53</v>
      </c>
      <c r="AC175" s="53" t="s">
        <v>561</v>
      </c>
      <c r="AD175" s="107" t="s">
        <v>561</v>
      </c>
      <c r="AE175" s="107" t="s">
        <v>53</v>
      </c>
      <c r="AF175" s="107" t="s">
        <v>561</v>
      </c>
      <c r="AG175" s="107" t="s">
        <v>561</v>
      </c>
      <c r="AH175" s="107" t="s">
        <v>53</v>
      </c>
      <c r="AI175" s="107" t="s">
        <v>561</v>
      </c>
      <c r="AJ175" s="107" t="s">
        <v>561</v>
      </c>
      <c r="AK175" s="107" t="s">
        <v>53</v>
      </c>
      <c r="AL175" s="107" t="s">
        <v>561</v>
      </c>
      <c r="AM175" s="107" t="s">
        <v>561</v>
      </c>
      <c r="AN175" s="53" t="s">
        <v>561</v>
      </c>
      <c r="AO175" s="107" t="s">
        <v>561</v>
      </c>
      <c r="AP175" s="53" t="s">
        <v>561</v>
      </c>
      <c r="AQ175" s="53" t="s">
        <v>561</v>
      </c>
      <c r="AR175" s="53" t="s">
        <v>561</v>
      </c>
      <c r="AS175" s="53" t="s">
        <v>561</v>
      </c>
      <c r="AT175" s="53" t="s">
        <v>561</v>
      </c>
      <c r="AU175" s="53" t="s">
        <v>561</v>
      </c>
      <c r="AV175" s="53" t="s">
        <v>561</v>
      </c>
      <c r="AW175" s="53" t="s">
        <v>561</v>
      </c>
      <c r="AX175" s="53" t="s">
        <v>561</v>
      </c>
      <c r="AY175" s="53" t="s">
        <v>561</v>
      </c>
      <c r="AZ175" s="53" t="s">
        <v>53</v>
      </c>
      <c r="BA175" s="53" t="s">
        <v>561</v>
      </c>
      <c r="BB175" s="53" t="s">
        <v>53</v>
      </c>
      <c r="BC175" s="53" t="s">
        <v>561</v>
      </c>
      <c r="BD175" s="53" t="s">
        <v>561</v>
      </c>
      <c r="BE175" s="53" t="s">
        <v>561</v>
      </c>
      <c r="BF175" s="53" t="s">
        <v>561</v>
      </c>
      <c r="BG175" s="53" t="s">
        <v>561</v>
      </c>
      <c r="BH175" s="53" t="s">
        <v>561</v>
      </c>
      <c r="BI175" s="107" t="s">
        <v>561</v>
      </c>
      <c r="BJ175" s="107" t="s">
        <v>561</v>
      </c>
      <c r="BK175" s="53" t="s">
        <v>561</v>
      </c>
      <c r="BL175" s="53" t="s">
        <v>561</v>
      </c>
      <c r="BM175" s="53" t="s">
        <v>561</v>
      </c>
      <c r="BN175" s="53" t="s">
        <v>561</v>
      </c>
      <c r="BO175" s="53" t="s">
        <v>600</v>
      </c>
      <c r="BP175" s="53" t="s">
        <v>600</v>
      </c>
      <c r="BQ175" s="118" t="s">
        <v>821</v>
      </c>
      <c r="BR175" s="180" t="s">
        <v>1832</v>
      </c>
      <c r="BS175" s="180" t="s">
        <v>1832</v>
      </c>
      <c r="BT175" s="122"/>
      <c r="BU175" s="122">
        <f t="shared" si="26"/>
        <v>26741</v>
      </c>
      <c r="BV175" s="126">
        <v>24741.0</v>
      </c>
      <c r="BW175" s="126"/>
      <c r="BX175" s="127">
        <f t="shared" ref="BX175:BX176" si="27">2000</f>
        <v>2000</v>
      </c>
      <c r="BY175" s="127"/>
      <c r="BZ175" s="13"/>
      <c r="CA175" s="13" t="s">
        <v>561</v>
      </c>
      <c r="CB175" s="13" t="s">
        <v>561</v>
      </c>
      <c r="CC175" s="13" t="s">
        <v>561</v>
      </c>
    </row>
    <row r="176">
      <c r="A176" s="44" t="str">
        <f>LOOKUP(H176,'Letter grades'!$A$1:$B$6)</f>
        <v>F</v>
      </c>
      <c r="B176" s="44">
        <f t="shared" si="3"/>
        <v>172</v>
      </c>
      <c r="C176" s="44" t="s">
        <v>1393</v>
      </c>
      <c r="D176" s="44" t="s">
        <v>1394</v>
      </c>
      <c r="E176" s="98" t="s">
        <v>1391</v>
      </c>
      <c r="F176" s="47">
        <f t="shared" si="4"/>
        <v>0</v>
      </c>
      <c r="G176" s="47">
        <f t="shared" si="5"/>
        <v>0.2659574468</v>
      </c>
      <c r="H176" s="105">
        <f t="shared" si="6"/>
        <v>0.1773049645</v>
      </c>
      <c r="I176" s="13" t="s">
        <v>2030</v>
      </c>
      <c r="J176" s="53" t="s">
        <v>594</v>
      </c>
      <c r="K176" s="53" t="s">
        <v>594</v>
      </c>
      <c r="L176" s="107" t="s">
        <v>594</v>
      </c>
      <c r="M176" s="53" t="s">
        <v>594</v>
      </c>
      <c r="N176" s="107" t="s">
        <v>594</v>
      </c>
      <c r="O176" s="53" t="s">
        <v>1065</v>
      </c>
      <c r="P176" s="108" t="s">
        <v>53</v>
      </c>
      <c r="Q176" s="110" t="s">
        <v>53</v>
      </c>
      <c r="R176" s="108" t="s">
        <v>766</v>
      </c>
      <c r="S176" s="107" t="s">
        <v>53</v>
      </c>
      <c r="T176" s="107" t="s">
        <v>561</v>
      </c>
      <c r="U176" s="107" t="s">
        <v>561</v>
      </c>
      <c r="V176" s="107" t="s">
        <v>796</v>
      </c>
      <c r="W176" s="107" t="s">
        <v>796</v>
      </c>
      <c r="X176" s="53" t="s">
        <v>766</v>
      </c>
      <c r="Y176" s="107" t="s">
        <v>561</v>
      </c>
      <c r="Z176" s="53" t="s">
        <v>53</v>
      </c>
      <c r="AA176" s="107" t="s">
        <v>561</v>
      </c>
      <c r="AB176" s="53" t="s">
        <v>53</v>
      </c>
      <c r="AC176" s="53" t="s">
        <v>561</v>
      </c>
      <c r="AD176" s="107" t="s">
        <v>561</v>
      </c>
      <c r="AE176" s="107" t="s">
        <v>53</v>
      </c>
      <c r="AF176" s="107" t="s">
        <v>561</v>
      </c>
      <c r="AG176" s="107" t="s">
        <v>53</v>
      </c>
      <c r="AH176" s="107" t="s">
        <v>53</v>
      </c>
      <c r="AI176" s="107" t="s">
        <v>561</v>
      </c>
      <c r="AJ176" s="107" t="s">
        <v>561</v>
      </c>
      <c r="AK176" s="107" t="s">
        <v>561</v>
      </c>
      <c r="AL176" s="107" t="s">
        <v>561</v>
      </c>
      <c r="AM176" s="107" t="s">
        <v>561</v>
      </c>
      <c r="AN176" s="53" t="s">
        <v>561</v>
      </c>
      <c r="AO176" s="107" t="s">
        <v>561</v>
      </c>
      <c r="AP176" s="53" t="s">
        <v>561</v>
      </c>
      <c r="AQ176" s="53" t="s">
        <v>561</v>
      </c>
      <c r="AR176" s="53" t="s">
        <v>53</v>
      </c>
      <c r="AS176" s="53" t="s">
        <v>561</v>
      </c>
      <c r="AT176" s="53" t="s">
        <v>53</v>
      </c>
      <c r="AU176" s="53" t="s">
        <v>561</v>
      </c>
      <c r="AV176" s="53" t="s">
        <v>799</v>
      </c>
      <c r="AW176" s="53" t="s">
        <v>561</v>
      </c>
      <c r="AX176" s="53" t="s">
        <v>561</v>
      </c>
      <c r="AY176" s="53" t="s">
        <v>561</v>
      </c>
      <c r="AZ176" s="53" t="s">
        <v>53</v>
      </c>
      <c r="BA176" s="53" t="s">
        <v>561</v>
      </c>
      <c r="BB176" s="53" t="s">
        <v>53</v>
      </c>
      <c r="BC176" s="53" t="s">
        <v>561</v>
      </c>
      <c r="BD176" s="53" t="s">
        <v>561</v>
      </c>
      <c r="BE176" s="53" t="s">
        <v>561</v>
      </c>
      <c r="BF176" s="53" t="s">
        <v>561</v>
      </c>
      <c r="BG176" s="53" t="s">
        <v>561</v>
      </c>
      <c r="BH176" s="53" t="s">
        <v>561</v>
      </c>
      <c r="BI176" s="107" t="s">
        <v>561</v>
      </c>
      <c r="BJ176" s="107" t="s">
        <v>561</v>
      </c>
      <c r="BK176" s="53" t="s">
        <v>561</v>
      </c>
      <c r="BL176" s="53" t="s">
        <v>561</v>
      </c>
      <c r="BM176" s="53" t="s">
        <v>600</v>
      </c>
      <c r="BN176" s="53" t="s">
        <v>600</v>
      </c>
      <c r="BO176" s="53" t="s">
        <v>600</v>
      </c>
      <c r="BP176" s="53" t="s">
        <v>600</v>
      </c>
      <c r="BQ176" s="118" t="s">
        <v>821</v>
      </c>
      <c r="BR176" s="180" t="s">
        <v>1832</v>
      </c>
      <c r="BS176" s="118" t="s">
        <v>821</v>
      </c>
      <c r="BT176" s="122"/>
      <c r="BU176" s="122">
        <f t="shared" si="26"/>
        <v>30250</v>
      </c>
      <c r="BV176" s="126">
        <v>28250.0</v>
      </c>
      <c r="BW176" s="126"/>
      <c r="BX176" s="127">
        <f t="shared" si="27"/>
        <v>2000</v>
      </c>
      <c r="BY176" s="127"/>
      <c r="BZ176" s="13"/>
      <c r="CA176" s="13"/>
      <c r="CB176" s="13"/>
      <c r="CC176" s="13" t="s">
        <v>561</v>
      </c>
    </row>
    <row r="177">
      <c r="A177" s="44" t="str">
        <f>LOOKUP(H177,'Letter grades'!$A$1:$B$6)</f>
        <v>F</v>
      </c>
      <c r="B177" s="44">
        <f t="shared" si="3"/>
        <v>173</v>
      </c>
      <c r="C177" s="44" t="s">
        <v>191</v>
      </c>
      <c r="D177" s="44" t="s">
        <v>192</v>
      </c>
      <c r="E177" s="98" t="s">
        <v>187</v>
      </c>
      <c r="F177" s="47">
        <f t="shared" si="4"/>
        <v>0.1666666667</v>
      </c>
      <c r="G177" s="47">
        <f t="shared" si="5"/>
        <v>0.18</v>
      </c>
      <c r="H177" s="105">
        <f t="shared" si="6"/>
        <v>0.1755555556</v>
      </c>
      <c r="I177" s="13" t="s">
        <v>2030</v>
      </c>
      <c r="J177" s="53" t="s">
        <v>594</v>
      </c>
      <c r="K177" s="53" t="s">
        <v>594</v>
      </c>
      <c r="L177" s="107" t="s">
        <v>594</v>
      </c>
      <c r="M177" s="53" t="s">
        <v>594</v>
      </c>
      <c r="N177" s="107" t="s">
        <v>594</v>
      </c>
      <c r="O177" s="53" t="s">
        <v>490</v>
      </c>
      <c r="P177" s="108" t="s">
        <v>53</v>
      </c>
      <c r="Q177" s="110" t="s">
        <v>53</v>
      </c>
      <c r="R177" s="108" t="s">
        <v>766</v>
      </c>
      <c r="S177" s="107" t="s">
        <v>53</v>
      </c>
      <c r="T177" s="107" t="s">
        <v>561</v>
      </c>
      <c r="U177" s="107" t="s">
        <v>561</v>
      </c>
      <c r="V177" s="107" t="s">
        <v>796</v>
      </c>
      <c r="W177" s="107" t="s">
        <v>796</v>
      </c>
      <c r="X177" s="53" t="s">
        <v>766</v>
      </c>
      <c r="Y177" s="107" t="s">
        <v>561</v>
      </c>
      <c r="Z177" s="107" t="s">
        <v>561</v>
      </c>
      <c r="AA177" s="107" t="s">
        <v>561</v>
      </c>
      <c r="AB177" s="53" t="s">
        <v>561</v>
      </c>
      <c r="AC177" s="53" t="s">
        <v>561</v>
      </c>
      <c r="AD177" s="107" t="s">
        <v>561</v>
      </c>
      <c r="AE177" s="107" t="s">
        <v>53</v>
      </c>
      <c r="AF177" s="107" t="s">
        <v>561</v>
      </c>
      <c r="AG177" s="107" t="s">
        <v>561</v>
      </c>
      <c r="AH177" s="107" t="s">
        <v>53</v>
      </c>
      <c r="AI177" s="107" t="s">
        <v>561</v>
      </c>
      <c r="AJ177" s="107" t="s">
        <v>561</v>
      </c>
      <c r="AK177" s="107" t="s">
        <v>561</v>
      </c>
      <c r="AL177" s="107" t="s">
        <v>561</v>
      </c>
      <c r="AM177" s="107" t="s">
        <v>561</v>
      </c>
      <c r="AN177" s="53" t="s">
        <v>561</v>
      </c>
      <c r="AO177" s="107" t="s">
        <v>561</v>
      </c>
      <c r="AP177" s="53" t="s">
        <v>561</v>
      </c>
      <c r="AQ177" s="53" t="s">
        <v>561</v>
      </c>
      <c r="AR177" s="53" t="s">
        <v>53</v>
      </c>
      <c r="AS177" s="53" t="s">
        <v>561</v>
      </c>
      <c r="AT177" s="53" t="s">
        <v>53</v>
      </c>
      <c r="AU177" s="53" t="s">
        <v>561</v>
      </c>
      <c r="AV177" s="53" t="s">
        <v>561</v>
      </c>
      <c r="AW177" s="53" t="s">
        <v>561</v>
      </c>
      <c r="AX177" s="53" t="s">
        <v>561</v>
      </c>
      <c r="AY177" s="53" t="s">
        <v>561</v>
      </c>
      <c r="AZ177" s="53" t="s">
        <v>53</v>
      </c>
      <c r="BA177" s="53" t="s">
        <v>561</v>
      </c>
      <c r="BB177" s="53" t="s">
        <v>53</v>
      </c>
      <c r="BC177" s="53" t="s">
        <v>561</v>
      </c>
      <c r="BD177" s="53" t="s">
        <v>561</v>
      </c>
      <c r="BE177" s="53" t="s">
        <v>561</v>
      </c>
      <c r="BF177" s="53" t="s">
        <v>561</v>
      </c>
      <c r="BG177" s="53" t="s">
        <v>561</v>
      </c>
      <c r="BH177" s="53" t="s">
        <v>561</v>
      </c>
      <c r="BI177" s="107" t="s">
        <v>561</v>
      </c>
      <c r="BJ177" s="107" t="s">
        <v>561</v>
      </c>
      <c r="BK177" s="53" t="s">
        <v>561</v>
      </c>
      <c r="BL177" s="53" t="s">
        <v>561</v>
      </c>
      <c r="BM177" s="53" t="s">
        <v>561</v>
      </c>
      <c r="BN177" s="53" t="s">
        <v>561</v>
      </c>
      <c r="BO177" s="53" t="s">
        <v>561</v>
      </c>
      <c r="BP177" s="53" t="s">
        <v>600</v>
      </c>
      <c r="BQ177" s="118" t="s">
        <v>821</v>
      </c>
      <c r="BR177" s="180" t="s">
        <v>1832</v>
      </c>
      <c r="BS177" s="180" t="s">
        <v>1832</v>
      </c>
      <c r="BT177" s="122"/>
      <c r="BU177" s="122">
        <f t="shared" si="26"/>
        <v>95600</v>
      </c>
      <c r="BV177" s="126">
        <v>95600.0</v>
      </c>
      <c r="BW177" s="126"/>
      <c r="BX177" s="127"/>
      <c r="BY177" s="127"/>
      <c r="BZ177" s="13"/>
      <c r="CA177" s="13"/>
      <c r="CB177" s="13"/>
      <c r="CC177" s="13" t="s">
        <v>561</v>
      </c>
    </row>
    <row r="178">
      <c r="A178" s="44" t="str">
        <f>LOOKUP(H178,'Letter grades'!$A$1:$B$6)</f>
        <v>F</v>
      </c>
      <c r="B178" s="44">
        <f t="shared" si="3"/>
        <v>173</v>
      </c>
      <c r="C178" s="44" t="s">
        <v>363</v>
      </c>
      <c r="D178" s="44" t="s">
        <v>364</v>
      </c>
      <c r="E178" s="98" t="s">
        <v>359</v>
      </c>
      <c r="F178" s="47">
        <f t="shared" si="4"/>
        <v>0.1666666667</v>
      </c>
      <c r="G178" s="47">
        <f t="shared" si="5"/>
        <v>0.18</v>
      </c>
      <c r="H178" s="105">
        <f t="shared" si="6"/>
        <v>0.1755555556</v>
      </c>
      <c r="I178" s="13" t="s">
        <v>2030</v>
      </c>
      <c r="J178" s="53" t="s">
        <v>594</v>
      </c>
      <c r="K178" s="53" t="s">
        <v>594</v>
      </c>
      <c r="L178" s="107" t="s">
        <v>594</v>
      </c>
      <c r="M178" s="53" t="s">
        <v>594</v>
      </c>
      <c r="N178" s="107" t="s">
        <v>594</v>
      </c>
      <c r="O178" s="53" t="s">
        <v>490</v>
      </c>
      <c r="P178" s="108" t="s">
        <v>53</v>
      </c>
      <c r="Q178" s="110" t="s">
        <v>53</v>
      </c>
      <c r="R178" s="108" t="s">
        <v>766</v>
      </c>
      <c r="S178" s="107" t="s">
        <v>53</v>
      </c>
      <c r="T178" s="107" t="s">
        <v>561</v>
      </c>
      <c r="U178" s="107" t="s">
        <v>53</v>
      </c>
      <c r="V178" s="107" t="s">
        <v>796</v>
      </c>
      <c r="W178" s="107" t="s">
        <v>796</v>
      </c>
      <c r="X178" s="53" t="s">
        <v>766</v>
      </c>
      <c r="Y178" s="107" t="s">
        <v>561</v>
      </c>
      <c r="Z178" s="107" t="s">
        <v>561</v>
      </c>
      <c r="AA178" s="107" t="s">
        <v>53</v>
      </c>
      <c r="AB178" s="53" t="s">
        <v>53</v>
      </c>
      <c r="AC178" s="53" t="s">
        <v>561</v>
      </c>
      <c r="AD178" s="107" t="s">
        <v>561</v>
      </c>
      <c r="AE178" s="107" t="s">
        <v>561</v>
      </c>
      <c r="AF178" s="107" t="s">
        <v>561</v>
      </c>
      <c r="AG178" s="107" t="s">
        <v>561</v>
      </c>
      <c r="AH178" s="107" t="s">
        <v>53</v>
      </c>
      <c r="AI178" s="107" t="s">
        <v>561</v>
      </c>
      <c r="AJ178" s="107" t="s">
        <v>561</v>
      </c>
      <c r="AK178" s="107" t="s">
        <v>561</v>
      </c>
      <c r="AL178" s="107" t="s">
        <v>561</v>
      </c>
      <c r="AM178" s="107" t="s">
        <v>561</v>
      </c>
      <c r="AN178" s="53" t="s">
        <v>561</v>
      </c>
      <c r="AO178" s="107" t="s">
        <v>561</v>
      </c>
      <c r="AP178" s="53" t="s">
        <v>561</v>
      </c>
      <c r="AQ178" s="53" t="s">
        <v>561</v>
      </c>
      <c r="AR178" s="53" t="s">
        <v>561</v>
      </c>
      <c r="AS178" s="53" t="s">
        <v>561</v>
      </c>
      <c r="AT178" s="53" t="s">
        <v>53</v>
      </c>
      <c r="AU178" s="53" t="s">
        <v>561</v>
      </c>
      <c r="AV178" s="53" t="s">
        <v>561</v>
      </c>
      <c r="AW178" s="53" t="s">
        <v>561</v>
      </c>
      <c r="AX178" s="53" t="s">
        <v>561</v>
      </c>
      <c r="AY178" s="53" t="s">
        <v>561</v>
      </c>
      <c r="AZ178" s="53" t="s">
        <v>53</v>
      </c>
      <c r="BA178" s="53" t="s">
        <v>561</v>
      </c>
      <c r="BB178" s="53" t="s">
        <v>561</v>
      </c>
      <c r="BC178" s="53" t="s">
        <v>561</v>
      </c>
      <c r="BD178" s="53" t="s">
        <v>561</v>
      </c>
      <c r="BE178" s="53" t="s">
        <v>561</v>
      </c>
      <c r="BF178" s="53" t="s">
        <v>561</v>
      </c>
      <c r="BG178" s="53" t="s">
        <v>561</v>
      </c>
      <c r="BH178" s="53" t="s">
        <v>561</v>
      </c>
      <c r="BI178" s="107" t="s">
        <v>561</v>
      </c>
      <c r="BJ178" s="107" t="s">
        <v>561</v>
      </c>
      <c r="BK178" s="53" t="s">
        <v>561</v>
      </c>
      <c r="BL178" s="53" t="s">
        <v>561</v>
      </c>
      <c r="BM178" s="53" t="s">
        <v>561</v>
      </c>
      <c r="BN178" s="53" t="s">
        <v>561</v>
      </c>
      <c r="BO178" s="53" t="s">
        <v>561</v>
      </c>
      <c r="BP178" s="53" t="s">
        <v>600</v>
      </c>
      <c r="BQ178" s="118" t="s">
        <v>821</v>
      </c>
      <c r="BR178" s="180" t="s">
        <v>1832</v>
      </c>
      <c r="BS178" s="118" t="s">
        <v>821</v>
      </c>
      <c r="BT178" s="122"/>
      <c r="BU178" s="122">
        <f t="shared" si="26"/>
        <v>52700</v>
      </c>
      <c r="BV178" s="126">
        <v>50700.0</v>
      </c>
      <c r="BW178" s="126"/>
      <c r="BX178" s="127">
        <f t="shared" ref="BX178:BX179" si="28">2000</f>
        <v>2000</v>
      </c>
      <c r="BY178" s="127"/>
      <c r="BZ178" s="13"/>
      <c r="CA178" s="13"/>
      <c r="CB178" s="13" t="s">
        <v>561</v>
      </c>
      <c r="CC178" s="13" t="s">
        <v>561</v>
      </c>
    </row>
    <row r="179">
      <c r="A179" s="44" t="str">
        <f>LOOKUP(H179,'Letter grades'!$A$1:$B$6)</f>
        <v>F</v>
      </c>
      <c r="B179" s="44">
        <f t="shared" si="3"/>
        <v>175</v>
      </c>
      <c r="C179" s="44" t="s">
        <v>1152</v>
      </c>
      <c r="D179" s="44" t="s">
        <v>1153</v>
      </c>
      <c r="E179" s="98" t="s">
        <v>1148</v>
      </c>
      <c r="F179" s="47">
        <f t="shared" si="4"/>
        <v>0</v>
      </c>
      <c r="G179" s="47">
        <f t="shared" si="5"/>
        <v>0.2608695652</v>
      </c>
      <c r="H179" s="105">
        <f t="shared" si="6"/>
        <v>0.1739130435</v>
      </c>
      <c r="I179" s="13" t="s">
        <v>2030</v>
      </c>
      <c r="J179" s="53" t="s">
        <v>594</v>
      </c>
      <c r="K179" s="53" t="s">
        <v>594</v>
      </c>
      <c r="L179" s="107" t="s">
        <v>594</v>
      </c>
      <c r="M179" s="53" t="s">
        <v>594</v>
      </c>
      <c r="N179" s="107" t="s">
        <v>594</v>
      </c>
      <c r="O179" s="53" t="s">
        <v>1065</v>
      </c>
      <c r="P179" s="108" t="s">
        <v>53</v>
      </c>
      <c r="Q179" s="110" t="s">
        <v>53</v>
      </c>
      <c r="R179" s="108" t="s">
        <v>766</v>
      </c>
      <c r="S179" s="107" t="s">
        <v>53</v>
      </c>
      <c r="T179" s="107" t="s">
        <v>561</v>
      </c>
      <c r="U179" s="107" t="s">
        <v>53</v>
      </c>
      <c r="V179" s="107" t="s">
        <v>796</v>
      </c>
      <c r="W179" s="107" t="s">
        <v>796</v>
      </c>
      <c r="X179" s="53" t="s">
        <v>766</v>
      </c>
      <c r="Y179" s="107" t="s">
        <v>801</v>
      </c>
      <c r="Z179" s="53" t="s">
        <v>801</v>
      </c>
      <c r="AA179" s="107" t="s">
        <v>53</v>
      </c>
      <c r="AB179" s="53" t="s">
        <v>801</v>
      </c>
      <c r="AC179" s="53" t="s">
        <v>561</v>
      </c>
      <c r="AD179" s="107" t="s">
        <v>53</v>
      </c>
      <c r="AE179" s="107" t="s">
        <v>53</v>
      </c>
      <c r="AF179" s="107" t="s">
        <v>561</v>
      </c>
      <c r="AG179" s="107" t="s">
        <v>561</v>
      </c>
      <c r="AH179" s="107" t="s">
        <v>53</v>
      </c>
      <c r="AI179" s="107" t="s">
        <v>561</v>
      </c>
      <c r="AJ179" s="107" t="s">
        <v>561</v>
      </c>
      <c r="AK179" s="107" t="s">
        <v>561</v>
      </c>
      <c r="AL179" s="107" t="s">
        <v>561</v>
      </c>
      <c r="AM179" s="107" t="s">
        <v>561</v>
      </c>
      <c r="AN179" s="53" t="s">
        <v>561</v>
      </c>
      <c r="AO179" s="107" t="s">
        <v>561</v>
      </c>
      <c r="AP179" s="53" t="s">
        <v>561</v>
      </c>
      <c r="AQ179" s="53" t="s">
        <v>561</v>
      </c>
      <c r="AR179" s="53" t="s">
        <v>53</v>
      </c>
      <c r="AS179" s="53" t="s">
        <v>561</v>
      </c>
      <c r="AT179" s="53" t="s">
        <v>53</v>
      </c>
      <c r="AU179" s="53" t="s">
        <v>561</v>
      </c>
      <c r="AV179" s="53" t="s">
        <v>801</v>
      </c>
      <c r="AW179" s="53" t="s">
        <v>561</v>
      </c>
      <c r="AX179" s="53" t="s">
        <v>561</v>
      </c>
      <c r="AY179" s="53" t="s">
        <v>561</v>
      </c>
      <c r="AZ179" s="53" t="s">
        <v>53</v>
      </c>
      <c r="BA179" s="53" t="s">
        <v>561</v>
      </c>
      <c r="BB179" s="53" t="s">
        <v>53</v>
      </c>
      <c r="BC179" s="53" t="s">
        <v>561</v>
      </c>
      <c r="BD179" s="53" t="s">
        <v>561</v>
      </c>
      <c r="BE179" s="53" t="s">
        <v>561</v>
      </c>
      <c r="BF179" s="53" t="s">
        <v>561</v>
      </c>
      <c r="BG179" s="53" t="s">
        <v>561</v>
      </c>
      <c r="BH179" s="53" t="s">
        <v>561</v>
      </c>
      <c r="BI179" s="107" t="s">
        <v>561</v>
      </c>
      <c r="BJ179" s="107" t="s">
        <v>561</v>
      </c>
      <c r="BK179" s="53" t="s">
        <v>561</v>
      </c>
      <c r="BL179" s="53" t="s">
        <v>561</v>
      </c>
      <c r="BM179" s="53" t="s">
        <v>561</v>
      </c>
      <c r="BN179" s="53" t="s">
        <v>561</v>
      </c>
      <c r="BO179" s="53" t="s">
        <v>561</v>
      </c>
      <c r="BP179" s="53" t="s">
        <v>600</v>
      </c>
      <c r="BQ179" s="118" t="s">
        <v>821</v>
      </c>
      <c r="BR179" s="180" t="s">
        <v>1832</v>
      </c>
      <c r="BS179" s="118" t="s">
        <v>821</v>
      </c>
      <c r="BT179" s="122"/>
      <c r="BU179" s="122">
        <f t="shared" si="26"/>
        <v>107339</v>
      </c>
      <c r="BV179" s="126">
        <v>105339.0</v>
      </c>
      <c r="BW179" s="126"/>
      <c r="BX179" s="127">
        <f t="shared" si="28"/>
        <v>2000</v>
      </c>
      <c r="BY179" s="127"/>
      <c r="BZ179" s="13"/>
      <c r="CA179" s="13"/>
      <c r="CB179" s="13" t="s">
        <v>561</v>
      </c>
      <c r="CC179" s="13" t="s">
        <v>561</v>
      </c>
    </row>
    <row r="180">
      <c r="A180" s="44" t="str">
        <f>LOOKUP(H180,'Letter grades'!$A$1:$B$6)</f>
        <v>F</v>
      </c>
      <c r="B180" s="44">
        <f t="shared" si="3"/>
        <v>176</v>
      </c>
      <c r="C180" s="44" t="s">
        <v>426</v>
      </c>
      <c r="D180" s="44" t="s">
        <v>2461</v>
      </c>
      <c r="E180" s="53" t="s">
        <v>2460</v>
      </c>
      <c r="F180" s="47">
        <f t="shared" si="4"/>
        <v>0.1666666667</v>
      </c>
      <c r="G180" s="47">
        <f t="shared" si="5"/>
        <v>0.170212766</v>
      </c>
      <c r="H180" s="105">
        <f t="shared" si="6"/>
        <v>0.1690307329</v>
      </c>
      <c r="I180" s="13" t="s">
        <v>2819</v>
      </c>
      <c r="J180" s="53" t="s">
        <v>594</v>
      </c>
      <c r="K180" s="53" t="s">
        <v>594</v>
      </c>
      <c r="L180" s="107" t="s">
        <v>594</v>
      </c>
      <c r="M180" s="53" t="s">
        <v>594</v>
      </c>
      <c r="N180" s="107" t="s">
        <v>594</v>
      </c>
      <c r="O180" s="53" t="s">
        <v>490</v>
      </c>
      <c r="P180" s="108" t="s">
        <v>53</v>
      </c>
      <c r="Q180" s="110" t="s">
        <v>53</v>
      </c>
      <c r="R180" s="108" t="s">
        <v>766</v>
      </c>
      <c r="S180" s="107" t="s">
        <v>53</v>
      </c>
      <c r="T180" s="107" t="s">
        <v>561</v>
      </c>
      <c r="U180" s="107" t="s">
        <v>801</v>
      </c>
      <c r="V180" s="107" t="s">
        <v>766</v>
      </c>
      <c r="W180" s="107" t="s">
        <v>766</v>
      </c>
      <c r="X180" s="53" t="s">
        <v>766</v>
      </c>
      <c r="Y180" s="107" t="s">
        <v>801</v>
      </c>
      <c r="Z180" s="53" t="s">
        <v>801</v>
      </c>
      <c r="AA180" s="107" t="s">
        <v>561</v>
      </c>
      <c r="AB180" s="53" t="s">
        <v>53</v>
      </c>
      <c r="AC180" s="53" t="s">
        <v>561</v>
      </c>
      <c r="AD180" s="107" t="s">
        <v>561</v>
      </c>
      <c r="AE180" s="107" t="s">
        <v>53</v>
      </c>
      <c r="AF180" s="107" t="s">
        <v>561</v>
      </c>
      <c r="AG180" s="107" t="s">
        <v>53</v>
      </c>
      <c r="AH180" s="107" t="s">
        <v>53</v>
      </c>
      <c r="AI180" s="107" t="s">
        <v>561</v>
      </c>
      <c r="AJ180" s="107" t="s">
        <v>561</v>
      </c>
      <c r="AK180" s="107" t="s">
        <v>561</v>
      </c>
      <c r="AL180" s="107" t="s">
        <v>561</v>
      </c>
      <c r="AM180" s="107" t="s">
        <v>561</v>
      </c>
      <c r="AN180" s="53" t="s">
        <v>561</v>
      </c>
      <c r="AO180" s="107" t="s">
        <v>801</v>
      </c>
      <c r="AP180" s="53" t="s">
        <v>561</v>
      </c>
      <c r="AQ180" s="53" t="s">
        <v>561</v>
      </c>
      <c r="AR180" s="53" t="s">
        <v>561</v>
      </c>
      <c r="AS180" s="53" t="s">
        <v>561</v>
      </c>
      <c r="AT180" s="53" t="s">
        <v>561</v>
      </c>
      <c r="AU180" s="53" t="s">
        <v>561</v>
      </c>
      <c r="AV180" s="53" t="s">
        <v>561</v>
      </c>
      <c r="AW180" s="107" t="s">
        <v>801</v>
      </c>
      <c r="AX180" s="53" t="s">
        <v>561</v>
      </c>
      <c r="AY180" s="53" t="s">
        <v>561</v>
      </c>
      <c r="AZ180" s="53" t="s">
        <v>561</v>
      </c>
      <c r="BA180" s="53" t="s">
        <v>561</v>
      </c>
      <c r="BB180" s="53" t="s">
        <v>53</v>
      </c>
      <c r="BC180" s="53" t="s">
        <v>801</v>
      </c>
      <c r="BD180" s="53" t="s">
        <v>561</v>
      </c>
      <c r="BE180" s="53" t="s">
        <v>561</v>
      </c>
      <c r="BF180" s="53" t="s">
        <v>561</v>
      </c>
      <c r="BG180" s="53" t="s">
        <v>561</v>
      </c>
      <c r="BH180" s="53" t="s">
        <v>561</v>
      </c>
      <c r="BI180" s="107" t="s">
        <v>561</v>
      </c>
      <c r="BJ180" s="107" t="s">
        <v>561</v>
      </c>
      <c r="BK180" s="53" t="s">
        <v>561</v>
      </c>
      <c r="BL180" s="53" t="s">
        <v>561</v>
      </c>
      <c r="BM180" s="53" t="s">
        <v>561</v>
      </c>
      <c r="BN180" s="53" t="s">
        <v>561</v>
      </c>
      <c r="BO180" s="53" t="s">
        <v>561</v>
      </c>
      <c r="BP180" s="53" t="s">
        <v>561</v>
      </c>
      <c r="BQ180" s="180" t="s">
        <v>1832</v>
      </c>
      <c r="BR180" s="180" t="s">
        <v>1832</v>
      </c>
      <c r="BS180" s="180" t="s">
        <v>1832</v>
      </c>
      <c r="BT180" s="122"/>
      <c r="BU180" s="122">
        <f t="shared" si="26"/>
        <v>95800</v>
      </c>
      <c r="BV180" s="126">
        <v>95800.0</v>
      </c>
      <c r="BW180" s="126"/>
      <c r="BX180" s="127"/>
      <c r="BY180" s="127"/>
      <c r="BZ180" s="13"/>
      <c r="CA180" s="13"/>
      <c r="CB180" s="13"/>
      <c r="CC180" s="13" t="s">
        <v>561</v>
      </c>
    </row>
    <row r="181">
      <c r="A181" s="44" t="str">
        <f>LOOKUP(H181,'Letter grades'!$A$1:$B$6)</f>
        <v>F</v>
      </c>
      <c r="B181" s="44">
        <f t="shared" si="3"/>
        <v>177</v>
      </c>
      <c r="C181" s="44" t="s">
        <v>461</v>
      </c>
      <c r="D181" s="44" t="s">
        <v>462</v>
      </c>
      <c r="E181" s="98" t="s">
        <v>456</v>
      </c>
      <c r="F181" s="47">
        <f t="shared" si="4"/>
        <v>0</v>
      </c>
      <c r="G181" s="47">
        <f t="shared" si="5"/>
        <v>0.2448979592</v>
      </c>
      <c r="H181" s="105">
        <f t="shared" si="6"/>
        <v>0.1632653061</v>
      </c>
      <c r="I181" s="13" t="s">
        <v>122</v>
      </c>
      <c r="J181" s="53" t="s">
        <v>594</v>
      </c>
      <c r="K181" s="53" t="s">
        <v>594</v>
      </c>
      <c r="L181" s="107" t="s">
        <v>594</v>
      </c>
      <c r="M181" s="53" t="s">
        <v>594</v>
      </c>
      <c r="N181" s="107" t="s">
        <v>594</v>
      </c>
      <c r="O181" s="53" t="s">
        <v>1065</v>
      </c>
      <c r="P181" s="108" t="s">
        <v>53</v>
      </c>
      <c r="Q181" s="110" t="s">
        <v>53</v>
      </c>
      <c r="R181" s="108" t="s">
        <v>766</v>
      </c>
      <c r="S181" s="107" t="s">
        <v>53</v>
      </c>
      <c r="T181" s="107" t="s">
        <v>801</v>
      </c>
      <c r="U181" s="107" t="s">
        <v>561</v>
      </c>
      <c r="V181" s="107" t="s">
        <v>796</v>
      </c>
      <c r="W181" s="107" t="s">
        <v>796</v>
      </c>
      <c r="X181" s="53" t="s">
        <v>766</v>
      </c>
      <c r="Y181" s="107" t="s">
        <v>561</v>
      </c>
      <c r="Z181" s="53" t="s">
        <v>53</v>
      </c>
      <c r="AA181" s="107" t="s">
        <v>561</v>
      </c>
      <c r="AB181" s="53" t="s">
        <v>53</v>
      </c>
      <c r="AC181" s="53" t="s">
        <v>801</v>
      </c>
      <c r="AD181" s="107" t="s">
        <v>561</v>
      </c>
      <c r="AE181" s="107" t="s">
        <v>53</v>
      </c>
      <c r="AF181" s="107" t="s">
        <v>53</v>
      </c>
      <c r="AG181" s="107" t="s">
        <v>53</v>
      </c>
      <c r="AH181" s="107" t="s">
        <v>53</v>
      </c>
      <c r="AI181" s="107" t="s">
        <v>561</v>
      </c>
      <c r="AJ181" s="107" t="s">
        <v>561</v>
      </c>
      <c r="AK181" s="107" t="s">
        <v>561</v>
      </c>
      <c r="AL181" s="107" t="s">
        <v>561</v>
      </c>
      <c r="AM181" s="107" t="s">
        <v>561</v>
      </c>
      <c r="AN181" s="53" t="s">
        <v>561</v>
      </c>
      <c r="AO181" s="107" t="s">
        <v>561</v>
      </c>
      <c r="AP181" s="53" t="s">
        <v>561</v>
      </c>
      <c r="AQ181" s="53" t="s">
        <v>561</v>
      </c>
      <c r="AR181" s="53" t="s">
        <v>561</v>
      </c>
      <c r="AS181" s="53" t="s">
        <v>561</v>
      </c>
      <c r="AT181" s="53" t="s">
        <v>53</v>
      </c>
      <c r="AU181" s="53" t="s">
        <v>561</v>
      </c>
      <c r="AV181" s="53" t="s">
        <v>561</v>
      </c>
      <c r="AW181" s="53" t="s">
        <v>561</v>
      </c>
      <c r="AX181" s="53" t="s">
        <v>561</v>
      </c>
      <c r="AY181" s="53" t="s">
        <v>561</v>
      </c>
      <c r="AZ181" s="53" t="s">
        <v>53</v>
      </c>
      <c r="BA181" s="53" t="s">
        <v>561</v>
      </c>
      <c r="BB181" s="53" t="s">
        <v>53</v>
      </c>
      <c r="BC181" s="53" t="s">
        <v>561</v>
      </c>
      <c r="BD181" s="53" t="s">
        <v>561</v>
      </c>
      <c r="BE181" s="53" t="s">
        <v>561</v>
      </c>
      <c r="BF181" s="53" t="s">
        <v>561</v>
      </c>
      <c r="BG181" s="53" t="s">
        <v>561</v>
      </c>
      <c r="BH181" s="53" t="s">
        <v>561</v>
      </c>
      <c r="BI181" s="107" t="s">
        <v>561</v>
      </c>
      <c r="BJ181" s="107" t="s">
        <v>561</v>
      </c>
      <c r="BK181" s="53" t="s">
        <v>561</v>
      </c>
      <c r="BL181" s="53" t="s">
        <v>561</v>
      </c>
      <c r="BM181" s="53" t="s">
        <v>561</v>
      </c>
      <c r="BN181" s="53" t="s">
        <v>561</v>
      </c>
      <c r="BO181" s="53" t="s">
        <v>561</v>
      </c>
      <c r="BP181" s="53" t="s">
        <v>561</v>
      </c>
      <c r="BQ181" s="118" t="s">
        <v>821</v>
      </c>
      <c r="BR181" s="118" t="s">
        <v>821</v>
      </c>
      <c r="BS181" s="180" t="s">
        <v>1832</v>
      </c>
      <c r="BT181" s="122"/>
      <c r="BU181" s="122">
        <f t="shared" si="26"/>
        <v>29360</v>
      </c>
      <c r="BV181" s="126">
        <v>29360.0</v>
      </c>
      <c r="BW181" s="126"/>
      <c r="BX181" s="127"/>
      <c r="BY181" s="127"/>
      <c r="BZ181" s="13"/>
      <c r="CA181" s="13"/>
      <c r="CB181" s="13"/>
      <c r="CC181" s="13" t="s">
        <v>561</v>
      </c>
    </row>
    <row r="182">
      <c r="A182" s="44" t="str">
        <f>LOOKUP(H182,'Letter grades'!$A$1:$B$6)</f>
        <v>F</v>
      </c>
      <c r="B182" s="44">
        <f t="shared" si="3"/>
        <v>177</v>
      </c>
      <c r="C182" s="44" t="s">
        <v>2634</v>
      </c>
      <c r="D182" s="44" t="s">
        <v>1062</v>
      </c>
      <c r="E182" s="98" t="s">
        <v>1059</v>
      </c>
      <c r="F182" s="47">
        <f t="shared" si="4"/>
        <v>0</v>
      </c>
      <c r="G182" s="47">
        <f t="shared" si="5"/>
        <v>0.2448979592</v>
      </c>
      <c r="H182" s="105">
        <f t="shared" si="6"/>
        <v>0.1632653061</v>
      </c>
      <c r="I182" s="13" t="s">
        <v>2030</v>
      </c>
      <c r="J182" s="53" t="s">
        <v>594</v>
      </c>
      <c r="K182" s="53" t="s">
        <v>594</v>
      </c>
      <c r="L182" s="107" t="s">
        <v>594</v>
      </c>
      <c r="M182" s="53" t="s">
        <v>594</v>
      </c>
      <c r="N182" s="107" t="s">
        <v>594</v>
      </c>
      <c r="O182" s="53" t="s">
        <v>1065</v>
      </c>
      <c r="P182" s="108" t="s">
        <v>53</v>
      </c>
      <c r="Q182" s="110" t="s">
        <v>53</v>
      </c>
      <c r="R182" s="108" t="s">
        <v>766</v>
      </c>
      <c r="S182" s="107" t="s">
        <v>53</v>
      </c>
      <c r="T182" s="107" t="s">
        <v>561</v>
      </c>
      <c r="U182" s="107" t="s">
        <v>561</v>
      </c>
      <c r="V182" s="107" t="s">
        <v>796</v>
      </c>
      <c r="W182" s="107" t="s">
        <v>796</v>
      </c>
      <c r="X182" s="53" t="s">
        <v>766</v>
      </c>
      <c r="Y182" s="107" t="s">
        <v>561</v>
      </c>
      <c r="Z182" s="53" t="s">
        <v>53</v>
      </c>
      <c r="AA182" s="107" t="s">
        <v>561</v>
      </c>
      <c r="AB182" s="53" t="s">
        <v>53</v>
      </c>
      <c r="AC182" s="53" t="s">
        <v>561</v>
      </c>
      <c r="AD182" s="107" t="s">
        <v>53</v>
      </c>
      <c r="AE182" s="107" t="s">
        <v>53</v>
      </c>
      <c r="AF182" s="107" t="s">
        <v>561</v>
      </c>
      <c r="AG182" s="107" t="s">
        <v>53</v>
      </c>
      <c r="AH182" s="107" t="s">
        <v>53</v>
      </c>
      <c r="AI182" s="107" t="s">
        <v>561</v>
      </c>
      <c r="AJ182" s="107" t="s">
        <v>561</v>
      </c>
      <c r="AK182" s="107" t="s">
        <v>561</v>
      </c>
      <c r="AL182" s="107" t="s">
        <v>561</v>
      </c>
      <c r="AM182" s="107" t="s">
        <v>561</v>
      </c>
      <c r="AN182" s="53" t="s">
        <v>561</v>
      </c>
      <c r="AO182" s="107" t="s">
        <v>561</v>
      </c>
      <c r="AP182" s="53" t="s">
        <v>561</v>
      </c>
      <c r="AQ182" s="53" t="s">
        <v>561</v>
      </c>
      <c r="AR182" s="53" t="s">
        <v>53</v>
      </c>
      <c r="AS182" s="53" t="s">
        <v>561</v>
      </c>
      <c r="AT182" s="53" t="s">
        <v>561</v>
      </c>
      <c r="AU182" s="53" t="s">
        <v>561</v>
      </c>
      <c r="AV182" s="53" t="s">
        <v>561</v>
      </c>
      <c r="AW182" s="53" t="s">
        <v>561</v>
      </c>
      <c r="AX182" s="53" t="s">
        <v>561</v>
      </c>
      <c r="AY182" s="53" t="s">
        <v>561</v>
      </c>
      <c r="AZ182" s="53" t="s">
        <v>53</v>
      </c>
      <c r="BA182" s="53" t="s">
        <v>561</v>
      </c>
      <c r="BB182" s="53" t="s">
        <v>53</v>
      </c>
      <c r="BC182" s="53" t="s">
        <v>561</v>
      </c>
      <c r="BD182" s="53" t="s">
        <v>561</v>
      </c>
      <c r="BE182" s="53" t="s">
        <v>561</v>
      </c>
      <c r="BF182" s="53" t="s">
        <v>561</v>
      </c>
      <c r="BG182" s="53" t="s">
        <v>561</v>
      </c>
      <c r="BH182" s="53" t="s">
        <v>561</v>
      </c>
      <c r="BI182" s="107" t="s">
        <v>561</v>
      </c>
      <c r="BJ182" s="107" t="s">
        <v>561</v>
      </c>
      <c r="BK182" s="53" t="s">
        <v>561</v>
      </c>
      <c r="BL182" s="53" t="s">
        <v>561</v>
      </c>
      <c r="BM182" s="53" t="s">
        <v>561</v>
      </c>
      <c r="BN182" s="53" t="s">
        <v>561</v>
      </c>
      <c r="BO182" s="53" t="s">
        <v>600</v>
      </c>
      <c r="BP182" s="53" t="s">
        <v>600</v>
      </c>
      <c r="BQ182" s="180" t="s">
        <v>1832</v>
      </c>
      <c r="BR182" s="118" t="s">
        <v>821</v>
      </c>
      <c r="BS182" s="118" t="s">
        <v>821</v>
      </c>
      <c r="BT182" s="122"/>
      <c r="BU182" s="122">
        <f t="shared" si="26"/>
        <v>48901</v>
      </c>
      <c r="BV182" s="126">
        <v>46901.0</v>
      </c>
      <c r="BW182" s="126"/>
      <c r="BX182" s="127">
        <f>2000</f>
        <v>2000</v>
      </c>
      <c r="BY182" s="127"/>
      <c r="BZ182" s="13"/>
      <c r="CA182" s="13"/>
      <c r="CB182" s="13" t="s">
        <v>561</v>
      </c>
      <c r="CC182" s="13" t="s">
        <v>561</v>
      </c>
    </row>
    <row r="183">
      <c r="A183" s="44" t="str">
        <f>LOOKUP(H183,'Letter grades'!$A$1:$B$6)</f>
        <v>F</v>
      </c>
      <c r="B183" s="44">
        <f t="shared" si="3"/>
        <v>179</v>
      </c>
      <c r="C183" s="44" t="s">
        <v>73</v>
      </c>
      <c r="D183" s="44" t="s">
        <v>74</v>
      </c>
      <c r="E183" s="98" t="s">
        <v>69</v>
      </c>
      <c r="F183" s="47">
        <f t="shared" si="4"/>
        <v>0.1666666667</v>
      </c>
      <c r="G183" s="47">
        <f t="shared" si="5"/>
        <v>0.16</v>
      </c>
      <c r="H183" s="105">
        <f t="shared" si="6"/>
        <v>0.1622222222</v>
      </c>
      <c r="I183" s="13" t="s">
        <v>2030</v>
      </c>
      <c r="J183" s="53" t="s">
        <v>594</v>
      </c>
      <c r="K183" s="53" t="s">
        <v>594</v>
      </c>
      <c r="L183" s="107" t="s">
        <v>594</v>
      </c>
      <c r="M183" s="53" t="s">
        <v>594</v>
      </c>
      <c r="N183" s="107" t="s">
        <v>594</v>
      </c>
      <c r="O183" s="53" t="s">
        <v>490</v>
      </c>
      <c r="P183" s="108" t="s">
        <v>53</v>
      </c>
      <c r="Q183" s="110" t="s">
        <v>53</v>
      </c>
      <c r="R183" s="108" t="s">
        <v>766</v>
      </c>
      <c r="S183" s="107" t="s">
        <v>53</v>
      </c>
      <c r="T183" s="107" t="s">
        <v>561</v>
      </c>
      <c r="U183" s="107" t="s">
        <v>561</v>
      </c>
      <c r="V183" s="107" t="s">
        <v>766</v>
      </c>
      <c r="W183" s="107" t="s">
        <v>766</v>
      </c>
      <c r="X183" s="53" t="s">
        <v>766</v>
      </c>
      <c r="Y183" s="107" t="s">
        <v>561</v>
      </c>
      <c r="Z183" s="53" t="s">
        <v>801</v>
      </c>
      <c r="AA183" s="107" t="s">
        <v>561</v>
      </c>
      <c r="AB183" s="53" t="s">
        <v>53</v>
      </c>
      <c r="AC183" s="53" t="s">
        <v>561</v>
      </c>
      <c r="AD183" s="107" t="s">
        <v>561</v>
      </c>
      <c r="AE183" s="107" t="s">
        <v>53</v>
      </c>
      <c r="AF183" s="107" t="s">
        <v>561</v>
      </c>
      <c r="AG183" s="107" t="s">
        <v>561</v>
      </c>
      <c r="AH183" s="107" t="s">
        <v>53</v>
      </c>
      <c r="AI183" s="107" t="s">
        <v>561</v>
      </c>
      <c r="AJ183" s="107" t="s">
        <v>561</v>
      </c>
      <c r="AK183" s="107" t="s">
        <v>561</v>
      </c>
      <c r="AL183" s="107" t="s">
        <v>561</v>
      </c>
      <c r="AM183" s="107" t="s">
        <v>561</v>
      </c>
      <c r="AN183" s="53" t="s">
        <v>561</v>
      </c>
      <c r="AO183" s="107" t="s">
        <v>561</v>
      </c>
      <c r="AP183" s="53" t="s">
        <v>561</v>
      </c>
      <c r="AQ183" s="53" t="s">
        <v>561</v>
      </c>
      <c r="AR183" s="53" t="s">
        <v>561</v>
      </c>
      <c r="AS183" s="53" t="s">
        <v>561</v>
      </c>
      <c r="AT183" s="53" t="s">
        <v>561</v>
      </c>
      <c r="AU183" s="53" t="s">
        <v>561</v>
      </c>
      <c r="AV183" s="53" t="s">
        <v>561</v>
      </c>
      <c r="AW183" s="53" t="s">
        <v>561</v>
      </c>
      <c r="AX183" s="53" t="s">
        <v>561</v>
      </c>
      <c r="AY183" s="53" t="s">
        <v>561</v>
      </c>
      <c r="AZ183" s="53" t="s">
        <v>53</v>
      </c>
      <c r="BA183" s="53" t="s">
        <v>561</v>
      </c>
      <c r="BB183" s="53" t="s">
        <v>53</v>
      </c>
      <c r="BC183" s="53" t="s">
        <v>561</v>
      </c>
      <c r="BD183" s="53" t="s">
        <v>561</v>
      </c>
      <c r="BE183" s="53" t="s">
        <v>561</v>
      </c>
      <c r="BF183" s="53" t="s">
        <v>561</v>
      </c>
      <c r="BG183" s="53" t="s">
        <v>561</v>
      </c>
      <c r="BH183" s="53" t="s">
        <v>561</v>
      </c>
      <c r="BI183" s="107" t="s">
        <v>561</v>
      </c>
      <c r="BJ183" s="107" t="s">
        <v>561</v>
      </c>
      <c r="BK183" s="53" t="s">
        <v>561</v>
      </c>
      <c r="BL183" s="53" t="s">
        <v>561</v>
      </c>
      <c r="BM183" s="53" t="s">
        <v>561</v>
      </c>
      <c r="BN183" s="53" t="s">
        <v>561</v>
      </c>
      <c r="BO183" s="53" t="s">
        <v>600</v>
      </c>
      <c r="BP183" s="53" t="s">
        <v>600</v>
      </c>
      <c r="BQ183" s="180" t="s">
        <v>1832</v>
      </c>
      <c r="BR183" s="180" t="s">
        <v>1832</v>
      </c>
      <c r="BS183" s="118" t="s">
        <v>821</v>
      </c>
      <c r="BT183" s="122"/>
      <c r="BU183" s="122">
        <f t="shared" si="26"/>
        <v>51625</v>
      </c>
      <c r="BV183" s="126">
        <v>51625.0</v>
      </c>
      <c r="BW183" s="126"/>
      <c r="BX183" s="127"/>
      <c r="BY183" s="127"/>
      <c r="BZ183" s="13"/>
      <c r="CA183" s="13"/>
      <c r="CB183" s="13"/>
      <c r="CC183" s="13" t="s">
        <v>561</v>
      </c>
    </row>
    <row r="184">
      <c r="A184" s="44" t="str">
        <f>LOOKUP(H184,'Letter grades'!$A$1:$B$6)</f>
        <v>F</v>
      </c>
      <c r="B184" s="44">
        <f t="shared" si="3"/>
        <v>180</v>
      </c>
      <c r="C184" s="44" t="s">
        <v>1297</v>
      </c>
      <c r="D184" s="44" t="s">
        <v>1298</v>
      </c>
      <c r="E184" s="98" t="s">
        <v>1295</v>
      </c>
      <c r="F184" s="47">
        <f t="shared" si="4"/>
        <v>0</v>
      </c>
      <c r="G184" s="47">
        <f t="shared" si="5"/>
        <v>0.2291666667</v>
      </c>
      <c r="H184" s="105">
        <f t="shared" si="6"/>
        <v>0.1527777778</v>
      </c>
      <c r="I184" s="13" t="s">
        <v>122</v>
      </c>
      <c r="J184" s="53" t="s">
        <v>594</v>
      </c>
      <c r="K184" s="53" t="s">
        <v>594</v>
      </c>
      <c r="L184" s="107" t="s">
        <v>594</v>
      </c>
      <c r="M184" s="53" t="s">
        <v>594</v>
      </c>
      <c r="N184" s="107" t="s">
        <v>594</v>
      </c>
      <c r="O184" s="53" t="s">
        <v>1065</v>
      </c>
      <c r="P184" s="108" t="s">
        <v>53</v>
      </c>
      <c r="Q184" s="110" t="s">
        <v>53</v>
      </c>
      <c r="R184" s="108" t="s">
        <v>766</v>
      </c>
      <c r="S184" s="107" t="s">
        <v>561</v>
      </c>
      <c r="T184" s="107" t="s">
        <v>561</v>
      </c>
      <c r="U184" s="107" t="s">
        <v>561</v>
      </c>
      <c r="V184" s="107" t="s">
        <v>796</v>
      </c>
      <c r="W184" s="107" t="s">
        <v>796</v>
      </c>
      <c r="X184" s="53" t="s">
        <v>766</v>
      </c>
      <c r="Y184" s="107" t="s">
        <v>561</v>
      </c>
      <c r="Z184" s="107" t="s">
        <v>561</v>
      </c>
      <c r="AA184" s="107" t="s">
        <v>53</v>
      </c>
      <c r="AB184" s="53" t="s">
        <v>53</v>
      </c>
      <c r="AC184" s="53" t="s">
        <v>561</v>
      </c>
      <c r="AD184" s="107" t="s">
        <v>53</v>
      </c>
      <c r="AE184" s="107" t="s">
        <v>53</v>
      </c>
      <c r="AF184" s="107" t="s">
        <v>561</v>
      </c>
      <c r="AG184" s="107" t="s">
        <v>561</v>
      </c>
      <c r="AH184" s="107" t="s">
        <v>53</v>
      </c>
      <c r="AI184" s="107" t="s">
        <v>561</v>
      </c>
      <c r="AJ184" s="107" t="s">
        <v>561</v>
      </c>
      <c r="AK184" s="107" t="s">
        <v>561</v>
      </c>
      <c r="AL184" s="107" t="s">
        <v>561</v>
      </c>
      <c r="AM184" s="107" t="s">
        <v>561</v>
      </c>
      <c r="AN184" s="53" t="s">
        <v>561</v>
      </c>
      <c r="AO184" s="107" t="s">
        <v>561</v>
      </c>
      <c r="AP184" s="53" t="s">
        <v>561</v>
      </c>
      <c r="AQ184" s="53" t="s">
        <v>561</v>
      </c>
      <c r="AR184" s="53" t="s">
        <v>53</v>
      </c>
      <c r="AS184" s="53" t="s">
        <v>561</v>
      </c>
      <c r="AT184" s="53" t="s">
        <v>53</v>
      </c>
      <c r="AU184" s="53" t="s">
        <v>561</v>
      </c>
      <c r="AV184" s="53" t="s">
        <v>561</v>
      </c>
      <c r="AW184" s="53" t="s">
        <v>561</v>
      </c>
      <c r="AX184" s="53" t="s">
        <v>801</v>
      </c>
      <c r="AY184" s="53" t="s">
        <v>561</v>
      </c>
      <c r="AZ184" s="53" t="s">
        <v>53</v>
      </c>
      <c r="BA184" s="53" t="s">
        <v>561</v>
      </c>
      <c r="BB184" s="53" t="s">
        <v>53</v>
      </c>
      <c r="BC184" s="53" t="s">
        <v>561</v>
      </c>
      <c r="BD184" s="53" t="s">
        <v>561</v>
      </c>
      <c r="BE184" s="53" t="s">
        <v>801</v>
      </c>
      <c r="BF184" s="53" t="s">
        <v>561</v>
      </c>
      <c r="BG184" s="53" t="s">
        <v>561</v>
      </c>
      <c r="BH184" s="53" t="s">
        <v>561</v>
      </c>
      <c r="BI184" s="107" t="s">
        <v>561</v>
      </c>
      <c r="BJ184" s="107" t="s">
        <v>561</v>
      </c>
      <c r="BK184" s="53" t="s">
        <v>561</v>
      </c>
      <c r="BL184" s="53" t="s">
        <v>561</v>
      </c>
      <c r="BM184" s="53" t="s">
        <v>561</v>
      </c>
      <c r="BN184" s="53" t="s">
        <v>561</v>
      </c>
      <c r="BO184" s="53" t="s">
        <v>561</v>
      </c>
      <c r="BP184" s="53" t="s">
        <v>600</v>
      </c>
      <c r="BQ184" s="118" t="s">
        <v>821</v>
      </c>
      <c r="BR184" s="180" t="s">
        <v>1832</v>
      </c>
      <c r="BS184" s="118" t="s">
        <v>821</v>
      </c>
      <c r="BT184" s="122"/>
      <c r="BU184" s="122">
        <f t="shared" si="26"/>
        <v>33850</v>
      </c>
      <c r="BV184" s="126">
        <v>33850.0</v>
      </c>
      <c r="BW184" s="126"/>
      <c r="BX184" s="127"/>
      <c r="BY184" s="127"/>
      <c r="BZ184" s="13"/>
      <c r="CA184" s="13"/>
      <c r="CB184" s="13"/>
      <c r="CC184" s="13" t="s">
        <v>561</v>
      </c>
    </row>
    <row r="185">
      <c r="A185" s="44" t="str">
        <f>LOOKUP(H185,'Letter grades'!$A$1:$B$6)</f>
        <v>F</v>
      </c>
      <c r="B185" s="44">
        <f t="shared" si="3"/>
        <v>181</v>
      </c>
      <c r="C185" s="107" t="s">
        <v>2821</v>
      </c>
      <c r="D185" s="107" t="s">
        <v>2457</v>
      </c>
      <c r="E185" s="148" t="s">
        <v>2456</v>
      </c>
      <c r="F185" s="47">
        <f t="shared" si="4"/>
        <v>0</v>
      </c>
      <c r="G185" s="47">
        <f t="shared" si="5"/>
        <v>0.2222222222</v>
      </c>
      <c r="H185" s="105">
        <f t="shared" si="6"/>
        <v>0.1481481481</v>
      </c>
      <c r="I185" s="13" t="s">
        <v>2030</v>
      </c>
      <c r="J185" s="53" t="s">
        <v>594</v>
      </c>
      <c r="K185" s="53" t="s">
        <v>594</v>
      </c>
      <c r="L185" s="107" t="s">
        <v>594</v>
      </c>
      <c r="M185" s="53" t="s">
        <v>594</v>
      </c>
      <c r="N185" s="107" t="s">
        <v>594</v>
      </c>
      <c r="O185" s="53" t="s">
        <v>1065</v>
      </c>
      <c r="P185" s="108" t="s">
        <v>561</v>
      </c>
      <c r="Q185" s="110" t="s">
        <v>53</v>
      </c>
      <c r="R185" s="108" t="s">
        <v>766</v>
      </c>
      <c r="S185" s="107" t="s">
        <v>53</v>
      </c>
      <c r="T185" s="107" t="s">
        <v>561</v>
      </c>
      <c r="U185" s="107" t="s">
        <v>561</v>
      </c>
      <c r="V185" s="107" t="s">
        <v>796</v>
      </c>
      <c r="W185" s="107" t="s">
        <v>796</v>
      </c>
      <c r="X185" s="53" t="s">
        <v>766</v>
      </c>
      <c r="Y185" s="107" t="s">
        <v>561</v>
      </c>
      <c r="Z185" s="107" t="s">
        <v>561</v>
      </c>
      <c r="AA185" s="53" t="s">
        <v>600</v>
      </c>
      <c r="AB185" s="53" t="s">
        <v>600</v>
      </c>
      <c r="AC185" s="53" t="s">
        <v>600</v>
      </c>
      <c r="AD185" s="53" t="s">
        <v>600</v>
      </c>
      <c r="AE185" s="53" t="s">
        <v>600</v>
      </c>
      <c r="AF185" s="53" t="s">
        <v>600</v>
      </c>
      <c r="AG185" s="53" t="s">
        <v>600</v>
      </c>
      <c r="AH185" s="53" t="s">
        <v>600</v>
      </c>
      <c r="AI185" s="53" t="s">
        <v>600</v>
      </c>
      <c r="AJ185" s="53" t="s">
        <v>600</v>
      </c>
      <c r="AK185" s="53" t="s">
        <v>600</v>
      </c>
      <c r="AL185" s="53" t="s">
        <v>600</v>
      </c>
      <c r="AM185" s="53" t="s">
        <v>600</v>
      </c>
      <c r="AN185" s="53" t="s">
        <v>600</v>
      </c>
      <c r="AO185" s="53" t="s">
        <v>600</v>
      </c>
      <c r="AP185" s="53" t="s">
        <v>600</v>
      </c>
      <c r="AQ185" s="53" t="s">
        <v>600</v>
      </c>
      <c r="AR185" s="53" t="s">
        <v>600</v>
      </c>
      <c r="AS185" s="53" t="s">
        <v>600</v>
      </c>
      <c r="AT185" s="53" t="s">
        <v>600</v>
      </c>
      <c r="AU185" s="53" t="s">
        <v>600</v>
      </c>
      <c r="AV185" s="53" t="s">
        <v>600</v>
      </c>
      <c r="AW185" s="53" t="s">
        <v>600</v>
      </c>
      <c r="AX185" s="53" t="s">
        <v>600</v>
      </c>
      <c r="AY185" s="53" t="s">
        <v>600</v>
      </c>
      <c r="AZ185" s="53" t="s">
        <v>600</v>
      </c>
      <c r="BA185" s="53" t="s">
        <v>600</v>
      </c>
      <c r="BB185" s="53" t="s">
        <v>600</v>
      </c>
      <c r="BC185" s="53" t="s">
        <v>600</v>
      </c>
      <c r="BD185" s="53" t="s">
        <v>600</v>
      </c>
      <c r="BE185" s="53" t="s">
        <v>600</v>
      </c>
      <c r="BF185" s="53" t="s">
        <v>600</v>
      </c>
      <c r="BG185" s="53" t="s">
        <v>600</v>
      </c>
      <c r="BH185" s="53" t="s">
        <v>600</v>
      </c>
      <c r="BI185" s="107" t="s">
        <v>600</v>
      </c>
      <c r="BJ185" s="107" t="s">
        <v>600</v>
      </c>
      <c r="BK185" s="53" t="s">
        <v>600</v>
      </c>
      <c r="BL185" s="53" t="s">
        <v>600</v>
      </c>
      <c r="BM185" s="53" t="s">
        <v>600</v>
      </c>
      <c r="BN185" s="53" t="s">
        <v>600</v>
      </c>
      <c r="BO185" s="53" t="s">
        <v>600</v>
      </c>
      <c r="BP185" s="53" t="s">
        <v>600</v>
      </c>
      <c r="BQ185" s="118" t="s">
        <v>821</v>
      </c>
      <c r="BR185" s="53" t="s">
        <v>600</v>
      </c>
      <c r="BS185" s="53" t="s">
        <v>600</v>
      </c>
      <c r="BT185" s="122"/>
      <c r="BU185" s="122"/>
      <c r="BV185" s="126"/>
      <c r="BW185" s="126"/>
      <c r="BX185" s="127"/>
      <c r="BY185" s="127"/>
      <c r="BZ185" s="13"/>
      <c r="CA185" s="13"/>
      <c r="CB185" s="13"/>
      <c r="CC185" s="13"/>
    </row>
    <row r="186">
      <c r="A186" s="44" t="str">
        <f>LOOKUP(H186,'Letter grades'!$A$1:$B$6)</f>
        <v>F</v>
      </c>
      <c r="B186" s="44">
        <f t="shared" si="3"/>
        <v>182</v>
      </c>
      <c r="C186" s="44" t="s">
        <v>643</v>
      </c>
      <c r="D186" s="44" t="s">
        <v>897</v>
      </c>
      <c r="E186" s="98" t="s">
        <v>894</v>
      </c>
      <c r="F186" s="47">
        <f t="shared" si="4"/>
        <v>0.1666666667</v>
      </c>
      <c r="G186" s="47">
        <f t="shared" si="5"/>
        <v>0.1326530612</v>
      </c>
      <c r="H186" s="105">
        <f t="shared" si="6"/>
        <v>0.1439909297</v>
      </c>
      <c r="I186" s="13" t="s">
        <v>2030</v>
      </c>
      <c r="J186" s="53" t="s">
        <v>487</v>
      </c>
      <c r="K186" s="53" t="s">
        <v>594</v>
      </c>
      <c r="L186" s="107" t="s">
        <v>594</v>
      </c>
      <c r="M186" s="53" t="s">
        <v>594</v>
      </c>
      <c r="N186" s="107" t="s">
        <v>594</v>
      </c>
      <c r="O186" s="53" t="s">
        <v>1065</v>
      </c>
      <c r="P186" s="108" t="s">
        <v>53</v>
      </c>
      <c r="Q186" s="110" t="s">
        <v>53</v>
      </c>
      <c r="R186" s="108" t="s">
        <v>799</v>
      </c>
      <c r="S186" s="107" t="s">
        <v>53</v>
      </c>
      <c r="T186" s="107" t="s">
        <v>561</v>
      </c>
      <c r="U186" s="107" t="s">
        <v>561</v>
      </c>
      <c r="V186" s="107" t="s">
        <v>796</v>
      </c>
      <c r="W186" s="107" t="s">
        <v>796</v>
      </c>
      <c r="X186" s="53" t="s">
        <v>766</v>
      </c>
      <c r="Y186" s="107" t="s">
        <v>561</v>
      </c>
      <c r="Z186" s="107" t="s">
        <v>561</v>
      </c>
      <c r="AA186" s="107" t="s">
        <v>561</v>
      </c>
      <c r="AB186" s="53" t="s">
        <v>53</v>
      </c>
      <c r="AC186" s="53" t="s">
        <v>561</v>
      </c>
      <c r="AD186" s="107" t="s">
        <v>561</v>
      </c>
      <c r="AE186" s="107" t="s">
        <v>561</v>
      </c>
      <c r="AF186" s="107" t="s">
        <v>561</v>
      </c>
      <c r="AG186" s="107" t="s">
        <v>561</v>
      </c>
      <c r="AH186" s="107" t="s">
        <v>53</v>
      </c>
      <c r="AI186" s="107" t="s">
        <v>561</v>
      </c>
      <c r="AJ186" s="107" t="s">
        <v>561</v>
      </c>
      <c r="AK186" s="107" t="s">
        <v>561</v>
      </c>
      <c r="AL186" s="107" t="s">
        <v>561</v>
      </c>
      <c r="AM186" s="107" t="s">
        <v>561</v>
      </c>
      <c r="AN186" s="53" t="s">
        <v>561</v>
      </c>
      <c r="AO186" s="107" t="s">
        <v>561</v>
      </c>
      <c r="AP186" s="53" t="s">
        <v>561</v>
      </c>
      <c r="AQ186" s="53" t="s">
        <v>561</v>
      </c>
      <c r="AR186" s="53" t="s">
        <v>561</v>
      </c>
      <c r="AS186" s="53" t="s">
        <v>561</v>
      </c>
      <c r="AT186" s="53" t="s">
        <v>561</v>
      </c>
      <c r="AU186" s="53" t="s">
        <v>561</v>
      </c>
      <c r="AV186" s="53" t="s">
        <v>561</v>
      </c>
      <c r="AW186" s="53" t="s">
        <v>561</v>
      </c>
      <c r="AX186" s="53" t="s">
        <v>561</v>
      </c>
      <c r="AY186" s="53" t="s">
        <v>561</v>
      </c>
      <c r="AZ186" s="53" t="s">
        <v>561</v>
      </c>
      <c r="BA186" s="53" t="s">
        <v>561</v>
      </c>
      <c r="BB186" s="53" t="s">
        <v>53</v>
      </c>
      <c r="BC186" s="53" t="s">
        <v>561</v>
      </c>
      <c r="BD186" s="53" t="s">
        <v>561</v>
      </c>
      <c r="BE186" s="53" t="s">
        <v>561</v>
      </c>
      <c r="BF186" s="53" t="s">
        <v>561</v>
      </c>
      <c r="BG186" s="53" t="s">
        <v>561</v>
      </c>
      <c r="BH186" s="53" t="s">
        <v>561</v>
      </c>
      <c r="BI186" s="107" t="s">
        <v>561</v>
      </c>
      <c r="BJ186" s="107" t="s">
        <v>561</v>
      </c>
      <c r="BK186" s="53" t="s">
        <v>561</v>
      </c>
      <c r="BL186" s="53" t="s">
        <v>561</v>
      </c>
      <c r="BM186" s="53" t="s">
        <v>561</v>
      </c>
      <c r="BN186" s="53" t="s">
        <v>561</v>
      </c>
      <c r="BO186" s="53" t="s">
        <v>600</v>
      </c>
      <c r="BP186" s="53" t="s">
        <v>600</v>
      </c>
      <c r="BQ186" s="118" t="s">
        <v>821</v>
      </c>
      <c r="BR186" s="180" t="s">
        <v>1832</v>
      </c>
      <c r="BS186" s="180" t="s">
        <v>1832</v>
      </c>
      <c r="BT186" s="122"/>
      <c r="BU186" s="122">
        <f t="shared" ref="BU186:BU202" si="29">SUM(BV186:BY186)</f>
        <v>146027</v>
      </c>
      <c r="BV186" s="126">
        <v>144027.0</v>
      </c>
      <c r="BW186" s="126"/>
      <c r="BX186" s="127">
        <f>2000</f>
        <v>2000</v>
      </c>
      <c r="BY186" s="127"/>
      <c r="BZ186" s="13"/>
      <c r="CA186" s="13"/>
      <c r="CB186" s="13" t="s">
        <v>561</v>
      </c>
      <c r="CC186" s="13" t="s">
        <v>561</v>
      </c>
    </row>
    <row r="187">
      <c r="A187" s="44" t="str">
        <f>LOOKUP(H187,'Letter grades'!$A$1:$B$6)</f>
        <v>F</v>
      </c>
      <c r="B187" s="44">
        <f t="shared" si="3"/>
        <v>183</v>
      </c>
      <c r="C187" s="44" t="s">
        <v>652</v>
      </c>
      <c r="D187" s="44" t="s">
        <v>653</v>
      </c>
      <c r="E187" s="98" t="s">
        <v>649</v>
      </c>
      <c r="F187" s="47">
        <f t="shared" si="4"/>
        <v>0</v>
      </c>
      <c r="G187" s="47">
        <f t="shared" si="5"/>
        <v>0.2127659574</v>
      </c>
      <c r="H187" s="105">
        <f t="shared" si="6"/>
        <v>0.1418439716</v>
      </c>
      <c r="I187" s="13" t="s">
        <v>122</v>
      </c>
      <c r="J187" s="53" t="s">
        <v>594</v>
      </c>
      <c r="K187" s="53" t="s">
        <v>594</v>
      </c>
      <c r="L187" s="107" t="s">
        <v>594</v>
      </c>
      <c r="M187" s="53" t="s">
        <v>594</v>
      </c>
      <c r="N187" s="107" t="s">
        <v>594</v>
      </c>
      <c r="O187" s="53" t="s">
        <v>1065</v>
      </c>
      <c r="P187" s="108" t="s">
        <v>53</v>
      </c>
      <c r="Q187" s="110" t="s">
        <v>53</v>
      </c>
      <c r="R187" s="108" t="s">
        <v>766</v>
      </c>
      <c r="S187" s="107" t="s">
        <v>53</v>
      </c>
      <c r="T187" s="107" t="s">
        <v>561</v>
      </c>
      <c r="U187" s="107" t="s">
        <v>561</v>
      </c>
      <c r="V187" s="107" t="s">
        <v>796</v>
      </c>
      <c r="W187" s="107" t="s">
        <v>796</v>
      </c>
      <c r="X187" s="53" t="s">
        <v>766</v>
      </c>
      <c r="Y187" s="107" t="s">
        <v>561</v>
      </c>
      <c r="Z187" s="53" t="s">
        <v>53</v>
      </c>
      <c r="AA187" s="107" t="s">
        <v>561</v>
      </c>
      <c r="AB187" s="53" t="s">
        <v>53</v>
      </c>
      <c r="AC187" s="53" t="s">
        <v>561</v>
      </c>
      <c r="AD187" s="107" t="s">
        <v>561</v>
      </c>
      <c r="AE187" s="107" t="s">
        <v>53</v>
      </c>
      <c r="AF187" s="107" t="s">
        <v>561</v>
      </c>
      <c r="AG187" s="107" t="s">
        <v>53</v>
      </c>
      <c r="AH187" s="107" t="s">
        <v>53</v>
      </c>
      <c r="AI187" s="107" t="s">
        <v>561</v>
      </c>
      <c r="AJ187" s="107" t="s">
        <v>561</v>
      </c>
      <c r="AK187" s="107" t="s">
        <v>561</v>
      </c>
      <c r="AL187" s="107" t="s">
        <v>561</v>
      </c>
      <c r="AM187" s="107" t="s">
        <v>561</v>
      </c>
      <c r="AN187" s="53" t="s">
        <v>561</v>
      </c>
      <c r="AO187" s="107" t="s">
        <v>561</v>
      </c>
      <c r="AP187" s="53" t="s">
        <v>561</v>
      </c>
      <c r="AQ187" s="53" t="s">
        <v>561</v>
      </c>
      <c r="AR187" s="53" t="s">
        <v>561</v>
      </c>
      <c r="AS187" s="53" t="s">
        <v>561</v>
      </c>
      <c r="AT187" s="53" t="s">
        <v>561</v>
      </c>
      <c r="AU187" s="53" t="s">
        <v>561</v>
      </c>
      <c r="AV187" s="53" t="s">
        <v>561</v>
      </c>
      <c r="AW187" s="53" t="s">
        <v>561</v>
      </c>
      <c r="AX187" s="53" t="s">
        <v>561</v>
      </c>
      <c r="AY187" s="53" t="s">
        <v>561</v>
      </c>
      <c r="AZ187" s="53" t="s">
        <v>53</v>
      </c>
      <c r="BA187" s="53" t="s">
        <v>561</v>
      </c>
      <c r="BB187" s="53" t="s">
        <v>53</v>
      </c>
      <c r="BC187" s="53" t="s">
        <v>561</v>
      </c>
      <c r="BD187" s="53" t="s">
        <v>561</v>
      </c>
      <c r="BE187" s="53" t="s">
        <v>561</v>
      </c>
      <c r="BF187" s="53" t="s">
        <v>561</v>
      </c>
      <c r="BG187" s="53" t="s">
        <v>561</v>
      </c>
      <c r="BH187" s="53" t="s">
        <v>561</v>
      </c>
      <c r="BI187" s="107" t="s">
        <v>561</v>
      </c>
      <c r="BJ187" s="107" t="s">
        <v>561</v>
      </c>
      <c r="BK187" s="53" t="s">
        <v>561</v>
      </c>
      <c r="BL187" s="53" t="s">
        <v>561</v>
      </c>
      <c r="BM187" s="53" t="s">
        <v>600</v>
      </c>
      <c r="BN187" s="53" t="s">
        <v>600</v>
      </c>
      <c r="BO187" s="53" t="s">
        <v>600</v>
      </c>
      <c r="BP187" s="53" t="s">
        <v>600</v>
      </c>
      <c r="BQ187" s="118" t="s">
        <v>821</v>
      </c>
      <c r="BR187" s="180" t="s">
        <v>1832</v>
      </c>
      <c r="BS187" s="180" t="s">
        <v>1832</v>
      </c>
      <c r="BT187" s="122"/>
      <c r="BU187" s="122">
        <f t="shared" si="29"/>
        <v>39139</v>
      </c>
      <c r="BV187" s="126">
        <v>39139.0</v>
      </c>
      <c r="BW187" s="126"/>
      <c r="BX187" s="127"/>
      <c r="BY187" s="127"/>
      <c r="BZ187" s="13"/>
      <c r="CA187" s="13"/>
      <c r="CB187" s="13"/>
      <c r="CC187" s="13" t="s">
        <v>561</v>
      </c>
    </row>
    <row r="188">
      <c r="A188" s="44" t="str">
        <f>LOOKUP(H188,'Letter grades'!$A$1:$B$6)</f>
        <v>F</v>
      </c>
      <c r="B188" s="44">
        <f t="shared" si="3"/>
        <v>184</v>
      </c>
      <c r="C188" s="44" t="s">
        <v>258</v>
      </c>
      <c r="D188" s="44" t="s">
        <v>259</v>
      </c>
      <c r="E188" s="98" t="s">
        <v>253</v>
      </c>
      <c r="F188" s="47">
        <f t="shared" si="4"/>
        <v>0</v>
      </c>
      <c r="G188" s="47">
        <f t="shared" si="5"/>
        <v>0.2115384615</v>
      </c>
      <c r="H188" s="105">
        <f t="shared" si="6"/>
        <v>0.141025641</v>
      </c>
      <c r="I188" s="13" t="s">
        <v>2030</v>
      </c>
      <c r="J188" s="53" t="s">
        <v>594</v>
      </c>
      <c r="K188" s="53" t="s">
        <v>594</v>
      </c>
      <c r="L188" s="107" t="s">
        <v>594</v>
      </c>
      <c r="M188" s="53" t="s">
        <v>594</v>
      </c>
      <c r="N188" s="107" t="s">
        <v>594</v>
      </c>
      <c r="O188" s="53" t="s">
        <v>1065</v>
      </c>
      <c r="P188" s="108" t="s">
        <v>53</v>
      </c>
      <c r="Q188" s="110" t="s">
        <v>53</v>
      </c>
      <c r="R188" s="108" t="s">
        <v>766</v>
      </c>
      <c r="S188" s="107" t="s">
        <v>53</v>
      </c>
      <c r="T188" s="107" t="s">
        <v>561</v>
      </c>
      <c r="U188" s="107" t="s">
        <v>53</v>
      </c>
      <c r="V188" s="107" t="s">
        <v>766</v>
      </c>
      <c r="W188" s="107" t="s">
        <v>766</v>
      </c>
      <c r="X188" s="53" t="s">
        <v>766</v>
      </c>
      <c r="Y188" s="107" t="s">
        <v>561</v>
      </c>
      <c r="Z188" s="53" t="s">
        <v>801</v>
      </c>
      <c r="AA188" s="107" t="s">
        <v>53</v>
      </c>
      <c r="AB188" s="53" t="s">
        <v>53</v>
      </c>
      <c r="AC188" s="53" t="s">
        <v>561</v>
      </c>
      <c r="AD188" s="107" t="s">
        <v>561</v>
      </c>
      <c r="AE188" s="107" t="s">
        <v>53</v>
      </c>
      <c r="AF188" s="107" t="s">
        <v>561</v>
      </c>
      <c r="AG188" s="107" t="s">
        <v>53</v>
      </c>
      <c r="AH188" s="107" t="s">
        <v>53</v>
      </c>
      <c r="AI188" s="107" t="s">
        <v>561</v>
      </c>
      <c r="AJ188" s="107" t="s">
        <v>561</v>
      </c>
      <c r="AK188" s="107" t="s">
        <v>561</v>
      </c>
      <c r="AL188" s="107" t="s">
        <v>561</v>
      </c>
      <c r="AM188" s="107" t="s">
        <v>561</v>
      </c>
      <c r="AN188" s="53" t="s">
        <v>561</v>
      </c>
      <c r="AO188" s="107" t="s">
        <v>561</v>
      </c>
      <c r="AP188" s="53" t="s">
        <v>561</v>
      </c>
      <c r="AQ188" s="53" t="s">
        <v>561</v>
      </c>
      <c r="AR188" s="53" t="s">
        <v>561</v>
      </c>
      <c r="AS188" s="53" t="s">
        <v>561</v>
      </c>
      <c r="AT188" s="53" t="s">
        <v>561</v>
      </c>
      <c r="AU188" s="53" t="s">
        <v>561</v>
      </c>
      <c r="AV188" s="53" t="s">
        <v>561</v>
      </c>
      <c r="AW188" s="53" t="s">
        <v>561</v>
      </c>
      <c r="AX188" s="53" t="s">
        <v>561</v>
      </c>
      <c r="AY188" s="53" t="s">
        <v>561</v>
      </c>
      <c r="AZ188" s="53" t="s">
        <v>53</v>
      </c>
      <c r="BA188" s="53" t="s">
        <v>561</v>
      </c>
      <c r="BB188" s="53" t="s">
        <v>53</v>
      </c>
      <c r="BC188" s="53" t="s">
        <v>561</v>
      </c>
      <c r="BD188" s="53" t="s">
        <v>561</v>
      </c>
      <c r="BE188" s="53" t="s">
        <v>561</v>
      </c>
      <c r="BF188" s="53" t="s">
        <v>561</v>
      </c>
      <c r="BG188" s="53" t="s">
        <v>561</v>
      </c>
      <c r="BH188" s="53" t="s">
        <v>561</v>
      </c>
      <c r="BI188" s="107" t="s">
        <v>561</v>
      </c>
      <c r="BJ188" s="107" t="s">
        <v>561</v>
      </c>
      <c r="BK188" s="53" t="s">
        <v>561</v>
      </c>
      <c r="BL188" s="53" t="s">
        <v>561</v>
      </c>
      <c r="BM188" s="53" t="s">
        <v>561</v>
      </c>
      <c r="BN188" s="53" t="s">
        <v>561</v>
      </c>
      <c r="BO188" s="53" t="s">
        <v>561</v>
      </c>
      <c r="BP188" s="53" t="s">
        <v>561</v>
      </c>
      <c r="BQ188" s="180" t="s">
        <v>1832</v>
      </c>
      <c r="BR188" s="180" t="s">
        <v>1832</v>
      </c>
      <c r="BS188" s="180" t="s">
        <v>1832</v>
      </c>
      <c r="BT188" s="122"/>
      <c r="BU188" s="122">
        <f t="shared" si="29"/>
        <v>27100</v>
      </c>
      <c r="BV188" s="126">
        <v>25100.0</v>
      </c>
      <c r="BW188" s="126"/>
      <c r="BX188" s="127">
        <f>2000</f>
        <v>2000</v>
      </c>
      <c r="BY188" s="127"/>
      <c r="BZ188" s="13"/>
      <c r="CA188" s="13"/>
      <c r="CB188" s="13" t="s">
        <v>561</v>
      </c>
      <c r="CC188" s="13" t="s">
        <v>561</v>
      </c>
    </row>
    <row r="189">
      <c r="A189" s="44" t="str">
        <f>LOOKUP(H189,'Letter grades'!$A$1:$B$6)</f>
        <v>F</v>
      </c>
      <c r="B189" s="44">
        <f t="shared" si="3"/>
        <v>185</v>
      </c>
      <c r="C189" s="44" t="s">
        <v>827</v>
      </c>
      <c r="D189" s="44" t="s">
        <v>828</v>
      </c>
      <c r="E189" s="98" t="s">
        <v>825</v>
      </c>
      <c r="F189" s="47">
        <f t="shared" si="4"/>
        <v>0</v>
      </c>
      <c r="G189" s="47">
        <f t="shared" si="5"/>
        <v>0.2093023256</v>
      </c>
      <c r="H189" s="105">
        <f t="shared" si="6"/>
        <v>0.1395348837</v>
      </c>
      <c r="I189" s="13" t="s">
        <v>2030</v>
      </c>
      <c r="J189" s="53" t="s">
        <v>594</v>
      </c>
      <c r="K189" s="53" t="s">
        <v>594</v>
      </c>
      <c r="L189" s="107" t="s">
        <v>594</v>
      </c>
      <c r="M189" s="53" t="s">
        <v>594</v>
      </c>
      <c r="N189" s="107" t="s">
        <v>594</v>
      </c>
      <c r="O189" s="53" t="s">
        <v>1065</v>
      </c>
      <c r="P189" s="108" t="s">
        <v>53</v>
      </c>
      <c r="Q189" s="110" t="s">
        <v>53</v>
      </c>
      <c r="R189" s="108" t="s">
        <v>766</v>
      </c>
      <c r="S189" s="107" t="s">
        <v>53</v>
      </c>
      <c r="T189" s="107" t="s">
        <v>561</v>
      </c>
      <c r="U189" s="107" t="s">
        <v>53</v>
      </c>
      <c r="V189" s="107" t="s">
        <v>796</v>
      </c>
      <c r="W189" s="107" t="s">
        <v>796</v>
      </c>
      <c r="X189" s="53" t="s">
        <v>766</v>
      </c>
      <c r="Y189" s="107" t="s">
        <v>561</v>
      </c>
      <c r="Z189" s="107" t="s">
        <v>561</v>
      </c>
      <c r="AA189" s="107" t="s">
        <v>561</v>
      </c>
      <c r="AB189" s="53" t="s">
        <v>53</v>
      </c>
      <c r="AC189" s="53" t="s">
        <v>561</v>
      </c>
      <c r="AD189" s="107" t="s">
        <v>561</v>
      </c>
      <c r="AE189" s="107" t="s">
        <v>53</v>
      </c>
      <c r="AF189" s="107" t="s">
        <v>561</v>
      </c>
      <c r="AG189" s="107" t="s">
        <v>561</v>
      </c>
      <c r="AH189" s="107" t="s">
        <v>53</v>
      </c>
      <c r="AI189" s="107" t="s">
        <v>561</v>
      </c>
      <c r="AJ189" s="107" t="s">
        <v>561</v>
      </c>
      <c r="AK189" s="107" t="s">
        <v>561</v>
      </c>
      <c r="AL189" s="107" t="s">
        <v>561</v>
      </c>
      <c r="AM189" s="107" t="s">
        <v>561</v>
      </c>
      <c r="AN189" s="53" t="s">
        <v>561</v>
      </c>
      <c r="AO189" s="107" t="s">
        <v>561</v>
      </c>
      <c r="AP189" s="53" t="s">
        <v>561</v>
      </c>
      <c r="AQ189" s="53" t="s">
        <v>561</v>
      </c>
      <c r="AR189" s="53" t="s">
        <v>561</v>
      </c>
      <c r="AS189" s="53" t="s">
        <v>561</v>
      </c>
      <c r="AT189" s="53" t="s">
        <v>561</v>
      </c>
      <c r="AU189" s="53" t="s">
        <v>561</v>
      </c>
      <c r="AV189" s="53" t="s">
        <v>561</v>
      </c>
      <c r="AW189" s="53" t="s">
        <v>561</v>
      </c>
      <c r="AX189" s="53" t="s">
        <v>561</v>
      </c>
      <c r="AY189" s="53" t="s">
        <v>561</v>
      </c>
      <c r="AZ189" s="53" t="s">
        <v>53</v>
      </c>
      <c r="BA189" s="53" t="s">
        <v>561</v>
      </c>
      <c r="BB189" s="53" t="s">
        <v>53</v>
      </c>
      <c r="BC189" s="53" t="s">
        <v>561</v>
      </c>
      <c r="BD189" s="53" t="s">
        <v>561</v>
      </c>
      <c r="BE189" s="53" t="s">
        <v>561</v>
      </c>
      <c r="BF189" s="53" t="s">
        <v>561</v>
      </c>
      <c r="BG189" s="53" t="s">
        <v>561</v>
      </c>
      <c r="BH189" s="53" t="s">
        <v>561</v>
      </c>
      <c r="BI189" s="107" t="s">
        <v>600</v>
      </c>
      <c r="BJ189" s="107" t="s">
        <v>600</v>
      </c>
      <c r="BK189" s="53" t="s">
        <v>600</v>
      </c>
      <c r="BL189" s="53" t="s">
        <v>600</v>
      </c>
      <c r="BM189" s="53" t="s">
        <v>600</v>
      </c>
      <c r="BN189" s="53" t="s">
        <v>600</v>
      </c>
      <c r="BO189" s="53" t="s">
        <v>600</v>
      </c>
      <c r="BP189" s="53" t="s">
        <v>600</v>
      </c>
      <c r="BQ189" s="180" t="s">
        <v>1832</v>
      </c>
      <c r="BR189" s="180" t="s">
        <v>1832</v>
      </c>
      <c r="BS189" s="180" t="s">
        <v>1832</v>
      </c>
      <c r="BT189" s="122"/>
      <c r="BU189" s="122">
        <f t="shared" si="29"/>
        <v>-4329831</v>
      </c>
      <c r="BV189" s="126">
        <v>-159300.0</v>
      </c>
      <c r="BW189" s="126">
        <v>-4168531.0</v>
      </c>
      <c r="BX189" s="127">
        <f>-2000</f>
        <v>-2000</v>
      </c>
      <c r="BY189" s="127"/>
      <c r="BZ189" s="13"/>
      <c r="CA189" s="13"/>
      <c r="CB189" s="13"/>
      <c r="CC189" s="13"/>
    </row>
    <row r="190">
      <c r="A190" s="44" t="str">
        <f>LOOKUP(H190,'Letter grades'!$A$1:$B$6)</f>
        <v>F</v>
      </c>
      <c r="B190" s="44">
        <f t="shared" si="3"/>
        <v>186</v>
      </c>
      <c r="C190" s="44" t="s">
        <v>285</v>
      </c>
      <c r="D190" s="44" t="s">
        <v>286</v>
      </c>
      <c r="E190" s="98" t="s">
        <v>281</v>
      </c>
      <c r="F190" s="47">
        <f t="shared" si="4"/>
        <v>0</v>
      </c>
      <c r="G190" s="47">
        <f t="shared" si="5"/>
        <v>0.2058823529</v>
      </c>
      <c r="H190" s="105">
        <f t="shared" si="6"/>
        <v>0.137254902</v>
      </c>
      <c r="I190" s="13" t="s">
        <v>122</v>
      </c>
      <c r="J190" s="53" t="s">
        <v>594</v>
      </c>
      <c r="K190" s="53" t="s">
        <v>594</v>
      </c>
      <c r="L190" s="107" t="s">
        <v>594</v>
      </c>
      <c r="M190" s="53" t="s">
        <v>594</v>
      </c>
      <c r="N190" s="107" t="s">
        <v>594</v>
      </c>
      <c r="O190" s="53" t="s">
        <v>1065</v>
      </c>
      <c r="P190" s="108" t="s">
        <v>53</v>
      </c>
      <c r="Q190" s="110" t="s">
        <v>53</v>
      </c>
      <c r="R190" s="108" t="s">
        <v>766</v>
      </c>
      <c r="S190" s="107" t="s">
        <v>53</v>
      </c>
      <c r="T190" s="107" t="s">
        <v>561</v>
      </c>
      <c r="U190" s="107" t="s">
        <v>561</v>
      </c>
      <c r="V190" s="107" t="s">
        <v>766</v>
      </c>
      <c r="W190" s="107" t="s">
        <v>766</v>
      </c>
      <c r="X190" s="53" t="s">
        <v>766</v>
      </c>
      <c r="Y190" s="107" t="s">
        <v>561</v>
      </c>
      <c r="Z190" s="53" t="s">
        <v>801</v>
      </c>
      <c r="AA190" s="107" t="s">
        <v>561</v>
      </c>
      <c r="AB190" s="53" t="s">
        <v>53</v>
      </c>
      <c r="AC190" s="53" t="s">
        <v>561</v>
      </c>
      <c r="AD190" s="107" t="s">
        <v>53</v>
      </c>
      <c r="AE190" s="107" t="s">
        <v>53</v>
      </c>
      <c r="AF190" s="107" t="s">
        <v>561</v>
      </c>
      <c r="AG190" s="107" t="s">
        <v>53</v>
      </c>
      <c r="AH190" s="107" t="s">
        <v>53</v>
      </c>
      <c r="AI190" s="107" t="s">
        <v>561</v>
      </c>
      <c r="AJ190" s="107" t="s">
        <v>561</v>
      </c>
      <c r="AK190" s="107" t="s">
        <v>561</v>
      </c>
      <c r="AL190" s="107" t="s">
        <v>561</v>
      </c>
      <c r="AM190" s="107" t="s">
        <v>561</v>
      </c>
      <c r="AN190" s="53" t="s">
        <v>561</v>
      </c>
      <c r="AO190" s="107" t="s">
        <v>561</v>
      </c>
      <c r="AP190" s="53" t="s">
        <v>561</v>
      </c>
      <c r="AQ190" s="53" t="s">
        <v>561</v>
      </c>
      <c r="AR190" s="53" t="s">
        <v>561</v>
      </c>
      <c r="AS190" s="53" t="s">
        <v>561</v>
      </c>
      <c r="AT190" s="53" t="s">
        <v>561</v>
      </c>
      <c r="AU190" s="53" t="s">
        <v>561</v>
      </c>
      <c r="AV190" s="53" t="s">
        <v>799</v>
      </c>
      <c r="AW190" s="53" t="s">
        <v>561</v>
      </c>
      <c r="AX190" s="53" t="s">
        <v>561</v>
      </c>
      <c r="AY190" s="53" t="s">
        <v>561</v>
      </c>
      <c r="AZ190" s="53" t="s">
        <v>53</v>
      </c>
      <c r="BA190" s="53" t="s">
        <v>561</v>
      </c>
      <c r="BB190" s="53" t="s">
        <v>53</v>
      </c>
      <c r="BC190" s="53" t="s">
        <v>561</v>
      </c>
      <c r="BD190" s="53" t="s">
        <v>561</v>
      </c>
      <c r="BE190" s="53" t="s">
        <v>561</v>
      </c>
      <c r="BF190" s="53" t="s">
        <v>561</v>
      </c>
      <c r="BG190" s="53" t="s">
        <v>561</v>
      </c>
      <c r="BH190" s="53" t="s">
        <v>561</v>
      </c>
      <c r="BI190" s="107" t="s">
        <v>561</v>
      </c>
      <c r="BJ190" s="107" t="s">
        <v>561</v>
      </c>
      <c r="BK190" s="53" t="s">
        <v>561</v>
      </c>
      <c r="BL190" s="53" t="s">
        <v>561</v>
      </c>
      <c r="BM190" s="53" t="s">
        <v>561</v>
      </c>
      <c r="BN190" s="53" t="s">
        <v>561</v>
      </c>
      <c r="BO190" s="53" t="s">
        <v>561</v>
      </c>
      <c r="BP190" s="53" t="s">
        <v>600</v>
      </c>
      <c r="BQ190" s="118" t="s">
        <v>821</v>
      </c>
      <c r="BR190" s="118" t="s">
        <v>821</v>
      </c>
      <c r="BS190" s="180" t="s">
        <v>1832</v>
      </c>
      <c r="BT190" s="122"/>
      <c r="BU190" s="122">
        <f t="shared" si="29"/>
        <v>149860</v>
      </c>
      <c r="BV190" s="126">
        <v>145860.0</v>
      </c>
      <c r="BW190" s="126"/>
      <c r="BX190" s="127">
        <f>2000+2000</f>
        <v>4000</v>
      </c>
      <c r="BY190" s="127"/>
      <c r="BZ190" s="13"/>
      <c r="CA190" s="13"/>
      <c r="CB190" s="13" t="s">
        <v>561</v>
      </c>
      <c r="CC190" s="13" t="s">
        <v>561</v>
      </c>
    </row>
    <row r="191">
      <c r="A191" s="44" t="str">
        <f>LOOKUP(H191,'Letter grades'!$A$1:$B$6)</f>
        <v>F</v>
      </c>
      <c r="B191" s="44">
        <f t="shared" si="3"/>
        <v>187</v>
      </c>
      <c r="C191" s="44" t="s">
        <v>707</v>
      </c>
      <c r="D191" s="44" t="s">
        <v>708</v>
      </c>
      <c r="E191" s="98" t="s">
        <v>705</v>
      </c>
      <c r="F191" s="47">
        <f t="shared" si="4"/>
        <v>0</v>
      </c>
      <c r="G191" s="47">
        <f t="shared" si="5"/>
        <v>0.1960784314</v>
      </c>
      <c r="H191" s="105">
        <f t="shared" si="6"/>
        <v>0.1307189542</v>
      </c>
      <c r="I191" s="13" t="s">
        <v>122</v>
      </c>
      <c r="J191" s="53" t="s">
        <v>594</v>
      </c>
      <c r="K191" s="53" t="s">
        <v>594</v>
      </c>
      <c r="L191" s="107" t="s">
        <v>594</v>
      </c>
      <c r="M191" s="53" t="s">
        <v>594</v>
      </c>
      <c r="N191" s="107" t="s">
        <v>594</v>
      </c>
      <c r="O191" s="53" t="s">
        <v>1065</v>
      </c>
      <c r="P191" s="108" t="s">
        <v>53</v>
      </c>
      <c r="Q191" s="110" t="s">
        <v>53</v>
      </c>
      <c r="R191" s="108" t="s">
        <v>766</v>
      </c>
      <c r="S191" s="107" t="s">
        <v>561</v>
      </c>
      <c r="T191" s="107" t="s">
        <v>561</v>
      </c>
      <c r="U191" s="107" t="s">
        <v>561</v>
      </c>
      <c r="V191" s="107" t="s">
        <v>796</v>
      </c>
      <c r="W191" s="107" t="s">
        <v>796</v>
      </c>
      <c r="X191" s="53" t="s">
        <v>766</v>
      </c>
      <c r="Y191" s="107" t="s">
        <v>561</v>
      </c>
      <c r="Z191" s="53" t="s">
        <v>53</v>
      </c>
      <c r="AA191" s="107" t="s">
        <v>561</v>
      </c>
      <c r="AB191" s="53" t="s">
        <v>53</v>
      </c>
      <c r="AC191" s="53" t="s">
        <v>561</v>
      </c>
      <c r="AD191" s="107" t="s">
        <v>561</v>
      </c>
      <c r="AE191" s="107" t="s">
        <v>53</v>
      </c>
      <c r="AF191" s="107" t="s">
        <v>561</v>
      </c>
      <c r="AG191" s="107" t="s">
        <v>53</v>
      </c>
      <c r="AH191" s="107" t="s">
        <v>53</v>
      </c>
      <c r="AI191" s="107" t="s">
        <v>561</v>
      </c>
      <c r="AJ191" s="107" t="s">
        <v>561</v>
      </c>
      <c r="AK191" s="107" t="s">
        <v>561</v>
      </c>
      <c r="AL191" s="107" t="s">
        <v>561</v>
      </c>
      <c r="AM191" s="107" t="s">
        <v>561</v>
      </c>
      <c r="AN191" s="53" t="s">
        <v>561</v>
      </c>
      <c r="AO191" s="107" t="s">
        <v>561</v>
      </c>
      <c r="AP191" s="53" t="s">
        <v>561</v>
      </c>
      <c r="AQ191" s="53" t="s">
        <v>561</v>
      </c>
      <c r="AR191" s="53" t="s">
        <v>53</v>
      </c>
      <c r="AS191" s="53" t="s">
        <v>561</v>
      </c>
      <c r="AT191" s="53" t="s">
        <v>561</v>
      </c>
      <c r="AU191" s="53" t="s">
        <v>561</v>
      </c>
      <c r="AV191" s="53" t="s">
        <v>561</v>
      </c>
      <c r="AW191" s="53" t="s">
        <v>561</v>
      </c>
      <c r="AX191" s="53" t="s">
        <v>561</v>
      </c>
      <c r="AY191" s="53" t="s">
        <v>561</v>
      </c>
      <c r="AZ191" s="53" t="s">
        <v>53</v>
      </c>
      <c r="BA191" s="53" t="s">
        <v>561</v>
      </c>
      <c r="BB191" s="53" t="s">
        <v>53</v>
      </c>
      <c r="BC191" s="53" t="s">
        <v>561</v>
      </c>
      <c r="BD191" s="53" t="s">
        <v>561</v>
      </c>
      <c r="BE191" s="53" t="s">
        <v>561</v>
      </c>
      <c r="BF191" s="53" t="s">
        <v>561</v>
      </c>
      <c r="BG191" s="53" t="s">
        <v>561</v>
      </c>
      <c r="BH191" s="53" t="s">
        <v>561</v>
      </c>
      <c r="BI191" s="107" t="s">
        <v>561</v>
      </c>
      <c r="BJ191" s="107" t="s">
        <v>561</v>
      </c>
      <c r="BK191" s="53" t="s">
        <v>561</v>
      </c>
      <c r="BL191" s="53" t="s">
        <v>561</v>
      </c>
      <c r="BM191" s="53" t="s">
        <v>561</v>
      </c>
      <c r="BN191" s="53" t="s">
        <v>561</v>
      </c>
      <c r="BO191" s="53" t="s">
        <v>561</v>
      </c>
      <c r="BP191" s="53" t="s">
        <v>561</v>
      </c>
      <c r="BQ191" s="118" t="s">
        <v>821</v>
      </c>
      <c r="BR191" s="118" t="s">
        <v>821</v>
      </c>
      <c r="BS191" s="118" t="s">
        <v>821</v>
      </c>
      <c r="BT191" s="122"/>
      <c r="BU191" s="122">
        <f t="shared" si="29"/>
        <v>28000</v>
      </c>
      <c r="BV191" s="126">
        <v>28000.0</v>
      </c>
      <c r="BW191" s="126"/>
      <c r="BX191" s="127"/>
      <c r="BY191" s="127"/>
      <c r="BZ191" s="13"/>
      <c r="CA191" s="13" t="s">
        <v>561</v>
      </c>
      <c r="CB191" s="13"/>
      <c r="CC191" s="13" t="s">
        <v>561</v>
      </c>
    </row>
    <row r="192">
      <c r="A192" s="44" t="str">
        <f>LOOKUP(H192,'Letter grades'!$A$1:$B$6)</f>
        <v>F</v>
      </c>
      <c r="B192" s="44">
        <f t="shared" si="3"/>
        <v>188</v>
      </c>
      <c r="C192" s="44" t="s">
        <v>248</v>
      </c>
      <c r="D192" s="44" t="s">
        <v>990</v>
      </c>
      <c r="E192" s="98" t="s">
        <v>986</v>
      </c>
      <c r="F192" s="47">
        <f t="shared" si="4"/>
        <v>0</v>
      </c>
      <c r="G192" s="47">
        <f t="shared" si="5"/>
        <v>0.193877551</v>
      </c>
      <c r="H192" s="105">
        <f t="shared" si="6"/>
        <v>0.1292517007</v>
      </c>
      <c r="I192" s="13" t="s">
        <v>2030</v>
      </c>
      <c r="J192" s="53" t="s">
        <v>594</v>
      </c>
      <c r="K192" s="53" t="s">
        <v>594</v>
      </c>
      <c r="L192" s="107" t="s">
        <v>594</v>
      </c>
      <c r="M192" s="53" t="s">
        <v>594</v>
      </c>
      <c r="N192" s="107" t="s">
        <v>594</v>
      </c>
      <c r="O192" s="53" t="s">
        <v>1065</v>
      </c>
      <c r="P192" s="108" t="s">
        <v>53</v>
      </c>
      <c r="Q192" s="110" t="s">
        <v>53</v>
      </c>
      <c r="R192" s="108" t="s">
        <v>766</v>
      </c>
      <c r="S192" s="107" t="s">
        <v>53</v>
      </c>
      <c r="T192" s="107" t="s">
        <v>561</v>
      </c>
      <c r="U192" s="107" t="s">
        <v>53</v>
      </c>
      <c r="V192" s="107" t="s">
        <v>796</v>
      </c>
      <c r="W192" s="107" t="s">
        <v>796</v>
      </c>
      <c r="X192" s="53" t="s">
        <v>766</v>
      </c>
      <c r="Y192" s="107" t="s">
        <v>561</v>
      </c>
      <c r="Z192" s="107" t="s">
        <v>561</v>
      </c>
      <c r="AA192" s="107" t="s">
        <v>53</v>
      </c>
      <c r="AB192" s="53" t="s">
        <v>53</v>
      </c>
      <c r="AC192" s="53" t="s">
        <v>561</v>
      </c>
      <c r="AD192" s="107" t="s">
        <v>561</v>
      </c>
      <c r="AE192" s="107" t="s">
        <v>561</v>
      </c>
      <c r="AF192" s="107" t="s">
        <v>561</v>
      </c>
      <c r="AG192" s="107" t="s">
        <v>561</v>
      </c>
      <c r="AH192" s="107" t="s">
        <v>53</v>
      </c>
      <c r="AI192" s="107" t="s">
        <v>561</v>
      </c>
      <c r="AJ192" s="107" t="s">
        <v>561</v>
      </c>
      <c r="AK192" s="107" t="s">
        <v>561</v>
      </c>
      <c r="AL192" s="107" t="s">
        <v>561</v>
      </c>
      <c r="AM192" s="107" t="s">
        <v>561</v>
      </c>
      <c r="AN192" s="53" t="s">
        <v>561</v>
      </c>
      <c r="AO192" s="107" t="s">
        <v>801</v>
      </c>
      <c r="AP192" s="53" t="s">
        <v>561</v>
      </c>
      <c r="AQ192" s="53" t="s">
        <v>561</v>
      </c>
      <c r="AR192" s="53" t="s">
        <v>561</v>
      </c>
      <c r="AS192" s="53" t="s">
        <v>561</v>
      </c>
      <c r="AT192" s="53" t="s">
        <v>561</v>
      </c>
      <c r="AU192" s="53" t="s">
        <v>561</v>
      </c>
      <c r="AV192" s="53" t="s">
        <v>799</v>
      </c>
      <c r="AW192" s="53" t="s">
        <v>561</v>
      </c>
      <c r="AX192" s="53" t="s">
        <v>561</v>
      </c>
      <c r="AY192" s="53" t="s">
        <v>561</v>
      </c>
      <c r="AZ192" s="53" t="s">
        <v>53</v>
      </c>
      <c r="BA192" s="53" t="s">
        <v>561</v>
      </c>
      <c r="BB192" s="53" t="s">
        <v>53</v>
      </c>
      <c r="BC192" s="53" t="s">
        <v>561</v>
      </c>
      <c r="BD192" s="53" t="s">
        <v>561</v>
      </c>
      <c r="BE192" s="53" t="s">
        <v>561</v>
      </c>
      <c r="BF192" s="53" t="s">
        <v>561</v>
      </c>
      <c r="BG192" s="53" t="s">
        <v>561</v>
      </c>
      <c r="BH192" s="53" t="s">
        <v>561</v>
      </c>
      <c r="BI192" s="107" t="s">
        <v>561</v>
      </c>
      <c r="BJ192" s="107" t="s">
        <v>561</v>
      </c>
      <c r="BK192" s="53" t="s">
        <v>561</v>
      </c>
      <c r="BL192" s="53" t="s">
        <v>561</v>
      </c>
      <c r="BM192" s="53" t="s">
        <v>561</v>
      </c>
      <c r="BN192" s="53" t="s">
        <v>561</v>
      </c>
      <c r="BO192" s="53" t="s">
        <v>561</v>
      </c>
      <c r="BP192" s="53" t="s">
        <v>600</v>
      </c>
      <c r="BQ192" s="180" t="s">
        <v>1832</v>
      </c>
      <c r="BR192" s="180" t="s">
        <v>1832</v>
      </c>
      <c r="BS192" s="118" t="s">
        <v>821</v>
      </c>
      <c r="BT192" s="122"/>
      <c r="BU192" s="122">
        <f t="shared" si="29"/>
        <v>166100</v>
      </c>
      <c r="BV192" s="126">
        <v>162100.0</v>
      </c>
      <c r="BW192" s="126"/>
      <c r="BX192" s="127">
        <f t="shared" ref="BX192:BX193" si="30">2000+2000</f>
        <v>4000</v>
      </c>
      <c r="BY192" s="127"/>
      <c r="BZ192" s="13"/>
      <c r="CA192" s="13"/>
      <c r="CB192" s="13" t="s">
        <v>561</v>
      </c>
      <c r="CC192" s="13" t="s">
        <v>561</v>
      </c>
    </row>
    <row r="193">
      <c r="A193" s="44" t="str">
        <f>LOOKUP(H193,'Letter grades'!$A$1:$B$6)</f>
        <v>F</v>
      </c>
      <c r="B193" s="44">
        <f t="shared" si="3"/>
        <v>189</v>
      </c>
      <c r="C193" s="44" t="s">
        <v>817</v>
      </c>
      <c r="D193" s="44" t="s">
        <v>818</v>
      </c>
      <c r="E193" s="98" t="s">
        <v>814</v>
      </c>
      <c r="F193" s="47">
        <f t="shared" si="4"/>
        <v>0</v>
      </c>
      <c r="G193" s="47">
        <f t="shared" si="5"/>
        <v>0.1836734694</v>
      </c>
      <c r="H193" s="105">
        <f t="shared" si="6"/>
        <v>0.1224489796</v>
      </c>
      <c r="I193" s="13" t="s">
        <v>2030</v>
      </c>
      <c r="J193" s="53" t="s">
        <v>594</v>
      </c>
      <c r="K193" s="53" t="s">
        <v>594</v>
      </c>
      <c r="L193" s="107" t="s">
        <v>594</v>
      </c>
      <c r="M193" s="53" t="s">
        <v>594</v>
      </c>
      <c r="N193" s="107" t="s">
        <v>594</v>
      </c>
      <c r="O193" s="53" t="s">
        <v>1065</v>
      </c>
      <c r="P193" s="108" t="s">
        <v>53</v>
      </c>
      <c r="Q193" s="110" t="s">
        <v>53</v>
      </c>
      <c r="R193" s="108" t="s">
        <v>766</v>
      </c>
      <c r="S193" s="107" t="s">
        <v>53</v>
      </c>
      <c r="T193" s="107" t="s">
        <v>561</v>
      </c>
      <c r="U193" s="107" t="s">
        <v>561</v>
      </c>
      <c r="V193" s="107" t="s">
        <v>796</v>
      </c>
      <c r="W193" s="107" t="s">
        <v>796</v>
      </c>
      <c r="X193" s="53" t="s">
        <v>766</v>
      </c>
      <c r="Y193" s="107" t="s">
        <v>561</v>
      </c>
      <c r="Z193" s="107" t="s">
        <v>561</v>
      </c>
      <c r="AA193" s="107" t="s">
        <v>53</v>
      </c>
      <c r="AB193" s="53" t="s">
        <v>53</v>
      </c>
      <c r="AC193" s="53" t="s">
        <v>561</v>
      </c>
      <c r="AD193" s="107" t="s">
        <v>561</v>
      </c>
      <c r="AE193" s="107" t="s">
        <v>53</v>
      </c>
      <c r="AF193" s="107" t="s">
        <v>561</v>
      </c>
      <c r="AG193" s="107" t="s">
        <v>53</v>
      </c>
      <c r="AH193" s="107" t="s">
        <v>53</v>
      </c>
      <c r="AI193" s="107" t="s">
        <v>561</v>
      </c>
      <c r="AJ193" s="107" t="s">
        <v>561</v>
      </c>
      <c r="AK193" s="107" t="s">
        <v>561</v>
      </c>
      <c r="AL193" s="107" t="s">
        <v>561</v>
      </c>
      <c r="AM193" s="107" t="s">
        <v>561</v>
      </c>
      <c r="AN193" s="53" t="s">
        <v>561</v>
      </c>
      <c r="AO193" s="107" t="s">
        <v>561</v>
      </c>
      <c r="AP193" s="53" t="s">
        <v>561</v>
      </c>
      <c r="AQ193" s="53" t="s">
        <v>561</v>
      </c>
      <c r="AR193" s="53" t="s">
        <v>561</v>
      </c>
      <c r="AS193" s="53" t="s">
        <v>561</v>
      </c>
      <c r="AT193" s="53" t="s">
        <v>561</v>
      </c>
      <c r="AU193" s="53" t="s">
        <v>561</v>
      </c>
      <c r="AV193" s="53" t="s">
        <v>561</v>
      </c>
      <c r="AW193" s="53" t="s">
        <v>561</v>
      </c>
      <c r="AX193" s="53" t="s">
        <v>561</v>
      </c>
      <c r="AY193" s="53" t="s">
        <v>561</v>
      </c>
      <c r="AZ193" s="53" t="s">
        <v>53</v>
      </c>
      <c r="BA193" s="53" t="s">
        <v>561</v>
      </c>
      <c r="BB193" s="53" t="s">
        <v>561</v>
      </c>
      <c r="BC193" s="53" t="s">
        <v>561</v>
      </c>
      <c r="BD193" s="53" t="s">
        <v>561</v>
      </c>
      <c r="BE193" s="53" t="s">
        <v>561</v>
      </c>
      <c r="BF193" s="53" t="s">
        <v>561</v>
      </c>
      <c r="BG193" s="53" t="s">
        <v>561</v>
      </c>
      <c r="BH193" s="53" t="s">
        <v>561</v>
      </c>
      <c r="BI193" s="107" t="s">
        <v>561</v>
      </c>
      <c r="BJ193" s="107" t="s">
        <v>561</v>
      </c>
      <c r="BK193" s="53" t="s">
        <v>561</v>
      </c>
      <c r="BL193" s="53" t="s">
        <v>561</v>
      </c>
      <c r="BM193" s="53" t="s">
        <v>561</v>
      </c>
      <c r="BN193" s="53" t="s">
        <v>561</v>
      </c>
      <c r="BO193" s="53" t="s">
        <v>600</v>
      </c>
      <c r="BP193" s="53" t="s">
        <v>600</v>
      </c>
      <c r="BQ193" s="180" t="s">
        <v>1832</v>
      </c>
      <c r="BR193" s="180" t="s">
        <v>1832</v>
      </c>
      <c r="BS193" s="180" t="s">
        <v>1832</v>
      </c>
      <c r="BT193" s="122"/>
      <c r="BU193" s="122">
        <f t="shared" si="29"/>
        <v>4932335</v>
      </c>
      <c r="BV193" s="126">
        <v>704992.0</v>
      </c>
      <c r="BW193" s="126">
        <v>4219823.0</v>
      </c>
      <c r="BX193" s="127">
        <f t="shared" si="30"/>
        <v>4000</v>
      </c>
      <c r="BY193" s="127">
        <v>3520.0</v>
      </c>
      <c r="BZ193" s="13"/>
      <c r="CA193" s="13"/>
      <c r="CB193" s="13" t="s">
        <v>561</v>
      </c>
      <c r="CC193" s="13" t="s">
        <v>561</v>
      </c>
    </row>
    <row r="194">
      <c r="A194" s="44" t="str">
        <f>LOOKUP(H194,'Letter grades'!$A$1:$B$6)</f>
        <v>F</v>
      </c>
      <c r="B194" s="44">
        <f t="shared" si="3"/>
        <v>190</v>
      </c>
      <c r="C194" s="44" t="s">
        <v>444</v>
      </c>
      <c r="D194" s="44" t="s">
        <v>445</v>
      </c>
      <c r="E194" s="98" t="s">
        <v>441</v>
      </c>
      <c r="F194" s="47">
        <f t="shared" si="4"/>
        <v>0.1666666667</v>
      </c>
      <c r="G194" s="47">
        <f t="shared" si="5"/>
        <v>0.1</v>
      </c>
      <c r="H194" s="105">
        <f t="shared" si="6"/>
        <v>0.1222222222</v>
      </c>
      <c r="I194" s="13" t="s">
        <v>2030</v>
      </c>
      <c r="J194" s="53" t="s">
        <v>487</v>
      </c>
      <c r="K194" s="53" t="s">
        <v>594</v>
      </c>
      <c r="L194" s="107" t="s">
        <v>594</v>
      </c>
      <c r="M194" s="53" t="s">
        <v>594</v>
      </c>
      <c r="N194" s="107" t="s">
        <v>594</v>
      </c>
      <c r="O194" s="53" t="s">
        <v>1065</v>
      </c>
      <c r="P194" s="108" t="s">
        <v>53</v>
      </c>
      <c r="Q194" s="110" t="s">
        <v>53</v>
      </c>
      <c r="R194" s="108" t="s">
        <v>766</v>
      </c>
      <c r="S194" s="107" t="s">
        <v>53</v>
      </c>
      <c r="T194" s="107" t="s">
        <v>561</v>
      </c>
      <c r="U194" s="107" t="s">
        <v>561</v>
      </c>
      <c r="V194" s="107" t="s">
        <v>796</v>
      </c>
      <c r="W194" s="107" t="s">
        <v>796</v>
      </c>
      <c r="X194" s="53" t="s">
        <v>766</v>
      </c>
      <c r="Y194" s="107" t="s">
        <v>561</v>
      </c>
      <c r="Z194" s="107" t="s">
        <v>561</v>
      </c>
      <c r="AA194" s="107" t="s">
        <v>561</v>
      </c>
      <c r="AB194" s="53" t="s">
        <v>53</v>
      </c>
      <c r="AC194" s="53" t="s">
        <v>561</v>
      </c>
      <c r="AD194" s="107" t="s">
        <v>53</v>
      </c>
      <c r="AE194" s="107" t="s">
        <v>561</v>
      </c>
      <c r="AF194" s="107" t="s">
        <v>561</v>
      </c>
      <c r="AG194" s="107" t="s">
        <v>561</v>
      </c>
      <c r="AH194" s="107" t="s">
        <v>561</v>
      </c>
      <c r="AI194" s="107" t="s">
        <v>561</v>
      </c>
      <c r="AJ194" s="107" t="s">
        <v>561</v>
      </c>
      <c r="AK194" s="107" t="s">
        <v>561</v>
      </c>
      <c r="AL194" s="107" t="s">
        <v>561</v>
      </c>
      <c r="AM194" s="107" t="s">
        <v>561</v>
      </c>
      <c r="AN194" s="53" t="s">
        <v>561</v>
      </c>
      <c r="AO194" s="107" t="s">
        <v>561</v>
      </c>
      <c r="AP194" s="53" t="s">
        <v>561</v>
      </c>
      <c r="AQ194" s="53" t="s">
        <v>561</v>
      </c>
      <c r="AR194" s="53" t="s">
        <v>561</v>
      </c>
      <c r="AS194" s="53" t="s">
        <v>561</v>
      </c>
      <c r="AT194" s="53" t="s">
        <v>561</v>
      </c>
      <c r="AU194" s="53" t="s">
        <v>561</v>
      </c>
      <c r="AV194" s="53" t="s">
        <v>561</v>
      </c>
      <c r="AW194" s="53" t="s">
        <v>561</v>
      </c>
      <c r="AX194" s="53" t="s">
        <v>561</v>
      </c>
      <c r="AY194" s="53" t="s">
        <v>561</v>
      </c>
      <c r="AZ194" s="53" t="s">
        <v>561</v>
      </c>
      <c r="BA194" s="53" t="s">
        <v>561</v>
      </c>
      <c r="BB194" s="53" t="s">
        <v>561</v>
      </c>
      <c r="BC194" s="53" t="s">
        <v>561</v>
      </c>
      <c r="BD194" s="53" t="s">
        <v>561</v>
      </c>
      <c r="BE194" s="53" t="s">
        <v>561</v>
      </c>
      <c r="BF194" s="53" t="s">
        <v>561</v>
      </c>
      <c r="BG194" s="53" t="s">
        <v>561</v>
      </c>
      <c r="BH194" s="53" t="s">
        <v>561</v>
      </c>
      <c r="BI194" s="107" t="s">
        <v>561</v>
      </c>
      <c r="BJ194" s="107" t="s">
        <v>561</v>
      </c>
      <c r="BK194" s="53" t="s">
        <v>561</v>
      </c>
      <c r="BL194" s="53" t="s">
        <v>561</v>
      </c>
      <c r="BM194" s="53" t="s">
        <v>561</v>
      </c>
      <c r="BN194" s="53" t="s">
        <v>561</v>
      </c>
      <c r="BO194" s="53" t="s">
        <v>561</v>
      </c>
      <c r="BP194" s="53" t="s">
        <v>600</v>
      </c>
      <c r="BQ194" s="118" t="s">
        <v>821</v>
      </c>
      <c r="BR194" s="180" t="s">
        <v>1832</v>
      </c>
      <c r="BS194" s="180" t="s">
        <v>1832</v>
      </c>
      <c r="BT194" s="122"/>
      <c r="BU194" s="122">
        <f t="shared" si="29"/>
        <v>17615</v>
      </c>
      <c r="BV194" s="126">
        <v>17600.0</v>
      </c>
      <c r="BW194" s="126"/>
      <c r="BX194" s="127">
        <f>15</f>
        <v>15</v>
      </c>
      <c r="BY194" s="127"/>
      <c r="BZ194" s="13"/>
      <c r="CA194" s="13"/>
      <c r="CB194" s="13"/>
      <c r="CC194" s="13" t="s">
        <v>561</v>
      </c>
    </row>
    <row r="195">
      <c r="A195" s="44" t="str">
        <f>LOOKUP(H195,'Letter grades'!$A$1:$B$6)</f>
        <v>F</v>
      </c>
      <c r="B195" s="44">
        <f t="shared" si="3"/>
        <v>191</v>
      </c>
      <c r="C195" s="44" t="s">
        <v>534</v>
      </c>
      <c r="D195" s="44" t="s">
        <v>535</v>
      </c>
      <c r="E195" s="98" t="s">
        <v>527</v>
      </c>
      <c r="F195" s="47">
        <f t="shared" si="4"/>
        <v>0</v>
      </c>
      <c r="G195" s="47">
        <f t="shared" si="5"/>
        <v>0.1770833333</v>
      </c>
      <c r="H195" s="105">
        <f t="shared" si="6"/>
        <v>0.1180555556</v>
      </c>
      <c r="I195" s="13" t="s">
        <v>2030</v>
      </c>
      <c r="J195" s="53" t="s">
        <v>594</v>
      </c>
      <c r="K195" s="53" t="s">
        <v>594</v>
      </c>
      <c r="L195" s="107" t="s">
        <v>594</v>
      </c>
      <c r="M195" s="53" t="s">
        <v>594</v>
      </c>
      <c r="N195" s="107" t="s">
        <v>594</v>
      </c>
      <c r="O195" s="53" t="s">
        <v>1065</v>
      </c>
      <c r="P195" s="108" t="s">
        <v>53</v>
      </c>
      <c r="Q195" s="110" t="s">
        <v>53</v>
      </c>
      <c r="R195" s="108" t="s">
        <v>766</v>
      </c>
      <c r="S195" s="107" t="s">
        <v>53</v>
      </c>
      <c r="T195" s="107" t="s">
        <v>561</v>
      </c>
      <c r="U195" s="107" t="s">
        <v>561</v>
      </c>
      <c r="V195" s="107" t="s">
        <v>796</v>
      </c>
      <c r="W195" s="107" t="s">
        <v>796</v>
      </c>
      <c r="X195" s="53" t="s">
        <v>766</v>
      </c>
      <c r="Y195" s="107" t="s">
        <v>561</v>
      </c>
      <c r="Z195" s="107" t="s">
        <v>561</v>
      </c>
      <c r="AA195" s="107" t="s">
        <v>561</v>
      </c>
      <c r="AB195" s="53" t="s">
        <v>53</v>
      </c>
      <c r="AC195" s="53" t="s">
        <v>561</v>
      </c>
      <c r="AD195" s="107" t="s">
        <v>561</v>
      </c>
      <c r="AE195" s="107" t="s">
        <v>53</v>
      </c>
      <c r="AF195" s="107" t="s">
        <v>561</v>
      </c>
      <c r="AG195" s="107" t="s">
        <v>561</v>
      </c>
      <c r="AH195" s="107" t="s">
        <v>53</v>
      </c>
      <c r="AI195" s="107" t="s">
        <v>561</v>
      </c>
      <c r="AJ195" s="107" t="s">
        <v>561</v>
      </c>
      <c r="AK195" s="107" t="s">
        <v>561</v>
      </c>
      <c r="AL195" s="107" t="s">
        <v>561</v>
      </c>
      <c r="AM195" s="107" t="s">
        <v>561</v>
      </c>
      <c r="AN195" s="53" t="s">
        <v>561</v>
      </c>
      <c r="AO195" s="107" t="s">
        <v>561</v>
      </c>
      <c r="AP195" s="53" t="s">
        <v>561</v>
      </c>
      <c r="AQ195" s="53" t="s">
        <v>561</v>
      </c>
      <c r="AR195" s="53" t="s">
        <v>561</v>
      </c>
      <c r="AS195" s="53" t="s">
        <v>561</v>
      </c>
      <c r="AT195" s="53" t="s">
        <v>561</v>
      </c>
      <c r="AU195" s="53" t="s">
        <v>561</v>
      </c>
      <c r="AV195" s="53" t="s">
        <v>799</v>
      </c>
      <c r="AW195" s="53" t="s">
        <v>561</v>
      </c>
      <c r="AX195" s="53" t="s">
        <v>561</v>
      </c>
      <c r="AY195" s="53" t="s">
        <v>561</v>
      </c>
      <c r="AZ195" s="53" t="s">
        <v>53</v>
      </c>
      <c r="BA195" s="53" t="s">
        <v>561</v>
      </c>
      <c r="BB195" s="53" t="s">
        <v>53</v>
      </c>
      <c r="BC195" s="53" t="s">
        <v>561</v>
      </c>
      <c r="BD195" s="53" t="s">
        <v>561</v>
      </c>
      <c r="BE195" s="53" t="s">
        <v>561</v>
      </c>
      <c r="BF195" s="53" t="s">
        <v>801</v>
      </c>
      <c r="BG195" s="53" t="s">
        <v>561</v>
      </c>
      <c r="BH195" s="53" t="s">
        <v>561</v>
      </c>
      <c r="BI195" s="107" t="s">
        <v>561</v>
      </c>
      <c r="BJ195" s="107" t="s">
        <v>561</v>
      </c>
      <c r="BK195" s="53" t="s">
        <v>561</v>
      </c>
      <c r="BL195" s="53" t="s">
        <v>561</v>
      </c>
      <c r="BM195" s="53" t="s">
        <v>561</v>
      </c>
      <c r="BN195" s="53" t="s">
        <v>561</v>
      </c>
      <c r="BO195" s="53" t="s">
        <v>600</v>
      </c>
      <c r="BP195" s="53" t="s">
        <v>600</v>
      </c>
      <c r="BQ195" s="118" t="s">
        <v>821</v>
      </c>
      <c r="BR195" s="118" t="s">
        <v>821</v>
      </c>
      <c r="BS195" s="180" t="s">
        <v>1832</v>
      </c>
      <c r="BT195" s="122"/>
      <c r="BU195" s="122">
        <f t="shared" si="29"/>
        <v>75718</v>
      </c>
      <c r="BV195" s="126">
        <v>71718.0</v>
      </c>
      <c r="BW195" s="126"/>
      <c r="BX195" s="127">
        <f>2000+2000</f>
        <v>4000</v>
      </c>
      <c r="BY195" s="127"/>
      <c r="BZ195" s="13"/>
      <c r="CA195" s="13"/>
      <c r="CB195" s="13" t="s">
        <v>561</v>
      </c>
      <c r="CC195" s="13" t="s">
        <v>561</v>
      </c>
    </row>
    <row r="196">
      <c r="A196" s="44" t="str">
        <f>LOOKUP(H196,'Letter grades'!$A$1:$B$6)</f>
        <v>F</v>
      </c>
      <c r="B196" s="44">
        <f t="shared" si="3"/>
        <v>192</v>
      </c>
      <c r="C196" s="44" t="s">
        <v>652</v>
      </c>
      <c r="D196" s="44" t="s">
        <v>927</v>
      </c>
      <c r="E196" s="98" t="s">
        <v>925</v>
      </c>
      <c r="F196" s="47">
        <f t="shared" si="4"/>
        <v>0</v>
      </c>
      <c r="G196" s="47">
        <f t="shared" si="5"/>
        <v>0.1764705882</v>
      </c>
      <c r="H196" s="105">
        <f t="shared" si="6"/>
        <v>0.1176470588</v>
      </c>
      <c r="I196" s="13" t="s">
        <v>2030</v>
      </c>
      <c r="J196" s="53" t="s">
        <v>594</v>
      </c>
      <c r="K196" s="53" t="s">
        <v>594</v>
      </c>
      <c r="L196" s="107" t="s">
        <v>594</v>
      </c>
      <c r="M196" s="53" t="s">
        <v>594</v>
      </c>
      <c r="N196" s="107" t="s">
        <v>594</v>
      </c>
      <c r="O196" s="53" t="s">
        <v>1065</v>
      </c>
      <c r="P196" s="108" t="s">
        <v>53</v>
      </c>
      <c r="Q196" s="110" t="s">
        <v>53</v>
      </c>
      <c r="R196" s="108" t="s">
        <v>766</v>
      </c>
      <c r="S196" s="107" t="s">
        <v>53</v>
      </c>
      <c r="T196" s="107" t="s">
        <v>561</v>
      </c>
      <c r="U196" s="107" t="s">
        <v>53</v>
      </c>
      <c r="V196" s="107" t="s">
        <v>796</v>
      </c>
      <c r="W196" s="107" t="s">
        <v>796</v>
      </c>
      <c r="X196" s="53" t="s">
        <v>766</v>
      </c>
      <c r="Y196" s="107" t="s">
        <v>561</v>
      </c>
      <c r="Z196" s="107" t="s">
        <v>561</v>
      </c>
      <c r="AA196" s="107" t="s">
        <v>53</v>
      </c>
      <c r="AB196" s="53" t="s">
        <v>53</v>
      </c>
      <c r="AC196" s="53" t="s">
        <v>561</v>
      </c>
      <c r="AD196" s="107" t="s">
        <v>561</v>
      </c>
      <c r="AE196" s="107" t="s">
        <v>561</v>
      </c>
      <c r="AF196" s="107" t="s">
        <v>561</v>
      </c>
      <c r="AG196" s="107" t="s">
        <v>561</v>
      </c>
      <c r="AH196" s="107" t="s">
        <v>561</v>
      </c>
      <c r="AI196" s="107" t="s">
        <v>561</v>
      </c>
      <c r="AJ196" s="107" t="s">
        <v>561</v>
      </c>
      <c r="AK196" s="107" t="s">
        <v>561</v>
      </c>
      <c r="AL196" s="107" t="s">
        <v>561</v>
      </c>
      <c r="AM196" s="107" t="s">
        <v>561</v>
      </c>
      <c r="AN196" s="53" t="s">
        <v>561</v>
      </c>
      <c r="AO196" s="107" t="s">
        <v>561</v>
      </c>
      <c r="AP196" s="53" t="s">
        <v>561</v>
      </c>
      <c r="AQ196" s="53" t="s">
        <v>561</v>
      </c>
      <c r="AR196" s="53" t="s">
        <v>561</v>
      </c>
      <c r="AS196" s="53" t="s">
        <v>561</v>
      </c>
      <c r="AT196" s="53" t="s">
        <v>561</v>
      </c>
      <c r="AU196" s="53" t="s">
        <v>561</v>
      </c>
      <c r="AV196" s="53" t="s">
        <v>561</v>
      </c>
      <c r="AW196" s="53" t="s">
        <v>561</v>
      </c>
      <c r="AX196" s="53" t="s">
        <v>561</v>
      </c>
      <c r="AY196" s="53" t="s">
        <v>561</v>
      </c>
      <c r="AZ196" s="53" t="s">
        <v>53</v>
      </c>
      <c r="BA196" s="53" t="s">
        <v>561</v>
      </c>
      <c r="BB196" s="53" t="s">
        <v>53</v>
      </c>
      <c r="BC196" s="53" t="s">
        <v>561</v>
      </c>
      <c r="BD196" s="53" t="s">
        <v>561</v>
      </c>
      <c r="BE196" s="53" t="s">
        <v>561</v>
      </c>
      <c r="BF196" s="53" t="s">
        <v>561</v>
      </c>
      <c r="BG196" s="53" t="s">
        <v>561</v>
      </c>
      <c r="BH196" s="53" t="s">
        <v>561</v>
      </c>
      <c r="BI196" s="107" t="s">
        <v>53</v>
      </c>
      <c r="BJ196" s="107" t="s">
        <v>561</v>
      </c>
      <c r="BK196" s="53" t="s">
        <v>561</v>
      </c>
      <c r="BL196" s="53" t="s">
        <v>561</v>
      </c>
      <c r="BM196" s="53" t="s">
        <v>561</v>
      </c>
      <c r="BN196" s="53" t="s">
        <v>561</v>
      </c>
      <c r="BO196" s="53" t="s">
        <v>561</v>
      </c>
      <c r="BP196" s="53" t="s">
        <v>561</v>
      </c>
      <c r="BQ196" s="118" t="s">
        <v>821</v>
      </c>
      <c r="BR196" s="118" t="s">
        <v>821</v>
      </c>
      <c r="BS196" s="180" t="s">
        <v>1832</v>
      </c>
      <c r="BT196" s="122"/>
      <c r="BU196" s="122">
        <f t="shared" si="29"/>
        <v>26252</v>
      </c>
      <c r="BV196" s="126">
        <v>26252.0</v>
      </c>
      <c r="BW196" s="126"/>
      <c r="BX196" s="127"/>
      <c r="BY196" s="127"/>
      <c r="BZ196" s="13"/>
      <c r="CA196" s="13"/>
      <c r="CB196" s="13"/>
      <c r="CC196" s="13" t="s">
        <v>561</v>
      </c>
    </row>
    <row r="197">
      <c r="A197" s="44" t="str">
        <f>LOOKUP(H197,'Letter grades'!$A$1:$B$6)</f>
        <v>F</v>
      </c>
      <c r="B197" s="44">
        <f t="shared" si="3"/>
        <v>193</v>
      </c>
      <c r="C197" s="44" t="s">
        <v>492</v>
      </c>
      <c r="D197" s="44" t="s">
        <v>493</v>
      </c>
      <c r="E197" s="98" t="s">
        <v>488</v>
      </c>
      <c r="F197" s="47">
        <f t="shared" si="4"/>
        <v>0</v>
      </c>
      <c r="G197" s="47">
        <f t="shared" si="5"/>
        <v>0.1707317073</v>
      </c>
      <c r="H197" s="105">
        <f t="shared" si="6"/>
        <v>0.1138211382</v>
      </c>
      <c r="I197" s="13" t="s">
        <v>122</v>
      </c>
      <c r="J197" s="53" t="s">
        <v>594</v>
      </c>
      <c r="K197" s="53" t="s">
        <v>594</v>
      </c>
      <c r="L197" s="107" t="s">
        <v>594</v>
      </c>
      <c r="M197" s="53" t="s">
        <v>594</v>
      </c>
      <c r="N197" s="107" t="s">
        <v>594</v>
      </c>
      <c r="O197" s="53" t="s">
        <v>1065</v>
      </c>
      <c r="P197" s="108" t="s">
        <v>801</v>
      </c>
      <c r="Q197" s="110" t="s">
        <v>53</v>
      </c>
      <c r="R197" s="108" t="s">
        <v>766</v>
      </c>
      <c r="S197" s="107" t="s">
        <v>53</v>
      </c>
      <c r="T197" s="107" t="s">
        <v>561</v>
      </c>
      <c r="U197" s="107" t="s">
        <v>561</v>
      </c>
      <c r="V197" s="107" t="s">
        <v>796</v>
      </c>
      <c r="W197" s="107" t="s">
        <v>796</v>
      </c>
      <c r="X197" s="53" t="s">
        <v>766</v>
      </c>
      <c r="Y197" s="107" t="s">
        <v>561</v>
      </c>
      <c r="Z197" s="53" t="s">
        <v>801</v>
      </c>
      <c r="AA197" s="107" t="s">
        <v>561</v>
      </c>
      <c r="AB197" s="53" t="s">
        <v>53</v>
      </c>
      <c r="AC197" s="53" t="s">
        <v>561</v>
      </c>
      <c r="AD197" s="53" t="s">
        <v>801</v>
      </c>
      <c r="AE197" s="107" t="s">
        <v>53</v>
      </c>
      <c r="AF197" s="107" t="s">
        <v>53</v>
      </c>
      <c r="AG197" s="107" t="s">
        <v>801</v>
      </c>
      <c r="AH197" s="107" t="s">
        <v>801</v>
      </c>
      <c r="AI197" s="107" t="s">
        <v>561</v>
      </c>
      <c r="AJ197" s="107" t="s">
        <v>561</v>
      </c>
      <c r="AK197" s="107" t="s">
        <v>561</v>
      </c>
      <c r="AL197" s="107" t="s">
        <v>561</v>
      </c>
      <c r="AM197" s="107" t="s">
        <v>801</v>
      </c>
      <c r="AN197" s="53" t="s">
        <v>801</v>
      </c>
      <c r="AO197" s="107" t="s">
        <v>801</v>
      </c>
      <c r="AP197" s="53" t="s">
        <v>801</v>
      </c>
      <c r="AQ197" s="53" t="s">
        <v>561</v>
      </c>
      <c r="AR197" s="53" t="s">
        <v>561</v>
      </c>
      <c r="AS197" s="53" t="s">
        <v>561</v>
      </c>
      <c r="AT197" s="53" t="s">
        <v>53</v>
      </c>
      <c r="AU197" s="53" t="s">
        <v>561</v>
      </c>
      <c r="AV197" s="53" t="s">
        <v>561</v>
      </c>
      <c r="AW197" s="53" t="s">
        <v>561</v>
      </c>
      <c r="AX197" s="53" t="s">
        <v>561</v>
      </c>
      <c r="AY197" s="53" t="s">
        <v>561</v>
      </c>
      <c r="AZ197" s="53" t="s">
        <v>561</v>
      </c>
      <c r="BA197" s="53" t="s">
        <v>561</v>
      </c>
      <c r="BB197" s="53" t="s">
        <v>561</v>
      </c>
      <c r="BC197" s="53" t="s">
        <v>53</v>
      </c>
      <c r="BD197" s="53" t="s">
        <v>561</v>
      </c>
      <c r="BE197" s="53" t="s">
        <v>561</v>
      </c>
      <c r="BF197" s="53" t="s">
        <v>561</v>
      </c>
      <c r="BG197" s="53" t="s">
        <v>561</v>
      </c>
      <c r="BH197" s="53" t="s">
        <v>561</v>
      </c>
      <c r="BI197" s="107" t="s">
        <v>561</v>
      </c>
      <c r="BJ197" s="107" t="s">
        <v>561</v>
      </c>
      <c r="BK197" s="53" t="s">
        <v>561</v>
      </c>
      <c r="BL197" s="53" t="s">
        <v>561</v>
      </c>
      <c r="BM197" s="53" t="s">
        <v>561</v>
      </c>
      <c r="BN197" s="53" t="s">
        <v>801</v>
      </c>
      <c r="BO197" s="53" t="s">
        <v>561</v>
      </c>
      <c r="BP197" s="53" t="s">
        <v>561</v>
      </c>
      <c r="BQ197" s="118" t="s">
        <v>821</v>
      </c>
      <c r="BR197" s="180" t="s">
        <v>1832</v>
      </c>
      <c r="BS197" s="180" t="s">
        <v>1832</v>
      </c>
      <c r="BT197" s="122"/>
      <c r="BU197" s="122">
        <f t="shared" si="29"/>
        <v>11650</v>
      </c>
      <c r="BV197" s="126">
        <v>11650.0</v>
      </c>
      <c r="BW197" s="126"/>
      <c r="BX197" s="127"/>
      <c r="BY197" s="127"/>
      <c r="BZ197" s="13"/>
      <c r="CA197" s="13"/>
      <c r="CB197" s="13"/>
      <c r="CC197" s="13" t="s">
        <v>561</v>
      </c>
    </row>
    <row r="198">
      <c r="A198" s="44" t="str">
        <f>LOOKUP(H198,'Letter grades'!$A$1:$B$6)</f>
        <v>F</v>
      </c>
      <c r="B198" s="44">
        <f t="shared" si="3"/>
        <v>194</v>
      </c>
      <c r="C198" s="44" t="s">
        <v>275</v>
      </c>
      <c r="D198" s="44" t="s">
        <v>276</v>
      </c>
      <c r="E198" s="98" t="s">
        <v>271</v>
      </c>
      <c r="F198" s="47">
        <f t="shared" si="4"/>
        <v>0</v>
      </c>
      <c r="G198" s="47">
        <f t="shared" si="5"/>
        <v>0.1632653061</v>
      </c>
      <c r="H198" s="105">
        <f t="shared" si="6"/>
        <v>0.1088435374</v>
      </c>
      <c r="I198" s="13" t="s">
        <v>2030</v>
      </c>
      <c r="J198" s="53" t="s">
        <v>594</v>
      </c>
      <c r="K198" s="53" t="s">
        <v>594</v>
      </c>
      <c r="L198" s="107" t="s">
        <v>594</v>
      </c>
      <c r="M198" s="53" t="s">
        <v>594</v>
      </c>
      <c r="N198" s="107" t="s">
        <v>594</v>
      </c>
      <c r="O198" s="53" t="s">
        <v>1065</v>
      </c>
      <c r="P198" s="108" t="s">
        <v>53</v>
      </c>
      <c r="Q198" s="110" t="s">
        <v>53</v>
      </c>
      <c r="R198" s="108" t="s">
        <v>766</v>
      </c>
      <c r="S198" s="107" t="s">
        <v>53</v>
      </c>
      <c r="T198" s="107" t="s">
        <v>561</v>
      </c>
      <c r="U198" s="107" t="s">
        <v>561</v>
      </c>
      <c r="V198" s="107" t="s">
        <v>796</v>
      </c>
      <c r="W198" s="107" t="s">
        <v>796</v>
      </c>
      <c r="X198" s="53" t="s">
        <v>766</v>
      </c>
      <c r="Y198" s="107" t="s">
        <v>561</v>
      </c>
      <c r="Z198" s="53" t="s">
        <v>801</v>
      </c>
      <c r="AA198" s="107" t="s">
        <v>561</v>
      </c>
      <c r="AB198" s="53" t="s">
        <v>561</v>
      </c>
      <c r="AC198" s="53" t="s">
        <v>561</v>
      </c>
      <c r="AD198" s="107" t="s">
        <v>561</v>
      </c>
      <c r="AE198" s="107" t="s">
        <v>53</v>
      </c>
      <c r="AF198" s="107" t="s">
        <v>561</v>
      </c>
      <c r="AG198" s="107" t="s">
        <v>53</v>
      </c>
      <c r="AH198" s="107" t="s">
        <v>53</v>
      </c>
      <c r="AI198" s="107" t="s">
        <v>561</v>
      </c>
      <c r="AJ198" s="107" t="s">
        <v>561</v>
      </c>
      <c r="AK198" s="107" t="s">
        <v>561</v>
      </c>
      <c r="AL198" s="107" t="s">
        <v>561</v>
      </c>
      <c r="AM198" s="107" t="s">
        <v>561</v>
      </c>
      <c r="AN198" s="53" t="s">
        <v>561</v>
      </c>
      <c r="AO198" s="107" t="s">
        <v>561</v>
      </c>
      <c r="AP198" s="53" t="s">
        <v>561</v>
      </c>
      <c r="AQ198" s="53" t="s">
        <v>561</v>
      </c>
      <c r="AR198" s="53" t="s">
        <v>561</v>
      </c>
      <c r="AS198" s="53" t="s">
        <v>561</v>
      </c>
      <c r="AT198" s="53" t="s">
        <v>561</v>
      </c>
      <c r="AU198" s="53" t="s">
        <v>561</v>
      </c>
      <c r="AV198" s="53" t="s">
        <v>561</v>
      </c>
      <c r="AW198" s="53" t="s">
        <v>561</v>
      </c>
      <c r="AX198" s="53" t="s">
        <v>561</v>
      </c>
      <c r="AY198" s="53" t="s">
        <v>561</v>
      </c>
      <c r="AZ198" s="53" t="s">
        <v>53</v>
      </c>
      <c r="BA198" s="53" t="s">
        <v>561</v>
      </c>
      <c r="BB198" s="53" t="s">
        <v>53</v>
      </c>
      <c r="BC198" s="53" t="s">
        <v>561</v>
      </c>
      <c r="BD198" s="53" t="s">
        <v>561</v>
      </c>
      <c r="BE198" s="53" t="s">
        <v>561</v>
      </c>
      <c r="BF198" s="53" t="s">
        <v>561</v>
      </c>
      <c r="BG198" s="53" t="s">
        <v>561</v>
      </c>
      <c r="BH198" s="53" t="s">
        <v>561</v>
      </c>
      <c r="BI198" s="107" t="s">
        <v>561</v>
      </c>
      <c r="BJ198" s="107" t="s">
        <v>561</v>
      </c>
      <c r="BK198" s="53" t="s">
        <v>561</v>
      </c>
      <c r="BL198" s="53" t="s">
        <v>561</v>
      </c>
      <c r="BM198" s="53" t="s">
        <v>561</v>
      </c>
      <c r="BN198" s="53" t="s">
        <v>561</v>
      </c>
      <c r="BO198" s="53" t="s">
        <v>561</v>
      </c>
      <c r="BP198" s="53" t="s">
        <v>600</v>
      </c>
      <c r="BQ198" s="180" t="s">
        <v>1832</v>
      </c>
      <c r="BR198" s="180" t="s">
        <v>1832</v>
      </c>
      <c r="BS198" s="180" t="s">
        <v>1832</v>
      </c>
      <c r="BT198" s="122"/>
      <c r="BU198" s="122">
        <f t="shared" si="29"/>
        <v>70693</v>
      </c>
      <c r="BV198" s="126">
        <v>70693.0</v>
      </c>
      <c r="BW198" s="126"/>
      <c r="BX198" s="344"/>
      <c r="BY198" s="344"/>
      <c r="BZ198" s="13"/>
      <c r="CA198" s="13"/>
      <c r="CB198" s="13"/>
      <c r="CC198" s="13" t="s">
        <v>561</v>
      </c>
    </row>
    <row r="199">
      <c r="A199" s="44" t="str">
        <f>LOOKUP(H199,'Letter grades'!$A$1:$B$6)</f>
        <v>F</v>
      </c>
      <c r="B199" s="44">
        <f t="shared" si="3"/>
        <v>195</v>
      </c>
      <c r="C199" s="44" t="s">
        <v>833</v>
      </c>
      <c r="D199" s="44" t="s">
        <v>835</v>
      </c>
      <c r="E199" s="98" t="s">
        <v>830</v>
      </c>
      <c r="F199" s="47">
        <f t="shared" si="4"/>
        <v>0</v>
      </c>
      <c r="G199" s="47">
        <f t="shared" si="5"/>
        <v>0.1489361702</v>
      </c>
      <c r="H199" s="105">
        <f t="shared" si="6"/>
        <v>0.09929078014</v>
      </c>
      <c r="I199" s="13" t="s">
        <v>2030</v>
      </c>
      <c r="J199" s="53" t="s">
        <v>594</v>
      </c>
      <c r="K199" s="53" t="s">
        <v>594</v>
      </c>
      <c r="L199" s="107" t="s">
        <v>594</v>
      </c>
      <c r="M199" s="53" t="s">
        <v>594</v>
      </c>
      <c r="N199" s="107" t="s">
        <v>594</v>
      </c>
      <c r="O199" s="53" t="s">
        <v>1065</v>
      </c>
      <c r="P199" s="108" t="s">
        <v>53</v>
      </c>
      <c r="Q199" s="110" t="s">
        <v>53</v>
      </c>
      <c r="R199" s="108" t="s">
        <v>766</v>
      </c>
      <c r="S199" s="107" t="s">
        <v>53</v>
      </c>
      <c r="T199" s="107" t="s">
        <v>561</v>
      </c>
      <c r="U199" s="107" t="s">
        <v>53</v>
      </c>
      <c r="V199" s="107" t="s">
        <v>796</v>
      </c>
      <c r="W199" s="107" t="s">
        <v>796</v>
      </c>
      <c r="X199" s="53" t="s">
        <v>766</v>
      </c>
      <c r="Y199" s="107" t="s">
        <v>801</v>
      </c>
      <c r="Z199" s="107" t="s">
        <v>561</v>
      </c>
      <c r="AA199" s="107" t="s">
        <v>53</v>
      </c>
      <c r="AB199" s="53" t="s">
        <v>53</v>
      </c>
      <c r="AC199" s="53" t="s">
        <v>561</v>
      </c>
      <c r="AD199" s="107" t="s">
        <v>561</v>
      </c>
      <c r="AE199" s="107" t="s">
        <v>53</v>
      </c>
      <c r="AF199" s="107" t="s">
        <v>561</v>
      </c>
      <c r="AG199" s="107" t="s">
        <v>561</v>
      </c>
      <c r="AH199" s="107" t="s">
        <v>561</v>
      </c>
      <c r="AI199" s="107" t="s">
        <v>561</v>
      </c>
      <c r="AJ199" s="107" t="s">
        <v>561</v>
      </c>
      <c r="AK199" s="107" t="s">
        <v>561</v>
      </c>
      <c r="AL199" s="107" t="s">
        <v>561</v>
      </c>
      <c r="AM199" s="107" t="s">
        <v>561</v>
      </c>
      <c r="AN199" s="53" t="s">
        <v>561</v>
      </c>
      <c r="AO199" s="107" t="s">
        <v>561</v>
      </c>
      <c r="AP199" s="53" t="s">
        <v>561</v>
      </c>
      <c r="AQ199" s="53" t="s">
        <v>561</v>
      </c>
      <c r="AR199" s="53" t="s">
        <v>561</v>
      </c>
      <c r="AS199" s="53" t="s">
        <v>561</v>
      </c>
      <c r="AT199" s="53" t="s">
        <v>561</v>
      </c>
      <c r="AU199" s="107" t="s">
        <v>801</v>
      </c>
      <c r="AV199" s="53" t="s">
        <v>561</v>
      </c>
      <c r="AW199" s="53" t="s">
        <v>561</v>
      </c>
      <c r="AX199" s="53" t="s">
        <v>561</v>
      </c>
      <c r="AY199" s="53" t="s">
        <v>561</v>
      </c>
      <c r="AZ199" s="53" t="s">
        <v>561</v>
      </c>
      <c r="BA199" s="53" t="s">
        <v>561</v>
      </c>
      <c r="BB199" s="53" t="s">
        <v>561</v>
      </c>
      <c r="BC199" s="53" t="s">
        <v>561</v>
      </c>
      <c r="BD199" s="53" t="s">
        <v>561</v>
      </c>
      <c r="BE199" s="53" t="s">
        <v>561</v>
      </c>
      <c r="BF199" s="53" t="s">
        <v>561</v>
      </c>
      <c r="BG199" s="53" t="s">
        <v>561</v>
      </c>
      <c r="BH199" s="53" t="s">
        <v>561</v>
      </c>
      <c r="BI199" s="107" t="s">
        <v>561</v>
      </c>
      <c r="BJ199" s="107" t="s">
        <v>561</v>
      </c>
      <c r="BK199" s="53" t="s">
        <v>561</v>
      </c>
      <c r="BL199" s="53" t="s">
        <v>561</v>
      </c>
      <c r="BM199" s="53" t="s">
        <v>561</v>
      </c>
      <c r="BN199" s="53" t="s">
        <v>561</v>
      </c>
      <c r="BO199" s="53" t="s">
        <v>600</v>
      </c>
      <c r="BP199" s="53" t="s">
        <v>600</v>
      </c>
      <c r="BQ199" s="180" t="s">
        <v>1832</v>
      </c>
      <c r="BR199" s="180" t="s">
        <v>1832</v>
      </c>
      <c r="BS199" s="180" t="s">
        <v>1832</v>
      </c>
      <c r="BT199" s="122"/>
      <c r="BU199" s="122">
        <f t="shared" si="29"/>
        <v>80701</v>
      </c>
      <c r="BV199" s="126">
        <v>76701.0</v>
      </c>
      <c r="BW199" s="126"/>
      <c r="BX199" s="127">
        <f>2000+2000</f>
        <v>4000</v>
      </c>
      <c r="BY199" s="127"/>
      <c r="BZ199" s="13"/>
      <c r="CA199" s="13"/>
      <c r="CB199" s="13" t="s">
        <v>561</v>
      </c>
      <c r="CC199" s="13" t="s">
        <v>561</v>
      </c>
    </row>
    <row r="200">
      <c r="A200" s="44" t="str">
        <f>LOOKUP(H200,'Letter grades'!$A$1:$B$6)</f>
        <v>F</v>
      </c>
      <c r="B200" s="44">
        <f t="shared" si="3"/>
        <v>196</v>
      </c>
      <c r="C200" s="44" t="s">
        <v>911</v>
      </c>
      <c r="D200" s="44" t="s">
        <v>912</v>
      </c>
      <c r="E200" s="98" t="s">
        <v>906</v>
      </c>
      <c r="F200" s="47">
        <f t="shared" si="4"/>
        <v>0</v>
      </c>
      <c r="G200" s="47">
        <f t="shared" si="5"/>
        <v>0.1382978723</v>
      </c>
      <c r="H200" s="105">
        <f t="shared" si="6"/>
        <v>0.09219858156</v>
      </c>
      <c r="I200" s="13" t="s">
        <v>2030</v>
      </c>
      <c r="J200" s="53" t="s">
        <v>594</v>
      </c>
      <c r="K200" s="53" t="s">
        <v>594</v>
      </c>
      <c r="L200" s="107" t="s">
        <v>594</v>
      </c>
      <c r="M200" s="53" t="s">
        <v>594</v>
      </c>
      <c r="N200" s="107" t="s">
        <v>594</v>
      </c>
      <c r="O200" s="53" t="s">
        <v>1065</v>
      </c>
      <c r="P200" s="108" t="s">
        <v>53</v>
      </c>
      <c r="Q200" s="110" t="s">
        <v>53</v>
      </c>
      <c r="R200" s="108" t="s">
        <v>766</v>
      </c>
      <c r="S200" s="107" t="s">
        <v>53</v>
      </c>
      <c r="T200" s="107" t="s">
        <v>561</v>
      </c>
      <c r="U200" s="107" t="s">
        <v>561</v>
      </c>
      <c r="V200" s="107" t="s">
        <v>796</v>
      </c>
      <c r="W200" s="107" t="s">
        <v>796</v>
      </c>
      <c r="X200" s="53" t="s">
        <v>766</v>
      </c>
      <c r="Y200" s="107" t="s">
        <v>801</v>
      </c>
      <c r="Z200" s="107" t="s">
        <v>561</v>
      </c>
      <c r="AA200" s="107" t="s">
        <v>53</v>
      </c>
      <c r="AB200" s="53" t="s">
        <v>53</v>
      </c>
      <c r="AC200" s="53" t="s">
        <v>561</v>
      </c>
      <c r="AD200" s="107" t="s">
        <v>561</v>
      </c>
      <c r="AE200" s="107" t="s">
        <v>561</v>
      </c>
      <c r="AF200" s="107" t="s">
        <v>561</v>
      </c>
      <c r="AG200" s="107" t="s">
        <v>561</v>
      </c>
      <c r="AH200" s="107" t="s">
        <v>801</v>
      </c>
      <c r="AI200" s="107" t="s">
        <v>561</v>
      </c>
      <c r="AJ200" s="107" t="s">
        <v>561</v>
      </c>
      <c r="AK200" s="107" t="s">
        <v>561</v>
      </c>
      <c r="AL200" s="107" t="s">
        <v>561</v>
      </c>
      <c r="AM200" s="107" t="s">
        <v>561</v>
      </c>
      <c r="AN200" s="53" t="s">
        <v>561</v>
      </c>
      <c r="AO200" s="107" t="s">
        <v>561</v>
      </c>
      <c r="AP200" s="53" t="s">
        <v>561</v>
      </c>
      <c r="AQ200" s="53" t="s">
        <v>561</v>
      </c>
      <c r="AR200" s="53" t="s">
        <v>561</v>
      </c>
      <c r="AS200" s="107" t="s">
        <v>801</v>
      </c>
      <c r="AT200" s="53" t="s">
        <v>561</v>
      </c>
      <c r="AU200" s="53" t="s">
        <v>561</v>
      </c>
      <c r="AV200" s="53" t="s">
        <v>561</v>
      </c>
      <c r="AW200" s="53" t="s">
        <v>561</v>
      </c>
      <c r="AX200" s="53" t="s">
        <v>561</v>
      </c>
      <c r="AY200" s="53" t="s">
        <v>561</v>
      </c>
      <c r="AZ200" s="53" t="s">
        <v>799</v>
      </c>
      <c r="BA200" s="53" t="s">
        <v>561</v>
      </c>
      <c r="BB200" s="53" t="s">
        <v>53</v>
      </c>
      <c r="BC200" s="53" t="s">
        <v>561</v>
      </c>
      <c r="BD200" s="53" t="s">
        <v>561</v>
      </c>
      <c r="BE200" s="53" t="s">
        <v>561</v>
      </c>
      <c r="BF200" s="53" t="s">
        <v>561</v>
      </c>
      <c r="BG200" s="53" t="s">
        <v>561</v>
      </c>
      <c r="BH200" s="53" t="s">
        <v>561</v>
      </c>
      <c r="BI200" s="107" t="s">
        <v>561</v>
      </c>
      <c r="BJ200" s="107" t="s">
        <v>561</v>
      </c>
      <c r="BK200" s="53" t="s">
        <v>561</v>
      </c>
      <c r="BL200" s="53" t="s">
        <v>561</v>
      </c>
      <c r="BM200" s="53" t="s">
        <v>561</v>
      </c>
      <c r="BN200" s="53" t="s">
        <v>561</v>
      </c>
      <c r="BO200" s="53" t="s">
        <v>561</v>
      </c>
      <c r="BP200" s="53" t="s">
        <v>600</v>
      </c>
      <c r="BQ200" s="118" t="s">
        <v>821</v>
      </c>
      <c r="BR200" s="180" t="s">
        <v>1832</v>
      </c>
      <c r="BS200" s="180" t="s">
        <v>1832</v>
      </c>
      <c r="BT200" s="122"/>
      <c r="BU200" s="122">
        <f t="shared" si="29"/>
        <v>75472</v>
      </c>
      <c r="BV200" s="126">
        <v>73472.0</v>
      </c>
      <c r="BW200" s="126"/>
      <c r="BX200" s="127">
        <f>2000</f>
        <v>2000</v>
      </c>
      <c r="BY200" s="127"/>
      <c r="BZ200" s="13"/>
      <c r="CA200" s="13"/>
      <c r="CB200" s="13"/>
      <c r="CC200" s="13" t="s">
        <v>561</v>
      </c>
    </row>
    <row r="201">
      <c r="A201" s="44" t="str">
        <f>LOOKUP(H201,'Letter grades'!$A$1:$B$6)</f>
        <v>F</v>
      </c>
      <c r="B201" s="44">
        <f t="shared" si="3"/>
        <v>197</v>
      </c>
      <c r="C201" s="44" t="s">
        <v>258</v>
      </c>
      <c r="D201" s="44" t="s">
        <v>624</v>
      </c>
      <c r="E201" s="98" t="s">
        <v>622</v>
      </c>
      <c r="F201" s="47">
        <f t="shared" si="4"/>
        <v>0</v>
      </c>
      <c r="G201" s="47">
        <f t="shared" si="5"/>
        <v>0.137254902</v>
      </c>
      <c r="H201" s="105">
        <f t="shared" si="6"/>
        <v>0.09150326797</v>
      </c>
      <c r="I201" s="13" t="s">
        <v>2030</v>
      </c>
      <c r="J201" s="53" t="s">
        <v>594</v>
      </c>
      <c r="K201" s="53" t="s">
        <v>594</v>
      </c>
      <c r="L201" s="107" t="s">
        <v>594</v>
      </c>
      <c r="M201" s="53" t="s">
        <v>594</v>
      </c>
      <c r="N201" s="107" t="s">
        <v>594</v>
      </c>
      <c r="O201" s="53" t="s">
        <v>1065</v>
      </c>
      <c r="P201" s="108" t="s">
        <v>53</v>
      </c>
      <c r="Q201" s="110" t="s">
        <v>53</v>
      </c>
      <c r="R201" s="108" t="s">
        <v>766</v>
      </c>
      <c r="S201" s="107" t="s">
        <v>53</v>
      </c>
      <c r="T201" s="107" t="s">
        <v>561</v>
      </c>
      <c r="U201" s="107" t="s">
        <v>561</v>
      </c>
      <c r="V201" s="107" t="s">
        <v>766</v>
      </c>
      <c r="W201" s="107" t="s">
        <v>766</v>
      </c>
      <c r="X201" s="53" t="s">
        <v>766</v>
      </c>
      <c r="Y201" s="107" t="s">
        <v>561</v>
      </c>
      <c r="Z201" s="107" t="s">
        <v>561</v>
      </c>
      <c r="AA201" s="107" t="s">
        <v>53</v>
      </c>
      <c r="AB201" s="53" t="s">
        <v>561</v>
      </c>
      <c r="AC201" s="53" t="s">
        <v>561</v>
      </c>
      <c r="AD201" s="107" t="s">
        <v>561</v>
      </c>
      <c r="AE201" s="107" t="s">
        <v>53</v>
      </c>
      <c r="AF201" s="107" t="s">
        <v>561</v>
      </c>
      <c r="AG201" s="107" t="s">
        <v>561</v>
      </c>
      <c r="AH201" s="107" t="s">
        <v>53</v>
      </c>
      <c r="AI201" s="107" t="s">
        <v>561</v>
      </c>
      <c r="AJ201" s="107" t="s">
        <v>561</v>
      </c>
      <c r="AK201" s="107" t="s">
        <v>561</v>
      </c>
      <c r="AL201" s="107" t="s">
        <v>561</v>
      </c>
      <c r="AM201" s="107" t="s">
        <v>561</v>
      </c>
      <c r="AN201" s="53" t="s">
        <v>561</v>
      </c>
      <c r="AO201" s="107" t="s">
        <v>561</v>
      </c>
      <c r="AP201" s="53" t="s">
        <v>561</v>
      </c>
      <c r="AQ201" s="53" t="s">
        <v>561</v>
      </c>
      <c r="AR201" s="53" t="s">
        <v>561</v>
      </c>
      <c r="AS201" s="53" t="s">
        <v>561</v>
      </c>
      <c r="AT201" s="53" t="s">
        <v>801</v>
      </c>
      <c r="AU201" s="53" t="s">
        <v>561</v>
      </c>
      <c r="AV201" s="53" t="s">
        <v>561</v>
      </c>
      <c r="AW201" s="53" t="s">
        <v>561</v>
      </c>
      <c r="AX201" s="53" t="s">
        <v>561</v>
      </c>
      <c r="AY201" s="53" t="s">
        <v>561</v>
      </c>
      <c r="AZ201" s="53" t="s">
        <v>561</v>
      </c>
      <c r="BA201" s="53" t="s">
        <v>561</v>
      </c>
      <c r="BB201" s="53" t="s">
        <v>53</v>
      </c>
      <c r="BC201" s="53" t="s">
        <v>561</v>
      </c>
      <c r="BD201" s="53" t="s">
        <v>561</v>
      </c>
      <c r="BE201" s="53" t="s">
        <v>561</v>
      </c>
      <c r="BF201" s="53" t="s">
        <v>561</v>
      </c>
      <c r="BG201" s="53" t="s">
        <v>561</v>
      </c>
      <c r="BH201" s="53" t="s">
        <v>561</v>
      </c>
      <c r="BI201" s="107" t="s">
        <v>561</v>
      </c>
      <c r="BJ201" s="107" t="s">
        <v>561</v>
      </c>
      <c r="BK201" s="53" t="s">
        <v>561</v>
      </c>
      <c r="BL201" s="53" t="s">
        <v>561</v>
      </c>
      <c r="BM201" s="53" t="s">
        <v>561</v>
      </c>
      <c r="BN201" s="53" t="s">
        <v>561</v>
      </c>
      <c r="BO201" s="53" t="s">
        <v>561</v>
      </c>
      <c r="BP201" s="53" t="s">
        <v>600</v>
      </c>
      <c r="BQ201" s="180" t="s">
        <v>1832</v>
      </c>
      <c r="BR201" s="180" t="s">
        <v>1832</v>
      </c>
      <c r="BS201" s="180" t="s">
        <v>1832</v>
      </c>
      <c r="BT201" s="122"/>
      <c r="BU201" s="122">
        <f t="shared" si="29"/>
        <v>179011</v>
      </c>
      <c r="BV201" s="126">
        <v>175011.0</v>
      </c>
      <c r="BW201" s="126"/>
      <c r="BX201" s="127">
        <f>2000+2000</f>
        <v>4000</v>
      </c>
      <c r="BY201" s="127"/>
      <c r="BZ201" s="13"/>
      <c r="CA201" s="13"/>
      <c r="CB201" s="13" t="s">
        <v>561</v>
      </c>
      <c r="CC201" s="13" t="s">
        <v>561</v>
      </c>
    </row>
    <row r="202">
      <c r="A202" s="44" t="str">
        <f>LOOKUP(H202,'Letter grades'!$A$1:$B$6)</f>
        <v>F</v>
      </c>
      <c r="B202" s="44">
        <f t="shared" si="3"/>
        <v>198</v>
      </c>
      <c r="C202" s="44" t="s">
        <v>1036</v>
      </c>
      <c r="D202" s="44" t="s">
        <v>276</v>
      </c>
      <c r="E202" s="98" t="s">
        <v>1034</v>
      </c>
      <c r="F202" s="47">
        <f t="shared" si="4"/>
        <v>0</v>
      </c>
      <c r="G202" s="47">
        <f t="shared" si="5"/>
        <v>0.1304347826</v>
      </c>
      <c r="H202" s="105">
        <f t="shared" si="6"/>
        <v>0.08695652174</v>
      </c>
      <c r="I202" s="13" t="s">
        <v>2030</v>
      </c>
      <c r="J202" s="53" t="s">
        <v>594</v>
      </c>
      <c r="K202" s="53" t="s">
        <v>594</v>
      </c>
      <c r="L202" s="107" t="s">
        <v>594</v>
      </c>
      <c r="M202" s="53" t="s">
        <v>594</v>
      </c>
      <c r="N202" s="107" t="s">
        <v>594</v>
      </c>
      <c r="O202" s="53" t="s">
        <v>1065</v>
      </c>
      <c r="P202" s="108" t="s">
        <v>53</v>
      </c>
      <c r="Q202" s="110" t="s">
        <v>53</v>
      </c>
      <c r="R202" s="108" t="s">
        <v>766</v>
      </c>
      <c r="S202" s="107" t="s">
        <v>53</v>
      </c>
      <c r="T202" s="107" t="s">
        <v>561</v>
      </c>
      <c r="U202" s="107" t="s">
        <v>53</v>
      </c>
      <c r="V202" s="107" t="s">
        <v>796</v>
      </c>
      <c r="W202" s="107" t="s">
        <v>796</v>
      </c>
      <c r="X202" s="53" t="s">
        <v>766</v>
      </c>
      <c r="Y202" s="107" t="s">
        <v>561</v>
      </c>
      <c r="Z202" s="107" t="s">
        <v>561</v>
      </c>
      <c r="AA202" s="107" t="s">
        <v>53</v>
      </c>
      <c r="AB202" s="53" t="s">
        <v>801</v>
      </c>
      <c r="AC202" s="53" t="s">
        <v>561</v>
      </c>
      <c r="AD202" s="107" t="s">
        <v>561</v>
      </c>
      <c r="AE202" s="107" t="s">
        <v>561</v>
      </c>
      <c r="AF202" s="107" t="s">
        <v>561</v>
      </c>
      <c r="AG202" s="107" t="s">
        <v>561</v>
      </c>
      <c r="AH202" s="107" t="s">
        <v>561</v>
      </c>
      <c r="AI202" s="107" t="s">
        <v>561</v>
      </c>
      <c r="AJ202" s="107" t="s">
        <v>561</v>
      </c>
      <c r="AK202" s="107" t="s">
        <v>561</v>
      </c>
      <c r="AL202" s="107" t="s">
        <v>561</v>
      </c>
      <c r="AM202" s="107" t="s">
        <v>561</v>
      </c>
      <c r="AN202" s="53" t="s">
        <v>561</v>
      </c>
      <c r="AO202" s="107" t="s">
        <v>561</v>
      </c>
      <c r="AP202" s="53" t="s">
        <v>561</v>
      </c>
      <c r="AQ202" s="53" t="s">
        <v>561</v>
      </c>
      <c r="AR202" s="53" t="s">
        <v>561</v>
      </c>
      <c r="AS202" s="53" t="s">
        <v>561</v>
      </c>
      <c r="AT202" s="53" t="s">
        <v>561</v>
      </c>
      <c r="AU202" s="53" t="s">
        <v>561</v>
      </c>
      <c r="AV202" s="53" t="s">
        <v>561</v>
      </c>
      <c r="AW202" s="53" t="s">
        <v>561</v>
      </c>
      <c r="AX202" s="53" t="s">
        <v>561</v>
      </c>
      <c r="AY202" s="53" t="s">
        <v>561</v>
      </c>
      <c r="AZ202" s="53" t="s">
        <v>561</v>
      </c>
      <c r="BA202" s="194" t="s">
        <v>561</v>
      </c>
      <c r="BB202" s="53" t="s">
        <v>53</v>
      </c>
      <c r="BC202" s="53" t="s">
        <v>561</v>
      </c>
      <c r="BD202" s="53" t="s">
        <v>561</v>
      </c>
      <c r="BE202" s="53" t="s">
        <v>561</v>
      </c>
      <c r="BF202" s="53" t="s">
        <v>561</v>
      </c>
      <c r="BG202" s="53" t="s">
        <v>561</v>
      </c>
      <c r="BH202" s="53" t="s">
        <v>561</v>
      </c>
      <c r="BI202" s="107" t="s">
        <v>561</v>
      </c>
      <c r="BJ202" s="107" t="s">
        <v>561</v>
      </c>
      <c r="BK202" s="53" t="s">
        <v>561</v>
      </c>
      <c r="BL202" s="53" t="s">
        <v>561</v>
      </c>
      <c r="BM202" s="53" t="s">
        <v>600</v>
      </c>
      <c r="BN202" s="53" t="s">
        <v>600</v>
      </c>
      <c r="BO202" s="53" t="s">
        <v>600</v>
      </c>
      <c r="BP202" s="53" t="s">
        <v>600</v>
      </c>
      <c r="BQ202" s="180" t="s">
        <v>1832</v>
      </c>
      <c r="BR202" s="180" t="s">
        <v>1832</v>
      </c>
      <c r="BS202" s="180" t="s">
        <v>1832</v>
      </c>
      <c r="BT202" s="122"/>
      <c r="BU202" s="122">
        <f t="shared" si="29"/>
        <v>586544</v>
      </c>
      <c r="BV202" s="126">
        <v>521593.0</v>
      </c>
      <c r="BW202" s="126"/>
      <c r="BX202" s="127">
        <f>5000+2000</f>
        <v>7000</v>
      </c>
      <c r="BY202" s="127">
        <f>3000+54951</f>
        <v>57951</v>
      </c>
      <c r="BZ202" s="13"/>
      <c r="CA202" s="13"/>
      <c r="CB202" s="13" t="s">
        <v>561</v>
      </c>
      <c r="CC202" s="13" t="s">
        <v>561</v>
      </c>
    </row>
    <row r="203">
      <c r="A203" s="44" t="str">
        <f>LOOKUP(H203,'Letter grades'!$A$1:$B$6)</f>
        <v>F</v>
      </c>
      <c r="B203" s="44">
        <f t="shared" si="3"/>
        <v>199</v>
      </c>
      <c r="C203" s="44" t="s">
        <v>1786</v>
      </c>
      <c r="D203" s="44" t="s">
        <v>2790</v>
      </c>
      <c r="E203" s="98" t="s">
        <v>1960</v>
      </c>
      <c r="F203" s="47">
        <f t="shared" si="4"/>
        <v>0</v>
      </c>
      <c r="G203" s="47">
        <f t="shared" si="5"/>
        <v>0.1290322581</v>
      </c>
      <c r="H203" s="105">
        <f t="shared" si="6"/>
        <v>0.08602150538</v>
      </c>
      <c r="I203" s="13" t="s">
        <v>2030</v>
      </c>
      <c r="J203" s="53" t="s">
        <v>594</v>
      </c>
      <c r="K203" s="53" t="s">
        <v>594</v>
      </c>
      <c r="L203" s="107" t="s">
        <v>594</v>
      </c>
      <c r="M203" s="53" t="s">
        <v>594</v>
      </c>
      <c r="N203" s="107" t="s">
        <v>594</v>
      </c>
      <c r="O203" s="53" t="s">
        <v>1065</v>
      </c>
      <c r="P203" s="108" t="s">
        <v>53</v>
      </c>
      <c r="Q203" s="110" t="s">
        <v>53</v>
      </c>
      <c r="R203" s="108" t="s">
        <v>766</v>
      </c>
      <c r="S203" s="107" t="s">
        <v>53</v>
      </c>
      <c r="T203" s="107" t="s">
        <v>561</v>
      </c>
      <c r="U203" s="107" t="s">
        <v>561</v>
      </c>
      <c r="V203" s="107" t="s">
        <v>796</v>
      </c>
      <c r="W203" s="107" t="s">
        <v>796</v>
      </c>
      <c r="X203" s="53" t="s">
        <v>801</v>
      </c>
      <c r="Y203" s="107" t="s">
        <v>561</v>
      </c>
      <c r="Z203" s="107" t="s">
        <v>561</v>
      </c>
      <c r="AA203" s="107" t="s">
        <v>561</v>
      </c>
      <c r="AB203" s="53" t="s">
        <v>561</v>
      </c>
      <c r="AC203" s="53" t="s">
        <v>561</v>
      </c>
      <c r="AD203" s="107" t="s">
        <v>561</v>
      </c>
      <c r="AE203" s="107" t="s">
        <v>53</v>
      </c>
      <c r="AF203" s="107" t="s">
        <v>561</v>
      </c>
      <c r="AG203" s="107" t="s">
        <v>561</v>
      </c>
      <c r="AH203" s="107" t="s">
        <v>561</v>
      </c>
      <c r="AI203" s="107" t="s">
        <v>561</v>
      </c>
      <c r="AJ203" s="107" t="s">
        <v>561</v>
      </c>
      <c r="AK203" s="107" t="s">
        <v>561</v>
      </c>
      <c r="AL203" s="107" t="s">
        <v>561</v>
      </c>
      <c r="AM203" s="107" t="s">
        <v>561</v>
      </c>
      <c r="AN203" s="53" t="s">
        <v>561</v>
      </c>
      <c r="AO203" s="107" t="s">
        <v>561</v>
      </c>
      <c r="AP203" s="53" t="s">
        <v>561</v>
      </c>
      <c r="AQ203" s="53" t="s">
        <v>600</v>
      </c>
      <c r="AR203" s="53" t="s">
        <v>600</v>
      </c>
      <c r="AS203" s="53" t="s">
        <v>600</v>
      </c>
      <c r="AT203" s="53" t="s">
        <v>600</v>
      </c>
      <c r="AU203" s="53" t="s">
        <v>600</v>
      </c>
      <c r="AV203" s="53" t="s">
        <v>600</v>
      </c>
      <c r="AW203" s="53" t="s">
        <v>600</v>
      </c>
      <c r="AX203" s="53" t="s">
        <v>600</v>
      </c>
      <c r="AY203" s="53" t="s">
        <v>600</v>
      </c>
      <c r="AZ203" s="53" t="s">
        <v>600</v>
      </c>
      <c r="BA203" s="53" t="s">
        <v>600</v>
      </c>
      <c r="BB203" s="53" t="s">
        <v>600</v>
      </c>
      <c r="BC203" s="53" t="s">
        <v>600</v>
      </c>
      <c r="BD203" s="53" t="s">
        <v>600</v>
      </c>
      <c r="BE203" s="53" t="s">
        <v>600</v>
      </c>
      <c r="BF203" s="53" t="s">
        <v>600</v>
      </c>
      <c r="BG203" s="53" t="s">
        <v>600</v>
      </c>
      <c r="BH203" s="53" t="s">
        <v>600</v>
      </c>
      <c r="BI203" s="107" t="s">
        <v>561</v>
      </c>
      <c r="BJ203" s="107" t="s">
        <v>561</v>
      </c>
      <c r="BK203" s="53" t="s">
        <v>561</v>
      </c>
      <c r="BL203" s="53" t="s">
        <v>561</v>
      </c>
      <c r="BM203" s="53" t="s">
        <v>561</v>
      </c>
      <c r="BN203" s="53" t="s">
        <v>561</v>
      </c>
      <c r="BO203" s="53" t="s">
        <v>561</v>
      </c>
      <c r="BP203" s="250" t="s">
        <v>600</v>
      </c>
      <c r="BQ203" s="180" t="s">
        <v>1832</v>
      </c>
      <c r="BR203" s="53" t="s">
        <v>600</v>
      </c>
      <c r="BS203" s="53" t="s">
        <v>600</v>
      </c>
      <c r="BT203" s="122"/>
      <c r="BU203" s="250" t="s">
        <v>600</v>
      </c>
      <c r="BV203" s="250" t="s">
        <v>600</v>
      </c>
      <c r="BW203" s="250" t="s">
        <v>600</v>
      </c>
      <c r="BX203" s="250" t="s">
        <v>600</v>
      </c>
      <c r="BY203" s="250" t="s">
        <v>600</v>
      </c>
      <c r="BZ203" s="250" t="s">
        <v>600</v>
      </c>
      <c r="CA203" s="250" t="s">
        <v>600</v>
      </c>
      <c r="CB203" s="250" t="s">
        <v>600</v>
      </c>
      <c r="CC203" s="250" t="s">
        <v>600</v>
      </c>
    </row>
    <row r="204">
      <c r="A204" s="44" t="str">
        <f>LOOKUP(H204,'Letter grades'!$A$1:$B$6)</f>
        <v>F</v>
      </c>
      <c r="B204" s="44">
        <f t="shared" si="3"/>
        <v>200</v>
      </c>
      <c r="C204" s="44" t="s">
        <v>73</v>
      </c>
      <c r="D204" s="44" t="s">
        <v>1107</v>
      </c>
      <c r="E204" s="98" t="s">
        <v>1104</v>
      </c>
      <c r="F204" s="47">
        <f t="shared" si="4"/>
        <v>0</v>
      </c>
      <c r="G204" s="47">
        <f t="shared" si="5"/>
        <v>0.1162790698</v>
      </c>
      <c r="H204" s="105">
        <f t="shared" si="6"/>
        <v>0.07751937984</v>
      </c>
      <c r="I204" s="13" t="s">
        <v>2030</v>
      </c>
      <c r="J204" s="53" t="s">
        <v>594</v>
      </c>
      <c r="K204" s="53" t="s">
        <v>594</v>
      </c>
      <c r="L204" s="107" t="s">
        <v>594</v>
      </c>
      <c r="M204" s="53" t="s">
        <v>594</v>
      </c>
      <c r="N204" s="107" t="s">
        <v>594</v>
      </c>
      <c r="O204" s="53" t="s">
        <v>1065</v>
      </c>
      <c r="P204" s="108" t="s">
        <v>53</v>
      </c>
      <c r="Q204" s="110" t="s">
        <v>53</v>
      </c>
      <c r="R204" s="108" t="s">
        <v>766</v>
      </c>
      <c r="S204" s="107" t="s">
        <v>53</v>
      </c>
      <c r="T204" s="107" t="s">
        <v>561</v>
      </c>
      <c r="U204" s="107" t="s">
        <v>561</v>
      </c>
      <c r="V204" s="107" t="s">
        <v>796</v>
      </c>
      <c r="W204" s="107" t="s">
        <v>796</v>
      </c>
      <c r="X204" s="53" t="s">
        <v>766</v>
      </c>
      <c r="Y204" s="107" t="s">
        <v>561</v>
      </c>
      <c r="Z204" s="107" t="s">
        <v>561</v>
      </c>
      <c r="AA204" s="107" t="s">
        <v>561</v>
      </c>
      <c r="AB204" s="53" t="s">
        <v>53</v>
      </c>
      <c r="AC204" s="53" t="s">
        <v>561</v>
      </c>
      <c r="AD204" s="107" t="s">
        <v>561</v>
      </c>
      <c r="AE204" s="107" t="s">
        <v>53</v>
      </c>
      <c r="AF204" s="107" t="s">
        <v>561</v>
      </c>
      <c r="AG204" s="107" t="s">
        <v>561</v>
      </c>
      <c r="AH204" s="107" t="s">
        <v>561</v>
      </c>
      <c r="AI204" s="107" t="s">
        <v>561</v>
      </c>
      <c r="AJ204" s="107" t="s">
        <v>561</v>
      </c>
      <c r="AK204" s="107" t="s">
        <v>561</v>
      </c>
      <c r="AL204" s="107" t="s">
        <v>561</v>
      </c>
      <c r="AM204" s="107" t="s">
        <v>561</v>
      </c>
      <c r="AN204" s="53" t="s">
        <v>561</v>
      </c>
      <c r="AO204" s="107" t="s">
        <v>561</v>
      </c>
      <c r="AP204" s="53" t="s">
        <v>561</v>
      </c>
      <c r="AQ204" s="53" t="s">
        <v>561</v>
      </c>
      <c r="AR204" s="53" t="s">
        <v>561</v>
      </c>
      <c r="AS204" s="53" t="s">
        <v>561</v>
      </c>
      <c r="AT204" s="53" t="s">
        <v>561</v>
      </c>
      <c r="AU204" s="53" t="s">
        <v>561</v>
      </c>
      <c r="AV204" s="53" t="s">
        <v>561</v>
      </c>
      <c r="AW204" s="53" t="s">
        <v>561</v>
      </c>
      <c r="AX204" s="53" t="s">
        <v>561</v>
      </c>
      <c r="AY204" s="53" t="s">
        <v>561</v>
      </c>
      <c r="AZ204" s="53" t="s">
        <v>561</v>
      </c>
      <c r="BA204" s="53" t="s">
        <v>561</v>
      </c>
      <c r="BB204" s="53" t="s">
        <v>561</v>
      </c>
      <c r="BC204" s="53" t="s">
        <v>561</v>
      </c>
      <c r="BD204" s="53" t="s">
        <v>561</v>
      </c>
      <c r="BE204" s="53" t="s">
        <v>561</v>
      </c>
      <c r="BF204" s="53" t="s">
        <v>561</v>
      </c>
      <c r="BG204" s="53" t="s">
        <v>561</v>
      </c>
      <c r="BH204" s="53" t="s">
        <v>561</v>
      </c>
      <c r="BI204" s="107" t="s">
        <v>600</v>
      </c>
      <c r="BJ204" s="107" t="s">
        <v>600</v>
      </c>
      <c r="BK204" s="53" t="s">
        <v>600</v>
      </c>
      <c r="BL204" s="53" t="s">
        <v>600</v>
      </c>
      <c r="BM204" s="53" t="s">
        <v>600</v>
      </c>
      <c r="BN204" s="53" t="s">
        <v>600</v>
      </c>
      <c r="BO204" s="53" t="s">
        <v>600</v>
      </c>
      <c r="BP204" s="53" t="s">
        <v>600</v>
      </c>
      <c r="BQ204" s="118" t="s">
        <v>821</v>
      </c>
      <c r="BR204" s="180" t="s">
        <v>1832</v>
      </c>
      <c r="BS204" s="180" t="s">
        <v>1832</v>
      </c>
      <c r="BT204" s="122"/>
      <c r="BU204" s="122">
        <f t="shared" ref="BU204:BU214" si="31">SUM(BV204:BY204)</f>
        <v>0</v>
      </c>
      <c r="BV204" s="126"/>
      <c r="BW204" s="126"/>
      <c r="BX204" s="127"/>
      <c r="BY204" s="127"/>
      <c r="BZ204" s="13"/>
      <c r="CA204" s="13"/>
      <c r="CB204" s="13" t="s">
        <v>561</v>
      </c>
      <c r="CC204" s="13"/>
    </row>
    <row r="205">
      <c r="A205" s="44" t="str">
        <f>LOOKUP(H205,'Letter grades'!$A$1:$B$6)</f>
        <v>F</v>
      </c>
      <c r="B205" s="44">
        <f t="shared" si="3"/>
        <v>201</v>
      </c>
      <c r="C205" s="44" t="s">
        <v>885</v>
      </c>
      <c r="D205" s="44" t="s">
        <v>144</v>
      </c>
      <c r="E205" s="98" t="s">
        <v>883</v>
      </c>
      <c r="F205" s="47">
        <f t="shared" si="4"/>
        <v>0</v>
      </c>
      <c r="G205" s="47">
        <f t="shared" si="5"/>
        <v>0.1086956522</v>
      </c>
      <c r="H205" s="105">
        <f t="shared" si="6"/>
        <v>0.07246376812</v>
      </c>
      <c r="I205" s="13" t="s">
        <v>2030</v>
      </c>
      <c r="J205" s="53" t="s">
        <v>594</v>
      </c>
      <c r="K205" s="53" t="s">
        <v>594</v>
      </c>
      <c r="L205" s="107" t="s">
        <v>594</v>
      </c>
      <c r="M205" s="53" t="s">
        <v>594</v>
      </c>
      <c r="N205" s="107" t="s">
        <v>594</v>
      </c>
      <c r="O205" s="53" t="s">
        <v>1065</v>
      </c>
      <c r="P205" s="108" t="s">
        <v>53</v>
      </c>
      <c r="Q205" s="110" t="s">
        <v>53</v>
      </c>
      <c r="R205" s="108" t="s">
        <v>766</v>
      </c>
      <c r="S205" s="107" t="s">
        <v>53</v>
      </c>
      <c r="T205" s="107" t="s">
        <v>561</v>
      </c>
      <c r="U205" s="107" t="s">
        <v>561</v>
      </c>
      <c r="V205" s="107" t="s">
        <v>796</v>
      </c>
      <c r="W205" s="107" t="s">
        <v>796</v>
      </c>
      <c r="X205" s="53" t="s">
        <v>766</v>
      </c>
      <c r="Y205" s="107" t="s">
        <v>561</v>
      </c>
      <c r="Z205" s="107" t="s">
        <v>561</v>
      </c>
      <c r="AA205" s="107" t="s">
        <v>561</v>
      </c>
      <c r="AB205" s="53" t="s">
        <v>561</v>
      </c>
      <c r="AC205" s="53" t="s">
        <v>561</v>
      </c>
      <c r="AD205" s="107" t="s">
        <v>561</v>
      </c>
      <c r="AE205" s="107" t="s">
        <v>561</v>
      </c>
      <c r="AF205" s="107" t="s">
        <v>561</v>
      </c>
      <c r="AG205" s="107" t="s">
        <v>561</v>
      </c>
      <c r="AH205" s="107" t="s">
        <v>53</v>
      </c>
      <c r="AI205" s="107" t="s">
        <v>561</v>
      </c>
      <c r="AJ205" s="107" t="s">
        <v>561</v>
      </c>
      <c r="AK205" s="53" t="s">
        <v>801</v>
      </c>
      <c r="AL205" s="107" t="s">
        <v>801</v>
      </c>
      <c r="AM205" s="107" t="s">
        <v>561</v>
      </c>
      <c r="AN205" s="53" t="s">
        <v>561</v>
      </c>
      <c r="AO205" s="107" t="s">
        <v>561</v>
      </c>
      <c r="AP205" s="53" t="s">
        <v>561</v>
      </c>
      <c r="AQ205" s="53" t="s">
        <v>561</v>
      </c>
      <c r="AR205" s="53" t="s">
        <v>561</v>
      </c>
      <c r="AS205" s="53" t="s">
        <v>561</v>
      </c>
      <c r="AT205" s="53" t="s">
        <v>561</v>
      </c>
      <c r="AU205" s="53" t="s">
        <v>561</v>
      </c>
      <c r="AV205" s="53" t="s">
        <v>561</v>
      </c>
      <c r="AW205" s="53" t="s">
        <v>561</v>
      </c>
      <c r="AX205" s="53" t="s">
        <v>801</v>
      </c>
      <c r="AY205" s="53" t="s">
        <v>561</v>
      </c>
      <c r="AZ205" s="53" t="s">
        <v>561</v>
      </c>
      <c r="BA205" s="53" t="s">
        <v>561</v>
      </c>
      <c r="BB205" s="53" t="s">
        <v>53</v>
      </c>
      <c r="BC205" s="53" t="s">
        <v>561</v>
      </c>
      <c r="BD205" s="53" t="s">
        <v>561</v>
      </c>
      <c r="BE205" s="53" t="s">
        <v>561</v>
      </c>
      <c r="BF205" s="53" t="s">
        <v>561</v>
      </c>
      <c r="BG205" s="53" t="s">
        <v>561</v>
      </c>
      <c r="BH205" s="53" t="s">
        <v>561</v>
      </c>
      <c r="BI205" s="107" t="s">
        <v>561</v>
      </c>
      <c r="BJ205" s="107" t="s">
        <v>561</v>
      </c>
      <c r="BK205" s="53" t="s">
        <v>561</v>
      </c>
      <c r="BL205" s="53" t="s">
        <v>561</v>
      </c>
      <c r="BM205" s="53" t="s">
        <v>561</v>
      </c>
      <c r="BN205" s="53" t="s">
        <v>561</v>
      </c>
      <c r="BO205" s="53" t="s">
        <v>600</v>
      </c>
      <c r="BP205" s="53" t="s">
        <v>600</v>
      </c>
      <c r="BQ205" s="118" t="s">
        <v>821</v>
      </c>
      <c r="BR205" s="180" t="s">
        <v>1832</v>
      </c>
      <c r="BS205" s="180" t="s">
        <v>1832</v>
      </c>
      <c r="BT205" s="122"/>
      <c r="BU205" s="122">
        <f t="shared" si="31"/>
        <v>66354</v>
      </c>
      <c r="BV205" s="126">
        <v>62354.0</v>
      </c>
      <c r="BW205" s="126"/>
      <c r="BX205" s="127">
        <f>2000+2000</f>
        <v>4000</v>
      </c>
      <c r="BY205" s="127"/>
      <c r="BZ205" s="13"/>
      <c r="CA205" s="13"/>
      <c r="CB205" s="13" t="s">
        <v>561</v>
      </c>
      <c r="CC205" s="13" t="s">
        <v>561</v>
      </c>
    </row>
    <row r="206">
      <c r="A206" s="44" t="str">
        <f>LOOKUP(H206,'Letter grades'!$A$1:$B$6)</f>
        <v>F</v>
      </c>
      <c r="B206" s="44">
        <f t="shared" si="3"/>
        <v>202</v>
      </c>
      <c r="C206" s="44" t="s">
        <v>503</v>
      </c>
      <c r="D206" s="44" t="s">
        <v>504</v>
      </c>
      <c r="E206" s="98" t="s">
        <v>497</v>
      </c>
      <c r="F206" s="47">
        <f t="shared" si="4"/>
        <v>0</v>
      </c>
      <c r="G206" s="47">
        <f t="shared" si="5"/>
        <v>0.1</v>
      </c>
      <c r="H206" s="105">
        <f t="shared" si="6"/>
        <v>0.06666666667</v>
      </c>
      <c r="I206" s="13" t="s">
        <v>2030</v>
      </c>
      <c r="J206" s="53" t="s">
        <v>594</v>
      </c>
      <c r="K206" s="53" t="s">
        <v>594</v>
      </c>
      <c r="L206" s="107" t="s">
        <v>594</v>
      </c>
      <c r="M206" s="53" t="s">
        <v>594</v>
      </c>
      <c r="N206" s="107" t="s">
        <v>594</v>
      </c>
      <c r="O206" s="53" t="s">
        <v>1065</v>
      </c>
      <c r="P206" s="108" t="s">
        <v>53</v>
      </c>
      <c r="Q206" s="110" t="s">
        <v>53</v>
      </c>
      <c r="R206" s="108" t="s">
        <v>766</v>
      </c>
      <c r="S206" s="107" t="s">
        <v>53</v>
      </c>
      <c r="T206" s="107" t="s">
        <v>561</v>
      </c>
      <c r="U206" s="107" t="s">
        <v>561</v>
      </c>
      <c r="V206" s="107" t="s">
        <v>796</v>
      </c>
      <c r="W206" s="107" t="s">
        <v>796</v>
      </c>
      <c r="X206" s="53" t="s">
        <v>766</v>
      </c>
      <c r="Y206" s="107" t="s">
        <v>561</v>
      </c>
      <c r="Z206" s="107" t="s">
        <v>561</v>
      </c>
      <c r="AA206" s="107" t="s">
        <v>801</v>
      </c>
      <c r="AB206" s="53" t="s">
        <v>561</v>
      </c>
      <c r="AC206" s="53" t="s">
        <v>561</v>
      </c>
      <c r="AD206" s="107" t="s">
        <v>561</v>
      </c>
      <c r="AE206" s="107" t="s">
        <v>53</v>
      </c>
      <c r="AF206" s="107" t="s">
        <v>561</v>
      </c>
      <c r="AG206" s="107" t="s">
        <v>561</v>
      </c>
      <c r="AH206" s="107" t="s">
        <v>53</v>
      </c>
      <c r="AI206" s="107" t="s">
        <v>561</v>
      </c>
      <c r="AJ206" s="107" t="s">
        <v>561</v>
      </c>
      <c r="AK206" s="107" t="s">
        <v>561</v>
      </c>
      <c r="AL206" s="107" t="s">
        <v>561</v>
      </c>
      <c r="AM206" s="107" t="s">
        <v>561</v>
      </c>
      <c r="AN206" s="53" t="s">
        <v>561</v>
      </c>
      <c r="AO206" s="107" t="s">
        <v>561</v>
      </c>
      <c r="AP206" s="53" t="s">
        <v>561</v>
      </c>
      <c r="AQ206" s="53" t="s">
        <v>561</v>
      </c>
      <c r="AR206" s="53" t="s">
        <v>561</v>
      </c>
      <c r="AS206" s="53" t="s">
        <v>561</v>
      </c>
      <c r="AT206" s="53" t="s">
        <v>561</v>
      </c>
      <c r="AU206" s="53" t="s">
        <v>561</v>
      </c>
      <c r="AV206" s="53" t="s">
        <v>561</v>
      </c>
      <c r="AW206" s="53" t="s">
        <v>561</v>
      </c>
      <c r="AX206" s="53" t="s">
        <v>561</v>
      </c>
      <c r="AY206" s="53" t="s">
        <v>561</v>
      </c>
      <c r="AZ206" s="53" t="s">
        <v>561</v>
      </c>
      <c r="BA206" s="53" t="s">
        <v>561</v>
      </c>
      <c r="BB206" s="53" t="s">
        <v>561</v>
      </c>
      <c r="BC206" s="53" t="s">
        <v>561</v>
      </c>
      <c r="BD206" s="53" t="s">
        <v>561</v>
      </c>
      <c r="BE206" s="53" t="s">
        <v>561</v>
      </c>
      <c r="BF206" s="53" t="s">
        <v>561</v>
      </c>
      <c r="BG206" s="53" t="s">
        <v>561</v>
      </c>
      <c r="BH206" s="53" t="s">
        <v>561</v>
      </c>
      <c r="BI206" s="107" t="s">
        <v>561</v>
      </c>
      <c r="BJ206" s="107" t="s">
        <v>561</v>
      </c>
      <c r="BK206" s="53" t="s">
        <v>561</v>
      </c>
      <c r="BL206" s="53" t="s">
        <v>561</v>
      </c>
      <c r="BM206" s="53" t="s">
        <v>561</v>
      </c>
      <c r="BN206" s="53" t="s">
        <v>561</v>
      </c>
      <c r="BO206" s="53" t="s">
        <v>561</v>
      </c>
      <c r="BP206" s="53" t="s">
        <v>561</v>
      </c>
      <c r="BQ206" s="118" t="s">
        <v>821</v>
      </c>
      <c r="BR206" s="180" t="s">
        <v>1832</v>
      </c>
      <c r="BS206" s="180" t="s">
        <v>1832</v>
      </c>
      <c r="BT206" s="122"/>
      <c r="BU206" s="122">
        <f t="shared" si="31"/>
        <v>174840</v>
      </c>
      <c r="BV206" s="126">
        <v>170825.0</v>
      </c>
      <c r="BW206" s="126"/>
      <c r="BX206" s="127">
        <f>2015+2000</f>
        <v>4015</v>
      </c>
      <c r="BY206" s="127"/>
      <c r="BZ206" s="13"/>
      <c r="CA206" s="13"/>
      <c r="CB206" s="13" t="s">
        <v>561</v>
      </c>
      <c r="CC206" s="13" t="s">
        <v>561</v>
      </c>
    </row>
    <row r="207">
      <c r="A207" s="44" t="str">
        <f>LOOKUP(H207,'Letter grades'!$A$1:$B$6)</f>
        <v>F</v>
      </c>
      <c r="B207" s="44">
        <f t="shared" si="3"/>
        <v>203</v>
      </c>
      <c r="C207" s="44" t="s">
        <v>1303</v>
      </c>
      <c r="D207" s="44" t="s">
        <v>2789</v>
      </c>
      <c r="E207" s="98" t="s">
        <v>1300</v>
      </c>
      <c r="F207" s="47">
        <f t="shared" si="4"/>
        <v>0</v>
      </c>
      <c r="G207" s="47">
        <f t="shared" si="5"/>
        <v>0.08695652174</v>
      </c>
      <c r="H207" s="105">
        <f t="shared" si="6"/>
        <v>0.05797101449</v>
      </c>
      <c r="I207" s="13" t="s">
        <v>2030</v>
      </c>
      <c r="J207" s="53" t="s">
        <v>594</v>
      </c>
      <c r="K207" s="53" t="s">
        <v>594</v>
      </c>
      <c r="L207" s="107" t="s">
        <v>594</v>
      </c>
      <c r="M207" s="53" t="s">
        <v>594</v>
      </c>
      <c r="N207" s="107" t="s">
        <v>594</v>
      </c>
      <c r="O207" s="53" t="s">
        <v>1065</v>
      </c>
      <c r="P207" s="108" t="s">
        <v>561</v>
      </c>
      <c r="Q207" s="110" t="s">
        <v>53</v>
      </c>
      <c r="R207" s="108" t="s">
        <v>766</v>
      </c>
      <c r="S207" s="107" t="s">
        <v>53</v>
      </c>
      <c r="T207" s="107" t="s">
        <v>561</v>
      </c>
      <c r="U207" s="107" t="s">
        <v>561</v>
      </c>
      <c r="V207" s="107" t="s">
        <v>796</v>
      </c>
      <c r="W207" s="107" t="s">
        <v>796</v>
      </c>
      <c r="X207" s="53" t="s">
        <v>801</v>
      </c>
      <c r="Y207" s="107" t="s">
        <v>561</v>
      </c>
      <c r="Z207" s="107" t="s">
        <v>561</v>
      </c>
      <c r="AA207" s="107" t="s">
        <v>561</v>
      </c>
      <c r="AB207" s="53" t="s">
        <v>561</v>
      </c>
      <c r="AC207" s="53" t="s">
        <v>561</v>
      </c>
      <c r="AD207" s="107" t="s">
        <v>561</v>
      </c>
      <c r="AE207" s="107" t="s">
        <v>561</v>
      </c>
      <c r="AF207" s="107" t="s">
        <v>561</v>
      </c>
      <c r="AG207" s="107" t="s">
        <v>561</v>
      </c>
      <c r="AH207" s="107" t="s">
        <v>801</v>
      </c>
      <c r="AI207" s="107" t="s">
        <v>561</v>
      </c>
      <c r="AJ207" s="107" t="s">
        <v>561</v>
      </c>
      <c r="AK207" s="107" t="s">
        <v>561</v>
      </c>
      <c r="AL207" s="107" t="s">
        <v>561</v>
      </c>
      <c r="AM207" s="107" t="s">
        <v>561</v>
      </c>
      <c r="AN207" s="53" t="s">
        <v>561</v>
      </c>
      <c r="AO207" s="107" t="s">
        <v>561</v>
      </c>
      <c r="AP207" s="53" t="s">
        <v>561</v>
      </c>
      <c r="AQ207" s="53" t="s">
        <v>561</v>
      </c>
      <c r="AR207" s="53" t="s">
        <v>561</v>
      </c>
      <c r="AS207" s="53" t="s">
        <v>561</v>
      </c>
      <c r="AT207" s="53" t="s">
        <v>561</v>
      </c>
      <c r="AU207" s="53" t="s">
        <v>561</v>
      </c>
      <c r="AV207" s="53" t="s">
        <v>561</v>
      </c>
      <c r="AW207" s="53" t="s">
        <v>561</v>
      </c>
      <c r="AX207" s="53" t="s">
        <v>561</v>
      </c>
      <c r="AY207" s="53" t="s">
        <v>561</v>
      </c>
      <c r="AZ207" s="53" t="s">
        <v>53</v>
      </c>
      <c r="BA207" s="53" t="s">
        <v>561</v>
      </c>
      <c r="BB207" s="53" t="s">
        <v>53</v>
      </c>
      <c r="BC207" s="53" t="s">
        <v>561</v>
      </c>
      <c r="BD207" s="53" t="s">
        <v>801</v>
      </c>
      <c r="BE207" s="53" t="s">
        <v>561</v>
      </c>
      <c r="BF207" s="53" t="s">
        <v>561</v>
      </c>
      <c r="BG207" s="53" t="s">
        <v>561</v>
      </c>
      <c r="BH207" s="53" t="s">
        <v>561</v>
      </c>
      <c r="BI207" s="107" t="s">
        <v>561</v>
      </c>
      <c r="BJ207" s="107" t="s">
        <v>561</v>
      </c>
      <c r="BK207" s="53" t="s">
        <v>561</v>
      </c>
      <c r="BL207" s="53" t="s">
        <v>561</v>
      </c>
      <c r="BM207" s="53" t="s">
        <v>561</v>
      </c>
      <c r="BN207" s="53" t="s">
        <v>801</v>
      </c>
      <c r="BO207" s="53" t="s">
        <v>561</v>
      </c>
      <c r="BP207" s="53" t="s">
        <v>600</v>
      </c>
      <c r="BQ207" s="118" t="s">
        <v>821</v>
      </c>
      <c r="BR207" s="180" t="s">
        <v>1832</v>
      </c>
      <c r="BS207" s="180" t="s">
        <v>1832</v>
      </c>
      <c r="BT207" s="122"/>
      <c r="BU207" s="122">
        <f t="shared" si="31"/>
        <v>68757</v>
      </c>
      <c r="BV207" s="126">
        <v>68757.0</v>
      </c>
      <c r="BW207" s="126"/>
      <c r="BX207" s="127"/>
      <c r="BY207" s="127"/>
      <c r="BZ207" s="13"/>
      <c r="CA207" s="13"/>
      <c r="CB207" s="13"/>
      <c r="CC207" s="13" t="s">
        <v>561</v>
      </c>
    </row>
    <row r="208">
      <c r="A208" s="44" t="str">
        <f>LOOKUP(H208,'Letter grades'!$A$1:$B$6)</f>
        <v>F</v>
      </c>
      <c r="B208" s="44">
        <f t="shared" si="3"/>
        <v>203</v>
      </c>
      <c r="C208" s="44" t="s">
        <v>476</v>
      </c>
      <c r="D208" s="44" t="s">
        <v>477</v>
      </c>
      <c r="E208" s="98" t="s">
        <v>472</v>
      </c>
      <c r="F208" s="47">
        <f t="shared" si="4"/>
        <v>0</v>
      </c>
      <c r="G208" s="47">
        <f t="shared" si="5"/>
        <v>0.08695652174</v>
      </c>
      <c r="H208" s="105">
        <f t="shared" si="6"/>
        <v>0.05797101449</v>
      </c>
      <c r="I208" s="13" t="s">
        <v>2030</v>
      </c>
      <c r="J208" s="53" t="s">
        <v>594</v>
      </c>
      <c r="K208" s="53" t="s">
        <v>594</v>
      </c>
      <c r="L208" s="107" t="s">
        <v>594</v>
      </c>
      <c r="M208" s="53" t="s">
        <v>594</v>
      </c>
      <c r="N208" s="107" t="s">
        <v>594</v>
      </c>
      <c r="O208" s="53" t="s">
        <v>1065</v>
      </c>
      <c r="P208" s="108" t="s">
        <v>53</v>
      </c>
      <c r="Q208" s="110" t="s">
        <v>53</v>
      </c>
      <c r="R208" s="108" t="s">
        <v>766</v>
      </c>
      <c r="S208" s="107" t="s">
        <v>53</v>
      </c>
      <c r="T208" s="107" t="s">
        <v>561</v>
      </c>
      <c r="U208" s="107" t="s">
        <v>561</v>
      </c>
      <c r="V208" s="107" t="s">
        <v>796</v>
      </c>
      <c r="W208" s="107" t="s">
        <v>796</v>
      </c>
      <c r="X208" s="53" t="s">
        <v>766</v>
      </c>
      <c r="Y208" s="107" t="s">
        <v>561</v>
      </c>
      <c r="Z208" s="107" t="s">
        <v>561</v>
      </c>
      <c r="AA208" s="107" t="s">
        <v>561</v>
      </c>
      <c r="AB208" s="53" t="s">
        <v>801</v>
      </c>
      <c r="AC208" s="53" t="s">
        <v>561</v>
      </c>
      <c r="AD208" s="107" t="s">
        <v>561</v>
      </c>
      <c r="AE208" s="107" t="s">
        <v>53</v>
      </c>
      <c r="AF208" s="107" t="s">
        <v>561</v>
      </c>
      <c r="AG208" s="107" t="s">
        <v>561</v>
      </c>
      <c r="AH208" s="107" t="s">
        <v>561</v>
      </c>
      <c r="AI208" s="107" t="s">
        <v>561</v>
      </c>
      <c r="AJ208" s="107" t="s">
        <v>561</v>
      </c>
      <c r="AK208" s="107" t="s">
        <v>561</v>
      </c>
      <c r="AL208" s="107" t="s">
        <v>561</v>
      </c>
      <c r="AM208" s="107" t="s">
        <v>561</v>
      </c>
      <c r="AN208" s="53" t="s">
        <v>561</v>
      </c>
      <c r="AO208" s="107" t="s">
        <v>801</v>
      </c>
      <c r="AP208" s="53" t="s">
        <v>801</v>
      </c>
      <c r="AQ208" s="53" t="s">
        <v>561</v>
      </c>
      <c r="AR208" s="53" t="s">
        <v>561</v>
      </c>
      <c r="AS208" s="53" t="s">
        <v>561</v>
      </c>
      <c r="AT208" s="53" t="s">
        <v>561</v>
      </c>
      <c r="AU208" s="53" t="s">
        <v>561</v>
      </c>
      <c r="AV208" s="53" t="s">
        <v>561</v>
      </c>
      <c r="AW208" s="53" t="s">
        <v>561</v>
      </c>
      <c r="AX208" s="53" t="s">
        <v>561</v>
      </c>
      <c r="AY208" s="53" t="s">
        <v>561</v>
      </c>
      <c r="AZ208" s="53" t="s">
        <v>561</v>
      </c>
      <c r="BA208" s="53" t="s">
        <v>561</v>
      </c>
      <c r="BB208" s="53" t="s">
        <v>561</v>
      </c>
      <c r="BC208" s="53" t="s">
        <v>561</v>
      </c>
      <c r="BD208" s="53" t="s">
        <v>561</v>
      </c>
      <c r="BE208" s="53" t="s">
        <v>561</v>
      </c>
      <c r="BF208" s="53" t="s">
        <v>561</v>
      </c>
      <c r="BG208" s="53" t="s">
        <v>561</v>
      </c>
      <c r="BH208" s="53" t="s">
        <v>801</v>
      </c>
      <c r="BI208" s="107" t="s">
        <v>561</v>
      </c>
      <c r="BJ208" s="107" t="s">
        <v>561</v>
      </c>
      <c r="BK208" s="53" t="s">
        <v>561</v>
      </c>
      <c r="BL208" s="53" t="s">
        <v>561</v>
      </c>
      <c r="BM208" s="53" t="s">
        <v>561</v>
      </c>
      <c r="BN208" s="53" t="s">
        <v>561</v>
      </c>
      <c r="BO208" s="53" t="s">
        <v>561</v>
      </c>
      <c r="BP208" s="53" t="s">
        <v>600</v>
      </c>
      <c r="BQ208" s="118" t="s">
        <v>821</v>
      </c>
      <c r="BR208" s="118" t="s">
        <v>821</v>
      </c>
      <c r="BS208" s="180" t="s">
        <v>1832</v>
      </c>
      <c r="BT208" s="122"/>
      <c r="BU208" s="122">
        <f t="shared" si="31"/>
        <v>95945</v>
      </c>
      <c r="BV208" s="126">
        <v>91930.0</v>
      </c>
      <c r="BW208" s="126"/>
      <c r="BX208" s="127">
        <f>2015+2000</f>
        <v>4015</v>
      </c>
      <c r="BY208" s="127"/>
      <c r="BZ208" s="13"/>
      <c r="CA208" s="13"/>
      <c r="CB208" s="13" t="s">
        <v>561</v>
      </c>
      <c r="CC208" s="13" t="s">
        <v>561</v>
      </c>
    </row>
    <row r="209">
      <c r="A209" s="44" t="str">
        <f>LOOKUP(H209,'Letter grades'!$A$1:$B$6)</f>
        <v>F</v>
      </c>
      <c r="B209" s="44">
        <f t="shared" si="3"/>
        <v>205</v>
      </c>
      <c r="C209" s="44" t="s">
        <v>88</v>
      </c>
      <c r="D209" s="44" t="s">
        <v>484</v>
      </c>
      <c r="E209" s="98" t="s">
        <v>479</v>
      </c>
      <c r="F209" s="47">
        <f t="shared" si="4"/>
        <v>0</v>
      </c>
      <c r="G209" s="47">
        <f t="shared" si="5"/>
        <v>0.06818181818</v>
      </c>
      <c r="H209" s="105">
        <f t="shared" si="6"/>
        <v>0.04545454545</v>
      </c>
      <c r="I209" s="13" t="s">
        <v>2030</v>
      </c>
      <c r="J209" s="53" t="s">
        <v>594</v>
      </c>
      <c r="K209" s="53" t="s">
        <v>594</v>
      </c>
      <c r="L209" s="107" t="s">
        <v>594</v>
      </c>
      <c r="M209" s="53" t="s">
        <v>594</v>
      </c>
      <c r="N209" s="107" t="s">
        <v>594</v>
      </c>
      <c r="O209" s="53" t="s">
        <v>1065</v>
      </c>
      <c r="P209" s="108" t="s">
        <v>53</v>
      </c>
      <c r="Q209" s="110" t="s">
        <v>53</v>
      </c>
      <c r="R209" s="108" t="s">
        <v>766</v>
      </c>
      <c r="S209" s="107" t="s">
        <v>53</v>
      </c>
      <c r="T209" s="107" t="s">
        <v>561</v>
      </c>
      <c r="U209" s="107" t="s">
        <v>561</v>
      </c>
      <c r="V209" s="107" t="s">
        <v>766</v>
      </c>
      <c r="W209" s="107" t="s">
        <v>766</v>
      </c>
      <c r="X209" s="53" t="s">
        <v>766</v>
      </c>
      <c r="Y209" s="107" t="s">
        <v>561</v>
      </c>
      <c r="Z209" s="107" t="s">
        <v>561</v>
      </c>
      <c r="AA209" s="107" t="s">
        <v>561</v>
      </c>
      <c r="AB209" s="53" t="s">
        <v>561</v>
      </c>
      <c r="AC209" s="53" t="s">
        <v>561</v>
      </c>
      <c r="AD209" s="107" t="s">
        <v>561</v>
      </c>
      <c r="AE209" s="107" t="s">
        <v>561</v>
      </c>
      <c r="AF209" s="107" t="s">
        <v>561</v>
      </c>
      <c r="AG209" s="107" t="s">
        <v>561</v>
      </c>
      <c r="AH209" s="107" t="s">
        <v>561</v>
      </c>
      <c r="AI209" s="107" t="s">
        <v>561</v>
      </c>
      <c r="AJ209" s="107" t="s">
        <v>561</v>
      </c>
      <c r="AK209" s="107" t="s">
        <v>561</v>
      </c>
      <c r="AL209" s="107" t="s">
        <v>561</v>
      </c>
      <c r="AM209" s="107" t="s">
        <v>561</v>
      </c>
      <c r="AN209" s="53" t="s">
        <v>561</v>
      </c>
      <c r="AO209" s="107" t="s">
        <v>561</v>
      </c>
      <c r="AP209" s="53" t="s">
        <v>561</v>
      </c>
      <c r="AQ209" s="53" t="s">
        <v>561</v>
      </c>
      <c r="AR209" s="53" t="s">
        <v>561</v>
      </c>
      <c r="AS209" s="53" t="s">
        <v>561</v>
      </c>
      <c r="AT209" s="53" t="s">
        <v>561</v>
      </c>
      <c r="AU209" s="53" t="s">
        <v>561</v>
      </c>
      <c r="AV209" s="53" t="s">
        <v>561</v>
      </c>
      <c r="AW209" s="53" t="s">
        <v>561</v>
      </c>
      <c r="AX209" s="53" t="s">
        <v>561</v>
      </c>
      <c r="AY209" s="53" t="s">
        <v>561</v>
      </c>
      <c r="AZ209" s="53" t="s">
        <v>561</v>
      </c>
      <c r="BA209" s="53" t="s">
        <v>561</v>
      </c>
      <c r="BB209" s="53" t="s">
        <v>561</v>
      </c>
      <c r="BC209" s="53" t="s">
        <v>561</v>
      </c>
      <c r="BD209" s="53" t="s">
        <v>561</v>
      </c>
      <c r="BE209" s="53" t="s">
        <v>801</v>
      </c>
      <c r="BF209" s="53" t="s">
        <v>561</v>
      </c>
      <c r="BG209" s="53" t="s">
        <v>561</v>
      </c>
      <c r="BH209" s="53" t="s">
        <v>561</v>
      </c>
      <c r="BI209" s="107" t="s">
        <v>600</v>
      </c>
      <c r="BJ209" s="107" t="s">
        <v>600</v>
      </c>
      <c r="BK209" s="53" t="s">
        <v>600</v>
      </c>
      <c r="BL209" s="53" t="s">
        <v>600</v>
      </c>
      <c r="BM209" s="53" t="s">
        <v>600</v>
      </c>
      <c r="BN209" s="53" t="s">
        <v>600</v>
      </c>
      <c r="BO209" s="53" t="s">
        <v>600</v>
      </c>
      <c r="BP209" s="53" t="s">
        <v>600</v>
      </c>
      <c r="BQ209" s="118" t="s">
        <v>821</v>
      </c>
      <c r="BR209" s="118" t="s">
        <v>821</v>
      </c>
      <c r="BS209" s="180" t="s">
        <v>1832</v>
      </c>
      <c r="BT209" s="122"/>
      <c r="BU209" s="122">
        <f t="shared" si="31"/>
        <v>66450</v>
      </c>
      <c r="BV209" s="126">
        <v>64450.0</v>
      </c>
      <c r="BW209" s="126"/>
      <c r="BX209" s="127">
        <f t="shared" ref="BX209:BX210" si="32">2000</f>
        <v>2000</v>
      </c>
      <c r="BY209" s="127"/>
      <c r="BZ209" s="13"/>
      <c r="CA209" s="13"/>
      <c r="CB209" s="13" t="s">
        <v>561</v>
      </c>
      <c r="CC209" s="13"/>
    </row>
    <row r="210">
      <c r="A210" s="44" t="str">
        <f>LOOKUP(H210,'Letter grades'!$A$1:$B$6)</f>
        <v>F</v>
      </c>
      <c r="B210" s="44">
        <f t="shared" si="3"/>
        <v>206</v>
      </c>
      <c r="C210" s="44" t="s">
        <v>1272</v>
      </c>
      <c r="D210" s="44" t="s">
        <v>1273</v>
      </c>
      <c r="E210" s="98" t="s">
        <v>1270</v>
      </c>
      <c r="F210" s="47">
        <f t="shared" si="4"/>
        <v>0</v>
      </c>
      <c r="G210" s="47">
        <f t="shared" si="5"/>
        <v>0.05882352941</v>
      </c>
      <c r="H210" s="105">
        <f t="shared" si="6"/>
        <v>0.03921568627</v>
      </c>
      <c r="I210" s="13" t="s">
        <v>2030</v>
      </c>
      <c r="J210" s="53" t="s">
        <v>594</v>
      </c>
      <c r="K210" s="53" t="s">
        <v>594</v>
      </c>
      <c r="L210" s="107" t="s">
        <v>594</v>
      </c>
      <c r="M210" s="53" t="s">
        <v>594</v>
      </c>
      <c r="N210" s="107" t="s">
        <v>594</v>
      </c>
      <c r="O210" s="53" t="s">
        <v>1065</v>
      </c>
      <c r="P210" s="108" t="s">
        <v>561</v>
      </c>
      <c r="Q210" s="110" t="s">
        <v>53</v>
      </c>
      <c r="R210" s="108" t="s">
        <v>766</v>
      </c>
      <c r="S210" s="107" t="s">
        <v>561</v>
      </c>
      <c r="T210" s="107" t="s">
        <v>561</v>
      </c>
      <c r="U210" s="107" t="s">
        <v>561</v>
      </c>
      <c r="V210" s="107" t="s">
        <v>796</v>
      </c>
      <c r="W210" s="107" t="s">
        <v>796</v>
      </c>
      <c r="X210" s="53" t="s">
        <v>766</v>
      </c>
      <c r="Y210" s="107" t="s">
        <v>561</v>
      </c>
      <c r="Z210" s="107" t="s">
        <v>561</v>
      </c>
      <c r="AA210" s="107" t="s">
        <v>561</v>
      </c>
      <c r="AB210" s="53" t="s">
        <v>561</v>
      </c>
      <c r="AC210" s="53" t="s">
        <v>561</v>
      </c>
      <c r="AD210" s="107" t="s">
        <v>561</v>
      </c>
      <c r="AE210" s="107" t="s">
        <v>561</v>
      </c>
      <c r="AF210" s="107" t="s">
        <v>561</v>
      </c>
      <c r="AG210" s="107" t="s">
        <v>561</v>
      </c>
      <c r="AH210" s="107" t="s">
        <v>561</v>
      </c>
      <c r="AI210" s="107" t="s">
        <v>561</v>
      </c>
      <c r="AJ210" s="107" t="s">
        <v>561</v>
      </c>
      <c r="AK210" s="107" t="s">
        <v>561</v>
      </c>
      <c r="AL210" s="107" t="s">
        <v>561</v>
      </c>
      <c r="AM210" s="107" t="s">
        <v>561</v>
      </c>
      <c r="AN210" s="53" t="s">
        <v>561</v>
      </c>
      <c r="AO210" s="107" t="s">
        <v>561</v>
      </c>
      <c r="AP210" s="53" t="s">
        <v>561</v>
      </c>
      <c r="AQ210" s="53" t="s">
        <v>561</v>
      </c>
      <c r="AR210" s="53" t="s">
        <v>561</v>
      </c>
      <c r="AS210" s="53" t="s">
        <v>561</v>
      </c>
      <c r="AT210" s="53" t="s">
        <v>561</v>
      </c>
      <c r="AU210" s="53" t="s">
        <v>561</v>
      </c>
      <c r="AV210" s="53" t="s">
        <v>561</v>
      </c>
      <c r="AW210" s="53" t="s">
        <v>561</v>
      </c>
      <c r="AX210" s="53" t="s">
        <v>561</v>
      </c>
      <c r="AY210" s="53" t="s">
        <v>561</v>
      </c>
      <c r="AZ210" s="53" t="s">
        <v>53</v>
      </c>
      <c r="BA210" s="53" t="s">
        <v>561</v>
      </c>
      <c r="BB210" s="53" t="s">
        <v>53</v>
      </c>
      <c r="BC210" s="53" t="s">
        <v>561</v>
      </c>
      <c r="BD210" s="53" t="s">
        <v>561</v>
      </c>
      <c r="BE210" s="53" t="s">
        <v>561</v>
      </c>
      <c r="BF210" s="53" t="s">
        <v>561</v>
      </c>
      <c r="BG210" s="53" t="s">
        <v>561</v>
      </c>
      <c r="BH210" s="53" t="s">
        <v>561</v>
      </c>
      <c r="BI210" s="107" t="s">
        <v>561</v>
      </c>
      <c r="BJ210" s="107" t="s">
        <v>561</v>
      </c>
      <c r="BK210" s="53" t="s">
        <v>561</v>
      </c>
      <c r="BL210" s="53" t="s">
        <v>561</v>
      </c>
      <c r="BM210" s="53" t="s">
        <v>561</v>
      </c>
      <c r="BN210" s="53" t="s">
        <v>561</v>
      </c>
      <c r="BO210" s="53" t="s">
        <v>561</v>
      </c>
      <c r="BP210" s="53" t="s">
        <v>561</v>
      </c>
      <c r="BQ210" s="118" t="s">
        <v>821</v>
      </c>
      <c r="BR210" s="118" t="s">
        <v>821</v>
      </c>
      <c r="BS210" s="180" t="s">
        <v>1832</v>
      </c>
      <c r="BT210" s="122"/>
      <c r="BU210" s="122">
        <f t="shared" si="31"/>
        <v>2189095</v>
      </c>
      <c r="BV210" s="126">
        <v>337481.0</v>
      </c>
      <c r="BW210" s="126">
        <v>1849614.0</v>
      </c>
      <c r="BX210" s="127">
        <f t="shared" si="32"/>
        <v>2000</v>
      </c>
      <c r="BY210" s="127"/>
      <c r="BZ210" s="13"/>
      <c r="CA210" s="13"/>
      <c r="CB210" s="13"/>
      <c r="CC210" s="13" t="s">
        <v>561</v>
      </c>
    </row>
    <row r="211">
      <c r="A211" s="44" t="str">
        <f>LOOKUP(H211,'Letter grades'!$A$1:$B$6)</f>
        <v>F</v>
      </c>
      <c r="B211" s="44">
        <f t="shared" si="3"/>
        <v>207</v>
      </c>
      <c r="C211" s="44" t="s">
        <v>1369</v>
      </c>
      <c r="D211" s="44" t="s">
        <v>2791</v>
      </c>
      <c r="E211" s="98" t="s">
        <v>1367</v>
      </c>
      <c r="F211" s="47">
        <f t="shared" si="4"/>
        <v>0</v>
      </c>
      <c r="G211" s="47">
        <f t="shared" si="5"/>
        <v>0.04651162791</v>
      </c>
      <c r="H211" s="105">
        <f t="shared" si="6"/>
        <v>0.03100775194</v>
      </c>
      <c r="I211" s="13" t="s">
        <v>2030</v>
      </c>
      <c r="J211" s="53" t="s">
        <v>594</v>
      </c>
      <c r="K211" s="53" t="s">
        <v>594</v>
      </c>
      <c r="L211" s="107" t="s">
        <v>594</v>
      </c>
      <c r="M211" s="53" t="s">
        <v>594</v>
      </c>
      <c r="N211" s="107" t="s">
        <v>594</v>
      </c>
      <c r="O211" s="53" t="s">
        <v>1065</v>
      </c>
      <c r="P211" s="108" t="s">
        <v>561</v>
      </c>
      <c r="Q211" s="110" t="s">
        <v>53</v>
      </c>
      <c r="R211" s="108" t="s">
        <v>766</v>
      </c>
      <c r="S211" s="107" t="s">
        <v>561</v>
      </c>
      <c r="T211" s="107" t="s">
        <v>561</v>
      </c>
      <c r="U211" s="107" t="s">
        <v>561</v>
      </c>
      <c r="V211" s="107" t="s">
        <v>796</v>
      </c>
      <c r="W211" s="107" t="s">
        <v>796</v>
      </c>
      <c r="X211" s="53" t="s">
        <v>766</v>
      </c>
      <c r="Y211" s="107" t="s">
        <v>561</v>
      </c>
      <c r="Z211" s="107" t="s">
        <v>561</v>
      </c>
      <c r="AA211" s="107" t="s">
        <v>561</v>
      </c>
      <c r="AB211" s="53" t="s">
        <v>561</v>
      </c>
      <c r="AC211" s="53" t="s">
        <v>561</v>
      </c>
      <c r="AD211" s="107" t="s">
        <v>561</v>
      </c>
      <c r="AE211" s="107" t="s">
        <v>561</v>
      </c>
      <c r="AF211" s="107" t="s">
        <v>561</v>
      </c>
      <c r="AG211" s="107" t="s">
        <v>561</v>
      </c>
      <c r="AH211" s="107" t="s">
        <v>561</v>
      </c>
      <c r="AI211" s="107" t="s">
        <v>561</v>
      </c>
      <c r="AJ211" s="107" t="s">
        <v>561</v>
      </c>
      <c r="AK211" s="107" t="s">
        <v>561</v>
      </c>
      <c r="AL211" s="107" t="s">
        <v>561</v>
      </c>
      <c r="AM211" s="107" t="s">
        <v>561</v>
      </c>
      <c r="AN211" s="53" t="s">
        <v>561</v>
      </c>
      <c r="AO211" s="107" t="s">
        <v>561</v>
      </c>
      <c r="AP211" s="53" t="s">
        <v>561</v>
      </c>
      <c r="AQ211" s="53" t="s">
        <v>561</v>
      </c>
      <c r="AR211" s="53" t="s">
        <v>561</v>
      </c>
      <c r="AS211" s="53" t="s">
        <v>561</v>
      </c>
      <c r="AT211" s="53" t="s">
        <v>561</v>
      </c>
      <c r="AU211" s="53" t="s">
        <v>561</v>
      </c>
      <c r="AV211" s="53" t="s">
        <v>561</v>
      </c>
      <c r="AW211" s="53" t="s">
        <v>561</v>
      </c>
      <c r="AX211" s="53" t="s">
        <v>561</v>
      </c>
      <c r="AY211" s="53" t="s">
        <v>561</v>
      </c>
      <c r="AZ211" s="53" t="s">
        <v>561</v>
      </c>
      <c r="BA211" s="53" t="s">
        <v>561</v>
      </c>
      <c r="BB211" s="53" t="s">
        <v>53</v>
      </c>
      <c r="BC211" s="53" t="s">
        <v>561</v>
      </c>
      <c r="BD211" s="53" t="s">
        <v>561</v>
      </c>
      <c r="BE211" s="53" t="s">
        <v>561</v>
      </c>
      <c r="BF211" s="53" t="s">
        <v>561</v>
      </c>
      <c r="BG211" s="53" t="s">
        <v>561</v>
      </c>
      <c r="BH211" s="53" t="s">
        <v>561</v>
      </c>
      <c r="BI211" s="107" t="s">
        <v>600</v>
      </c>
      <c r="BJ211" s="107" t="s">
        <v>600</v>
      </c>
      <c r="BK211" s="53" t="s">
        <v>600</v>
      </c>
      <c r="BL211" s="53" t="s">
        <v>600</v>
      </c>
      <c r="BM211" s="53" t="s">
        <v>600</v>
      </c>
      <c r="BN211" s="53" t="s">
        <v>600</v>
      </c>
      <c r="BO211" s="53" t="s">
        <v>600</v>
      </c>
      <c r="BP211" s="53" t="s">
        <v>600</v>
      </c>
      <c r="BQ211" s="118" t="s">
        <v>821</v>
      </c>
      <c r="BR211" s="118" t="s">
        <v>821</v>
      </c>
      <c r="BS211" s="180" t="s">
        <v>1832</v>
      </c>
      <c r="BT211" s="122"/>
      <c r="BU211" s="122">
        <f t="shared" si="31"/>
        <v>0</v>
      </c>
      <c r="BV211" s="126"/>
      <c r="BW211" s="126"/>
      <c r="BX211" s="127"/>
      <c r="BY211" s="127"/>
      <c r="BZ211" s="13"/>
      <c r="CA211" s="13"/>
      <c r="CB211" s="13"/>
      <c r="CC211" s="13"/>
    </row>
    <row r="212">
      <c r="A212" s="44" t="str">
        <f>LOOKUP(H212,'Letter grades'!$A$1:$B$6)</f>
        <v>F</v>
      </c>
      <c r="B212" s="44">
        <f t="shared" si="3"/>
        <v>208</v>
      </c>
      <c r="C212" s="44" t="s">
        <v>922</v>
      </c>
      <c r="D212" s="44" t="s">
        <v>923</v>
      </c>
      <c r="E212" s="98" t="s">
        <v>919</v>
      </c>
      <c r="F212" s="47">
        <f t="shared" si="4"/>
        <v>0</v>
      </c>
      <c r="G212" s="47">
        <f t="shared" si="5"/>
        <v>0.04545454545</v>
      </c>
      <c r="H212" s="105">
        <f t="shared" si="6"/>
        <v>0.0303030303</v>
      </c>
      <c r="I212" s="13" t="s">
        <v>2030</v>
      </c>
      <c r="J212" s="53" t="s">
        <v>594</v>
      </c>
      <c r="K212" s="53" t="s">
        <v>594</v>
      </c>
      <c r="L212" s="107" t="s">
        <v>594</v>
      </c>
      <c r="M212" s="53" t="s">
        <v>594</v>
      </c>
      <c r="N212" s="107" t="s">
        <v>594</v>
      </c>
      <c r="O212" s="53" t="s">
        <v>1065</v>
      </c>
      <c r="P212" s="108" t="s">
        <v>53</v>
      </c>
      <c r="Q212" s="110" t="s">
        <v>53</v>
      </c>
      <c r="R212" s="108" t="s">
        <v>766</v>
      </c>
      <c r="S212" s="107" t="s">
        <v>561</v>
      </c>
      <c r="T212" s="107" t="s">
        <v>561</v>
      </c>
      <c r="U212" s="107" t="s">
        <v>561</v>
      </c>
      <c r="V212" s="107" t="s">
        <v>796</v>
      </c>
      <c r="W212" s="107" t="s">
        <v>796</v>
      </c>
      <c r="X212" s="53" t="s">
        <v>766</v>
      </c>
      <c r="Y212" s="107" t="s">
        <v>801</v>
      </c>
      <c r="Z212" s="107" t="s">
        <v>561</v>
      </c>
      <c r="AA212" s="107" t="s">
        <v>561</v>
      </c>
      <c r="AB212" s="53" t="s">
        <v>801</v>
      </c>
      <c r="AC212" s="53" t="s">
        <v>801</v>
      </c>
      <c r="AD212" s="107" t="s">
        <v>561</v>
      </c>
      <c r="AE212" s="107" t="s">
        <v>561</v>
      </c>
      <c r="AF212" s="107" t="s">
        <v>561</v>
      </c>
      <c r="AG212" s="107" t="s">
        <v>561</v>
      </c>
      <c r="AH212" s="107" t="s">
        <v>561</v>
      </c>
      <c r="AI212" s="107" t="s">
        <v>561</v>
      </c>
      <c r="AJ212" s="107" t="s">
        <v>561</v>
      </c>
      <c r="AK212" s="107" t="s">
        <v>561</v>
      </c>
      <c r="AL212" s="107" t="s">
        <v>561</v>
      </c>
      <c r="AM212" s="107" t="s">
        <v>561</v>
      </c>
      <c r="AN212" s="53" t="s">
        <v>561</v>
      </c>
      <c r="AO212" s="107" t="s">
        <v>561</v>
      </c>
      <c r="AP212" s="53" t="s">
        <v>561</v>
      </c>
      <c r="AQ212" s="53" t="s">
        <v>561</v>
      </c>
      <c r="AR212" s="53" t="s">
        <v>561</v>
      </c>
      <c r="AS212" s="53" t="s">
        <v>561</v>
      </c>
      <c r="AT212" s="53" t="s">
        <v>561</v>
      </c>
      <c r="AU212" s="53" t="s">
        <v>561</v>
      </c>
      <c r="AV212" s="53" t="s">
        <v>561</v>
      </c>
      <c r="AW212" s="53" t="s">
        <v>561</v>
      </c>
      <c r="AX212" s="53" t="s">
        <v>561</v>
      </c>
      <c r="AY212" s="53" t="s">
        <v>801</v>
      </c>
      <c r="AZ212" s="53" t="s">
        <v>561</v>
      </c>
      <c r="BA212" s="53" t="s">
        <v>561</v>
      </c>
      <c r="BB212" s="53" t="s">
        <v>561</v>
      </c>
      <c r="BC212" s="53" t="s">
        <v>801</v>
      </c>
      <c r="BD212" s="53" t="s">
        <v>561</v>
      </c>
      <c r="BE212" s="53" t="s">
        <v>561</v>
      </c>
      <c r="BF212" s="53" t="s">
        <v>561</v>
      </c>
      <c r="BG212" s="53" t="s">
        <v>801</v>
      </c>
      <c r="BH212" s="53" t="s">
        <v>561</v>
      </c>
      <c r="BI212" s="107" t="s">
        <v>561</v>
      </c>
      <c r="BJ212" s="107" t="s">
        <v>561</v>
      </c>
      <c r="BK212" s="53" t="s">
        <v>561</v>
      </c>
      <c r="BL212" s="53" t="s">
        <v>561</v>
      </c>
      <c r="BM212" s="53" t="s">
        <v>561</v>
      </c>
      <c r="BN212" s="53" t="s">
        <v>561</v>
      </c>
      <c r="BO212" s="53" t="s">
        <v>561</v>
      </c>
      <c r="BP212" s="53" t="s">
        <v>600</v>
      </c>
      <c r="BQ212" s="180" t="s">
        <v>1832</v>
      </c>
      <c r="BR212" s="180" t="s">
        <v>1832</v>
      </c>
      <c r="BS212" s="180" t="s">
        <v>1832</v>
      </c>
      <c r="BT212" s="122"/>
      <c r="BU212" s="122">
        <f t="shared" si="31"/>
        <v>411180</v>
      </c>
      <c r="BV212" s="126">
        <v>407180.0</v>
      </c>
      <c r="BW212" s="126"/>
      <c r="BX212" s="127">
        <f>2000+2000</f>
        <v>4000</v>
      </c>
      <c r="BY212" s="127"/>
      <c r="BZ212" s="13"/>
      <c r="CA212" s="13"/>
      <c r="CB212" s="13" t="s">
        <v>561</v>
      </c>
      <c r="CC212" s="13" t="s">
        <v>561</v>
      </c>
    </row>
    <row r="213">
      <c r="A213" s="44" t="str">
        <f>LOOKUP(H213,'Letter grades'!$A$1:$B$6)</f>
        <v>F</v>
      </c>
      <c r="B213" s="44">
        <f t="shared" si="3"/>
        <v>209</v>
      </c>
      <c r="C213" s="44" t="s">
        <v>88</v>
      </c>
      <c r="D213" s="44" t="s">
        <v>2507</v>
      </c>
      <c r="E213" s="98" t="s">
        <v>2506</v>
      </c>
      <c r="F213" s="47">
        <f t="shared" si="4"/>
        <v>0</v>
      </c>
      <c r="G213" s="47">
        <f t="shared" si="5"/>
        <v>0</v>
      </c>
      <c r="H213" s="105">
        <f t="shared" si="6"/>
        <v>0</v>
      </c>
      <c r="I213" s="13" t="s">
        <v>122</v>
      </c>
      <c r="J213" s="53" t="s">
        <v>594</v>
      </c>
      <c r="K213" s="53" t="s">
        <v>594</v>
      </c>
      <c r="L213" s="107" t="s">
        <v>594</v>
      </c>
      <c r="M213" s="53" t="s">
        <v>594</v>
      </c>
      <c r="N213" s="107" t="s">
        <v>594</v>
      </c>
      <c r="O213" s="53" t="s">
        <v>1065</v>
      </c>
      <c r="P213" s="108" t="s">
        <v>561</v>
      </c>
      <c r="Q213" s="110" t="s">
        <v>561</v>
      </c>
      <c r="R213" s="108" t="s">
        <v>766</v>
      </c>
      <c r="S213" s="107" t="s">
        <v>561</v>
      </c>
      <c r="T213" s="107" t="s">
        <v>561</v>
      </c>
      <c r="U213" s="107" t="s">
        <v>561</v>
      </c>
      <c r="V213" s="107" t="s">
        <v>796</v>
      </c>
      <c r="W213" s="107" t="s">
        <v>796</v>
      </c>
      <c r="X213" s="53" t="s">
        <v>766</v>
      </c>
      <c r="Y213" s="107" t="s">
        <v>561</v>
      </c>
      <c r="Z213" s="107" t="s">
        <v>561</v>
      </c>
      <c r="AA213" s="107" t="s">
        <v>561</v>
      </c>
      <c r="AB213" s="53" t="s">
        <v>561</v>
      </c>
      <c r="AC213" s="53" t="s">
        <v>561</v>
      </c>
      <c r="AD213" s="107" t="s">
        <v>561</v>
      </c>
      <c r="AE213" s="107" t="s">
        <v>561</v>
      </c>
      <c r="AF213" s="107" t="s">
        <v>561</v>
      </c>
      <c r="AG213" s="107" t="s">
        <v>561</v>
      </c>
      <c r="AH213" s="107" t="s">
        <v>561</v>
      </c>
      <c r="AI213" s="107" t="s">
        <v>561</v>
      </c>
      <c r="AJ213" s="107" t="s">
        <v>561</v>
      </c>
      <c r="AK213" s="107" t="s">
        <v>561</v>
      </c>
      <c r="AL213" s="107" t="s">
        <v>561</v>
      </c>
      <c r="AM213" s="107" t="s">
        <v>561</v>
      </c>
      <c r="AN213" s="53" t="s">
        <v>561</v>
      </c>
      <c r="AO213" s="107" t="s">
        <v>561</v>
      </c>
      <c r="AP213" s="53" t="s">
        <v>561</v>
      </c>
      <c r="AQ213" s="53" t="s">
        <v>561</v>
      </c>
      <c r="AR213" s="53" t="s">
        <v>561</v>
      </c>
      <c r="AS213" s="53" t="s">
        <v>561</v>
      </c>
      <c r="AT213" s="53" t="s">
        <v>561</v>
      </c>
      <c r="AU213" s="53" t="s">
        <v>561</v>
      </c>
      <c r="AV213" s="53" t="s">
        <v>561</v>
      </c>
      <c r="AW213" s="53" t="s">
        <v>561</v>
      </c>
      <c r="AX213" s="53" t="s">
        <v>561</v>
      </c>
      <c r="AY213" s="53" t="s">
        <v>561</v>
      </c>
      <c r="AZ213" s="53" t="s">
        <v>561</v>
      </c>
      <c r="BA213" s="53" t="s">
        <v>561</v>
      </c>
      <c r="BB213" s="53" t="s">
        <v>561</v>
      </c>
      <c r="BC213" s="53" t="s">
        <v>561</v>
      </c>
      <c r="BD213" s="53" t="s">
        <v>561</v>
      </c>
      <c r="BE213" s="53" t="s">
        <v>561</v>
      </c>
      <c r="BF213" s="53" t="s">
        <v>561</v>
      </c>
      <c r="BG213" s="53" t="s">
        <v>561</v>
      </c>
      <c r="BH213" s="53" t="s">
        <v>561</v>
      </c>
      <c r="BI213" s="107" t="s">
        <v>561</v>
      </c>
      <c r="BJ213" s="107" t="s">
        <v>561</v>
      </c>
      <c r="BK213" s="53" t="s">
        <v>561</v>
      </c>
      <c r="BL213" s="53" t="s">
        <v>561</v>
      </c>
      <c r="BM213" s="53" t="s">
        <v>561</v>
      </c>
      <c r="BN213" s="53" t="s">
        <v>561</v>
      </c>
      <c r="BO213" s="53" t="s">
        <v>600</v>
      </c>
      <c r="BP213" s="53" t="s">
        <v>600</v>
      </c>
      <c r="BQ213" s="118" t="s">
        <v>821</v>
      </c>
      <c r="BR213" s="180" t="s">
        <v>1832</v>
      </c>
      <c r="BS213" s="180" t="s">
        <v>1832</v>
      </c>
      <c r="BT213" s="122"/>
      <c r="BU213" s="122">
        <f t="shared" si="31"/>
        <v>135010</v>
      </c>
      <c r="BV213" s="126">
        <v>130010.0</v>
      </c>
      <c r="BW213" s="126"/>
      <c r="BX213" s="127">
        <f>2000+3000</f>
        <v>5000</v>
      </c>
      <c r="BY213" s="127"/>
      <c r="BZ213" s="13"/>
      <c r="CA213" s="13"/>
      <c r="CB213" s="13" t="s">
        <v>561</v>
      </c>
      <c r="CC213" s="13" t="s">
        <v>561</v>
      </c>
    </row>
    <row r="214">
      <c r="A214" s="44" t="str">
        <f>LOOKUP(H214,'Letter grades'!$A$1:$B$6)</f>
        <v>F</v>
      </c>
      <c r="B214" s="44">
        <f t="shared" si="3"/>
        <v>209</v>
      </c>
      <c r="C214" s="44" t="s">
        <v>911</v>
      </c>
      <c r="D214" s="44" t="s">
        <v>607</v>
      </c>
      <c r="E214" s="98" t="s">
        <v>1070</v>
      </c>
      <c r="F214" s="47">
        <f t="shared" si="4"/>
        <v>0</v>
      </c>
      <c r="G214" s="47">
        <f t="shared" si="5"/>
        <v>0</v>
      </c>
      <c r="H214" s="105">
        <f t="shared" si="6"/>
        <v>0</v>
      </c>
      <c r="I214" s="13" t="s">
        <v>2030</v>
      </c>
      <c r="J214" s="53" t="s">
        <v>594</v>
      </c>
      <c r="K214" s="53" t="s">
        <v>594</v>
      </c>
      <c r="L214" s="107" t="s">
        <v>594</v>
      </c>
      <c r="M214" s="53" t="s">
        <v>594</v>
      </c>
      <c r="N214" s="107" t="s">
        <v>594</v>
      </c>
      <c r="O214" s="53" t="s">
        <v>1065</v>
      </c>
      <c r="P214" s="108" t="s">
        <v>561</v>
      </c>
      <c r="Q214" s="108" t="s">
        <v>801</v>
      </c>
      <c r="R214" s="108" t="s">
        <v>801</v>
      </c>
      <c r="S214" s="107" t="s">
        <v>561</v>
      </c>
      <c r="T214" s="107" t="s">
        <v>561</v>
      </c>
      <c r="U214" s="107" t="s">
        <v>561</v>
      </c>
      <c r="V214" s="107" t="s">
        <v>796</v>
      </c>
      <c r="W214" s="107" t="s">
        <v>796</v>
      </c>
      <c r="X214" s="53" t="s">
        <v>766</v>
      </c>
      <c r="Y214" s="107" t="s">
        <v>561</v>
      </c>
      <c r="Z214" s="107" t="s">
        <v>561</v>
      </c>
      <c r="AA214" s="107" t="s">
        <v>561</v>
      </c>
      <c r="AB214" s="53" t="s">
        <v>561</v>
      </c>
      <c r="AC214" s="53" t="s">
        <v>561</v>
      </c>
      <c r="AD214" s="107" t="s">
        <v>561</v>
      </c>
      <c r="AE214" s="107" t="s">
        <v>561</v>
      </c>
      <c r="AF214" s="107" t="s">
        <v>561</v>
      </c>
      <c r="AG214" s="107" t="s">
        <v>561</v>
      </c>
      <c r="AH214" s="107" t="s">
        <v>561</v>
      </c>
      <c r="AI214" s="107" t="s">
        <v>561</v>
      </c>
      <c r="AJ214" s="107" t="s">
        <v>561</v>
      </c>
      <c r="AK214" s="107" t="s">
        <v>561</v>
      </c>
      <c r="AL214" s="107" t="s">
        <v>561</v>
      </c>
      <c r="AM214" s="107" t="s">
        <v>561</v>
      </c>
      <c r="AN214" s="53" t="s">
        <v>561</v>
      </c>
      <c r="AO214" s="107" t="s">
        <v>561</v>
      </c>
      <c r="AP214" s="53" t="s">
        <v>561</v>
      </c>
      <c r="AQ214" s="53" t="s">
        <v>561</v>
      </c>
      <c r="AR214" s="53" t="s">
        <v>561</v>
      </c>
      <c r="AS214" s="53" t="s">
        <v>561</v>
      </c>
      <c r="AT214" s="53" t="s">
        <v>561</v>
      </c>
      <c r="AU214" s="53" t="s">
        <v>561</v>
      </c>
      <c r="AV214" s="53" t="s">
        <v>561</v>
      </c>
      <c r="AW214" s="53" t="s">
        <v>561</v>
      </c>
      <c r="AX214" s="53" t="s">
        <v>561</v>
      </c>
      <c r="AY214" s="53" t="s">
        <v>561</v>
      </c>
      <c r="AZ214" s="53" t="s">
        <v>561</v>
      </c>
      <c r="BA214" s="53" t="s">
        <v>561</v>
      </c>
      <c r="BB214" s="53" t="s">
        <v>561</v>
      </c>
      <c r="BC214" s="53" t="s">
        <v>561</v>
      </c>
      <c r="BD214" s="53" t="s">
        <v>561</v>
      </c>
      <c r="BE214" s="53" t="s">
        <v>561</v>
      </c>
      <c r="BF214" s="53" t="s">
        <v>801</v>
      </c>
      <c r="BG214" s="53" t="s">
        <v>561</v>
      </c>
      <c r="BH214" s="53" t="s">
        <v>561</v>
      </c>
      <c r="BI214" s="107" t="s">
        <v>600</v>
      </c>
      <c r="BJ214" s="107" t="s">
        <v>600</v>
      </c>
      <c r="BK214" s="53" t="s">
        <v>600</v>
      </c>
      <c r="BL214" s="53" t="s">
        <v>600</v>
      </c>
      <c r="BM214" s="53" t="s">
        <v>600</v>
      </c>
      <c r="BN214" s="53" t="s">
        <v>600</v>
      </c>
      <c r="BO214" s="53" t="s">
        <v>600</v>
      </c>
      <c r="BP214" s="53" t="s">
        <v>600</v>
      </c>
      <c r="BQ214" s="180" t="s">
        <v>1832</v>
      </c>
      <c r="BR214" s="118" t="s">
        <v>821</v>
      </c>
      <c r="BS214" s="180" t="s">
        <v>1832</v>
      </c>
      <c r="BT214" s="122"/>
      <c r="BU214" s="122">
        <f t="shared" si="31"/>
        <v>2736225</v>
      </c>
      <c r="BV214" s="126">
        <v>205935.0</v>
      </c>
      <c r="BW214" s="126">
        <v>2438050.0</v>
      </c>
      <c r="BX214" s="127">
        <f>2000</f>
        <v>2000</v>
      </c>
      <c r="BY214" s="127">
        <v>90240.0</v>
      </c>
      <c r="BZ214" s="13"/>
      <c r="CA214" s="13"/>
      <c r="CB214" s="13" t="s">
        <v>561</v>
      </c>
      <c r="CC214" s="13" t="s">
        <v>561</v>
      </c>
    </row>
    <row r="215">
      <c r="A215" s="346" t="s">
        <v>2521</v>
      </c>
      <c r="B215" s="346" t="s">
        <v>2521</v>
      </c>
      <c r="C215" s="53" t="s">
        <v>2828</v>
      </c>
      <c r="D215" s="53" t="s">
        <v>2829</v>
      </c>
      <c r="E215" s="54" t="s">
        <v>951</v>
      </c>
      <c r="F215" s="346" t="s">
        <v>2521</v>
      </c>
      <c r="G215" s="346" t="s">
        <v>2521</v>
      </c>
      <c r="H215" s="346" t="s">
        <v>2521</v>
      </c>
      <c r="I215" s="13" t="s">
        <v>108</v>
      </c>
      <c r="J215" s="53" t="s">
        <v>594</v>
      </c>
      <c r="K215" s="53" t="s">
        <v>594</v>
      </c>
      <c r="L215" s="53" t="s">
        <v>487</v>
      </c>
      <c r="M215" s="53" t="s">
        <v>594</v>
      </c>
      <c r="N215" s="53" t="s">
        <v>594</v>
      </c>
      <c r="O215" s="53" t="s">
        <v>490</v>
      </c>
      <c r="P215" s="108" t="s">
        <v>53</v>
      </c>
      <c r="Q215" s="110" t="s">
        <v>53</v>
      </c>
      <c r="R215" s="108" t="s">
        <v>491</v>
      </c>
      <c r="S215" s="53" t="s">
        <v>600</v>
      </c>
      <c r="T215" s="53" t="s">
        <v>600</v>
      </c>
      <c r="U215" s="53" t="s">
        <v>600</v>
      </c>
      <c r="V215" s="53" t="s">
        <v>600</v>
      </c>
      <c r="W215" s="53" t="s">
        <v>600</v>
      </c>
      <c r="X215" s="53" t="s">
        <v>600</v>
      </c>
      <c r="Y215" s="53" t="s">
        <v>600</v>
      </c>
      <c r="Z215" s="53" t="s">
        <v>600</v>
      </c>
      <c r="AA215" s="53" t="s">
        <v>600</v>
      </c>
      <c r="AB215" s="53" t="s">
        <v>600</v>
      </c>
      <c r="AC215" s="53" t="s">
        <v>600</v>
      </c>
      <c r="AD215" s="53" t="s">
        <v>600</v>
      </c>
      <c r="AE215" s="53" t="s">
        <v>600</v>
      </c>
      <c r="AF215" s="53" t="s">
        <v>600</v>
      </c>
      <c r="AG215" s="53" t="s">
        <v>600</v>
      </c>
      <c r="AH215" s="53" t="s">
        <v>600</v>
      </c>
      <c r="AI215" s="53" t="s">
        <v>600</v>
      </c>
      <c r="AJ215" s="53" t="s">
        <v>600</v>
      </c>
      <c r="AK215" s="53" t="s">
        <v>600</v>
      </c>
      <c r="AL215" s="53" t="s">
        <v>600</v>
      </c>
      <c r="AM215" s="53" t="s">
        <v>600</v>
      </c>
      <c r="AN215" s="53" t="s">
        <v>600</v>
      </c>
      <c r="AO215" s="53" t="s">
        <v>600</v>
      </c>
      <c r="AP215" s="53" t="s">
        <v>600</v>
      </c>
      <c r="AQ215" s="53" t="s">
        <v>600</v>
      </c>
      <c r="AR215" s="53" t="s">
        <v>600</v>
      </c>
      <c r="AS215" s="53" t="s">
        <v>600</v>
      </c>
      <c r="AT215" s="53" t="s">
        <v>600</v>
      </c>
      <c r="AU215" s="53" t="s">
        <v>600</v>
      </c>
      <c r="AV215" s="53" t="s">
        <v>600</v>
      </c>
      <c r="AW215" s="53" t="s">
        <v>600</v>
      </c>
      <c r="AX215" s="53" t="s">
        <v>600</v>
      </c>
      <c r="AY215" s="53" t="s">
        <v>600</v>
      </c>
      <c r="AZ215" s="53" t="s">
        <v>600</v>
      </c>
      <c r="BA215" s="53" t="s">
        <v>600</v>
      </c>
      <c r="BB215" s="53" t="s">
        <v>600</v>
      </c>
      <c r="BC215" s="53" t="s">
        <v>600</v>
      </c>
      <c r="BD215" s="53" t="s">
        <v>600</v>
      </c>
      <c r="BE215" s="53" t="s">
        <v>600</v>
      </c>
      <c r="BF215" s="53" t="s">
        <v>600</v>
      </c>
      <c r="BG215" s="53" t="s">
        <v>600</v>
      </c>
      <c r="BH215" s="53" t="s">
        <v>600</v>
      </c>
      <c r="BI215" s="53" t="s">
        <v>600</v>
      </c>
      <c r="BJ215" s="53" t="s">
        <v>600</v>
      </c>
      <c r="BK215" s="53" t="s">
        <v>600</v>
      </c>
      <c r="BL215" s="53" t="s">
        <v>600</v>
      </c>
      <c r="BM215" s="53" t="s">
        <v>600</v>
      </c>
      <c r="BN215" s="53" t="s">
        <v>600</v>
      </c>
      <c r="BO215" s="53" t="s">
        <v>600</v>
      </c>
      <c r="BP215" s="53" t="s">
        <v>600</v>
      </c>
      <c r="BQ215" s="53"/>
      <c r="BR215" s="53"/>
      <c r="BS215" s="53"/>
      <c r="BT215" s="122"/>
      <c r="BU215" s="122"/>
      <c r="BV215" s="126"/>
      <c r="BW215" s="126"/>
      <c r="BX215" s="127"/>
      <c r="BY215" s="127"/>
      <c r="BZ215" s="13"/>
      <c r="CA215" s="13"/>
      <c r="CB215" s="13"/>
      <c r="CC215" s="13"/>
    </row>
    <row r="216">
      <c r="A216" s="346" t="s">
        <v>2521</v>
      </c>
      <c r="B216" s="346" t="s">
        <v>2521</v>
      </c>
      <c r="C216" s="107" t="s">
        <v>2830</v>
      </c>
      <c r="D216" s="107" t="s">
        <v>2831</v>
      </c>
      <c r="E216" s="148" t="s">
        <v>1260</v>
      </c>
      <c r="F216" s="346" t="s">
        <v>2521</v>
      </c>
      <c r="G216" s="346" t="s">
        <v>2521</v>
      </c>
      <c r="H216" s="346" t="s">
        <v>2521</v>
      </c>
      <c r="I216" s="13"/>
      <c r="J216" s="53" t="s">
        <v>594</v>
      </c>
      <c r="K216" s="53" t="s">
        <v>594</v>
      </c>
      <c r="L216" s="53" t="s">
        <v>487</v>
      </c>
      <c r="M216" s="53" t="s">
        <v>594</v>
      </c>
      <c r="N216" s="53" t="s">
        <v>594</v>
      </c>
      <c r="O216" s="53" t="s">
        <v>490</v>
      </c>
      <c r="P216" s="108" t="s">
        <v>53</v>
      </c>
      <c r="Q216" s="110" t="s">
        <v>53</v>
      </c>
      <c r="R216" s="108" t="s">
        <v>491</v>
      </c>
      <c r="S216" s="107" t="s">
        <v>53</v>
      </c>
      <c r="T216" s="107" t="s">
        <v>600</v>
      </c>
      <c r="U216" s="107" t="s">
        <v>600</v>
      </c>
      <c r="V216" s="53" t="s">
        <v>600</v>
      </c>
      <c r="W216" s="53" t="s">
        <v>600</v>
      </c>
      <c r="X216" s="53" t="s">
        <v>600</v>
      </c>
      <c r="Y216" s="53" t="s">
        <v>600</v>
      </c>
      <c r="Z216" s="53" t="s">
        <v>600</v>
      </c>
      <c r="AA216" s="53" t="s">
        <v>600</v>
      </c>
      <c r="AB216" s="53" t="s">
        <v>600</v>
      </c>
      <c r="AC216" s="53" t="s">
        <v>600</v>
      </c>
      <c r="AD216" s="53" t="s">
        <v>600</v>
      </c>
      <c r="AE216" s="53" t="s">
        <v>600</v>
      </c>
      <c r="AF216" s="53" t="s">
        <v>600</v>
      </c>
      <c r="AG216" s="53" t="s">
        <v>600</v>
      </c>
      <c r="AH216" s="53" t="s">
        <v>600</v>
      </c>
      <c r="AI216" s="53" t="s">
        <v>600</v>
      </c>
      <c r="AJ216" s="53" t="s">
        <v>600</v>
      </c>
      <c r="AK216" s="53" t="s">
        <v>600</v>
      </c>
      <c r="AL216" s="53" t="s">
        <v>600</v>
      </c>
      <c r="AM216" s="53" t="s">
        <v>600</v>
      </c>
      <c r="AN216" s="53" t="s">
        <v>600</v>
      </c>
      <c r="AO216" s="53" t="s">
        <v>600</v>
      </c>
      <c r="AP216" s="53" t="s">
        <v>600</v>
      </c>
      <c r="AQ216" s="53" t="s">
        <v>600</v>
      </c>
      <c r="AR216" s="53" t="s">
        <v>600</v>
      </c>
      <c r="AS216" s="53" t="s">
        <v>600</v>
      </c>
      <c r="AT216" s="53" t="s">
        <v>600</v>
      </c>
      <c r="AU216" s="53" t="s">
        <v>600</v>
      </c>
      <c r="AV216" s="53" t="s">
        <v>600</v>
      </c>
      <c r="AW216" s="53" t="s">
        <v>600</v>
      </c>
      <c r="AX216" s="53" t="s">
        <v>600</v>
      </c>
      <c r="AY216" s="53" t="s">
        <v>600</v>
      </c>
      <c r="AZ216" s="53" t="s">
        <v>600</v>
      </c>
      <c r="BA216" s="53" t="s">
        <v>600</v>
      </c>
      <c r="BB216" s="53" t="s">
        <v>600</v>
      </c>
      <c r="BC216" s="53" t="s">
        <v>600</v>
      </c>
      <c r="BD216" s="53" t="s">
        <v>600</v>
      </c>
      <c r="BE216" s="53" t="s">
        <v>600</v>
      </c>
      <c r="BF216" s="53" t="s">
        <v>600</v>
      </c>
      <c r="BG216" s="53" t="s">
        <v>600</v>
      </c>
      <c r="BH216" s="53" t="s">
        <v>600</v>
      </c>
      <c r="BI216" s="107" t="s">
        <v>600</v>
      </c>
      <c r="BJ216" s="107" t="s">
        <v>600</v>
      </c>
      <c r="BK216" s="53" t="s">
        <v>600</v>
      </c>
      <c r="BL216" s="53" t="s">
        <v>600</v>
      </c>
      <c r="BM216" s="53" t="s">
        <v>600</v>
      </c>
      <c r="BN216" s="53" t="s">
        <v>600</v>
      </c>
      <c r="BO216" s="53" t="s">
        <v>600</v>
      </c>
      <c r="BP216" s="53" t="s">
        <v>600</v>
      </c>
      <c r="BQ216" s="53" t="s">
        <v>600</v>
      </c>
      <c r="BR216" s="53" t="s">
        <v>600</v>
      </c>
      <c r="BS216" s="53" t="s">
        <v>600</v>
      </c>
      <c r="BT216" s="122"/>
      <c r="BU216" s="122">
        <f>SUM(BV216:BY216)</f>
        <v>0</v>
      </c>
      <c r="BV216" s="126"/>
      <c r="BW216" s="126"/>
      <c r="BX216" s="127"/>
      <c r="BY216" s="127"/>
      <c r="BZ216" s="13" t="s">
        <v>561</v>
      </c>
      <c r="CA216" s="13" t="s">
        <v>561</v>
      </c>
      <c r="CB216" s="13"/>
      <c r="CC216" s="13"/>
    </row>
  </sheetData>
  <customSheetViews>
    <customSheetView guid="{A0E4FBE2-5FA4-474E-B525-83D310E39F5D}" filter="1" showAutoFilter="1">
      <autoFilter ref="$A$4:$BP$216">
        <sortState ref="A4:BP216">
          <sortCondition ref="D4:D216"/>
        </sortState>
      </autoFilter>
    </customSheetView>
  </customSheetViews>
  <mergeCells count="17">
    <mergeCell ref="A1:A3"/>
    <mergeCell ref="B1:B3"/>
    <mergeCell ref="F1:F3"/>
    <mergeCell ref="G1:G3"/>
    <mergeCell ref="H1:H3"/>
    <mergeCell ref="I1:I3"/>
    <mergeCell ref="BT1:BT3"/>
    <mergeCell ref="C2:E3"/>
    <mergeCell ref="CB1:CB3"/>
    <mergeCell ref="CC1:CC3"/>
    <mergeCell ref="BU1:BU3"/>
    <mergeCell ref="BV1:BV3"/>
    <mergeCell ref="BW1:BW3"/>
    <mergeCell ref="BX1:BX3"/>
    <mergeCell ref="BY1:BY3"/>
    <mergeCell ref="BZ1:BZ3"/>
    <mergeCell ref="CA1:CA3"/>
  </mergeCells>
  <conditionalFormatting sqref="E80:H81">
    <cfRule type="cellIs" dxfId="8" priority="1" operator="equal">
      <formula>"Progressive"</formula>
    </cfRule>
  </conditionalFormatting>
  <conditionalFormatting sqref="E80:H81">
    <cfRule type="containsText" dxfId="6" priority="2" operator="containsText" text="Blue Dogs">
      <formula>NOT(ISERROR(SEARCH(("Blue Dogs"),(E80))))</formula>
    </cfRule>
  </conditionalFormatting>
  <conditionalFormatting sqref="E80:H81">
    <cfRule type="cellIs" dxfId="7" priority="3" operator="equal">
      <formula>"Not elected"</formula>
    </cfRule>
  </conditionalFormatting>
  <conditionalFormatting sqref="J5:BD216 BE5:BP5 BQ5:BS216 BE179:BP216">
    <cfRule type="colorScale" priority="4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I51 BT51:CC51 E65:H65 BT145:CC145 BT149:CC155 I176 BT176:CC177">
    <cfRule type="containsText" dxfId="9" priority="5" operator="containsText" text="Uncontested">
      <formula>NOT(ISERROR(SEARCH(("Uncontested"),(I51))))</formula>
    </cfRule>
  </conditionalFormatting>
  <conditionalFormatting sqref="CA1:CA216">
    <cfRule type="cellIs" dxfId="11" priority="6" operator="equal">
      <formula>"Yes"</formula>
    </cfRule>
  </conditionalFormatting>
  <conditionalFormatting sqref="CB1:CB216">
    <cfRule type="cellIs" dxfId="12" priority="7" operator="equal">
      <formula>"Yes"</formula>
    </cfRule>
  </conditionalFormatting>
  <conditionalFormatting sqref="CC1:CC216">
    <cfRule type="cellIs" dxfId="6" priority="8" operator="equal">
      <formula>"Yes"</formula>
    </cfRule>
  </conditionalFormatting>
  <conditionalFormatting sqref="A1:A216 B1:B204 B206:B216 D210">
    <cfRule type="colorScale" priority="9">
      <colorScale>
        <cfvo type="min"/>
        <cfvo type="formula" val="10"/>
        <cfvo type="formula" val="25"/>
        <color rgb="FFFF00FF"/>
        <color rgb="FFFF80FF"/>
        <color rgb="FFFFFFFF"/>
      </colorScale>
    </cfRule>
  </conditionalFormatting>
  <conditionalFormatting sqref="F1:H216 J4:BP4 A211:B211">
    <cfRule type="colorScale" priority="10">
      <colorScale>
        <cfvo type="formula" val="0"/>
        <cfvo type="formula" val="0.8"/>
        <cfvo type="formula" val="1"/>
        <color rgb="FFFFFFFF"/>
        <color rgb="FFFF80FF"/>
        <color rgb="FFFF00FF"/>
      </colorScale>
    </cfRule>
  </conditionalFormatting>
  <conditionalFormatting sqref="BX1:BX216">
    <cfRule type="colorScale" priority="11">
      <colorScale>
        <cfvo type="min"/>
        <cfvo type="formula" val="0"/>
        <cfvo type="max"/>
        <color rgb="FF83FF83"/>
        <color rgb="FFFFFFFF"/>
        <color rgb="FFFF8080"/>
      </colorScale>
    </cfRule>
  </conditionalFormatting>
  <conditionalFormatting sqref="A1:A216">
    <cfRule type="cellIs" dxfId="0" priority="12" operator="equal">
      <formula>"A"</formula>
    </cfRule>
  </conditionalFormatting>
  <conditionalFormatting sqref="A1:A216">
    <cfRule type="cellIs" dxfId="1" priority="13" operator="equal">
      <formula>"B"</formula>
    </cfRule>
  </conditionalFormatting>
  <conditionalFormatting sqref="A1:A216">
    <cfRule type="cellIs" dxfId="2" priority="14" operator="equal">
      <formula>"C"</formula>
    </cfRule>
  </conditionalFormatting>
  <conditionalFormatting sqref="A1:A216">
    <cfRule type="cellIs" dxfId="3" priority="15" operator="equal">
      <formula>"D"</formula>
    </cfRule>
  </conditionalFormatting>
  <dataValidations>
    <dataValidation type="list" allowBlank="1" showErrorMessage="1" sqref="J2:BP2">
      <formula1>"Bill,Resolution,Confirmation,Amendment,NDAA,Veto override,Committee vote"</formula1>
    </dataValidation>
    <dataValidation type="list" allowBlank="1" showErrorMessage="1" sqref="X5:BH13 BK5:BP13 X15:BH214 BK15:BP214">
      <formula1>"No,Yes,Not voting,Yes (correct),No (incorrect),Present,Not elected"</formula1>
    </dataValidation>
    <dataValidation type="list" allowBlank="1" showErrorMessage="1" sqref="L5:L13 L15:L214">
      <formula1>"Sponsor,Not sponsoring,Not elected"</formula1>
    </dataValidation>
    <dataValidation type="list" allowBlank="1" showErrorMessage="1" sqref="I5:I216">
      <formula1>"DSA,JVP,PAL PAC,NYC-DSA,JDems,J Street,AIPAC,DMFI"</formula1>
    </dataValidation>
    <dataValidation type="list" allowBlank="1" showErrorMessage="1" sqref="J5:K13 M5:O13 J14:O14 V14:BH14 BK14:BP14 J15:K214 M15:O214 J215:O216 V216:BH216 BK216:BP216">
      <formula1>"Sponsor,Not sponsoring,Not elected,Sponsor (incorrect),Not sponsoring (correct)"</formula1>
    </dataValidation>
    <dataValidation type="list" allowBlank="1" showErrorMessage="1" sqref="P5:W13 P14:U14 P15:W214 BI5:BJ214 P215:BP215 P216:U216 BI216:BJ216">
      <formula1>"Yes,No,Not voting,Yes (correct),No (incorrect),Present,Not elected,Not on committee"</formula1>
    </dataValidation>
  </dataValidations>
  <hyperlinks>
    <hyperlink r:id="rId2" ref="A1"/>
    <hyperlink r:id="rId3" ref="J1"/>
    <hyperlink r:id="rId4" location="tabs" ref="K1"/>
    <hyperlink r:id="rId5" ref="L1"/>
    <hyperlink r:id="rId6" ref="M1"/>
    <hyperlink r:id="rId7" location="tabs" ref="N1"/>
    <hyperlink r:id="rId8" ref="O1"/>
    <hyperlink r:id="rId9" ref="P1"/>
    <hyperlink r:id="rId10" ref="Q1"/>
    <hyperlink r:id="rId11" ref="R1"/>
    <hyperlink r:id="rId12" ref="S1"/>
    <hyperlink r:id="rId13" ref="T1"/>
    <hyperlink r:id="rId14" ref="U1"/>
    <hyperlink r:id="rId15" ref="V1"/>
    <hyperlink r:id="rId16" ref="W1"/>
    <hyperlink r:id="rId17" ref="X1"/>
    <hyperlink r:id="rId18" ref="Y1"/>
    <hyperlink r:id="rId19" ref="Z1"/>
    <hyperlink r:id="rId20" ref="AA1"/>
    <hyperlink r:id="rId21" ref="AB1"/>
    <hyperlink r:id="rId22" ref="AC1"/>
    <hyperlink r:id="rId23" ref="AD1"/>
    <hyperlink r:id="rId24" ref="AE1"/>
    <hyperlink r:id="rId25" ref="AF1"/>
    <hyperlink r:id="rId26" ref="AG1"/>
    <hyperlink r:id="rId27" ref="AH1"/>
    <hyperlink r:id="rId28" ref="AI1"/>
    <hyperlink r:id="rId29" ref="AJ1"/>
    <hyperlink r:id="rId30" ref="AK1"/>
    <hyperlink r:id="rId31" ref="AL1"/>
    <hyperlink r:id="rId32" ref="AM1"/>
    <hyperlink r:id="rId33" ref="AN1"/>
    <hyperlink r:id="rId34" ref="AO1"/>
    <hyperlink r:id="rId35" ref="AP1"/>
    <hyperlink r:id="rId36" ref="AQ1"/>
    <hyperlink r:id="rId37" ref="AR1"/>
    <hyperlink r:id="rId38" ref="AS1"/>
    <hyperlink r:id="rId39" ref="AT1"/>
    <hyperlink r:id="rId40" ref="AU1"/>
    <hyperlink r:id="rId41" ref="AV1"/>
    <hyperlink r:id="rId42" ref="AW1"/>
    <hyperlink r:id="rId43" ref="AX1"/>
    <hyperlink r:id="rId44" ref="AY1"/>
    <hyperlink r:id="rId45" ref="AZ1"/>
    <hyperlink r:id="rId46" ref="BA1"/>
    <hyperlink r:id="rId47" ref="BB1"/>
    <hyperlink r:id="rId48" ref="BC1"/>
    <hyperlink r:id="rId49" ref="BD1"/>
    <hyperlink r:id="rId50" ref="BE1"/>
    <hyperlink r:id="rId51" ref="BF1"/>
    <hyperlink r:id="rId52" ref="BG1"/>
    <hyperlink r:id="rId53" ref="BH1"/>
    <hyperlink r:id="rId54" ref="BI1"/>
    <hyperlink r:id="rId55" ref="BJ1"/>
    <hyperlink r:id="rId56" ref="BK1"/>
    <hyperlink r:id="rId57" ref="BL1"/>
    <hyperlink r:id="rId58" ref="BM1"/>
    <hyperlink r:id="rId59" ref="BN1"/>
    <hyperlink r:id="rId60" ref="BO1"/>
    <hyperlink r:id="rId61" ref="BP1"/>
    <hyperlink r:id="rId62" ref="BR1"/>
    <hyperlink r:id="rId63" ref="BS1"/>
    <hyperlink r:id="rId64" ref="BZ1"/>
    <hyperlink r:id="rId65" ref="CA1"/>
    <hyperlink r:id="rId66" ref="CB1"/>
    <hyperlink r:id="rId67" ref="CC1"/>
    <hyperlink r:id="rId68" ref="O41"/>
    <hyperlink r:id="rId69" ref="BA45"/>
    <hyperlink r:id="rId70" ref="O47"/>
    <hyperlink r:id="rId71" ref="CB71"/>
    <hyperlink r:id="rId72" ref="BW174"/>
    <hyperlink r:id="rId73" ref="BA202"/>
  </hyperlinks>
  <drawing r:id="rId74"/>
  <legacyDrawing r:id="rId7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8.5"/>
    <col customWidth="1" min="2" max="2" width="5.0"/>
    <col customWidth="1" min="3" max="3" width="9.75"/>
    <col customWidth="1" min="4" max="4" width="13.38"/>
    <col customWidth="1" min="5" max="5" width="13.25"/>
    <col customWidth="1" min="6" max="7" width="7.88"/>
    <col customWidth="1" min="8" max="8" width="8.75"/>
    <col customWidth="1" min="9" max="10" width="17.63"/>
    <col customWidth="1" min="11" max="11" width="24.75"/>
    <col customWidth="1" min="12" max="12" width="16.88"/>
    <col customWidth="1" min="13" max="13" width="16.5"/>
    <col customWidth="1" min="14" max="14" width="18.88"/>
    <col customWidth="1" min="15" max="15" width="16.88"/>
    <col customWidth="1" min="16" max="17" width="16.5"/>
    <col customWidth="1" min="18" max="18" width="18.5"/>
    <col customWidth="1" min="19" max="19" width="16.88"/>
    <col customWidth="1" min="20" max="20" width="16.5"/>
    <col customWidth="1" min="21" max="22" width="16.88"/>
    <col customWidth="1" min="23" max="23" width="17.63"/>
    <col customWidth="1" min="24" max="24" width="14.88"/>
    <col customWidth="1" min="25" max="25" width="18.88"/>
    <col customWidth="1" min="26" max="26" width="15.25"/>
    <col customWidth="1" min="27" max="27" width="14.88"/>
    <col customWidth="1" min="28" max="28" width="19.38"/>
    <col customWidth="1" min="29" max="29" width="14.88"/>
    <col customWidth="1" min="30" max="30" width="15.38"/>
    <col customWidth="1" min="31" max="31" width="15.13"/>
    <col customWidth="1" min="32" max="32" width="18.38"/>
    <col customWidth="1" min="33" max="33" width="2.88"/>
    <col customWidth="1" hidden="1" min="34" max="34" width="12.88"/>
    <col customWidth="1" hidden="1" min="35" max="35" width="16.25"/>
    <col customWidth="1" hidden="1" min="36" max="37" width="9.75"/>
    <col customWidth="1" hidden="1" min="38" max="38" width="11.13"/>
    <col customWidth="1" hidden="1" min="39" max="41" width="7.88"/>
    <col customWidth="1" hidden="1" min="42" max="42" width="7.5"/>
    <col customWidth="1" hidden="1" min="43" max="43" width="9.0"/>
  </cols>
  <sheetData>
    <row r="1">
      <c r="A1" s="6" t="s">
        <v>6</v>
      </c>
      <c r="B1" s="8" t="s">
        <v>39</v>
      </c>
      <c r="C1" s="8" t="s">
        <v>40</v>
      </c>
      <c r="D1" s="8" t="s">
        <v>46</v>
      </c>
      <c r="E1" s="10" t="s">
        <v>1</v>
      </c>
      <c r="F1" s="12" t="s">
        <v>60</v>
      </c>
      <c r="G1" s="12" t="s">
        <v>63</v>
      </c>
      <c r="H1" s="14" t="s">
        <v>67</v>
      </c>
      <c r="I1" s="17" t="s">
        <v>71</v>
      </c>
      <c r="J1" s="17" t="s">
        <v>77</v>
      </c>
      <c r="K1" s="19" t="s">
        <v>101</v>
      </c>
      <c r="L1" s="6" t="s">
        <v>119</v>
      </c>
      <c r="M1" s="6" t="s">
        <v>130</v>
      </c>
      <c r="N1" s="6" t="s">
        <v>142</v>
      </c>
      <c r="O1" s="6" t="s">
        <v>152</v>
      </c>
      <c r="P1" s="6" t="s">
        <v>166</v>
      </c>
      <c r="Q1" s="6" t="s">
        <v>175</v>
      </c>
      <c r="R1" s="6" t="s">
        <v>189</v>
      </c>
      <c r="S1" s="6" t="s">
        <v>197</v>
      </c>
      <c r="T1" s="6" t="s">
        <v>209</v>
      </c>
      <c r="U1" s="24" t="s">
        <v>217</v>
      </c>
      <c r="V1" s="24" t="s">
        <v>230</v>
      </c>
      <c r="W1" s="6" t="s">
        <v>245</v>
      </c>
      <c r="X1" s="25" t="s">
        <v>255</v>
      </c>
      <c r="Y1" s="25" t="s">
        <v>264</v>
      </c>
      <c r="Z1" s="6" t="s">
        <v>273</v>
      </c>
      <c r="AA1" s="6" t="s">
        <v>283</v>
      </c>
      <c r="AB1" s="6" t="s">
        <v>293</v>
      </c>
      <c r="AC1" s="6" t="s">
        <v>301</v>
      </c>
      <c r="AD1" s="6" t="s">
        <v>309</v>
      </c>
      <c r="AE1" s="6" t="s">
        <v>319</v>
      </c>
      <c r="AF1" s="15" t="s">
        <v>61</v>
      </c>
      <c r="AG1" s="26"/>
      <c r="AH1" s="27" t="s">
        <v>327</v>
      </c>
      <c r="AI1" s="28" t="s">
        <v>332</v>
      </c>
      <c r="AJ1" s="29"/>
      <c r="AK1" s="29" t="s">
        <v>335</v>
      </c>
      <c r="AL1" s="29" t="s">
        <v>336</v>
      </c>
      <c r="AM1" s="29" t="s">
        <v>337</v>
      </c>
      <c r="AN1" s="29" t="s">
        <v>338</v>
      </c>
      <c r="AO1" s="29" t="s">
        <v>340</v>
      </c>
      <c r="AP1" s="29" t="s">
        <v>338</v>
      </c>
      <c r="AQ1" s="28" t="s">
        <v>342</v>
      </c>
    </row>
    <row r="2">
      <c r="I2" s="30" t="s">
        <v>347</v>
      </c>
      <c r="J2" s="30" t="s">
        <v>347</v>
      </c>
      <c r="K2" s="31" t="s">
        <v>347</v>
      </c>
      <c r="L2" s="32" t="s">
        <v>350</v>
      </c>
      <c r="M2" s="32" t="s">
        <v>350</v>
      </c>
      <c r="N2" s="32" t="s">
        <v>354</v>
      </c>
      <c r="O2" s="32" t="s">
        <v>354</v>
      </c>
      <c r="P2" s="32" t="s">
        <v>354</v>
      </c>
      <c r="Q2" s="32" t="s">
        <v>354</v>
      </c>
      <c r="R2" s="32" t="s">
        <v>354</v>
      </c>
      <c r="S2" s="32" t="s">
        <v>354</v>
      </c>
      <c r="T2" s="32" t="s">
        <v>354</v>
      </c>
      <c r="U2" s="32" t="s">
        <v>347</v>
      </c>
      <c r="V2" s="32" t="s">
        <v>347</v>
      </c>
      <c r="W2" s="32" t="s">
        <v>347</v>
      </c>
      <c r="X2" s="32" t="s">
        <v>347</v>
      </c>
      <c r="Y2" s="32" t="s">
        <v>347</v>
      </c>
      <c r="Z2" s="32" t="s">
        <v>347</v>
      </c>
      <c r="AA2" s="32" t="s">
        <v>347</v>
      </c>
      <c r="AB2" s="32" t="s">
        <v>362</v>
      </c>
      <c r="AC2" s="32" t="s">
        <v>362</v>
      </c>
      <c r="AD2" s="32" t="s">
        <v>354</v>
      </c>
      <c r="AE2" s="32" t="s">
        <v>347</v>
      </c>
      <c r="AG2" s="33"/>
      <c r="AI2" s="34"/>
      <c r="AJ2" s="35"/>
      <c r="AK2" s="35"/>
      <c r="AL2" s="35"/>
      <c r="AM2" s="36"/>
      <c r="AN2" s="36"/>
      <c r="AO2" s="36"/>
      <c r="AP2" s="36"/>
      <c r="AQ2" s="37"/>
    </row>
    <row r="3">
      <c r="I3" s="30" t="s">
        <v>370</v>
      </c>
      <c r="J3" s="30" t="s">
        <v>370</v>
      </c>
      <c r="K3" s="31" t="s">
        <v>370</v>
      </c>
      <c r="L3" s="38">
        <v>46127.0</v>
      </c>
      <c r="M3" s="38">
        <v>46127.0</v>
      </c>
      <c r="N3" s="38">
        <v>45868.0</v>
      </c>
      <c r="O3" s="38">
        <v>45868.0</v>
      </c>
      <c r="P3" s="38">
        <v>45750.0</v>
      </c>
      <c r="Q3" s="38">
        <v>45750.0</v>
      </c>
      <c r="R3" s="38">
        <v>45616.0</v>
      </c>
      <c r="S3" s="38">
        <v>45616.0</v>
      </c>
      <c r="T3" s="38">
        <v>45616.0</v>
      </c>
      <c r="U3" s="39">
        <v>45405.0</v>
      </c>
      <c r="V3" s="39">
        <v>45405.0</v>
      </c>
      <c r="W3" s="38">
        <v>45374.0</v>
      </c>
      <c r="X3" s="40">
        <v>45335.0</v>
      </c>
      <c r="Y3" s="40">
        <v>45334.0</v>
      </c>
      <c r="Z3" s="40">
        <v>45329.0</v>
      </c>
      <c r="AA3" s="40">
        <v>45307.0</v>
      </c>
      <c r="AB3" s="40">
        <v>45274.0</v>
      </c>
      <c r="AC3" s="40">
        <v>44910.0</v>
      </c>
      <c r="AD3" s="40">
        <v>44231.0</v>
      </c>
      <c r="AE3" s="33">
        <v>43501.0</v>
      </c>
      <c r="AG3" s="33"/>
      <c r="AI3" s="34"/>
      <c r="AJ3" s="35"/>
      <c r="AK3" s="35"/>
      <c r="AL3" s="35"/>
      <c r="AM3" s="36"/>
      <c r="AN3" s="36"/>
      <c r="AO3" s="36"/>
      <c r="AP3" s="36"/>
      <c r="AQ3" s="37"/>
    </row>
    <row r="4">
      <c r="A4" s="7"/>
      <c r="B4" s="8"/>
      <c r="C4" s="8"/>
      <c r="D4" s="8"/>
      <c r="E4" s="10"/>
      <c r="F4" s="12"/>
      <c r="G4" s="12"/>
      <c r="H4" s="14"/>
      <c r="I4" s="41">
        <f t="shared" ref="I4:J4" si="1">COUNTIF(I5:I247, "Sponsor")/((COUNTIF(I5:I247, "Sponsor")+(COUNTIF(I5:I247, "Not sponsoring"))))</f>
        <v>0.2978723404</v>
      </c>
      <c r="J4" s="41">
        <f t="shared" si="1"/>
        <v>0.1489361702</v>
      </c>
      <c r="K4" s="41">
        <f>COUNTIF(K5:K247, "Not sponsoring (correct)")/((COUNTIF(K5:K247, "Sponsor (incorrect)")+(COUNTIF(K5:K247, "Not sponsoring (correct)"))))</f>
        <v>0.7446808511</v>
      </c>
      <c r="L4" s="43">
        <f t="shared" ref="L4:AE4" si="2">(COUNTIF(L5:L9084, "No")+COUNTIF(L5:L9084, "Yes (correct)"))/(COUNTIF(L5:L9084, "Yes")+COUNTIF(L5:L9084, "No")+COUNTIF(L5:L9084, "Yes (correct)")+COUNTIF(L5:L9084, "No (incorrect)"))</f>
        <v>0.7659574468</v>
      </c>
      <c r="M4" s="43">
        <f t="shared" si="2"/>
        <v>0.8510638298</v>
      </c>
      <c r="N4" s="43">
        <f t="shared" si="2"/>
        <v>0.5319148936</v>
      </c>
      <c r="O4" s="43">
        <f t="shared" si="2"/>
        <v>0.5957446809</v>
      </c>
      <c r="P4" s="43">
        <f t="shared" si="2"/>
        <v>0.3333333333</v>
      </c>
      <c r="Q4" s="43">
        <f t="shared" si="2"/>
        <v>0.3409090909</v>
      </c>
      <c r="R4" s="43">
        <f t="shared" si="2"/>
        <v>0.425</v>
      </c>
      <c r="S4" s="43">
        <f t="shared" si="2"/>
        <v>0.45</v>
      </c>
      <c r="T4" s="43">
        <f t="shared" si="2"/>
        <v>0.45</v>
      </c>
      <c r="U4" s="43">
        <f t="shared" si="2"/>
        <v>0.07317073171</v>
      </c>
      <c r="V4" s="43">
        <f t="shared" si="2"/>
        <v>0.0487804878</v>
      </c>
      <c r="W4" s="43">
        <f t="shared" si="2"/>
        <v>0.0487804878</v>
      </c>
      <c r="X4" s="43">
        <f t="shared" si="2"/>
        <v>0.07317073171</v>
      </c>
      <c r="Y4" s="43">
        <f t="shared" si="2"/>
        <v>0.0487804878</v>
      </c>
      <c r="Z4" s="43">
        <f t="shared" si="2"/>
        <v>0.09756097561</v>
      </c>
      <c r="AA4" s="43">
        <f t="shared" si="2"/>
        <v>0.2307692308</v>
      </c>
      <c r="AB4" s="43">
        <f t="shared" si="2"/>
        <v>0.1707317073</v>
      </c>
      <c r="AC4" s="43">
        <f t="shared" si="2"/>
        <v>0.1538461538</v>
      </c>
      <c r="AD4" s="43">
        <f t="shared" si="2"/>
        <v>0.05128205128</v>
      </c>
      <c r="AE4" s="43">
        <f t="shared" si="2"/>
        <v>0.5</v>
      </c>
      <c r="AF4" s="15"/>
      <c r="AG4" s="33"/>
      <c r="AH4" s="27"/>
      <c r="AI4" s="34"/>
      <c r="AJ4" s="35"/>
      <c r="AK4" s="35"/>
      <c r="AL4" s="35"/>
      <c r="AM4" s="36"/>
      <c r="AN4" s="36"/>
      <c r="AO4" s="36"/>
      <c r="AP4" s="36"/>
      <c r="AQ4" s="37"/>
    </row>
    <row r="5">
      <c r="A5" s="44" t="str">
        <f>LOOKUP(H5,'Letter grades'!$A$1:$B$6)</f>
        <v>A</v>
      </c>
      <c r="B5" s="44">
        <f t="shared" ref="B5:B51" si="3">RANK(H5,$H$5:$H$51)</f>
        <v>1</v>
      </c>
      <c r="C5" s="45" t="s">
        <v>455</v>
      </c>
      <c r="D5" s="45" t="s">
        <v>458</v>
      </c>
      <c r="E5" s="46" t="s">
        <v>459</v>
      </c>
      <c r="F5" s="47">
        <f t="shared" ref="F5:F51" si="4">((COUNTIF($I5:$AE5,"Sponsor")+COUNTIF($I5:$AE5, "Not sponsoring (correct)"))/(COUNTIF($I5:$AE5,"Sponsor")+COUNTIF($I5:$AE5,"Not sponsoring")+COUNTIF($I5:$AE5, "Not sponsoring (correct)")+COUNTIF($I5:$AE5, "Sponsor (incorrect)")))</f>
        <v>1</v>
      </c>
      <c r="G5" s="49">
        <f>(COUNTIF($K5:AF5,"No")+COUNTIF($K5:AF5,"Yes (correct)")+(COUNTIF($K5:AF5,"Present")*0.5))/((COUNTIF($K5:AF5,"No")+(COUNTIF($K5:AF5,"Yes")+COUNTIF($K5:AF5,"Yes (correct)")+COUNTIF($K5:AF5,"No (incorrect)")+(COUNTIF($K5:AF5,"Present")))))</f>
        <v>1</v>
      </c>
      <c r="H5" s="51">
        <f t="shared" ref="H5:H51" si="5">(F5*(1/3))+(G5*(2/3))</f>
        <v>1</v>
      </c>
      <c r="I5" s="53" t="s">
        <v>487</v>
      </c>
      <c r="J5" s="53" t="s">
        <v>487</v>
      </c>
      <c r="K5" s="53" t="s">
        <v>490</v>
      </c>
      <c r="L5" s="54" t="s">
        <v>491</v>
      </c>
      <c r="M5" s="54" t="s">
        <v>491</v>
      </c>
      <c r="N5" s="54" t="s">
        <v>491</v>
      </c>
      <c r="O5" s="54" t="s">
        <v>491</v>
      </c>
      <c r="P5" s="54" t="s">
        <v>491</v>
      </c>
      <c r="Q5" s="54" t="s">
        <v>491</v>
      </c>
      <c r="R5" s="54" t="s">
        <v>491</v>
      </c>
      <c r="S5" s="54" t="s">
        <v>491</v>
      </c>
      <c r="T5" s="54" t="s">
        <v>491</v>
      </c>
      <c r="U5" s="57" t="s">
        <v>53</v>
      </c>
      <c r="V5" s="57" t="s">
        <v>53</v>
      </c>
      <c r="W5" s="54" t="s">
        <v>53</v>
      </c>
      <c r="X5" s="54" t="s">
        <v>53</v>
      </c>
      <c r="Y5" s="54" t="s">
        <v>53</v>
      </c>
      <c r="Z5" s="54" t="s">
        <v>53</v>
      </c>
      <c r="AA5" s="54" t="s">
        <v>53</v>
      </c>
      <c r="AB5" s="59" t="s">
        <v>53</v>
      </c>
      <c r="AC5" s="59" t="s">
        <v>53</v>
      </c>
      <c r="AD5" s="54" t="s">
        <v>53</v>
      </c>
      <c r="AE5" s="54" t="s">
        <v>53</v>
      </c>
      <c r="AF5" s="13" t="s">
        <v>108</v>
      </c>
      <c r="AG5" s="54"/>
      <c r="AH5" s="61"/>
      <c r="AI5" s="62">
        <v>2007.0</v>
      </c>
      <c r="AJ5" s="63"/>
      <c r="AK5" s="64">
        <f t="shared" ref="AK5:AK6" si="6">AM5-AN5</f>
        <v>0.3542</v>
      </c>
      <c r="AL5" s="64">
        <f t="shared" ref="AL5:AL6" si="7">AO5-AP5</f>
        <v>0.264</v>
      </c>
      <c r="AM5" s="65">
        <v>0.6609</v>
      </c>
      <c r="AN5" s="65">
        <v>0.3067</v>
      </c>
      <c r="AO5" s="65">
        <v>0.5670000000000001</v>
      </c>
      <c r="AP5" s="65">
        <v>0.303</v>
      </c>
      <c r="AQ5" s="62">
        <v>2024.0</v>
      </c>
    </row>
    <row r="6">
      <c r="A6" s="44" t="str">
        <f>LOOKUP(H6,'Letter grades'!$A$1:$B$6)</f>
        <v>B</v>
      </c>
      <c r="B6" s="44">
        <f t="shared" si="3"/>
        <v>2</v>
      </c>
      <c r="C6" s="67" t="s">
        <v>529</v>
      </c>
      <c r="D6" s="67" t="s">
        <v>530</v>
      </c>
      <c r="E6" s="46" t="s">
        <v>532</v>
      </c>
      <c r="F6" s="47">
        <f t="shared" si="4"/>
        <v>1</v>
      </c>
      <c r="G6" s="49">
        <f t="shared" ref="G6:G51" si="8">(COUNTIF($K6:AD6,"No")+COUNTIF($K6:AD6,"Yes (correct)")+(COUNTIF($K6:AD6,"Present")*0.5))/((COUNTIF($K6:AD6,"No")+(COUNTIF($K6:AD6,"Yes")+COUNTIF($K6:AD6,"Yes (correct)")+COUNTIF($K6:AD6,"No (incorrect)")+(COUNTIF($K6:AD6,"Present")))))</f>
        <v>0.8421052632</v>
      </c>
      <c r="H6" s="51">
        <f t="shared" si="5"/>
        <v>0.8947368421</v>
      </c>
      <c r="I6" s="53" t="s">
        <v>487</v>
      </c>
      <c r="J6" s="53" t="s">
        <v>487</v>
      </c>
      <c r="K6" s="53" t="s">
        <v>490</v>
      </c>
      <c r="L6" s="54" t="s">
        <v>491</v>
      </c>
      <c r="M6" s="54" t="s">
        <v>491</v>
      </c>
      <c r="N6" s="54" t="s">
        <v>491</v>
      </c>
      <c r="O6" s="54" t="s">
        <v>491</v>
      </c>
      <c r="P6" s="54" t="s">
        <v>491</v>
      </c>
      <c r="Q6" s="54" t="s">
        <v>491</v>
      </c>
      <c r="R6" s="54" t="s">
        <v>491</v>
      </c>
      <c r="S6" s="54" t="s">
        <v>491</v>
      </c>
      <c r="T6" s="54" t="s">
        <v>491</v>
      </c>
      <c r="U6" s="57" t="s">
        <v>53</v>
      </c>
      <c r="V6" s="57" t="s">
        <v>53</v>
      </c>
      <c r="W6" s="54" t="s">
        <v>561</v>
      </c>
      <c r="X6" s="54" t="s">
        <v>53</v>
      </c>
      <c r="Y6" s="54" t="s">
        <v>53</v>
      </c>
      <c r="Z6" s="54" t="s">
        <v>561</v>
      </c>
      <c r="AA6" s="54" t="s">
        <v>53</v>
      </c>
      <c r="AB6" s="59" t="s">
        <v>53</v>
      </c>
      <c r="AC6" s="59" t="s">
        <v>53</v>
      </c>
      <c r="AD6" s="54" t="s">
        <v>561</v>
      </c>
      <c r="AE6" s="54" t="s">
        <v>53</v>
      </c>
      <c r="AF6" s="13" t="s">
        <v>108</v>
      </c>
      <c r="AG6" s="54"/>
      <c r="AH6" s="61"/>
      <c r="AI6" s="62">
        <v>2009.0</v>
      </c>
      <c r="AJ6" s="63"/>
      <c r="AK6" s="64">
        <f t="shared" si="6"/>
        <v>0.1608</v>
      </c>
      <c r="AL6" s="64">
        <f t="shared" si="7"/>
        <v>0.11</v>
      </c>
      <c r="AM6" s="65">
        <v>0.5645</v>
      </c>
      <c r="AN6" s="65">
        <v>0.4037</v>
      </c>
      <c r="AO6" s="65">
        <v>0.501</v>
      </c>
      <c r="AP6" s="65">
        <v>0.391</v>
      </c>
      <c r="AQ6" s="62">
        <v>2026.0</v>
      </c>
    </row>
    <row r="7">
      <c r="A7" s="44" t="str">
        <f>LOOKUP(H7,'Letter grades'!$A$1:$B$6)</f>
        <v>B</v>
      </c>
      <c r="B7" s="44">
        <f t="shared" si="3"/>
        <v>3</v>
      </c>
      <c r="C7" s="77" t="s">
        <v>584</v>
      </c>
      <c r="D7" s="77" t="s">
        <v>586</v>
      </c>
      <c r="E7" s="77" t="s">
        <v>587</v>
      </c>
      <c r="F7" s="47">
        <f t="shared" si="4"/>
        <v>0.6666666667</v>
      </c>
      <c r="G7" s="49">
        <f t="shared" si="8"/>
        <v>1</v>
      </c>
      <c r="H7" s="51">
        <f t="shared" si="5"/>
        <v>0.8888888889</v>
      </c>
      <c r="I7" s="53" t="s">
        <v>487</v>
      </c>
      <c r="J7" s="53" t="s">
        <v>594</v>
      </c>
      <c r="K7" s="53" t="s">
        <v>490</v>
      </c>
      <c r="L7" s="54" t="s">
        <v>491</v>
      </c>
      <c r="M7" s="54" t="s">
        <v>491</v>
      </c>
      <c r="N7" s="54" t="s">
        <v>491</v>
      </c>
      <c r="O7" s="54" t="s">
        <v>491</v>
      </c>
      <c r="P7" s="54" t="s">
        <v>491</v>
      </c>
      <c r="Q7" s="54" t="s">
        <v>491</v>
      </c>
      <c r="R7" s="54" t="s">
        <v>600</v>
      </c>
      <c r="S7" s="54" t="s">
        <v>600</v>
      </c>
      <c r="T7" s="54" t="s">
        <v>600</v>
      </c>
      <c r="U7" s="54" t="s">
        <v>600</v>
      </c>
      <c r="V7" s="54" t="s">
        <v>600</v>
      </c>
      <c r="W7" s="54" t="s">
        <v>600</v>
      </c>
      <c r="X7" s="54" t="s">
        <v>600</v>
      </c>
      <c r="Y7" s="54" t="s">
        <v>600</v>
      </c>
      <c r="Z7" s="54" t="s">
        <v>600</v>
      </c>
      <c r="AA7" s="54" t="s">
        <v>600</v>
      </c>
      <c r="AB7" s="59" t="s">
        <v>600</v>
      </c>
      <c r="AC7" s="59" t="s">
        <v>600</v>
      </c>
      <c r="AD7" s="54" t="s">
        <v>600</v>
      </c>
      <c r="AE7" s="54" t="s">
        <v>600</v>
      </c>
      <c r="AF7" s="13" t="s">
        <v>108</v>
      </c>
      <c r="AG7" s="54"/>
      <c r="AH7" s="61"/>
      <c r="AI7" s="62"/>
      <c r="AJ7" s="63"/>
      <c r="AK7" s="63"/>
      <c r="AL7" s="63"/>
      <c r="AM7" s="65"/>
      <c r="AN7" s="65"/>
      <c r="AO7" s="65"/>
      <c r="AP7" s="65"/>
      <c r="AQ7" s="62"/>
    </row>
    <row r="8">
      <c r="A8" s="44" t="str">
        <f>LOOKUP(H8,'Letter grades'!$A$1:$B$6)</f>
        <v>B</v>
      </c>
      <c r="B8" s="44">
        <f t="shared" si="3"/>
        <v>4</v>
      </c>
      <c r="C8" s="67" t="s">
        <v>611</v>
      </c>
      <c r="D8" s="67" t="s">
        <v>613</v>
      </c>
      <c r="E8" s="46" t="s">
        <v>459</v>
      </c>
      <c r="F8" s="47">
        <f t="shared" si="4"/>
        <v>1</v>
      </c>
      <c r="G8" s="49">
        <f t="shared" si="8"/>
        <v>0.7647058824</v>
      </c>
      <c r="H8" s="51">
        <f t="shared" si="5"/>
        <v>0.8431372549</v>
      </c>
      <c r="I8" s="53" t="s">
        <v>487</v>
      </c>
      <c r="J8" s="53" t="s">
        <v>487</v>
      </c>
      <c r="K8" s="53" t="s">
        <v>490</v>
      </c>
      <c r="L8" s="54" t="s">
        <v>491</v>
      </c>
      <c r="M8" s="54" t="s">
        <v>491</v>
      </c>
      <c r="N8" s="54" t="s">
        <v>491</v>
      </c>
      <c r="O8" s="54" t="s">
        <v>491</v>
      </c>
      <c r="P8" s="54" t="s">
        <v>491</v>
      </c>
      <c r="Q8" s="54" t="s">
        <v>491</v>
      </c>
      <c r="R8" s="54" t="s">
        <v>491</v>
      </c>
      <c r="S8" s="54" t="s">
        <v>491</v>
      </c>
      <c r="T8" s="54" t="s">
        <v>491</v>
      </c>
      <c r="U8" s="57" t="s">
        <v>53</v>
      </c>
      <c r="V8" s="57" t="s">
        <v>561</v>
      </c>
      <c r="W8" s="54" t="s">
        <v>561</v>
      </c>
      <c r="X8" s="54" t="s">
        <v>53</v>
      </c>
      <c r="Y8" s="54" t="s">
        <v>561</v>
      </c>
      <c r="Z8" s="54" t="s">
        <v>561</v>
      </c>
      <c r="AA8" s="54" t="s">
        <v>53</v>
      </c>
      <c r="AB8" s="59" t="s">
        <v>53</v>
      </c>
      <c r="AC8" s="59" t="s">
        <v>600</v>
      </c>
      <c r="AD8" s="54" t="s">
        <v>600</v>
      </c>
      <c r="AE8" s="54" t="s">
        <v>600</v>
      </c>
      <c r="AF8" s="13" t="s">
        <v>108</v>
      </c>
      <c r="AG8" s="54"/>
      <c r="AH8" s="61"/>
      <c r="AI8" s="82">
        <v>2023.0</v>
      </c>
      <c r="AJ8" s="63"/>
      <c r="AK8" s="64">
        <f t="shared" ref="AK8:AK12" si="9">AM8-AN8</f>
        <v>0.3542</v>
      </c>
      <c r="AL8" s="64">
        <f t="shared" ref="AL8:AL12" si="10">AO8-AP8</f>
        <v>0.264</v>
      </c>
      <c r="AM8" s="65">
        <v>0.6609</v>
      </c>
      <c r="AN8" s="65">
        <v>0.3067</v>
      </c>
      <c r="AO8" s="65">
        <v>0.5670000000000001</v>
      </c>
      <c r="AP8" s="65">
        <v>0.303</v>
      </c>
      <c r="AQ8" s="62">
        <v>2028.0</v>
      </c>
    </row>
    <row r="9">
      <c r="A9" s="44" t="str">
        <f>LOOKUP(H9,'Letter grades'!$A$1:$B$6)</f>
        <v>C</v>
      </c>
      <c r="B9" s="44">
        <f t="shared" si="3"/>
        <v>5</v>
      </c>
      <c r="C9" s="67" t="s">
        <v>643</v>
      </c>
      <c r="D9" s="67" t="s">
        <v>645</v>
      </c>
      <c r="E9" s="46" t="s">
        <v>646</v>
      </c>
      <c r="F9" s="47">
        <f t="shared" si="4"/>
        <v>1</v>
      </c>
      <c r="G9" s="49">
        <f t="shared" si="8"/>
        <v>0.5263157895</v>
      </c>
      <c r="H9" s="51">
        <f t="shared" si="5"/>
        <v>0.6842105263</v>
      </c>
      <c r="I9" s="53" t="s">
        <v>487</v>
      </c>
      <c r="J9" s="53" t="s">
        <v>487</v>
      </c>
      <c r="K9" s="53" t="s">
        <v>490</v>
      </c>
      <c r="L9" s="54" t="s">
        <v>491</v>
      </c>
      <c r="M9" s="54" t="s">
        <v>491</v>
      </c>
      <c r="N9" s="54" t="s">
        <v>491</v>
      </c>
      <c r="O9" s="54" t="s">
        <v>491</v>
      </c>
      <c r="P9" s="54" t="s">
        <v>491</v>
      </c>
      <c r="Q9" s="54" t="s">
        <v>491</v>
      </c>
      <c r="R9" s="54" t="s">
        <v>491</v>
      </c>
      <c r="S9" s="54" t="s">
        <v>491</v>
      </c>
      <c r="T9" s="54" t="s">
        <v>491</v>
      </c>
      <c r="U9" s="57" t="s">
        <v>561</v>
      </c>
      <c r="V9" s="57" t="s">
        <v>561</v>
      </c>
      <c r="W9" s="54" t="s">
        <v>561</v>
      </c>
      <c r="X9" s="54" t="s">
        <v>561</v>
      </c>
      <c r="Y9" s="54" t="s">
        <v>561</v>
      </c>
      <c r="Z9" s="54" t="s">
        <v>561</v>
      </c>
      <c r="AA9" s="54" t="s">
        <v>53</v>
      </c>
      <c r="AB9" s="59" t="s">
        <v>561</v>
      </c>
      <c r="AC9" s="59" t="s">
        <v>561</v>
      </c>
      <c r="AD9" s="54" t="s">
        <v>561</v>
      </c>
      <c r="AE9" s="54" t="s">
        <v>53</v>
      </c>
      <c r="AF9" s="13" t="s">
        <v>108</v>
      </c>
      <c r="AG9" s="54"/>
      <c r="AH9" s="61"/>
      <c r="AI9" s="62">
        <v>2017.0</v>
      </c>
      <c r="AJ9" s="63"/>
      <c r="AK9" s="64">
        <f t="shared" si="9"/>
        <v>0.3321</v>
      </c>
      <c r="AL9" s="64">
        <f t="shared" si="10"/>
        <v>0.264</v>
      </c>
      <c r="AM9" s="65">
        <v>0.6536</v>
      </c>
      <c r="AN9" s="65">
        <v>0.3215</v>
      </c>
      <c r="AO9" s="65">
        <v>0.603</v>
      </c>
      <c r="AP9" s="65">
        <v>0.33899999999999997</v>
      </c>
      <c r="AQ9" s="62">
        <v>2028.0</v>
      </c>
    </row>
    <row r="10">
      <c r="A10" s="44" t="str">
        <f>LOOKUP(H10,'Letter grades'!$A$1:$B$6)</f>
        <v>C</v>
      </c>
      <c r="B10" s="44">
        <f t="shared" si="3"/>
        <v>6</v>
      </c>
      <c r="C10" s="67" t="s">
        <v>675</v>
      </c>
      <c r="D10" s="67" t="s">
        <v>676</v>
      </c>
      <c r="E10" s="46" t="s">
        <v>677</v>
      </c>
      <c r="F10" s="47">
        <f t="shared" si="4"/>
        <v>0.3333333333</v>
      </c>
      <c r="G10" s="49">
        <f t="shared" si="8"/>
        <v>0.7368421053</v>
      </c>
      <c r="H10" s="51">
        <f t="shared" si="5"/>
        <v>0.6023391813</v>
      </c>
      <c r="I10" s="53" t="s">
        <v>594</v>
      </c>
      <c r="J10" s="53" t="s">
        <v>594</v>
      </c>
      <c r="K10" s="53" t="s">
        <v>490</v>
      </c>
      <c r="L10" s="54" t="s">
        <v>491</v>
      </c>
      <c r="M10" s="54" t="s">
        <v>491</v>
      </c>
      <c r="N10" s="54" t="s">
        <v>491</v>
      </c>
      <c r="O10" s="54" t="s">
        <v>491</v>
      </c>
      <c r="P10" s="54" t="s">
        <v>491</v>
      </c>
      <c r="Q10" s="54" t="s">
        <v>491</v>
      </c>
      <c r="R10" s="54" t="s">
        <v>491</v>
      </c>
      <c r="S10" s="54" t="s">
        <v>491</v>
      </c>
      <c r="T10" s="54" t="s">
        <v>491</v>
      </c>
      <c r="U10" s="57" t="s">
        <v>561</v>
      </c>
      <c r="V10" s="57" t="s">
        <v>561</v>
      </c>
      <c r="W10" s="54" t="s">
        <v>561</v>
      </c>
      <c r="X10" s="54" t="s">
        <v>561</v>
      </c>
      <c r="Y10" s="54" t="s">
        <v>561</v>
      </c>
      <c r="Z10" s="54" t="s">
        <v>53</v>
      </c>
      <c r="AA10" s="54" t="s">
        <v>53</v>
      </c>
      <c r="AB10" s="59" t="s">
        <v>53</v>
      </c>
      <c r="AC10" s="59" t="s">
        <v>53</v>
      </c>
      <c r="AD10" s="54" t="s">
        <v>53</v>
      </c>
      <c r="AE10" s="54" t="s">
        <v>53</v>
      </c>
      <c r="AF10" s="13" t="s">
        <v>108</v>
      </c>
      <c r="AG10" s="54"/>
      <c r="AH10" s="61"/>
      <c r="AI10" s="62">
        <v>2013.0</v>
      </c>
      <c r="AJ10" s="63"/>
      <c r="AK10" s="64">
        <f t="shared" si="9"/>
        <v>0.3346</v>
      </c>
      <c r="AL10" s="64">
        <f t="shared" si="10"/>
        <v>0.272</v>
      </c>
      <c r="AM10" s="65">
        <v>0.656</v>
      </c>
      <c r="AN10" s="65">
        <v>0.3214</v>
      </c>
      <c r="AO10" s="65">
        <v>0.6</v>
      </c>
      <c r="AP10" s="65">
        <v>0.32799999999999996</v>
      </c>
      <c r="AQ10" s="62">
        <v>2024.0</v>
      </c>
    </row>
    <row r="11">
      <c r="A11" s="44" t="str">
        <f>LOOKUP(H11,'Letter grades'!$A$1:$B$6)</f>
        <v>D</v>
      </c>
      <c r="B11" s="44">
        <f t="shared" si="3"/>
        <v>7</v>
      </c>
      <c r="C11" s="67" t="s">
        <v>699</v>
      </c>
      <c r="D11" s="67" t="s">
        <v>700</v>
      </c>
      <c r="E11" s="46" t="s">
        <v>703</v>
      </c>
      <c r="F11" s="47">
        <f t="shared" si="4"/>
        <v>0.6666666667</v>
      </c>
      <c r="G11" s="49">
        <f t="shared" si="8"/>
        <v>0.5263157895</v>
      </c>
      <c r="H11" s="51">
        <f t="shared" si="5"/>
        <v>0.5730994152</v>
      </c>
      <c r="I11" s="53" t="s">
        <v>594</v>
      </c>
      <c r="J11" s="53" t="s">
        <v>487</v>
      </c>
      <c r="K11" s="53" t="s">
        <v>490</v>
      </c>
      <c r="L11" s="54" t="s">
        <v>491</v>
      </c>
      <c r="M11" s="54" t="s">
        <v>491</v>
      </c>
      <c r="N11" s="54" t="s">
        <v>491</v>
      </c>
      <c r="O11" s="54" t="s">
        <v>491</v>
      </c>
      <c r="P11" s="54" t="s">
        <v>491</v>
      </c>
      <c r="Q11" s="54" t="s">
        <v>491</v>
      </c>
      <c r="R11" s="54" t="s">
        <v>491</v>
      </c>
      <c r="S11" s="54" t="s">
        <v>491</v>
      </c>
      <c r="T11" s="54" t="s">
        <v>491</v>
      </c>
      <c r="U11" s="57" t="s">
        <v>561</v>
      </c>
      <c r="V11" s="57" t="s">
        <v>561</v>
      </c>
      <c r="W11" s="54" t="s">
        <v>561</v>
      </c>
      <c r="X11" s="54" t="s">
        <v>561</v>
      </c>
      <c r="Y11" s="54" t="s">
        <v>561</v>
      </c>
      <c r="Z11" s="54" t="s">
        <v>561</v>
      </c>
      <c r="AA11" s="54" t="s">
        <v>53</v>
      </c>
      <c r="AB11" s="59" t="s">
        <v>561</v>
      </c>
      <c r="AC11" s="59" t="s">
        <v>561</v>
      </c>
      <c r="AD11" s="54" t="s">
        <v>561</v>
      </c>
      <c r="AE11" s="54" t="s">
        <v>53</v>
      </c>
      <c r="AF11" s="13" t="s">
        <v>108</v>
      </c>
      <c r="AG11" s="54"/>
      <c r="AH11" s="61"/>
      <c r="AI11" s="62">
        <v>2013.0</v>
      </c>
      <c r="AJ11" s="63"/>
      <c r="AK11" s="64">
        <f t="shared" si="9"/>
        <v>0.2946</v>
      </c>
      <c r="AL11" s="64">
        <f t="shared" si="10"/>
        <v>0.322</v>
      </c>
      <c r="AM11" s="65">
        <v>0.6373</v>
      </c>
      <c r="AN11" s="65">
        <v>0.3427</v>
      </c>
      <c r="AO11" s="65">
        <v>0.622</v>
      </c>
      <c r="AP11" s="65">
        <v>0.3</v>
      </c>
      <c r="AQ11" s="62">
        <v>2024.0</v>
      </c>
    </row>
    <row r="12">
      <c r="A12" s="44" t="str">
        <f>LOOKUP(H12,'Letter grades'!$A$1:$B$6)</f>
        <v>D</v>
      </c>
      <c r="B12" s="44">
        <f t="shared" si="3"/>
        <v>8</v>
      </c>
      <c r="C12" s="67" t="s">
        <v>548</v>
      </c>
      <c r="D12" s="67" t="s">
        <v>724</v>
      </c>
      <c r="E12" s="46" t="s">
        <v>677</v>
      </c>
      <c r="F12" s="47">
        <f t="shared" si="4"/>
        <v>0.3333333333</v>
      </c>
      <c r="G12" s="49">
        <f t="shared" si="8"/>
        <v>0.6842105263</v>
      </c>
      <c r="H12" s="51">
        <f t="shared" si="5"/>
        <v>0.567251462</v>
      </c>
      <c r="I12" s="53" t="s">
        <v>594</v>
      </c>
      <c r="J12" s="53" t="s">
        <v>594</v>
      </c>
      <c r="K12" s="53" t="s">
        <v>490</v>
      </c>
      <c r="L12" s="54" t="s">
        <v>491</v>
      </c>
      <c r="M12" s="54" t="s">
        <v>491</v>
      </c>
      <c r="N12" s="54" t="s">
        <v>491</v>
      </c>
      <c r="O12" s="54" t="s">
        <v>491</v>
      </c>
      <c r="P12" s="54" t="s">
        <v>491</v>
      </c>
      <c r="Q12" s="54" t="s">
        <v>491</v>
      </c>
      <c r="R12" s="54" t="s">
        <v>491</v>
      </c>
      <c r="S12" s="54" t="s">
        <v>491</v>
      </c>
      <c r="T12" s="54" t="s">
        <v>491</v>
      </c>
      <c r="U12" s="57" t="s">
        <v>561</v>
      </c>
      <c r="V12" s="57" t="s">
        <v>561</v>
      </c>
      <c r="W12" s="54" t="s">
        <v>561</v>
      </c>
      <c r="X12" s="54" t="s">
        <v>561</v>
      </c>
      <c r="Y12" s="54" t="s">
        <v>561</v>
      </c>
      <c r="Z12" s="54" t="s">
        <v>53</v>
      </c>
      <c r="AA12" s="54" t="s">
        <v>53</v>
      </c>
      <c r="AB12" s="59" t="s">
        <v>53</v>
      </c>
      <c r="AC12" s="59" t="s">
        <v>53</v>
      </c>
      <c r="AD12" s="54" t="s">
        <v>561</v>
      </c>
      <c r="AE12" s="54" t="s">
        <v>53</v>
      </c>
      <c r="AF12" s="13" t="s">
        <v>108</v>
      </c>
      <c r="AG12" s="54"/>
      <c r="AH12" s="61"/>
      <c r="AI12" s="62" t="s">
        <v>743</v>
      </c>
      <c r="AJ12" s="63"/>
      <c r="AK12" s="64">
        <f t="shared" si="9"/>
        <v>0.3346</v>
      </c>
      <c r="AL12" s="64">
        <f t="shared" si="10"/>
        <v>0.272</v>
      </c>
      <c r="AM12" s="65">
        <v>0.656</v>
      </c>
      <c r="AN12" s="65">
        <v>0.3214</v>
      </c>
      <c r="AO12" s="65">
        <v>0.6</v>
      </c>
      <c r="AP12" s="65">
        <v>0.32799999999999996</v>
      </c>
      <c r="AQ12" s="62">
        <v>2026.0</v>
      </c>
    </row>
    <row r="13">
      <c r="A13" s="44" t="str">
        <f>LOOKUP(H13,'Letter grades'!$A$1:$B$6)</f>
        <v>D</v>
      </c>
      <c r="B13" s="44">
        <f t="shared" si="3"/>
        <v>9</v>
      </c>
      <c r="C13" s="77" t="s">
        <v>757</v>
      </c>
      <c r="D13" s="77" t="s">
        <v>759</v>
      </c>
      <c r="E13" s="77" t="s">
        <v>646</v>
      </c>
      <c r="F13" s="47">
        <f t="shared" si="4"/>
        <v>0.3333333333</v>
      </c>
      <c r="G13" s="49">
        <f t="shared" si="8"/>
        <v>0.6666666667</v>
      </c>
      <c r="H13" s="51">
        <f t="shared" si="5"/>
        <v>0.5555555556</v>
      </c>
      <c r="I13" s="53" t="s">
        <v>594</v>
      </c>
      <c r="J13" s="53" t="s">
        <v>594</v>
      </c>
      <c r="K13" s="53" t="s">
        <v>490</v>
      </c>
      <c r="L13" s="54" t="s">
        <v>491</v>
      </c>
      <c r="M13" s="54" t="s">
        <v>491</v>
      </c>
      <c r="N13" s="54" t="s">
        <v>491</v>
      </c>
      <c r="O13" s="54" t="s">
        <v>491</v>
      </c>
      <c r="P13" s="54" t="s">
        <v>766</v>
      </c>
      <c r="Q13" s="54" t="s">
        <v>766</v>
      </c>
      <c r="R13" s="54" t="s">
        <v>600</v>
      </c>
      <c r="S13" s="54" t="s">
        <v>600</v>
      </c>
      <c r="T13" s="54" t="s">
        <v>600</v>
      </c>
      <c r="U13" s="54" t="s">
        <v>600</v>
      </c>
      <c r="V13" s="54" t="s">
        <v>600</v>
      </c>
      <c r="W13" s="54" t="s">
        <v>600</v>
      </c>
      <c r="X13" s="54" t="s">
        <v>600</v>
      </c>
      <c r="Y13" s="54" t="s">
        <v>600</v>
      </c>
      <c r="Z13" s="54" t="s">
        <v>600</v>
      </c>
      <c r="AA13" s="54" t="s">
        <v>600</v>
      </c>
      <c r="AB13" s="59" t="s">
        <v>600</v>
      </c>
      <c r="AC13" s="59" t="s">
        <v>600</v>
      </c>
      <c r="AD13" s="54" t="s">
        <v>600</v>
      </c>
      <c r="AE13" s="54" t="s">
        <v>600</v>
      </c>
      <c r="AF13" s="13" t="s">
        <v>108</v>
      </c>
      <c r="AG13" s="54"/>
      <c r="AH13" s="61"/>
      <c r="AI13" s="62"/>
      <c r="AJ13" s="63"/>
      <c r="AK13" s="63"/>
      <c r="AL13" s="63"/>
      <c r="AM13" s="65"/>
      <c r="AN13" s="65"/>
      <c r="AO13" s="65"/>
      <c r="AP13" s="65"/>
      <c r="AQ13" s="62"/>
    </row>
    <row r="14">
      <c r="A14" s="44" t="str">
        <f>LOOKUP(H14,'Letter grades'!$A$1:$B$6)</f>
        <v>D</v>
      </c>
      <c r="B14" s="44">
        <f t="shared" si="3"/>
        <v>9</v>
      </c>
      <c r="C14" s="77" t="s">
        <v>438</v>
      </c>
      <c r="D14" s="77" t="s">
        <v>439</v>
      </c>
      <c r="E14" s="77" t="s">
        <v>788</v>
      </c>
      <c r="F14" s="47">
        <f t="shared" si="4"/>
        <v>0.3333333333</v>
      </c>
      <c r="G14" s="49">
        <f t="shared" si="8"/>
        <v>0.6666666667</v>
      </c>
      <c r="H14" s="51">
        <f t="shared" si="5"/>
        <v>0.5555555556</v>
      </c>
      <c r="I14" s="53" t="s">
        <v>594</v>
      </c>
      <c r="J14" s="53" t="s">
        <v>594</v>
      </c>
      <c r="K14" s="53" t="s">
        <v>490</v>
      </c>
      <c r="L14" s="54" t="s">
        <v>491</v>
      </c>
      <c r="M14" s="54" t="s">
        <v>491</v>
      </c>
      <c r="N14" s="54" t="s">
        <v>491</v>
      </c>
      <c r="O14" s="54" t="s">
        <v>491</v>
      </c>
      <c r="P14" s="54" t="s">
        <v>766</v>
      </c>
      <c r="Q14" s="54" t="s">
        <v>766</v>
      </c>
      <c r="R14" s="54" t="s">
        <v>600</v>
      </c>
      <c r="S14" s="54" t="s">
        <v>600</v>
      </c>
      <c r="T14" s="54" t="s">
        <v>600</v>
      </c>
      <c r="U14" s="54" t="s">
        <v>600</v>
      </c>
      <c r="V14" s="54" t="s">
        <v>600</v>
      </c>
      <c r="W14" s="54" t="s">
        <v>600</v>
      </c>
      <c r="X14" s="54" t="s">
        <v>600</v>
      </c>
      <c r="Y14" s="54" t="s">
        <v>600</v>
      </c>
      <c r="Z14" s="54" t="s">
        <v>600</v>
      </c>
      <c r="AA14" s="54" t="s">
        <v>600</v>
      </c>
      <c r="AB14" s="59" t="s">
        <v>600</v>
      </c>
      <c r="AC14" s="59" t="s">
        <v>600</v>
      </c>
      <c r="AD14" s="54" t="s">
        <v>600</v>
      </c>
      <c r="AE14" s="54" t="s">
        <v>600</v>
      </c>
      <c r="AF14" s="13" t="s">
        <v>108</v>
      </c>
      <c r="AG14" s="54"/>
      <c r="AH14" s="61"/>
      <c r="AI14" s="62"/>
      <c r="AJ14" s="63"/>
      <c r="AK14" s="63"/>
      <c r="AL14" s="63"/>
      <c r="AM14" s="65"/>
      <c r="AN14" s="65"/>
      <c r="AO14" s="65"/>
      <c r="AP14" s="65"/>
      <c r="AQ14" s="62"/>
    </row>
    <row r="15">
      <c r="A15" s="44" t="str">
        <f>LOOKUP(H15,'Letter grades'!$A$1:$B$6)</f>
        <v>D</v>
      </c>
      <c r="B15" s="44">
        <f t="shared" si="3"/>
        <v>9</v>
      </c>
      <c r="C15" s="77" t="s">
        <v>805</v>
      </c>
      <c r="D15" s="77" t="s">
        <v>806</v>
      </c>
      <c r="E15" s="77" t="s">
        <v>815</v>
      </c>
      <c r="F15" s="47">
        <f t="shared" si="4"/>
        <v>0.3333333333</v>
      </c>
      <c r="G15" s="49">
        <f t="shared" si="8"/>
        <v>0.6666666667</v>
      </c>
      <c r="H15" s="51">
        <f t="shared" si="5"/>
        <v>0.5555555556</v>
      </c>
      <c r="I15" s="53" t="s">
        <v>594</v>
      </c>
      <c r="J15" s="53" t="s">
        <v>594</v>
      </c>
      <c r="K15" s="53" t="s">
        <v>490</v>
      </c>
      <c r="L15" s="54" t="s">
        <v>491</v>
      </c>
      <c r="M15" s="54" t="s">
        <v>491</v>
      </c>
      <c r="N15" s="124" t="s">
        <v>491</v>
      </c>
      <c r="O15" s="124" t="s">
        <v>491</v>
      </c>
      <c r="P15" s="54" t="s">
        <v>766</v>
      </c>
      <c r="Q15" s="54" t="s">
        <v>766</v>
      </c>
      <c r="R15" s="54" t="s">
        <v>600</v>
      </c>
      <c r="S15" s="54" t="s">
        <v>600</v>
      </c>
      <c r="T15" s="54" t="s">
        <v>600</v>
      </c>
      <c r="U15" s="54" t="s">
        <v>600</v>
      </c>
      <c r="V15" s="54" t="s">
        <v>600</v>
      </c>
      <c r="W15" s="54" t="s">
        <v>600</v>
      </c>
      <c r="X15" s="54" t="s">
        <v>600</v>
      </c>
      <c r="Y15" s="54" t="s">
        <v>600</v>
      </c>
      <c r="Z15" s="54" t="s">
        <v>600</v>
      </c>
      <c r="AA15" s="54" t="s">
        <v>600</v>
      </c>
      <c r="AB15" s="59" t="s">
        <v>600</v>
      </c>
      <c r="AC15" s="59" t="s">
        <v>600</v>
      </c>
      <c r="AD15" s="54" t="s">
        <v>600</v>
      </c>
      <c r="AE15" s="54" t="s">
        <v>600</v>
      </c>
      <c r="AF15" s="13"/>
      <c r="AG15" s="54"/>
      <c r="AH15" s="61"/>
      <c r="AI15" s="62"/>
      <c r="AJ15" s="63"/>
      <c r="AK15" s="63"/>
      <c r="AL15" s="63"/>
      <c r="AM15" s="65"/>
      <c r="AN15" s="65"/>
      <c r="AO15" s="65"/>
      <c r="AP15" s="65"/>
      <c r="AQ15" s="62"/>
    </row>
    <row r="16">
      <c r="A16" s="44" t="str">
        <f>LOOKUP(H16,'Letter grades'!$A$1:$B$6)</f>
        <v>D</v>
      </c>
      <c r="B16" s="44">
        <f t="shared" si="3"/>
        <v>12</v>
      </c>
      <c r="C16" s="67" t="s">
        <v>843</v>
      </c>
      <c r="D16" s="67" t="s">
        <v>846</v>
      </c>
      <c r="E16" s="46" t="s">
        <v>848</v>
      </c>
      <c r="F16" s="47">
        <f t="shared" si="4"/>
        <v>0.6666666667</v>
      </c>
      <c r="G16" s="49">
        <f t="shared" si="8"/>
        <v>0.4736842105</v>
      </c>
      <c r="H16" s="51">
        <f t="shared" si="5"/>
        <v>0.5380116959</v>
      </c>
      <c r="I16" s="53" t="s">
        <v>487</v>
      </c>
      <c r="J16" s="53" t="s">
        <v>594</v>
      </c>
      <c r="K16" s="53" t="s">
        <v>490</v>
      </c>
      <c r="L16" s="54" t="s">
        <v>491</v>
      </c>
      <c r="M16" s="54" t="s">
        <v>491</v>
      </c>
      <c r="N16" s="54" t="s">
        <v>491</v>
      </c>
      <c r="O16" s="54" t="s">
        <v>491</v>
      </c>
      <c r="P16" s="54" t="s">
        <v>491</v>
      </c>
      <c r="Q16" s="54" t="s">
        <v>491</v>
      </c>
      <c r="R16" s="54" t="s">
        <v>491</v>
      </c>
      <c r="S16" s="54" t="s">
        <v>491</v>
      </c>
      <c r="T16" s="54" t="s">
        <v>491</v>
      </c>
      <c r="U16" s="57" t="s">
        <v>561</v>
      </c>
      <c r="V16" s="57" t="s">
        <v>561</v>
      </c>
      <c r="W16" s="54" t="s">
        <v>561</v>
      </c>
      <c r="X16" s="54" t="s">
        <v>561</v>
      </c>
      <c r="Y16" s="54" t="s">
        <v>561</v>
      </c>
      <c r="Z16" s="54" t="s">
        <v>561</v>
      </c>
      <c r="AA16" s="54" t="s">
        <v>561</v>
      </c>
      <c r="AB16" s="59" t="s">
        <v>561</v>
      </c>
      <c r="AC16" s="59" t="s">
        <v>561</v>
      </c>
      <c r="AD16" s="54" t="s">
        <v>561</v>
      </c>
      <c r="AE16" s="54" t="s">
        <v>53</v>
      </c>
      <c r="AF16" s="13" t="s">
        <v>108</v>
      </c>
      <c r="AG16" s="54"/>
      <c r="AH16" s="61"/>
      <c r="AI16" s="62">
        <v>1997.0</v>
      </c>
      <c r="AJ16" s="63"/>
      <c r="AK16" s="64">
        <f t="shared" ref="AK16:AK28" si="11">AM16-AN16</f>
        <v>0.1699</v>
      </c>
      <c r="AL16" s="64">
        <f t="shared" ref="AL16:AL28" si="12">AO16-AP16</f>
        <v>0.17</v>
      </c>
      <c r="AM16" s="65">
        <v>0.5754</v>
      </c>
      <c r="AN16" s="65">
        <v>0.4055</v>
      </c>
      <c r="AO16" s="65">
        <v>0.5579999999999999</v>
      </c>
      <c r="AP16" s="65">
        <v>0.38799999999999996</v>
      </c>
      <c r="AQ16" s="62">
        <v>2026.0</v>
      </c>
    </row>
    <row r="17">
      <c r="A17" s="44" t="str">
        <f>LOOKUP(H17,'Letter grades'!$A$1:$B$6)</f>
        <v>D</v>
      </c>
      <c r="B17" s="44">
        <f t="shared" si="3"/>
        <v>12</v>
      </c>
      <c r="C17" s="67" t="s">
        <v>876</v>
      </c>
      <c r="D17" s="67" t="s">
        <v>877</v>
      </c>
      <c r="E17" s="46" t="s">
        <v>878</v>
      </c>
      <c r="F17" s="47">
        <f t="shared" si="4"/>
        <v>0.6666666667</v>
      </c>
      <c r="G17" s="49">
        <f t="shared" si="8"/>
        <v>0.4736842105</v>
      </c>
      <c r="H17" s="51">
        <f t="shared" si="5"/>
        <v>0.5380116959</v>
      </c>
      <c r="I17" s="53" t="s">
        <v>594</v>
      </c>
      <c r="J17" s="53" t="s">
        <v>487</v>
      </c>
      <c r="K17" s="53" t="s">
        <v>490</v>
      </c>
      <c r="L17" s="54" t="s">
        <v>491</v>
      </c>
      <c r="M17" s="54" t="s">
        <v>491</v>
      </c>
      <c r="N17" s="54" t="s">
        <v>491</v>
      </c>
      <c r="O17" s="54" t="s">
        <v>491</v>
      </c>
      <c r="P17" s="54" t="s">
        <v>491</v>
      </c>
      <c r="Q17" s="54" t="s">
        <v>491</v>
      </c>
      <c r="R17" s="54" t="s">
        <v>491</v>
      </c>
      <c r="S17" s="54" t="s">
        <v>491</v>
      </c>
      <c r="T17" s="54" t="s">
        <v>491</v>
      </c>
      <c r="U17" s="57" t="s">
        <v>561</v>
      </c>
      <c r="V17" s="57" t="s">
        <v>561</v>
      </c>
      <c r="W17" s="54" t="s">
        <v>561</v>
      </c>
      <c r="X17" s="54" t="s">
        <v>561</v>
      </c>
      <c r="Y17" s="54" t="s">
        <v>561</v>
      </c>
      <c r="Z17" s="54" t="s">
        <v>561</v>
      </c>
      <c r="AA17" s="54" t="s">
        <v>561</v>
      </c>
      <c r="AB17" s="59" t="s">
        <v>561</v>
      </c>
      <c r="AC17" s="59" t="s">
        <v>561</v>
      </c>
      <c r="AD17" s="54" t="s">
        <v>561</v>
      </c>
      <c r="AE17" s="54" t="s">
        <v>561</v>
      </c>
      <c r="AF17" s="13" t="s">
        <v>108</v>
      </c>
      <c r="AG17" s="54"/>
      <c r="AH17" s="61"/>
      <c r="AI17" s="62" t="s">
        <v>896</v>
      </c>
      <c r="AJ17" s="63"/>
      <c r="AK17" s="64">
        <f t="shared" si="11"/>
        <v>0.0712</v>
      </c>
      <c r="AL17" s="64">
        <f t="shared" si="12"/>
        <v>0.015</v>
      </c>
      <c r="AM17" s="65">
        <v>0.524</v>
      </c>
      <c r="AN17" s="65">
        <v>0.4528</v>
      </c>
      <c r="AO17" s="65">
        <v>0.46399999999999997</v>
      </c>
      <c r="AP17" s="65">
        <v>0.449</v>
      </c>
      <c r="AQ17" s="62">
        <v>2026.0</v>
      </c>
    </row>
    <row r="18">
      <c r="A18" s="44" t="str">
        <f>LOOKUP(H18,'Letter grades'!$A$1:$B$6)</f>
        <v>D</v>
      </c>
      <c r="B18" s="44">
        <f t="shared" si="3"/>
        <v>14</v>
      </c>
      <c r="C18" s="46" t="s">
        <v>908</v>
      </c>
      <c r="D18" s="46" t="s">
        <v>909</v>
      </c>
      <c r="E18" s="46" t="s">
        <v>910</v>
      </c>
      <c r="F18" s="47">
        <f t="shared" si="4"/>
        <v>0.6666666667</v>
      </c>
      <c r="G18" s="49">
        <f t="shared" si="8"/>
        <v>0.3684210526</v>
      </c>
      <c r="H18" s="51">
        <f t="shared" si="5"/>
        <v>0.4678362573</v>
      </c>
      <c r="I18" s="53" t="s">
        <v>487</v>
      </c>
      <c r="J18" s="53" t="s">
        <v>594</v>
      </c>
      <c r="K18" s="53" t="s">
        <v>490</v>
      </c>
      <c r="L18" s="54" t="s">
        <v>491</v>
      </c>
      <c r="M18" s="54" t="s">
        <v>491</v>
      </c>
      <c r="N18" s="54" t="s">
        <v>491</v>
      </c>
      <c r="O18" s="54" t="s">
        <v>491</v>
      </c>
      <c r="P18" s="54" t="s">
        <v>766</v>
      </c>
      <c r="Q18" s="54" t="s">
        <v>766</v>
      </c>
      <c r="R18" s="54" t="s">
        <v>491</v>
      </c>
      <c r="S18" s="54" t="s">
        <v>491</v>
      </c>
      <c r="T18" s="54" t="s">
        <v>491</v>
      </c>
      <c r="U18" s="57" t="s">
        <v>561</v>
      </c>
      <c r="V18" s="57" t="s">
        <v>561</v>
      </c>
      <c r="W18" s="54" t="s">
        <v>561</v>
      </c>
      <c r="X18" s="54" t="s">
        <v>561</v>
      </c>
      <c r="Y18" s="54" t="s">
        <v>561</v>
      </c>
      <c r="Z18" s="54" t="s">
        <v>561</v>
      </c>
      <c r="AA18" s="54" t="s">
        <v>561</v>
      </c>
      <c r="AB18" s="59" t="s">
        <v>561</v>
      </c>
      <c r="AC18" s="59" t="s">
        <v>561</v>
      </c>
      <c r="AD18" s="54" t="s">
        <v>561</v>
      </c>
      <c r="AE18" s="54" t="s">
        <v>600</v>
      </c>
      <c r="AF18" s="13" t="s">
        <v>108</v>
      </c>
      <c r="AG18" s="54"/>
      <c r="AH18" s="61"/>
      <c r="AI18" s="62">
        <v>2021.0</v>
      </c>
      <c r="AJ18" s="63"/>
      <c r="AK18" s="64">
        <f t="shared" si="11"/>
        <v>0.0023</v>
      </c>
      <c r="AL18" s="64">
        <f t="shared" si="12"/>
        <v>-0.0509</v>
      </c>
      <c r="AM18" s="65">
        <v>0.4947</v>
      </c>
      <c r="AN18" s="65">
        <v>0.4924</v>
      </c>
      <c r="AO18" s="65">
        <v>0.4535</v>
      </c>
      <c r="AP18" s="65">
        <v>0.5044</v>
      </c>
      <c r="AQ18" s="62">
        <v>2028.0</v>
      </c>
    </row>
    <row r="19">
      <c r="A19" s="44" t="str">
        <f>LOOKUP(H19,'Letter grades'!$A$1:$B$6)</f>
        <v>D</v>
      </c>
      <c r="B19" s="44">
        <f t="shared" si="3"/>
        <v>15</v>
      </c>
      <c r="C19" s="67" t="s">
        <v>928</v>
      </c>
      <c r="D19" s="67" t="s">
        <v>930</v>
      </c>
      <c r="E19" s="46" t="s">
        <v>932</v>
      </c>
      <c r="F19" s="47">
        <f t="shared" si="4"/>
        <v>0.3333333333</v>
      </c>
      <c r="G19" s="49">
        <f t="shared" si="8"/>
        <v>0.5263157895</v>
      </c>
      <c r="H19" s="51">
        <f t="shared" si="5"/>
        <v>0.4619883041</v>
      </c>
      <c r="I19" s="53" t="s">
        <v>594</v>
      </c>
      <c r="J19" s="53" t="s">
        <v>594</v>
      </c>
      <c r="K19" s="53" t="s">
        <v>490</v>
      </c>
      <c r="L19" s="54" t="s">
        <v>491</v>
      </c>
      <c r="M19" s="54" t="s">
        <v>491</v>
      </c>
      <c r="N19" s="54" t="s">
        <v>491</v>
      </c>
      <c r="O19" s="54" t="s">
        <v>491</v>
      </c>
      <c r="P19" s="54" t="s">
        <v>491</v>
      </c>
      <c r="Q19" s="54" t="s">
        <v>491</v>
      </c>
      <c r="R19" s="54" t="s">
        <v>491</v>
      </c>
      <c r="S19" s="54" t="s">
        <v>491</v>
      </c>
      <c r="T19" s="54" t="s">
        <v>491</v>
      </c>
      <c r="U19" s="57" t="s">
        <v>561</v>
      </c>
      <c r="V19" s="57" t="s">
        <v>561</v>
      </c>
      <c r="W19" s="54" t="s">
        <v>561</v>
      </c>
      <c r="X19" s="54" t="s">
        <v>561</v>
      </c>
      <c r="Y19" s="54" t="s">
        <v>561</v>
      </c>
      <c r="Z19" s="54" t="s">
        <v>561</v>
      </c>
      <c r="AA19" s="54" t="s">
        <v>53</v>
      </c>
      <c r="AB19" s="59" t="s">
        <v>561</v>
      </c>
      <c r="AC19" s="59" t="s">
        <v>561</v>
      </c>
      <c r="AD19" s="54" t="s">
        <v>561</v>
      </c>
      <c r="AE19" s="54" t="s">
        <v>53</v>
      </c>
      <c r="AF19" s="13" t="s">
        <v>108</v>
      </c>
      <c r="AG19" s="54"/>
      <c r="AH19" s="61"/>
      <c r="AI19" s="62">
        <v>2013.0</v>
      </c>
      <c r="AJ19" s="63"/>
      <c r="AK19" s="64">
        <f t="shared" si="11"/>
        <v>0.1079</v>
      </c>
      <c r="AL19" s="64">
        <f t="shared" si="12"/>
        <v>0.083</v>
      </c>
      <c r="AM19" s="65">
        <v>0.5429</v>
      </c>
      <c r="AN19" s="65">
        <v>0.435</v>
      </c>
      <c r="AO19" s="65">
        <v>0.483</v>
      </c>
      <c r="AP19" s="65">
        <v>0.4</v>
      </c>
      <c r="AQ19" s="62">
        <v>2024.0</v>
      </c>
    </row>
    <row r="20">
      <c r="A20" s="44" t="str">
        <f>LOOKUP(H20,'Letter grades'!$A$1:$B$6)</f>
        <v>D</v>
      </c>
      <c r="B20" s="44">
        <f t="shared" si="3"/>
        <v>15</v>
      </c>
      <c r="C20" s="67" t="s">
        <v>954</v>
      </c>
      <c r="D20" s="67" t="s">
        <v>956</v>
      </c>
      <c r="E20" s="46" t="s">
        <v>932</v>
      </c>
      <c r="F20" s="47">
        <f t="shared" si="4"/>
        <v>0.3333333333</v>
      </c>
      <c r="G20" s="49">
        <f t="shared" si="8"/>
        <v>0.5263157895</v>
      </c>
      <c r="H20" s="51">
        <f t="shared" si="5"/>
        <v>0.4619883041</v>
      </c>
      <c r="I20" s="53" t="s">
        <v>594</v>
      </c>
      <c r="J20" s="53" t="s">
        <v>594</v>
      </c>
      <c r="K20" s="53" t="s">
        <v>490</v>
      </c>
      <c r="L20" s="54" t="s">
        <v>491</v>
      </c>
      <c r="M20" s="54" t="s">
        <v>491</v>
      </c>
      <c r="N20" s="54" t="s">
        <v>491</v>
      </c>
      <c r="O20" s="54" t="s">
        <v>491</v>
      </c>
      <c r="P20" s="54" t="s">
        <v>491</v>
      </c>
      <c r="Q20" s="54" t="s">
        <v>491</v>
      </c>
      <c r="R20" s="54" t="s">
        <v>491</v>
      </c>
      <c r="S20" s="54" t="s">
        <v>491</v>
      </c>
      <c r="T20" s="54" t="s">
        <v>491</v>
      </c>
      <c r="U20" s="57" t="s">
        <v>561</v>
      </c>
      <c r="V20" s="57" t="s">
        <v>561</v>
      </c>
      <c r="W20" s="54" t="s">
        <v>561</v>
      </c>
      <c r="X20" s="54" t="s">
        <v>561</v>
      </c>
      <c r="Y20" s="54" t="s">
        <v>561</v>
      </c>
      <c r="Z20" s="54" t="s">
        <v>561</v>
      </c>
      <c r="AA20" s="54" t="s">
        <v>53</v>
      </c>
      <c r="AB20" s="59" t="s">
        <v>561</v>
      </c>
      <c r="AC20" s="59" t="s">
        <v>561</v>
      </c>
      <c r="AD20" s="54" t="s">
        <v>561</v>
      </c>
      <c r="AE20" s="54" t="s">
        <v>600</v>
      </c>
      <c r="AF20" s="13" t="s">
        <v>108</v>
      </c>
      <c r="AG20" s="54"/>
      <c r="AH20" s="61"/>
      <c r="AI20" s="62">
        <v>2021.0</v>
      </c>
      <c r="AJ20" s="63"/>
      <c r="AK20" s="64">
        <f t="shared" si="11"/>
        <v>0.1079</v>
      </c>
      <c r="AL20" s="64">
        <f t="shared" si="12"/>
        <v>0.083</v>
      </c>
      <c r="AM20" s="65">
        <v>0.5429</v>
      </c>
      <c r="AN20" s="65">
        <v>0.435</v>
      </c>
      <c r="AO20" s="65">
        <v>0.483</v>
      </c>
      <c r="AP20" s="65">
        <v>0.4</v>
      </c>
      <c r="AQ20" s="62">
        <v>2026.0</v>
      </c>
    </row>
    <row r="21">
      <c r="A21" s="44" t="str">
        <f>LOOKUP(H21,'Letter grades'!$A$1:$B$6)</f>
        <v>D</v>
      </c>
      <c r="B21" s="44">
        <f t="shared" si="3"/>
        <v>17</v>
      </c>
      <c r="C21" s="67" t="s">
        <v>988</v>
      </c>
      <c r="D21" s="67" t="s">
        <v>989</v>
      </c>
      <c r="E21" s="46" t="s">
        <v>991</v>
      </c>
      <c r="F21" s="47">
        <f t="shared" si="4"/>
        <v>0.6666666667</v>
      </c>
      <c r="G21" s="49">
        <f t="shared" si="8"/>
        <v>0.3421052632</v>
      </c>
      <c r="H21" s="51">
        <f t="shared" si="5"/>
        <v>0.4502923977</v>
      </c>
      <c r="I21" s="53" t="s">
        <v>487</v>
      </c>
      <c r="J21" s="53" t="s">
        <v>594</v>
      </c>
      <c r="K21" s="53" t="s">
        <v>490</v>
      </c>
      <c r="L21" s="54" t="s">
        <v>491</v>
      </c>
      <c r="M21" s="54" t="s">
        <v>491</v>
      </c>
      <c r="N21" s="54" t="s">
        <v>491</v>
      </c>
      <c r="O21" s="54" t="s">
        <v>491</v>
      </c>
      <c r="P21" s="54" t="s">
        <v>799</v>
      </c>
      <c r="Q21" s="54" t="s">
        <v>799</v>
      </c>
      <c r="R21" s="54" t="s">
        <v>799</v>
      </c>
      <c r="S21" s="54" t="s">
        <v>799</v>
      </c>
      <c r="T21" s="54" t="s">
        <v>799</v>
      </c>
      <c r="U21" s="57" t="s">
        <v>561</v>
      </c>
      <c r="V21" s="57" t="s">
        <v>561</v>
      </c>
      <c r="W21" s="54" t="s">
        <v>561</v>
      </c>
      <c r="X21" s="54" t="s">
        <v>561</v>
      </c>
      <c r="Y21" s="54" t="s">
        <v>561</v>
      </c>
      <c r="Z21" s="54" t="s">
        <v>561</v>
      </c>
      <c r="AA21" s="54" t="s">
        <v>561</v>
      </c>
      <c r="AB21" s="59" t="s">
        <v>561</v>
      </c>
      <c r="AC21" s="59" t="s">
        <v>561</v>
      </c>
      <c r="AD21" s="54" t="s">
        <v>561</v>
      </c>
      <c r="AE21" s="54" t="s">
        <v>53</v>
      </c>
      <c r="AF21" s="13" t="s">
        <v>108</v>
      </c>
      <c r="AG21" s="54"/>
      <c r="AH21" s="61"/>
      <c r="AI21" s="62">
        <v>2013.0</v>
      </c>
      <c r="AJ21" s="63"/>
      <c r="AK21" s="64">
        <f t="shared" si="11"/>
        <v>0.0063</v>
      </c>
      <c r="AL21" s="64">
        <f t="shared" si="12"/>
        <v>-0.007</v>
      </c>
      <c r="AM21" s="65">
        <v>0.4945</v>
      </c>
      <c r="AN21" s="65">
        <v>0.4882</v>
      </c>
      <c r="AO21" s="65">
        <v>0.465</v>
      </c>
      <c r="AP21" s="65">
        <v>0.47200000000000003</v>
      </c>
      <c r="AQ21" s="62">
        <v>2024.0</v>
      </c>
    </row>
    <row r="22">
      <c r="A22" s="44" t="str">
        <f>LOOKUP(H22,'Letter grades'!$A$1:$B$6)</f>
        <v>D</v>
      </c>
      <c r="B22" s="44">
        <f t="shared" si="3"/>
        <v>18</v>
      </c>
      <c r="C22" s="67" t="s">
        <v>1028</v>
      </c>
      <c r="D22" s="67" t="s">
        <v>1030</v>
      </c>
      <c r="E22" s="46" t="s">
        <v>703</v>
      </c>
      <c r="F22" s="47">
        <f t="shared" si="4"/>
        <v>0.3333333333</v>
      </c>
      <c r="G22" s="49">
        <f t="shared" si="8"/>
        <v>0.5</v>
      </c>
      <c r="H22" s="51">
        <f t="shared" si="5"/>
        <v>0.4444444444</v>
      </c>
      <c r="I22" s="53" t="s">
        <v>594</v>
      </c>
      <c r="J22" s="53" t="s">
        <v>594</v>
      </c>
      <c r="K22" s="53" t="s">
        <v>490</v>
      </c>
      <c r="L22" s="54" t="s">
        <v>491</v>
      </c>
      <c r="M22" s="54" t="s">
        <v>491</v>
      </c>
      <c r="N22" s="54" t="s">
        <v>491</v>
      </c>
      <c r="O22" s="54" t="s">
        <v>491</v>
      </c>
      <c r="P22" s="54" t="s">
        <v>491</v>
      </c>
      <c r="Q22" s="54" t="s">
        <v>491</v>
      </c>
      <c r="R22" s="54" t="s">
        <v>491</v>
      </c>
      <c r="S22" s="54" t="s">
        <v>491</v>
      </c>
      <c r="T22" s="54" t="s">
        <v>491</v>
      </c>
      <c r="U22" s="57" t="s">
        <v>561</v>
      </c>
      <c r="V22" s="57" t="s">
        <v>561</v>
      </c>
      <c r="W22" s="54" t="s">
        <v>561</v>
      </c>
      <c r="X22" s="54" t="s">
        <v>561</v>
      </c>
      <c r="Y22" s="54" t="s">
        <v>561</v>
      </c>
      <c r="Z22" s="54" t="s">
        <v>561</v>
      </c>
      <c r="AA22" s="54" t="s">
        <v>801</v>
      </c>
      <c r="AB22" s="59" t="s">
        <v>561</v>
      </c>
      <c r="AC22" s="59" t="s">
        <v>561</v>
      </c>
      <c r="AD22" s="54" t="s">
        <v>561</v>
      </c>
      <c r="AE22" s="54" t="s">
        <v>53</v>
      </c>
      <c r="AF22" s="13" t="s">
        <v>108</v>
      </c>
      <c r="AG22" s="54"/>
      <c r="AH22" s="61"/>
      <c r="AI22" s="62" t="s">
        <v>1047</v>
      </c>
      <c r="AJ22" s="63"/>
      <c r="AK22" s="64">
        <f t="shared" si="11"/>
        <v>0.2946</v>
      </c>
      <c r="AL22" s="64">
        <f t="shared" si="12"/>
        <v>0.322</v>
      </c>
      <c r="AM22" s="65">
        <v>0.6373</v>
      </c>
      <c r="AN22" s="65">
        <v>0.3427</v>
      </c>
      <c r="AO22" s="65">
        <v>0.622</v>
      </c>
      <c r="AP22" s="65">
        <v>0.3</v>
      </c>
      <c r="AQ22" s="62">
        <v>2028.0</v>
      </c>
    </row>
    <row r="23">
      <c r="A23" s="44" t="str">
        <f>LOOKUP(H23,'Letter grades'!$A$1:$B$6)</f>
        <v>D</v>
      </c>
      <c r="B23" s="44">
        <f t="shared" si="3"/>
        <v>19</v>
      </c>
      <c r="C23" s="67" t="s">
        <v>1056</v>
      </c>
      <c r="D23" s="67" t="s">
        <v>1057</v>
      </c>
      <c r="E23" s="46" t="s">
        <v>1060</v>
      </c>
      <c r="F23" s="47">
        <f t="shared" si="4"/>
        <v>0.3333333333</v>
      </c>
      <c r="G23" s="49">
        <f t="shared" si="8"/>
        <v>0.4736842105</v>
      </c>
      <c r="H23" s="51">
        <f t="shared" si="5"/>
        <v>0.4269005848</v>
      </c>
      <c r="I23" s="53" t="s">
        <v>487</v>
      </c>
      <c r="J23" s="53" t="s">
        <v>594</v>
      </c>
      <c r="K23" s="53" t="s">
        <v>1065</v>
      </c>
      <c r="L23" s="54" t="s">
        <v>491</v>
      </c>
      <c r="M23" s="54" t="s">
        <v>491</v>
      </c>
      <c r="N23" s="54" t="s">
        <v>491</v>
      </c>
      <c r="O23" s="54" t="s">
        <v>491</v>
      </c>
      <c r="P23" s="54" t="s">
        <v>491</v>
      </c>
      <c r="Q23" s="54" t="s">
        <v>491</v>
      </c>
      <c r="R23" s="54" t="s">
        <v>491</v>
      </c>
      <c r="S23" s="54" t="s">
        <v>491</v>
      </c>
      <c r="T23" s="54" t="s">
        <v>491</v>
      </c>
      <c r="U23" s="57" t="s">
        <v>561</v>
      </c>
      <c r="V23" s="57" t="s">
        <v>561</v>
      </c>
      <c r="W23" s="54" t="s">
        <v>561</v>
      </c>
      <c r="X23" s="54" t="s">
        <v>561</v>
      </c>
      <c r="Y23" s="54" t="s">
        <v>561</v>
      </c>
      <c r="Z23" s="54" t="s">
        <v>561</v>
      </c>
      <c r="AA23" s="54" t="s">
        <v>561</v>
      </c>
      <c r="AB23" s="59" t="s">
        <v>561</v>
      </c>
      <c r="AC23" s="59" t="s">
        <v>561</v>
      </c>
      <c r="AD23" s="54" t="s">
        <v>561</v>
      </c>
      <c r="AE23" s="54" t="s">
        <v>53</v>
      </c>
      <c r="AF23" s="13" t="s">
        <v>108</v>
      </c>
      <c r="AG23" s="54"/>
      <c r="AH23" s="61"/>
      <c r="AI23" s="62">
        <v>2013.0</v>
      </c>
      <c r="AJ23" s="63"/>
      <c r="AK23" s="64">
        <f t="shared" si="11"/>
        <v>0.1011</v>
      </c>
      <c r="AL23" s="64">
        <f t="shared" si="12"/>
        <v>0.053</v>
      </c>
      <c r="AM23" s="65">
        <v>0.5411</v>
      </c>
      <c r="AN23" s="65">
        <v>0.44</v>
      </c>
      <c r="AO23" s="65">
        <v>0.49700000000000005</v>
      </c>
      <c r="AP23" s="65">
        <v>0.444</v>
      </c>
      <c r="AQ23" s="62">
        <v>2024.0</v>
      </c>
    </row>
    <row r="24">
      <c r="A24" s="44" t="str">
        <f>LOOKUP(H24,'Letter grades'!$A$1:$B$6)</f>
        <v>D</v>
      </c>
      <c r="B24" s="44">
        <f t="shared" si="3"/>
        <v>19</v>
      </c>
      <c r="C24" s="67" t="s">
        <v>643</v>
      </c>
      <c r="D24" s="67" t="s">
        <v>1081</v>
      </c>
      <c r="E24" s="46" t="s">
        <v>1083</v>
      </c>
      <c r="F24" s="47">
        <f t="shared" si="4"/>
        <v>0.3333333333</v>
      </c>
      <c r="G24" s="49">
        <f t="shared" si="8"/>
        <v>0.4736842105</v>
      </c>
      <c r="H24" s="51">
        <f t="shared" si="5"/>
        <v>0.4269005848</v>
      </c>
      <c r="I24" s="53" t="s">
        <v>594</v>
      </c>
      <c r="J24" s="53" t="s">
        <v>594</v>
      </c>
      <c r="K24" s="53" t="s">
        <v>490</v>
      </c>
      <c r="L24" s="54" t="s">
        <v>491</v>
      </c>
      <c r="M24" s="54" t="s">
        <v>491</v>
      </c>
      <c r="N24" s="54" t="s">
        <v>491</v>
      </c>
      <c r="O24" s="54" t="s">
        <v>491</v>
      </c>
      <c r="P24" s="54" t="s">
        <v>491</v>
      </c>
      <c r="Q24" s="54" t="s">
        <v>491</v>
      </c>
      <c r="R24" s="54" t="s">
        <v>491</v>
      </c>
      <c r="S24" s="54" t="s">
        <v>491</v>
      </c>
      <c r="T24" s="54" t="s">
        <v>491</v>
      </c>
      <c r="U24" s="57" t="s">
        <v>561</v>
      </c>
      <c r="V24" s="57" t="s">
        <v>561</v>
      </c>
      <c r="W24" s="54" t="s">
        <v>561</v>
      </c>
      <c r="X24" s="54" t="s">
        <v>561</v>
      </c>
      <c r="Y24" s="54" t="s">
        <v>561</v>
      </c>
      <c r="Z24" s="54" t="s">
        <v>561</v>
      </c>
      <c r="AA24" s="54" t="s">
        <v>561</v>
      </c>
      <c r="AB24" s="59" t="s">
        <v>561</v>
      </c>
      <c r="AC24" s="59" t="s">
        <v>561</v>
      </c>
      <c r="AD24" s="54" t="s">
        <v>561</v>
      </c>
      <c r="AE24" s="54" t="s">
        <v>53</v>
      </c>
      <c r="AF24" s="13" t="s">
        <v>108</v>
      </c>
      <c r="AG24" s="54"/>
      <c r="AH24" s="61"/>
      <c r="AI24" s="62">
        <v>2013.0</v>
      </c>
      <c r="AJ24" s="63"/>
      <c r="AK24" s="64">
        <f t="shared" si="11"/>
        <v>0.2</v>
      </c>
      <c r="AL24" s="64">
        <f t="shared" si="12"/>
        <v>0.137</v>
      </c>
      <c r="AM24" s="65">
        <v>0.5920000000000001</v>
      </c>
      <c r="AN24" s="65">
        <v>0.392</v>
      </c>
      <c r="AO24" s="65">
        <v>0.546</v>
      </c>
      <c r="AP24" s="65">
        <v>0.409</v>
      </c>
      <c r="AQ24" s="62">
        <v>2024.0</v>
      </c>
    </row>
    <row r="25">
      <c r="A25" s="44" t="str">
        <f>LOOKUP(H25,'Letter grades'!$A$1:$B$6)</f>
        <v>F</v>
      </c>
      <c r="B25" s="44">
        <f t="shared" si="3"/>
        <v>21</v>
      </c>
      <c r="C25" s="67" t="s">
        <v>988</v>
      </c>
      <c r="D25" s="67" t="s">
        <v>1106</v>
      </c>
      <c r="E25" s="46" t="s">
        <v>848</v>
      </c>
      <c r="F25" s="47">
        <f t="shared" si="4"/>
        <v>0.6666666667</v>
      </c>
      <c r="G25" s="49">
        <f t="shared" si="8"/>
        <v>0.2105263158</v>
      </c>
      <c r="H25" s="51">
        <f t="shared" si="5"/>
        <v>0.3625730994</v>
      </c>
      <c r="I25" s="53" t="s">
        <v>487</v>
      </c>
      <c r="J25" s="53" t="s">
        <v>594</v>
      </c>
      <c r="K25" s="53" t="s">
        <v>490</v>
      </c>
      <c r="L25" s="54" t="s">
        <v>491</v>
      </c>
      <c r="M25" s="54" t="s">
        <v>491</v>
      </c>
      <c r="N25" s="54" t="s">
        <v>491</v>
      </c>
      <c r="O25" s="54" t="s">
        <v>491</v>
      </c>
      <c r="P25" s="54" t="s">
        <v>766</v>
      </c>
      <c r="Q25" s="54" t="s">
        <v>766</v>
      </c>
      <c r="R25" s="54" t="s">
        <v>766</v>
      </c>
      <c r="S25" s="54" t="s">
        <v>766</v>
      </c>
      <c r="T25" s="54" t="s">
        <v>766</v>
      </c>
      <c r="U25" s="57" t="s">
        <v>561</v>
      </c>
      <c r="V25" s="57" t="s">
        <v>561</v>
      </c>
      <c r="W25" s="54" t="s">
        <v>561</v>
      </c>
      <c r="X25" s="54" t="s">
        <v>561</v>
      </c>
      <c r="Y25" s="54" t="s">
        <v>561</v>
      </c>
      <c r="Z25" s="54" t="s">
        <v>561</v>
      </c>
      <c r="AA25" s="54" t="s">
        <v>561</v>
      </c>
      <c r="AB25" s="59" t="s">
        <v>561</v>
      </c>
      <c r="AC25" s="59" t="s">
        <v>561</v>
      </c>
      <c r="AD25" s="54" t="s">
        <v>561</v>
      </c>
      <c r="AE25" s="54" t="s">
        <v>561</v>
      </c>
      <c r="AF25" s="13" t="s">
        <v>108</v>
      </c>
      <c r="AG25" s="54"/>
      <c r="AH25" s="61">
        <v>107310.0</v>
      </c>
      <c r="AI25" s="62">
        <v>2017.0</v>
      </c>
      <c r="AJ25" s="63"/>
      <c r="AK25" s="64">
        <f t="shared" si="11"/>
        <v>0.1699</v>
      </c>
      <c r="AL25" s="64">
        <f t="shared" si="12"/>
        <v>0.17</v>
      </c>
      <c r="AM25" s="65">
        <v>0.5754</v>
      </c>
      <c r="AN25" s="65">
        <v>0.4055</v>
      </c>
      <c r="AO25" s="65">
        <v>0.5579999999999999</v>
      </c>
      <c r="AP25" s="65">
        <v>0.38799999999999996</v>
      </c>
      <c r="AQ25" s="62">
        <v>2028.0</v>
      </c>
    </row>
    <row r="26">
      <c r="A26" s="44" t="str">
        <f>LOOKUP(H26,'Letter grades'!$A$1:$B$6)</f>
        <v>F</v>
      </c>
      <c r="B26" s="44">
        <f t="shared" si="3"/>
        <v>21</v>
      </c>
      <c r="C26" s="67" t="s">
        <v>1129</v>
      </c>
      <c r="D26" s="67" t="s">
        <v>1132</v>
      </c>
      <c r="E26" s="46" t="s">
        <v>878</v>
      </c>
      <c r="F26" s="47">
        <f t="shared" si="4"/>
        <v>0.6666666667</v>
      </c>
      <c r="G26" s="49">
        <f t="shared" si="8"/>
        <v>0.2105263158</v>
      </c>
      <c r="H26" s="51">
        <f t="shared" si="5"/>
        <v>0.3625730994</v>
      </c>
      <c r="I26" s="53" t="s">
        <v>594</v>
      </c>
      <c r="J26" s="53" t="s">
        <v>487</v>
      </c>
      <c r="K26" s="53" t="s">
        <v>490</v>
      </c>
      <c r="L26" s="54" t="s">
        <v>491</v>
      </c>
      <c r="M26" s="54" t="s">
        <v>491</v>
      </c>
      <c r="N26" s="54" t="s">
        <v>491</v>
      </c>
      <c r="O26" s="54" t="s">
        <v>491</v>
      </c>
      <c r="P26" s="54" t="s">
        <v>766</v>
      </c>
      <c r="Q26" s="54" t="s">
        <v>766</v>
      </c>
      <c r="R26" s="54" t="s">
        <v>766</v>
      </c>
      <c r="S26" s="54" t="s">
        <v>766</v>
      </c>
      <c r="T26" s="54" t="s">
        <v>766</v>
      </c>
      <c r="U26" s="57" t="s">
        <v>561</v>
      </c>
      <c r="V26" s="57" t="s">
        <v>561</v>
      </c>
      <c r="W26" s="54" t="s">
        <v>561</v>
      </c>
      <c r="X26" s="54" t="s">
        <v>561</v>
      </c>
      <c r="Y26" s="54" t="s">
        <v>561</v>
      </c>
      <c r="Z26" s="54" t="s">
        <v>561</v>
      </c>
      <c r="AA26" s="54" t="s">
        <v>561</v>
      </c>
      <c r="AB26" s="59" t="s">
        <v>561</v>
      </c>
      <c r="AC26" s="59" t="s">
        <v>561</v>
      </c>
      <c r="AD26" s="54" t="s">
        <v>561</v>
      </c>
      <c r="AE26" s="54" t="s">
        <v>561</v>
      </c>
      <c r="AF26" s="13" t="s">
        <v>108</v>
      </c>
      <c r="AG26" s="54"/>
      <c r="AH26" s="61">
        <v>105500.0</v>
      </c>
      <c r="AI26" s="62">
        <v>2007.0</v>
      </c>
      <c r="AJ26" s="63"/>
      <c r="AK26" s="64">
        <f t="shared" si="11"/>
        <v>0.0712</v>
      </c>
      <c r="AL26" s="64">
        <f t="shared" si="12"/>
        <v>0.015</v>
      </c>
      <c r="AM26" s="65">
        <v>0.524</v>
      </c>
      <c r="AN26" s="65">
        <v>0.4528</v>
      </c>
      <c r="AO26" s="65">
        <v>0.46399999999999997</v>
      </c>
      <c r="AP26" s="65">
        <v>0.449</v>
      </c>
      <c r="AQ26" s="62">
        <v>2024.0</v>
      </c>
    </row>
    <row r="27">
      <c r="A27" s="44" t="str">
        <f>LOOKUP(H27,'Letter grades'!$A$1:$B$6)</f>
        <v>F</v>
      </c>
      <c r="B27" s="44">
        <f t="shared" si="3"/>
        <v>23</v>
      </c>
      <c r="C27" s="45" t="s">
        <v>1158</v>
      </c>
      <c r="D27" s="45" t="s">
        <v>1159</v>
      </c>
      <c r="E27" s="46" t="s">
        <v>1160</v>
      </c>
      <c r="F27" s="47">
        <f t="shared" si="4"/>
        <v>0.3333333333</v>
      </c>
      <c r="G27" s="49">
        <f t="shared" si="8"/>
        <v>0.3684210526</v>
      </c>
      <c r="H27" s="51">
        <f t="shared" si="5"/>
        <v>0.3567251462</v>
      </c>
      <c r="I27" s="53" t="s">
        <v>594</v>
      </c>
      <c r="J27" s="53" t="s">
        <v>594</v>
      </c>
      <c r="K27" s="53" t="s">
        <v>490</v>
      </c>
      <c r="L27" s="54" t="s">
        <v>491</v>
      </c>
      <c r="M27" s="54" t="s">
        <v>491</v>
      </c>
      <c r="N27" s="54" t="s">
        <v>491</v>
      </c>
      <c r="O27" s="54" t="s">
        <v>491</v>
      </c>
      <c r="P27" s="54" t="s">
        <v>766</v>
      </c>
      <c r="Q27" s="54" t="s">
        <v>766</v>
      </c>
      <c r="R27" s="54" t="s">
        <v>491</v>
      </c>
      <c r="S27" s="54" t="s">
        <v>491</v>
      </c>
      <c r="T27" s="54" t="s">
        <v>491</v>
      </c>
      <c r="U27" s="57" t="s">
        <v>561</v>
      </c>
      <c r="V27" s="57" t="s">
        <v>561</v>
      </c>
      <c r="W27" s="54" t="s">
        <v>561</v>
      </c>
      <c r="X27" s="54" t="s">
        <v>561</v>
      </c>
      <c r="Y27" s="54" t="s">
        <v>561</v>
      </c>
      <c r="Z27" s="54" t="s">
        <v>561</v>
      </c>
      <c r="AA27" s="54" t="s">
        <v>561</v>
      </c>
      <c r="AB27" s="59" t="s">
        <v>561</v>
      </c>
      <c r="AC27" s="59" t="s">
        <v>561</v>
      </c>
      <c r="AD27" s="54" t="s">
        <v>561</v>
      </c>
      <c r="AE27" s="54" t="s">
        <v>561</v>
      </c>
      <c r="AF27" s="13" t="s">
        <v>108</v>
      </c>
      <c r="AG27" s="54"/>
      <c r="AH27" s="61">
        <v>12580.0</v>
      </c>
      <c r="AI27" s="62">
        <v>2013.0</v>
      </c>
      <c r="AJ27" s="63"/>
      <c r="AK27" s="64">
        <f t="shared" si="11"/>
        <v>0.0907</v>
      </c>
      <c r="AL27" s="64">
        <f t="shared" si="12"/>
        <v>0.029</v>
      </c>
      <c r="AM27" s="65">
        <v>0.5309</v>
      </c>
      <c r="AN27" s="65">
        <v>0.4402</v>
      </c>
      <c r="AO27" s="65">
        <v>0.478</v>
      </c>
      <c r="AP27" s="65">
        <v>0.449</v>
      </c>
      <c r="AQ27" s="62">
        <v>2024.0</v>
      </c>
    </row>
    <row r="28">
      <c r="A28" s="44" t="str">
        <f>LOOKUP(H28,'Letter grades'!$A$1:$B$6)</f>
        <v>F</v>
      </c>
      <c r="B28" s="44">
        <f t="shared" si="3"/>
        <v>23</v>
      </c>
      <c r="C28" s="67" t="s">
        <v>1180</v>
      </c>
      <c r="D28" s="67" t="s">
        <v>1181</v>
      </c>
      <c r="E28" s="46" t="s">
        <v>1182</v>
      </c>
      <c r="F28" s="47">
        <f t="shared" si="4"/>
        <v>0.3333333333</v>
      </c>
      <c r="G28" s="49">
        <f t="shared" si="8"/>
        <v>0.3684210526</v>
      </c>
      <c r="H28" s="51">
        <f t="shared" si="5"/>
        <v>0.3567251462</v>
      </c>
      <c r="I28" s="53" t="s">
        <v>594</v>
      </c>
      <c r="J28" s="53" t="s">
        <v>594</v>
      </c>
      <c r="K28" s="53" t="s">
        <v>490</v>
      </c>
      <c r="L28" s="54" t="s">
        <v>491</v>
      </c>
      <c r="M28" s="54" t="s">
        <v>491</v>
      </c>
      <c r="N28" s="54" t="s">
        <v>491</v>
      </c>
      <c r="O28" s="54" t="s">
        <v>491</v>
      </c>
      <c r="P28" s="54" t="s">
        <v>766</v>
      </c>
      <c r="Q28" s="54" t="s">
        <v>766</v>
      </c>
      <c r="R28" s="54" t="s">
        <v>491</v>
      </c>
      <c r="S28" s="54" t="s">
        <v>491</v>
      </c>
      <c r="T28" s="54" t="s">
        <v>491</v>
      </c>
      <c r="U28" s="57" t="s">
        <v>561</v>
      </c>
      <c r="V28" s="57" t="s">
        <v>561</v>
      </c>
      <c r="W28" s="54" t="s">
        <v>561</v>
      </c>
      <c r="X28" s="54" t="s">
        <v>561</v>
      </c>
      <c r="Y28" s="54" t="s">
        <v>561</v>
      </c>
      <c r="Z28" s="54" t="s">
        <v>561</v>
      </c>
      <c r="AA28" s="54" t="s">
        <v>561</v>
      </c>
      <c r="AB28" s="59" t="s">
        <v>561</v>
      </c>
      <c r="AC28" s="59" t="s">
        <v>561</v>
      </c>
      <c r="AD28" s="54" t="s">
        <v>561</v>
      </c>
      <c r="AE28" s="54" t="s">
        <v>53</v>
      </c>
      <c r="AF28" s="13" t="s">
        <v>108</v>
      </c>
      <c r="AG28" s="54"/>
      <c r="AH28" s="61"/>
      <c r="AI28" s="62">
        <v>2009.0</v>
      </c>
      <c r="AJ28" s="63"/>
      <c r="AK28" s="64">
        <f t="shared" si="11"/>
        <v>0.0735</v>
      </c>
      <c r="AL28" s="64">
        <f t="shared" si="12"/>
        <v>0.004</v>
      </c>
      <c r="AM28" s="65">
        <v>0.5271</v>
      </c>
      <c r="AN28" s="65">
        <v>0.4536</v>
      </c>
      <c r="AO28" s="65">
        <v>0.47</v>
      </c>
      <c r="AP28" s="65">
        <v>0.466</v>
      </c>
      <c r="AQ28" s="62">
        <v>2026.0</v>
      </c>
    </row>
    <row r="29">
      <c r="A29" s="44" t="str">
        <f>LOOKUP(H29,'Letter grades'!$A$1:$B$6)</f>
        <v>F</v>
      </c>
      <c r="B29" s="44">
        <f t="shared" si="3"/>
        <v>25</v>
      </c>
      <c r="C29" s="77" t="s">
        <v>240</v>
      </c>
      <c r="D29" s="77" t="s">
        <v>241</v>
      </c>
      <c r="E29" s="77" t="s">
        <v>1197</v>
      </c>
      <c r="F29" s="47">
        <f t="shared" si="4"/>
        <v>0.3333333333</v>
      </c>
      <c r="G29" s="49">
        <f t="shared" si="8"/>
        <v>0.3333333333</v>
      </c>
      <c r="H29" s="51">
        <f t="shared" si="5"/>
        <v>0.3333333333</v>
      </c>
      <c r="I29" s="53" t="s">
        <v>594</v>
      </c>
      <c r="J29" s="53" t="s">
        <v>594</v>
      </c>
      <c r="K29" s="53" t="s">
        <v>490</v>
      </c>
      <c r="L29" s="54" t="s">
        <v>491</v>
      </c>
      <c r="M29" s="54" t="s">
        <v>491</v>
      </c>
      <c r="N29" s="54" t="s">
        <v>766</v>
      </c>
      <c r="O29" s="54" t="s">
        <v>766</v>
      </c>
      <c r="P29" s="54" t="s">
        <v>766</v>
      </c>
      <c r="Q29" s="54" t="s">
        <v>766</v>
      </c>
      <c r="R29" s="54" t="s">
        <v>600</v>
      </c>
      <c r="S29" s="54" t="s">
        <v>600</v>
      </c>
      <c r="T29" s="54" t="s">
        <v>600</v>
      </c>
      <c r="U29" s="54" t="s">
        <v>600</v>
      </c>
      <c r="V29" s="54" t="s">
        <v>600</v>
      </c>
      <c r="W29" s="54" t="s">
        <v>600</v>
      </c>
      <c r="X29" s="54" t="s">
        <v>600</v>
      </c>
      <c r="Y29" s="54" t="s">
        <v>600</v>
      </c>
      <c r="Z29" s="54" t="s">
        <v>600</v>
      </c>
      <c r="AA29" s="54" t="s">
        <v>600</v>
      </c>
      <c r="AB29" s="59" t="s">
        <v>600</v>
      </c>
      <c r="AC29" s="59" t="s">
        <v>600</v>
      </c>
      <c r="AD29" s="54" t="s">
        <v>600</v>
      </c>
      <c r="AE29" s="54" t="s">
        <v>600</v>
      </c>
      <c r="AF29" s="13" t="s">
        <v>108</v>
      </c>
      <c r="AG29" s="54"/>
      <c r="AH29" s="61"/>
      <c r="AI29" s="62"/>
      <c r="AJ29" s="63"/>
      <c r="AK29" s="63"/>
      <c r="AL29" s="63"/>
      <c r="AM29" s="65"/>
      <c r="AN29" s="65"/>
      <c r="AO29" s="65"/>
      <c r="AP29" s="65"/>
      <c r="AQ29" s="62"/>
    </row>
    <row r="30">
      <c r="A30" s="44" t="str">
        <f>LOOKUP(H30,'Letter grades'!$A$1:$B$6)</f>
        <v>F</v>
      </c>
      <c r="B30" s="44">
        <f t="shared" si="3"/>
        <v>26</v>
      </c>
      <c r="C30" s="67" t="s">
        <v>1204</v>
      </c>
      <c r="D30" s="67" t="s">
        <v>1205</v>
      </c>
      <c r="E30" s="46" t="s">
        <v>1206</v>
      </c>
      <c r="F30" s="47">
        <f t="shared" si="4"/>
        <v>0.6666666667</v>
      </c>
      <c r="G30" s="49">
        <f t="shared" si="8"/>
        <v>0.1052631579</v>
      </c>
      <c r="H30" s="51">
        <f t="shared" si="5"/>
        <v>0.2923976608</v>
      </c>
      <c r="I30" s="53" t="s">
        <v>487</v>
      </c>
      <c r="J30" s="53" t="s">
        <v>594</v>
      </c>
      <c r="K30" s="53" t="s">
        <v>490</v>
      </c>
      <c r="L30" s="54" t="s">
        <v>766</v>
      </c>
      <c r="M30" s="54" t="s">
        <v>491</v>
      </c>
      <c r="N30" s="54" t="s">
        <v>766</v>
      </c>
      <c r="O30" s="54" t="s">
        <v>491</v>
      </c>
      <c r="P30" s="54" t="s">
        <v>766</v>
      </c>
      <c r="Q30" s="54" t="s">
        <v>766</v>
      </c>
      <c r="R30" s="54" t="s">
        <v>766</v>
      </c>
      <c r="S30" s="54" t="s">
        <v>766</v>
      </c>
      <c r="T30" s="54" t="s">
        <v>766</v>
      </c>
      <c r="U30" s="57" t="s">
        <v>561</v>
      </c>
      <c r="V30" s="57" t="s">
        <v>561</v>
      </c>
      <c r="W30" s="54" t="s">
        <v>561</v>
      </c>
      <c r="X30" s="54" t="s">
        <v>561</v>
      </c>
      <c r="Y30" s="54" t="s">
        <v>561</v>
      </c>
      <c r="Z30" s="54" t="s">
        <v>561</v>
      </c>
      <c r="AA30" s="54" t="s">
        <v>561</v>
      </c>
      <c r="AB30" s="59" t="s">
        <v>561</v>
      </c>
      <c r="AC30" s="59" t="s">
        <v>561</v>
      </c>
      <c r="AD30" s="54" t="s">
        <v>561</v>
      </c>
      <c r="AE30" s="54" t="s">
        <v>53</v>
      </c>
      <c r="AF30" s="13" t="s">
        <v>1208</v>
      </c>
      <c r="AG30" s="54"/>
      <c r="AH30" s="61"/>
      <c r="AI30" s="62">
        <v>1997.0</v>
      </c>
      <c r="AJ30" s="63"/>
      <c r="AK30" s="64">
        <f t="shared" ref="AK30:AK33" si="13">AM30-AN30</f>
        <v>0.2078</v>
      </c>
      <c r="AL30" s="64">
        <f t="shared" ref="AL30:AL33" si="14">AO30-AP30</f>
        <v>0.155</v>
      </c>
      <c r="AM30" s="65">
        <v>0.5939</v>
      </c>
      <c r="AN30" s="65">
        <v>0.3861</v>
      </c>
      <c r="AO30" s="65">
        <v>0.544</v>
      </c>
      <c r="AP30" s="65">
        <v>0.389</v>
      </c>
      <c r="AQ30" s="62">
        <v>2026.0</v>
      </c>
    </row>
    <row r="31">
      <c r="A31" s="44" t="str">
        <f>LOOKUP(H31,'Letter grades'!$A$1:$B$6)</f>
        <v>F</v>
      </c>
      <c r="B31" s="44">
        <f t="shared" si="3"/>
        <v>27</v>
      </c>
      <c r="C31" s="67" t="s">
        <v>1212</v>
      </c>
      <c r="D31" s="67" t="s">
        <v>1213</v>
      </c>
      <c r="E31" s="46" t="s">
        <v>910</v>
      </c>
      <c r="F31" s="47">
        <f t="shared" si="4"/>
        <v>0.3333333333</v>
      </c>
      <c r="G31" s="49">
        <f t="shared" si="8"/>
        <v>0.2631578947</v>
      </c>
      <c r="H31" s="51">
        <f t="shared" si="5"/>
        <v>0.2865497076</v>
      </c>
      <c r="I31" s="53" t="s">
        <v>487</v>
      </c>
      <c r="J31" s="53" t="s">
        <v>594</v>
      </c>
      <c r="K31" s="53" t="s">
        <v>1065</v>
      </c>
      <c r="L31" s="54" t="s">
        <v>491</v>
      </c>
      <c r="M31" s="54" t="s">
        <v>491</v>
      </c>
      <c r="N31" s="54" t="s">
        <v>766</v>
      </c>
      <c r="O31" s="54" t="s">
        <v>491</v>
      </c>
      <c r="P31" s="54" t="s">
        <v>766</v>
      </c>
      <c r="Q31" s="54" t="s">
        <v>766</v>
      </c>
      <c r="R31" s="54" t="s">
        <v>766</v>
      </c>
      <c r="S31" s="54" t="s">
        <v>491</v>
      </c>
      <c r="T31" s="54" t="s">
        <v>491</v>
      </c>
      <c r="U31" s="57" t="s">
        <v>561</v>
      </c>
      <c r="V31" s="57" t="s">
        <v>561</v>
      </c>
      <c r="W31" s="54" t="s">
        <v>561</v>
      </c>
      <c r="X31" s="54" t="s">
        <v>561</v>
      </c>
      <c r="Y31" s="54" t="s">
        <v>561</v>
      </c>
      <c r="Z31" s="54" t="s">
        <v>561</v>
      </c>
      <c r="AA31" s="54" t="s">
        <v>561</v>
      </c>
      <c r="AB31" s="59" t="s">
        <v>561</v>
      </c>
      <c r="AC31" s="59" t="s">
        <v>561</v>
      </c>
      <c r="AD31" s="54" t="s">
        <v>561</v>
      </c>
      <c r="AE31" s="54" t="s">
        <v>600</v>
      </c>
      <c r="AF31" s="13" t="s">
        <v>108</v>
      </c>
      <c r="AG31" s="54"/>
      <c r="AH31" s="61"/>
      <c r="AI31" s="62">
        <v>2021.0</v>
      </c>
      <c r="AJ31" s="63"/>
      <c r="AK31" s="64">
        <f t="shared" si="13"/>
        <v>0.0023</v>
      </c>
      <c r="AL31" s="64">
        <f t="shared" si="14"/>
        <v>-0.0509</v>
      </c>
      <c r="AM31" s="65">
        <v>0.4947</v>
      </c>
      <c r="AN31" s="65">
        <v>0.4924</v>
      </c>
      <c r="AO31" s="65">
        <v>0.4535</v>
      </c>
      <c r="AP31" s="65">
        <v>0.5044</v>
      </c>
      <c r="AQ31" s="62">
        <v>2026.0</v>
      </c>
    </row>
    <row r="32">
      <c r="A32" s="44" t="str">
        <f>LOOKUP(H32,'Letter grades'!$A$1:$B$6)</f>
        <v>F</v>
      </c>
      <c r="B32" s="44">
        <f t="shared" si="3"/>
        <v>28</v>
      </c>
      <c r="C32" s="67" t="s">
        <v>1215</v>
      </c>
      <c r="D32" s="67" t="s">
        <v>1216</v>
      </c>
      <c r="E32" s="46" t="s">
        <v>1217</v>
      </c>
      <c r="F32" s="47">
        <f t="shared" si="4"/>
        <v>0.3333333333</v>
      </c>
      <c r="G32" s="49">
        <f t="shared" si="8"/>
        <v>0.2352941176</v>
      </c>
      <c r="H32" s="51">
        <f t="shared" si="5"/>
        <v>0.2679738562</v>
      </c>
      <c r="I32" s="53" t="s">
        <v>594</v>
      </c>
      <c r="J32" s="53" t="s">
        <v>594</v>
      </c>
      <c r="K32" s="53" t="s">
        <v>490</v>
      </c>
      <c r="L32" s="54" t="s">
        <v>491</v>
      </c>
      <c r="M32" s="54" t="s">
        <v>491</v>
      </c>
      <c r="N32" s="54" t="s">
        <v>491</v>
      </c>
      <c r="O32" s="54" t="s">
        <v>491</v>
      </c>
      <c r="P32" s="57" t="s">
        <v>801</v>
      </c>
      <c r="Q32" s="57" t="s">
        <v>801</v>
      </c>
      <c r="R32" s="54" t="s">
        <v>766</v>
      </c>
      <c r="S32" s="54" t="s">
        <v>766</v>
      </c>
      <c r="T32" s="54" t="s">
        <v>766</v>
      </c>
      <c r="U32" s="57" t="s">
        <v>561</v>
      </c>
      <c r="V32" s="57" t="s">
        <v>561</v>
      </c>
      <c r="W32" s="54" t="s">
        <v>561</v>
      </c>
      <c r="X32" s="54" t="s">
        <v>561</v>
      </c>
      <c r="Y32" s="54" t="s">
        <v>561</v>
      </c>
      <c r="Z32" s="54" t="s">
        <v>561</v>
      </c>
      <c r="AA32" s="54" t="s">
        <v>561</v>
      </c>
      <c r="AB32" s="59" t="s">
        <v>561</v>
      </c>
      <c r="AC32" s="59" t="s">
        <v>561</v>
      </c>
      <c r="AD32" s="54" t="s">
        <v>561</v>
      </c>
      <c r="AE32" s="54" t="s">
        <v>561</v>
      </c>
      <c r="AF32" s="13" t="s">
        <v>108</v>
      </c>
      <c r="AG32" s="54"/>
      <c r="AH32" s="61">
        <v>183885.0</v>
      </c>
      <c r="AI32" s="62">
        <v>1993.0</v>
      </c>
      <c r="AJ32" s="63"/>
      <c r="AK32" s="64">
        <f t="shared" si="13"/>
        <v>0.192</v>
      </c>
      <c r="AL32" s="64">
        <f t="shared" si="14"/>
        <v>0.157</v>
      </c>
      <c r="AM32" s="65">
        <v>0.5797</v>
      </c>
      <c r="AN32" s="65">
        <v>0.3877</v>
      </c>
      <c r="AO32" s="65">
        <v>0.525</v>
      </c>
      <c r="AP32" s="65">
        <v>0.368</v>
      </c>
      <c r="AQ32" s="62">
        <v>2028.0</v>
      </c>
    </row>
    <row r="33">
      <c r="A33" s="44" t="str">
        <f>LOOKUP(H33,'Letter grades'!$A$1:$B$6)</f>
        <v>F</v>
      </c>
      <c r="B33" s="44">
        <f t="shared" si="3"/>
        <v>29</v>
      </c>
      <c r="C33" s="67" t="s">
        <v>1231</v>
      </c>
      <c r="D33" s="67" t="s">
        <v>1232</v>
      </c>
      <c r="E33" s="46" t="s">
        <v>532</v>
      </c>
      <c r="F33" s="47">
        <f t="shared" si="4"/>
        <v>0.3333333333</v>
      </c>
      <c r="G33" s="49">
        <f t="shared" si="8"/>
        <v>0.2105263158</v>
      </c>
      <c r="H33" s="51">
        <f t="shared" si="5"/>
        <v>0.2514619883</v>
      </c>
      <c r="I33" s="53" t="s">
        <v>487</v>
      </c>
      <c r="J33" s="53" t="s">
        <v>594</v>
      </c>
      <c r="K33" s="53" t="s">
        <v>1065</v>
      </c>
      <c r="L33" s="54" t="s">
        <v>491</v>
      </c>
      <c r="M33" s="54" t="s">
        <v>491</v>
      </c>
      <c r="N33" s="54" t="s">
        <v>766</v>
      </c>
      <c r="O33" s="54" t="s">
        <v>766</v>
      </c>
      <c r="P33" s="54" t="s">
        <v>766</v>
      </c>
      <c r="Q33" s="54" t="s">
        <v>766</v>
      </c>
      <c r="R33" s="54" t="s">
        <v>766</v>
      </c>
      <c r="S33" s="54" t="s">
        <v>766</v>
      </c>
      <c r="T33" s="54" t="s">
        <v>766</v>
      </c>
      <c r="U33" s="57" t="s">
        <v>561</v>
      </c>
      <c r="V33" s="57" t="s">
        <v>561</v>
      </c>
      <c r="W33" s="54" t="s">
        <v>561</v>
      </c>
      <c r="X33" s="54" t="s">
        <v>561</v>
      </c>
      <c r="Y33" s="54" t="s">
        <v>561</v>
      </c>
      <c r="Z33" s="54" t="s">
        <v>561</v>
      </c>
      <c r="AA33" s="54" t="s">
        <v>561</v>
      </c>
      <c r="AB33" s="59" t="s">
        <v>53</v>
      </c>
      <c r="AC33" s="59" t="s">
        <v>53</v>
      </c>
      <c r="AD33" s="54" t="s">
        <v>561</v>
      </c>
      <c r="AE33" s="54" t="s">
        <v>561</v>
      </c>
      <c r="AF33" s="13"/>
      <c r="AG33" s="54"/>
      <c r="AH33" s="61">
        <v>53468.0</v>
      </c>
      <c r="AI33" s="62" t="s">
        <v>1250</v>
      </c>
      <c r="AJ33" s="63"/>
      <c r="AK33" s="64">
        <f t="shared" si="13"/>
        <v>0.1608</v>
      </c>
      <c r="AL33" s="64">
        <f t="shared" si="14"/>
        <v>0.11</v>
      </c>
      <c r="AM33" s="65">
        <v>0.5645</v>
      </c>
      <c r="AN33" s="65">
        <v>0.4037</v>
      </c>
      <c r="AO33" s="65">
        <v>0.501</v>
      </c>
      <c r="AP33" s="65">
        <v>0.391</v>
      </c>
      <c r="AQ33" s="62">
        <v>2028.0</v>
      </c>
    </row>
    <row r="34">
      <c r="A34" s="44" t="str">
        <f>LOOKUP(H34,'Letter grades'!$A$1:$B$6)</f>
        <v>F</v>
      </c>
      <c r="B34" s="44">
        <f t="shared" si="3"/>
        <v>30</v>
      </c>
      <c r="C34" s="77" t="s">
        <v>64</v>
      </c>
      <c r="D34" s="77" t="s">
        <v>65</v>
      </c>
      <c r="E34" s="77" t="s">
        <v>1262</v>
      </c>
      <c r="F34" s="47">
        <f t="shared" si="4"/>
        <v>0</v>
      </c>
      <c r="G34" s="49">
        <f t="shared" si="8"/>
        <v>0.3333333333</v>
      </c>
      <c r="H34" s="51">
        <f t="shared" si="5"/>
        <v>0.2222222222</v>
      </c>
      <c r="I34" s="53" t="s">
        <v>594</v>
      </c>
      <c r="J34" s="53" t="s">
        <v>594</v>
      </c>
      <c r="K34" s="53" t="s">
        <v>1065</v>
      </c>
      <c r="L34" s="54" t="s">
        <v>491</v>
      </c>
      <c r="M34" s="54" t="s">
        <v>491</v>
      </c>
      <c r="N34" s="124" t="s">
        <v>766</v>
      </c>
      <c r="O34" s="124" t="s">
        <v>766</v>
      </c>
      <c r="P34" s="54" t="s">
        <v>766</v>
      </c>
      <c r="Q34" s="54" t="s">
        <v>766</v>
      </c>
      <c r="R34" s="54" t="s">
        <v>600</v>
      </c>
      <c r="S34" s="54" t="s">
        <v>600</v>
      </c>
      <c r="T34" s="54" t="s">
        <v>600</v>
      </c>
      <c r="U34" s="54" t="s">
        <v>600</v>
      </c>
      <c r="V34" s="54" t="s">
        <v>600</v>
      </c>
      <c r="W34" s="54" t="s">
        <v>600</v>
      </c>
      <c r="X34" s="54" t="s">
        <v>600</v>
      </c>
      <c r="Y34" s="54" t="s">
        <v>600</v>
      </c>
      <c r="Z34" s="54" t="s">
        <v>600</v>
      </c>
      <c r="AA34" s="54" t="s">
        <v>600</v>
      </c>
      <c r="AB34" s="59" t="s">
        <v>600</v>
      </c>
      <c r="AC34" s="59" t="s">
        <v>600</v>
      </c>
      <c r="AD34" s="54" t="s">
        <v>600</v>
      </c>
      <c r="AE34" s="54" t="s">
        <v>600</v>
      </c>
      <c r="AF34" s="13"/>
      <c r="AG34" s="54"/>
      <c r="AH34" s="61"/>
      <c r="AI34" s="62"/>
      <c r="AJ34" s="63"/>
      <c r="AK34" s="63"/>
      <c r="AL34" s="63"/>
      <c r="AM34" s="65"/>
      <c r="AN34" s="65"/>
      <c r="AO34" s="65"/>
      <c r="AP34" s="65"/>
      <c r="AQ34" s="62"/>
    </row>
    <row r="35">
      <c r="A35" s="44" t="str">
        <f>LOOKUP(H35,'Letter grades'!$A$1:$B$6)</f>
        <v>F</v>
      </c>
      <c r="B35" s="44">
        <f t="shared" si="3"/>
        <v>31</v>
      </c>
      <c r="C35" s="67" t="s">
        <v>1289</v>
      </c>
      <c r="D35" s="67" t="s">
        <v>1290</v>
      </c>
      <c r="E35" s="46" t="s">
        <v>1291</v>
      </c>
      <c r="F35" s="47">
        <f t="shared" si="4"/>
        <v>0.3333333333</v>
      </c>
      <c r="G35" s="49">
        <f t="shared" si="8"/>
        <v>0.1578947368</v>
      </c>
      <c r="H35" s="51">
        <f t="shared" si="5"/>
        <v>0.216374269</v>
      </c>
      <c r="I35" s="53" t="s">
        <v>594</v>
      </c>
      <c r="J35" s="53" t="s">
        <v>594</v>
      </c>
      <c r="K35" s="53" t="s">
        <v>490</v>
      </c>
      <c r="L35" s="54" t="s">
        <v>491</v>
      </c>
      <c r="M35" s="54" t="s">
        <v>491</v>
      </c>
      <c r="N35" s="54" t="s">
        <v>766</v>
      </c>
      <c r="O35" s="54" t="s">
        <v>766</v>
      </c>
      <c r="P35" s="54" t="s">
        <v>766</v>
      </c>
      <c r="Q35" s="54" t="s">
        <v>766</v>
      </c>
      <c r="R35" s="54" t="s">
        <v>766</v>
      </c>
      <c r="S35" s="54" t="s">
        <v>766</v>
      </c>
      <c r="T35" s="54" t="s">
        <v>766</v>
      </c>
      <c r="U35" s="57" t="s">
        <v>561</v>
      </c>
      <c r="V35" s="57" t="s">
        <v>561</v>
      </c>
      <c r="W35" s="54" t="s">
        <v>53</v>
      </c>
      <c r="X35" s="54" t="s">
        <v>561</v>
      </c>
      <c r="Y35" s="54" t="s">
        <v>561</v>
      </c>
      <c r="Z35" s="54" t="s">
        <v>561</v>
      </c>
      <c r="AA35" s="54" t="s">
        <v>561</v>
      </c>
      <c r="AB35" s="59" t="s">
        <v>561</v>
      </c>
      <c r="AC35" s="59" t="s">
        <v>561</v>
      </c>
      <c r="AD35" s="54" t="s">
        <v>561</v>
      </c>
      <c r="AE35" s="54" t="s">
        <v>561</v>
      </c>
      <c r="AF35" s="13" t="s">
        <v>108</v>
      </c>
      <c r="AG35" s="54"/>
      <c r="AH35" s="61">
        <v>133760.0</v>
      </c>
      <c r="AI35" s="62" t="s">
        <v>1307</v>
      </c>
      <c r="AJ35" s="63"/>
      <c r="AK35" s="64">
        <f t="shared" ref="AK35:AK51" si="15">AM35-AN35</f>
        <v>0.135</v>
      </c>
      <c r="AL35" s="64">
        <f t="shared" ref="AL35:AL51" si="16">AO35-AP35</f>
        <v>0.049</v>
      </c>
      <c r="AM35" s="65">
        <v>0.5539999999999999</v>
      </c>
      <c r="AN35" s="65">
        <v>0.419</v>
      </c>
      <c r="AO35" s="65">
        <v>0.48200000000000004</v>
      </c>
      <c r="AP35" s="65">
        <v>0.433</v>
      </c>
      <c r="AQ35" s="62">
        <v>2028.0</v>
      </c>
    </row>
    <row r="36">
      <c r="A36" s="44" t="str">
        <f>LOOKUP(H36,'Letter grades'!$A$1:$B$6)</f>
        <v>F</v>
      </c>
      <c r="B36" s="44">
        <f t="shared" si="3"/>
        <v>31</v>
      </c>
      <c r="C36" s="67" t="s">
        <v>1319</v>
      </c>
      <c r="D36" s="67" t="s">
        <v>1322</v>
      </c>
      <c r="E36" s="46" t="s">
        <v>1197</v>
      </c>
      <c r="F36" s="47">
        <f t="shared" si="4"/>
        <v>0.3333333333</v>
      </c>
      <c r="G36" s="49">
        <f t="shared" si="8"/>
        <v>0.1578947368</v>
      </c>
      <c r="H36" s="51">
        <f t="shared" si="5"/>
        <v>0.216374269</v>
      </c>
      <c r="I36" s="53" t="s">
        <v>594</v>
      </c>
      <c r="J36" s="53" t="s">
        <v>594</v>
      </c>
      <c r="K36" s="53" t="s">
        <v>490</v>
      </c>
      <c r="L36" s="54" t="s">
        <v>491</v>
      </c>
      <c r="M36" s="54" t="s">
        <v>491</v>
      </c>
      <c r="N36" s="54" t="s">
        <v>766</v>
      </c>
      <c r="O36" s="54" t="s">
        <v>766</v>
      </c>
      <c r="P36" s="54" t="s">
        <v>766</v>
      </c>
      <c r="Q36" s="54" t="s">
        <v>766</v>
      </c>
      <c r="R36" s="54" t="s">
        <v>766</v>
      </c>
      <c r="S36" s="54" t="s">
        <v>766</v>
      </c>
      <c r="T36" s="54" t="s">
        <v>766</v>
      </c>
      <c r="U36" s="57" t="s">
        <v>561</v>
      </c>
      <c r="V36" s="57" t="s">
        <v>561</v>
      </c>
      <c r="W36" s="54" t="s">
        <v>561</v>
      </c>
      <c r="X36" s="54" t="s">
        <v>561</v>
      </c>
      <c r="Y36" s="54" t="s">
        <v>561</v>
      </c>
      <c r="Z36" s="54" t="s">
        <v>53</v>
      </c>
      <c r="AA36" s="54" t="s">
        <v>561</v>
      </c>
      <c r="AB36" s="59" t="s">
        <v>561</v>
      </c>
      <c r="AC36" s="59" t="s">
        <v>561</v>
      </c>
      <c r="AD36" s="54" t="s">
        <v>561</v>
      </c>
      <c r="AE36" s="54" t="s">
        <v>600</v>
      </c>
      <c r="AF36" s="13"/>
      <c r="AG36" s="54"/>
      <c r="AH36" s="61">
        <v>95630.0</v>
      </c>
      <c r="AI36" s="62" t="s">
        <v>1339</v>
      </c>
      <c r="AJ36" s="63"/>
      <c r="AK36" s="64">
        <f t="shared" si="15"/>
        <v>0.292</v>
      </c>
      <c r="AL36" s="64">
        <f t="shared" si="16"/>
        <v>0.301</v>
      </c>
      <c r="AM36" s="65">
        <v>0.635</v>
      </c>
      <c r="AN36" s="65">
        <v>0.34299999999999997</v>
      </c>
      <c r="AO36" s="65">
        <v>0.617</v>
      </c>
      <c r="AP36" s="65">
        <v>0.316</v>
      </c>
      <c r="AQ36" s="62">
        <v>2028.0</v>
      </c>
    </row>
    <row r="37">
      <c r="A37" s="44" t="str">
        <f>LOOKUP(H37,'Letter grades'!$A$1:$B$6)</f>
        <v>F</v>
      </c>
      <c r="B37" s="44">
        <f t="shared" si="3"/>
        <v>33</v>
      </c>
      <c r="C37" s="67" t="s">
        <v>1350</v>
      </c>
      <c r="D37" s="67" t="s">
        <v>1351</v>
      </c>
      <c r="E37" s="46" t="s">
        <v>1206</v>
      </c>
      <c r="F37" s="47">
        <f t="shared" si="4"/>
        <v>0.3333333333</v>
      </c>
      <c r="G37" s="49">
        <f t="shared" si="8"/>
        <v>0.1052631579</v>
      </c>
      <c r="H37" s="51">
        <f t="shared" si="5"/>
        <v>0.1812865497</v>
      </c>
      <c r="I37" s="53" t="s">
        <v>594</v>
      </c>
      <c r="J37" s="53" t="s">
        <v>594</v>
      </c>
      <c r="K37" s="53" t="s">
        <v>490</v>
      </c>
      <c r="L37" s="54" t="s">
        <v>766</v>
      </c>
      <c r="M37" s="54" t="s">
        <v>491</v>
      </c>
      <c r="N37" s="54" t="s">
        <v>766</v>
      </c>
      <c r="O37" s="54" t="s">
        <v>491</v>
      </c>
      <c r="P37" s="54" t="s">
        <v>766</v>
      </c>
      <c r="Q37" s="54" t="s">
        <v>766</v>
      </c>
      <c r="R37" s="54" t="s">
        <v>766</v>
      </c>
      <c r="S37" s="54" t="s">
        <v>766</v>
      </c>
      <c r="T37" s="54" t="s">
        <v>766</v>
      </c>
      <c r="U37" s="57" t="s">
        <v>561</v>
      </c>
      <c r="V37" s="57" t="s">
        <v>561</v>
      </c>
      <c r="W37" s="54" t="s">
        <v>561</v>
      </c>
      <c r="X37" s="54" t="s">
        <v>561</v>
      </c>
      <c r="Y37" s="54" t="s">
        <v>561</v>
      </c>
      <c r="Z37" s="54" t="s">
        <v>561</v>
      </c>
      <c r="AA37" s="54" t="s">
        <v>561</v>
      </c>
      <c r="AB37" s="59" t="s">
        <v>561</v>
      </c>
      <c r="AC37" s="59" t="s">
        <v>561</v>
      </c>
      <c r="AD37" s="54" t="s">
        <v>561</v>
      </c>
      <c r="AE37" s="54" t="s">
        <v>561</v>
      </c>
      <c r="AF37" s="13" t="s">
        <v>108</v>
      </c>
      <c r="AG37" s="54"/>
      <c r="AH37" s="61">
        <v>61440.0</v>
      </c>
      <c r="AI37" s="62">
        <v>2007.0</v>
      </c>
      <c r="AJ37" s="63"/>
      <c r="AK37" s="64">
        <f t="shared" si="15"/>
        <v>0.2078</v>
      </c>
      <c r="AL37" s="64">
        <f t="shared" si="16"/>
        <v>0.155</v>
      </c>
      <c r="AM37" s="65">
        <v>0.5939</v>
      </c>
      <c r="AN37" s="65">
        <v>0.3861</v>
      </c>
      <c r="AO37" s="65">
        <v>0.544</v>
      </c>
      <c r="AP37" s="65">
        <v>0.389</v>
      </c>
      <c r="AQ37" s="62">
        <v>2024.0</v>
      </c>
    </row>
    <row r="38">
      <c r="A38" s="44" t="str">
        <f>LOOKUP(H38,'Letter grades'!$A$1:$B$6)</f>
        <v>F</v>
      </c>
      <c r="B38" s="44">
        <f t="shared" si="3"/>
        <v>33</v>
      </c>
      <c r="C38" s="67" t="s">
        <v>1379</v>
      </c>
      <c r="D38" s="67" t="s">
        <v>1380</v>
      </c>
      <c r="E38" s="46" t="s">
        <v>1217</v>
      </c>
      <c r="F38" s="47">
        <f t="shared" si="4"/>
        <v>0.3333333333</v>
      </c>
      <c r="G38" s="49">
        <f t="shared" si="8"/>
        <v>0.1052631579</v>
      </c>
      <c r="H38" s="51">
        <f t="shared" si="5"/>
        <v>0.1812865497</v>
      </c>
      <c r="I38" s="53" t="s">
        <v>594</v>
      </c>
      <c r="J38" s="53" t="s">
        <v>594</v>
      </c>
      <c r="K38" s="53" t="s">
        <v>490</v>
      </c>
      <c r="L38" s="54" t="s">
        <v>491</v>
      </c>
      <c r="M38" s="54" t="s">
        <v>491</v>
      </c>
      <c r="N38" s="54" t="s">
        <v>766</v>
      </c>
      <c r="O38" s="54" t="s">
        <v>766</v>
      </c>
      <c r="P38" s="54" t="s">
        <v>766</v>
      </c>
      <c r="Q38" s="54" t="s">
        <v>766</v>
      </c>
      <c r="R38" s="54" t="s">
        <v>766</v>
      </c>
      <c r="S38" s="54" t="s">
        <v>766</v>
      </c>
      <c r="T38" s="54" t="s">
        <v>766</v>
      </c>
      <c r="U38" s="57" t="s">
        <v>561</v>
      </c>
      <c r="V38" s="57" t="s">
        <v>561</v>
      </c>
      <c r="W38" s="54" t="s">
        <v>561</v>
      </c>
      <c r="X38" s="54" t="s">
        <v>561</v>
      </c>
      <c r="Y38" s="54" t="s">
        <v>561</v>
      </c>
      <c r="Z38" s="54" t="s">
        <v>561</v>
      </c>
      <c r="AA38" s="54" t="s">
        <v>561</v>
      </c>
      <c r="AB38" s="59" t="s">
        <v>561</v>
      </c>
      <c r="AC38" s="59" t="s">
        <v>561</v>
      </c>
      <c r="AD38" s="54" t="s">
        <v>561</v>
      </c>
      <c r="AE38" s="54" t="s">
        <v>801</v>
      </c>
      <c r="AF38" s="13" t="s">
        <v>108</v>
      </c>
      <c r="AG38" s="54"/>
      <c r="AH38" s="61">
        <v>134700.0</v>
      </c>
      <c r="AI38" s="62">
        <v>2001.0</v>
      </c>
      <c r="AJ38" s="63"/>
      <c r="AK38" s="64">
        <f t="shared" si="15"/>
        <v>0.192</v>
      </c>
      <c r="AL38" s="64">
        <f t="shared" si="16"/>
        <v>0.157</v>
      </c>
      <c r="AM38" s="65">
        <v>0.5797</v>
      </c>
      <c r="AN38" s="65">
        <v>0.3877</v>
      </c>
      <c r="AO38" s="65">
        <v>0.525</v>
      </c>
      <c r="AP38" s="65">
        <v>0.368</v>
      </c>
      <c r="AQ38" s="62">
        <v>2024.0</v>
      </c>
    </row>
    <row r="39">
      <c r="A39" s="44" t="str">
        <f>LOOKUP(H39,'Letter grades'!$A$1:$B$6)</f>
        <v>F</v>
      </c>
      <c r="B39" s="44">
        <f t="shared" si="3"/>
        <v>33</v>
      </c>
      <c r="C39" s="67" t="s">
        <v>1398</v>
      </c>
      <c r="D39" s="67" t="s">
        <v>1399</v>
      </c>
      <c r="E39" s="46" t="s">
        <v>1182</v>
      </c>
      <c r="F39" s="47">
        <f t="shared" si="4"/>
        <v>0.3333333333</v>
      </c>
      <c r="G39" s="49">
        <f t="shared" si="8"/>
        <v>0.1052631579</v>
      </c>
      <c r="H39" s="51">
        <f t="shared" si="5"/>
        <v>0.1812865497</v>
      </c>
      <c r="I39" s="53" t="s">
        <v>594</v>
      </c>
      <c r="J39" s="53" t="s">
        <v>594</v>
      </c>
      <c r="K39" s="53" t="s">
        <v>490</v>
      </c>
      <c r="L39" s="54" t="s">
        <v>491</v>
      </c>
      <c r="M39" s="54" t="s">
        <v>491</v>
      </c>
      <c r="N39" s="54" t="s">
        <v>766</v>
      </c>
      <c r="O39" s="54" t="s">
        <v>766</v>
      </c>
      <c r="P39" s="54" t="s">
        <v>766</v>
      </c>
      <c r="Q39" s="54" t="s">
        <v>766</v>
      </c>
      <c r="R39" s="54" t="s">
        <v>766</v>
      </c>
      <c r="S39" s="54" t="s">
        <v>766</v>
      </c>
      <c r="T39" s="54" t="s">
        <v>766</v>
      </c>
      <c r="U39" s="57" t="s">
        <v>561</v>
      </c>
      <c r="V39" s="57" t="s">
        <v>561</v>
      </c>
      <c r="W39" s="54" t="s">
        <v>561</v>
      </c>
      <c r="X39" s="54" t="s">
        <v>561</v>
      </c>
      <c r="Y39" s="54" t="s">
        <v>561</v>
      </c>
      <c r="Z39" s="54" t="s">
        <v>561</v>
      </c>
      <c r="AA39" s="54" t="s">
        <v>561</v>
      </c>
      <c r="AB39" s="59" t="s">
        <v>561</v>
      </c>
      <c r="AC39" s="59" t="s">
        <v>561</v>
      </c>
      <c r="AD39" s="54" t="s">
        <v>561</v>
      </c>
      <c r="AE39" s="54" t="s">
        <v>561</v>
      </c>
      <c r="AF39" s="13" t="s">
        <v>108</v>
      </c>
      <c r="AG39" s="54"/>
      <c r="AH39" s="61">
        <v>122087.0</v>
      </c>
      <c r="AI39" s="62">
        <v>2017.0</v>
      </c>
      <c r="AJ39" s="63"/>
      <c r="AK39" s="64">
        <f t="shared" si="15"/>
        <v>0.0735</v>
      </c>
      <c r="AL39" s="64">
        <f t="shared" si="16"/>
        <v>0.004</v>
      </c>
      <c r="AM39" s="65">
        <v>0.5271</v>
      </c>
      <c r="AN39" s="65">
        <v>0.4536</v>
      </c>
      <c r="AO39" s="65">
        <v>0.47</v>
      </c>
      <c r="AP39" s="65">
        <v>0.466</v>
      </c>
      <c r="AQ39" s="62">
        <v>2028.0</v>
      </c>
    </row>
    <row r="40">
      <c r="A40" s="44" t="str">
        <f>LOOKUP(H40,'Letter grades'!$A$1:$B$6)</f>
        <v>F</v>
      </c>
      <c r="B40" s="44">
        <f t="shared" si="3"/>
        <v>33</v>
      </c>
      <c r="C40" s="67" t="s">
        <v>120</v>
      </c>
      <c r="D40" s="67" t="s">
        <v>1423</v>
      </c>
      <c r="E40" s="46" t="s">
        <v>1291</v>
      </c>
      <c r="F40" s="47">
        <f t="shared" si="4"/>
        <v>0.3333333333</v>
      </c>
      <c r="G40" s="49">
        <f t="shared" si="8"/>
        <v>0.1052631579</v>
      </c>
      <c r="H40" s="51">
        <f t="shared" si="5"/>
        <v>0.1812865497</v>
      </c>
      <c r="I40" s="53" t="s">
        <v>594</v>
      </c>
      <c r="J40" s="53" t="s">
        <v>594</v>
      </c>
      <c r="K40" s="53" t="s">
        <v>490</v>
      </c>
      <c r="L40" s="54" t="s">
        <v>491</v>
      </c>
      <c r="M40" s="54" t="s">
        <v>491</v>
      </c>
      <c r="N40" s="54" t="s">
        <v>766</v>
      </c>
      <c r="O40" s="54" t="s">
        <v>766</v>
      </c>
      <c r="P40" s="54" t="s">
        <v>766</v>
      </c>
      <c r="Q40" s="54" t="s">
        <v>766</v>
      </c>
      <c r="R40" s="54" t="s">
        <v>766</v>
      </c>
      <c r="S40" s="54" t="s">
        <v>766</v>
      </c>
      <c r="T40" s="54" t="s">
        <v>766</v>
      </c>
      <c r="U40" s="57" t="s">
        <v>561</v>
      </c>
      <c r="V40" s="57" t="s">
        <v>561</v>
      </c>
      <c r="W40" s="54" t="s">
        <v>561</v>
      </c>
      <c r="X40" s="54" t="s">
        <v>561</v>
      </c>
      <c r="Y40" s="54" t="s">
        <v>561</v>
      </c>
      <c r="Z40" s="54" t="s">
        <v>561</v>
      </c>
      <c r="AA40" s="54" t="s">
        <v>561</v>
      </c>
      <c r="AB40" s="59" t="s">
        <v>561</v>
      </c>
      <c r="AC40" s="59" t="s">
        <v>561</v>
      </c>
      <c r="AD40" s="54" t="s">
        <v>561</v>
      </c>
      <c r="AE40" s="54" t="s">
        <v>600</v>
      </c>
      <c r="AF40" s="13" t="s">
        <v>1208</v>
      </c>
      <c r="AG40" s="54"/>
      <c r="AH40" s="61"/>
      <c r="AI40" s="62">
        <v>2021.0</v>
      </c>
      <c r="AJ40" s="63"/>
      <c r="AK40" s="64">
        <f t="shared" si="15"/>
        <v>0.135</v>
      </c>
      <c r="AL40" s="64">
        <f t="shared" si="16"/>
        <v>0.049</v>
      </c>
      <c r="AM40" s="65">
        <v>0.5539999999999999</v>
      </c>
      <c r="AN40" s="65">
        <v>0.419</v>
      </c>
      <c r="AO40" s="65">
        <v>0.48200000000000004</v>
      </c>
      <c r="AP40" s="65">
        <v>0.433</v>
      </c>
      <c r="AQ40" s="62">
        <v>2026.0</v>
      </c>
    </row>
    <row r="41">
      <c r="A41" s="44" t="str">
        <f>LOOKUP(H41,'Letter grades'!$A$1:$B$6)</f>
        <v>F</v>
      </c>
      <c r="B41" s="44">
        <f t="shared" si="3"/>
        <v>33</v>
      </c>
      <c r="C41" s="67" t="s">
        <v>127</v>
      </c>
      <c r="D41" s="67" t="s">
        <v>571</v>
      </c>
      <c r="E41" s="46" t="s">
        <v>1262</v>
      </c>
      <c r="F41" s="47">
        <f t="shared" si="4"/>
        <v>0.3333333333</v>
      </c>
      <c r="G41" s="49">
        <f t="shared" si="8"/>
        <v>0.1052631579</v>
      </c>
      <c r="H41" s="51">
        <f t="shared" si="5"/>
        <v>0.1812865497</v>
      </c>
      <c r="I41" s="53" t="s">
        <v>594</v>
      </c>
      <c r="J41" s="53" t="s">
        <v>594</v>
      </c>
      <c r="K41" s="53" t="s">
        <v>490</v>
      </c>
      <c r="L41" s="54" t="s">
        <v>491</v>
      </c>
      <c r="M41" s="54" t="s">
        <v>491</v>
      </c>
      <c r="N41" s="124" t="s">
        <v>766</v>
      </c>
      <c r="O41" s="124" t="s">
        <v>766</v>
      </c>
      <c r="P41" s="54" t="s">
        <v>766</v>
      </c>
      <c r="Q41" s="54" t="s">
        <v>766</v>
      </c>
      <c r="R41" s="54" t="s">
        <v>766</v>
      </c>
      <c r="S41" s="54" t="s">
        <v>766</v>
      </c>
      <c r="T41" s="54" t="s">
        <v>766</v>
      </c>
      <c r="U41" s="57" t="s">
        <v>561</v>
      </c>
      <c r="V41" s="57" t="s">
        <v>561</v>
      </c>
      <c r="W41" s="54" t="s">
        <v>561</v>
      </c>
      <c r="X41" s="54" t="s">
        <v>561</v>
      </c>
      <c r="Y41" s="54" t="s">
        <v>561</v>
      </c>
      <c r="Z41" s="54" t="s">
        <v>561</v>
      </c>
      <c r="AA41" s="54" t="s">
        <v>561</v>
      </c>
      <c r="AB41" s="59" t="s">
        <v>561</v>
      </c>
      <c r="AC41" s="59" t="s">
        <v>561</v>
      </c>
      <c r="AD41" s="54" t="s">
        <v>561</v>
      </c>
      <c r="AE41" s="54" t="s">
        <v>600</v>
      </c>
      <c r="AF41" s="13" t="s">
        <v>108</v>
      </c>
      <c r="AG41" s="54"/>
      <c r="AH41" s="61">
        <v>41986.0</v>
      </c>
      <c r="AI41" s="62">
        <v>2020.0</v>
      </c>
      <c r="AJ41" s="63"/>
      <c r="AK41" s="64">
        <f t="shared" si="15"/>
        <v>0.003</v>
      </c>
      <c r="AL41" s="64">
        <f t="shared" si="16"/>
        <v>-0.036</v>
      </c>
      <c r="AM41" s="65">
        <v>0.494</v>
      </c>
      <c r="AN41" s="65">
        <v>0.491</v>
      </c>
      <c r="AO41" s="65">
        <v>0.451</v>
      </c>
      <c r="AP41" s="65">
        <v>0.48700000000000004</v>
      </c>
      <c r="AQ41" s="62">
        <v>2028.0</v>
      </c>
    </row>
    <row r="42">
      <c r="A42" s="44" t="str">
        <f>LOOKUP(H42,'Letter grades'!$A$1:$B$6)</f>
        <v>F</v>
      </c>
      <c r="B42" s="44">
        <f t="shared" si="3"/>
        <v>38</v>
      </c>
      <c r="C42" s="67" t="s">
        <v>1462</v>
      </c>
      <c r="D42" s="67" t="s">
        <v>1463</v>
      </c>
      <c r="E42" s="46" t="s">
        <v>587</v>
      </c>
      <c r="F42" s="47">
        <f t="shared" si="4"/>
        <v>0</v>
      </c>
      <c r="G42" s="49">
        <f t="shared" si="8"/>
        <v>0.2105263158</v>
      </c>
      <c r="H42" s="51">
        <f t="shared" si="5"/>
        <v>0.1403508772</v>
      </c>
      <c r="I42" s="53" t="s">
        <v>594</v>
      </c>
      <c r="J42" s="53" t="s">
        <v>594</v>
      </c>
      <c r="K42" s="53" t="s">
        <v>1065</v>
      </c>
      <c r="L42" s="54" t="s">
        <v>491</v>
      </c>
      <c r="M42" s="54" t="s">
        <v>491</v>
      </c>
      <c r="N42" s="54" t="s">
        <v>766</v>
      </c>
      <c r="O42" s="54" t="s">
        <v>766</v>
      </c>
      <c r="P42" s="54" t="s">
        <v>766</v>
      </c>
      <c r="Q42" s="54" t="s">
        <v>766</v>
      </c>
      <c r="R42" s="54" t="s">
        <v>766</v>
      </c>
      <c r="S42" s="54" t="s">
        <v>766</v>
      </c>
      <c r="T42" s="54" t="s">
        <v>766</v>
      </c>
      <c r="U42" s="57" t="s">
        <v>561</v>
      </c>
      <c r="V42" s="57" t="s">
        <v>561</v>
      </c>
      <c r="W42" s="54" t="s">
        <v>561</v>
      </c>
      <c r="X42" s="54" t="s">
        <v>561</v>
      </c>
      <c r="Y42" s="54" t="s">
        <v>561</v>
      </c>
      <c r="Z42" s="54" t="s">
        <v>561</v>
      </c>
      <c r="AA42" s="54" t="s">
        <v>561</v>
      </c>
      <c r="AB42" s="59" t="s">
        <v>53</v>
      </c>
      <c r="AC42" s="59" t="s">
        <v>53</v>
      </c>
      <c r="AD42" s="54" t="s">
        <v>561</v>
      </c>
      <c r="AE42" s="54" t="s">
        <v>53</v>
      </c>
      <c r="AF42" s="13" t="s">
        <v>122</v>
      </c>
      <c r="AG42" s="54"/>
      <c r="AH42" s="61"/>
      <c r="AI42" s="62" t="s">
        <v>743</v>
      </c>
      <c r="AJ42" s="63"/>
      <c r="AK42" s="64">
        <f t="shared" si="15"/>
        <v>0.1593</v>
      </c>
      <c r="AL42" s="64">
        <f t="shared" si="16"/>
        <v>0.141</v>
      </c>
      <c r="AM42" s="65">
        <v>0.5733</v>
      </c>
      <c r="AN42" s="65">
        <v>0.414</v>
      </c>
      <c r="AO42" s="65">
        <v>0.555</v>
      </c>
      <c r="AP42" s="65">
        <v>0.414</v>
      </c>
      <c r="AQ42" s="62">
        <v>2026.0</v>
      </c>
    </row>
    <row r="43">
      <c r="A43" s="44" t="str">
        <f>LOOKUP(H43,'Letter grades'!$A$1:$B$6)</f>
        <v>F</v>
      </c>
      <c r="B43" s="44">
        <f t="shared" si="3"/>
        <v>39</v>
      </c>
      <c r="C43" s="67" t="s">
        <v>1479</v>
      </c>
      <c r="D43" s="67" t="s">
        <v>1480</v>
      </c>
      <c r="E43" s="46" t="s">
        <v>1083</v>
      </c>
      <c r="F43" s="47">
        <f t="shared" si="4"/>
        <v>0.3333333333</v>
      </c>
      <c r="G43" s="49">
        <f t="shared" si="8"/>
        <v>0</v>
      </c>
      <c r="H43" s="51">
        <f t="shared" si="5"/>
        <v>0.1111111111</v>
      </c>
      <c r="I43" s="53" t="s">
        <v>487</v>
      </c>
      <c r="J43" s="53" t="s">
        <v>594</v>
      </c>
      <c r="K43" s="53" t="s">
        <v>1065</v>
      </c>
      <c r="L43" s="54" t="s">
        <v>766</v>
      </c>
      <c r="M43" s="54" t="s">
        <v>766</v>
      </c>
      <c r="N43" s="54" t="s">
        <v>766</v>
      </c>
      <c r="O43" s="54" t="s">
        <v>766</v>
      </c>
      <c r="P43" s="54" t="s">
        <v>766</v>
      </c>
      <c r="Q43" s="54" t="s">
        <v>766</v>
      </c>
      <c r="R43" s="54" t="s">
        <v>766</v>
      </c>
      <c r="S43" s="54" t="s">
        <v>766</v>
      </c>
      <c r="T43" s="54" t="s">
        <v>766</v>
      </c>
      <c r="U43" s="57" t="s">
        <v>561</v>
      </c>
      <c r="V43" s="57" t="s">
        <v>561</v>
      </c>
      <c r="W43" s="54" t="s">
        <v>561</v>
      </c>
      <c r="X43" s="54" t="s">
        <v>561</v>
      </c>
      <c r="Y43" s="54" t="s">
        <v>561</v>
      </c>
      <c r="Z43" s="54" t="s">
        <v>561</v>
      </c>
      <c r="AA43" s="54" t="s">
        <v>561</v>
      </c>
      <c r="AB43" s="59" t="s">
        <v>561</v>
      </c>
      <c r="AC43" s="59" t="s">
        <v>561</v>
      </c>
      <c r="AD43" s="54" t="s">
        <v>561</v>
      </c>
      <c r="AE43" s="54" t="s">
        <v>561</v>
      </c>
      <c r="AF43" s="13"/>
      <c r="AG43" s="54"/>
      <c r="AH43" s="61">
        <v>163963.0</v>
      </c>
      <c r="AI43" s="62">
        <v>2011.0</v>
      </c>
      <c r="AJ43" s="63"/>
      <c r="AK43" s="64">
        <f t="shared" si="15"/>
        <v>0.2</v>
      </c>
      <c r="AL43" s="64">
        <f t="shared" si="16"/>
        <v>0.137</v>
      </c>
      <c r="AM43" s="65">
        <v>0.5920000000000001</v>
      </c>
      <c r="AN43" s="65">
        <v>0.392</v>
      </c>
      <c r="AO43" s="65">
        <v>0.546</v>
      </c>
      <c r="AP43" s="65">
        <v>0.409</v>
      </c>
      <c r="AQ43" s="62">
        <v>2028.0</v>
      </c>
    </row>
    <row r="44">
      <c r="A44" s="44" t="str">
        <f>LOOKUP(H44,'Letter grades'!$A$1:$B$6)</f>
        <v>F</v>
      </c>
      <c r="B44" s="44">
        <f t="shared" si="3"/>
        <v>39</v>
      </c>
      <c r="C44" s="67" t="s">
        <v>643</v>
      </c>
      <c r="D44" s="67" t="s">
        <v>1501</v>
      </c>
      <c r="E44" s="46" t="s">
        <v>788</v>
      </c>
      <c r="F44" s="47">
        <f t="shared" si="4"/>
        <v>0.3333333333</v>
      </c>
      <c r="G44" s="49">
        <f t="shared" si="8"/>
        <v>0</v>
      </c>
      <c r="H44" s="51">
        <f t="shared" si="5"/>
        <v>0.1111111111</v>
      </c>
      <c r="I44" s="53" t="s">
        <v>594</v>
      </c>
      <c r="J44" s="53" t="s">
        <v>594</v>
      </c>
      <c r="K44" s="53" t="s">
        <v>490</v>
      </c>
      <c r="L44" s="54" t="s">
        <v>766</v>
      </c>
      <c r="M44" s="54" t="s">
        <v>766</v>
      </c>
      <c r="N44" s="54" t="s">
        <v>766</v>
      </c>
      <c r="O44" s="54" t="s">
        <v>766</v>
      </c>
      <c r="P44" s="54" t="s">
        <v>766</v>
      </c>
      <c r="Q44" s="57" t="s">
        <v>801</v>
      </c>
      <c r="R44" s="54" t="s">
        <v>766</v>
      </c>
      <c r="S44" s="54" t="s">
        <v>766</v>
      </c>
      <c r="T44" s="54" t="s">
        <v>766</v>
      </c>
      <c r="U44" s="57" t="s">
        <v>561</v>
      </c>
      <c r="V44" s="57" t="s">
        <v>561</v>
      </c>
      <c r="W44" s="54" t="s">
        <v>561</v>
      </c>
      <c r="X44" s="54" t="s">
        <v>561</v>
      </c>
      <c r="Y44" s="54" t="s">
        <v>561</v>
      </c>
      <c r="Z44" s="54" t="s">
        <v>561</v>
      </c>
      <c r="AA44" s="54" t="s">
        <v>801</v>
      </c>
      <c r="AB44" s="59" t="s">
        <v>561</v>
      </c>
      <c r="AC44" s="59" t="s">
        <v>561</v>
      </c>
      <c r="AD44" s="54" t="s">
        <v>561</v>
      </c>
      <c r="AE44" s="54" t="s">
        <v>561</v>
      </c>
      <c r="AF44" s="13" t="s">
        <v>122</v>
      </c>
      <c r="AG44" s="54"/>
      <c r="AH44" s="61"/>
      <c r="AI44" s="62" t="s">
        <v>1519</v>
      </c>
      <c r="AJ44" s="63"/>
      <c r="AK44" s="64">
        <f t="shared" si="15"/>
        <v>0.1897</v>
      </c>
      <c r="AL44" s="64">
        <f t="shared" si="16"/>
        <v>0.114</v>
      </c>
      <c r="AM44" s="65">
        <v>0.5874</v>
      </c>
      <c r="AN44" s="65">
        <v>0.3977</v>
      </c>
      <c r="AO44" s="65">
        <v>0.531</v>
      </c>
      <c r="AP44" s="65">
        <v>0.41700000000000004</v>
      </c>
      <c r="AQ44" s="62">
        <v>2026.0</v>
      </c>
    </row>
    <row r="45">
      <c r="A45" s="44" t="str">
        <f>LOOKUP(H45,'Letter grades'!$A$1:$B$6)</f>
        <v>F</v>
      </c>
      <c r="B45" s="44">
        <f t="shared" si="3"/>
        <v>39</v>
      </c>
      <c r="C45" s="46" t="s">
        <v>1527</v>
      </c>
      <c r="D45" s="46" t="s">
        <v>1529</v>
      </c>
      <c r="E45" s="46" t="s">
        <v>1530</v>
      </c>
      <c r="F45" s="47">
        <f t="shared" si="4"/>
        <v>0.3333333333</v>
      </c>
      <c r="G45" s="49">
        <f t="shared" si="8"/>
        <v>0</v>
      </c>
      <c r="H45" s="51">
        <f t="shared" si="5"/>
        <v>0.1111111111</v>
      </c>
      <c r="I45" s="53" t="s">
        <v>594</v>
      </c>
      <c r="J45" s="53" t="s">
        <v>594</v>
      </c>
      <c r="K45" s="53" t="s">
        <v>490</v>
      </c>
      <c r="L45" s="54" t="s">
        <v>766</v>
      </c>
      <c r="M45" s="54" t="s">
        <v>766</v>
      </c>
      <c r="N45" s="54" t="s">
        <v>766</v>
      </c>
      <c r="O45" s="54" t="s">
        <v>766</v>
      </c>
      <c r="P45" s="54" t="s">
        <v>766</v>
      </c>
      <c r="Q45" s="54" t="s">
        <v>766</v>
      </c>
      <c r="R45" s="54" t="s">
        <v>766</v>
      </c>
      <c r="S45" s="54" t="s">
        <v>766</v>
      </c>
      <c r="T45" s="54" t="s">
        <v>766</v>
      </c>
      <c r="U45" s="57" t="s">
        <v>561</v>
      </c>
      <c r="V45" s="57" t="s">
        <v>561</v>
      </c>
      <c r="W45" s="54" t="s">
        <v>561</v>
      </c>
      <c r="X45" s="54" t="s">
        <v>561</v>
      </c>
      <c r="Y45" s="54" t="s">
        <v>561</v>
      </c>
      <c r="Z45" s="124" t="s">
        <v>561</v>
      </c>
      <c r="AA45" s="54" t="s">
        <v>561</v>
      </c>
      <c r="AB45" s="59" t="s">
        <v>561</v>
      </c>
      <c r="AC45" s="59" t="s">
        <v>561</v>
      </c>
      <c r="AD45" s="54" t="s">
        <v>561</v>
      </c>
      <c r="AE45" s="54" t="s">
        <v>561</v>
      </c>
      <c r="AF45" s="13"/>
      <c r="AG45" s="54"/>
      <c r="AH45" s="61">
        <v>101570.0</v>
      </c>
      <c r="AI45" s="62">
        <v>1999.0</v>
      </c>
      <c r="AJ45" s="63"/>
      <c r="AK45" s="64">
        <f t="shared" si="15"/>
        <v>0.2311</v>
      </c>
      <c r="AL45" s="64">
        <f t="shared" si="16"/>
        <v>0.225</v>
      </c>
      <c r="AM45" s="65">
        <v>0.6086</v>
      </c>
      <c r="AN45" s="65">
        <v>0.3775</v>
      </c>
      <c r="AO45" s="65">
        <v>0.59</v>
      </c>
      <c r="AP45" s="65">
        <v>0.365</v>
      </c>
      <c r="AQ45" s="62">
        <v>2028.0</v>
      </c>
    </row>
    <row r="46">
      <c r="A46" s="44" t="str">
        <f>LOOKUP(H46,'Letter grades'!$A$1:$B$6)</f>
        <v>F</v>
      </c>
      <c r="B46" s="44">
        <f t="shared" si="3"/>
        <v>42</v>
      </c>
      <c r="C46" s="67" t="s">
        <v>1434</v>
      </c>
      <c r="D46" s="67" t="s">
        <v>349</v>
      </c>
      <c r="E46" s="46" t="s">
        <v>815</v>
      </c>
      <c r="F46" s="47">
        <f t="shared" si="4"/>
        <v>0</v>
      </c>
      <c r="G46" s="49">
        <f t="shared" si="8"/>
        <v>0.05263157895</v>
      </c>
      <c r="H46" s="51">
        <f t="shared" si="5"/>
        <v>0.0350877193</v>
      </c>
      <c r="I46" s="53" t="s">
        <v>594</v>
      </c>
      <c r="J46" s="53" t="s">
        <v>594</v>
      </c>
      <c r="K46" s="53" t="s">
        <v>1065</v>
      </c>
      <c r="L46" s="54" t="s">
        <v>766</v>
      </c>
      <c r="M46" s="54" t="s">
        <v>491</v>
      </c>
      <c r="N46" s="54" t="s">
        <v>766</v>
      </c>
      <c r="O46" s="54" t="s">
        <v>766</v>
      </c>
      <c r="P46" s="54" t="s">
        <v>766</v>
      </c>
      <c r="Q46" s="54" t="s">
        <v>766</v>
      </c>
      <c r="R46" s="54" t="s">
        <v>766</v>
      </c>
      <c r="S46" s="54" t="s">
        <v>766</v>
      </c>
      <c r="T46" s="54" t="s">
        <v>766</v>
      </c>
      <c r="U46" s="57" t="s">
        <v>561</v>
      </c>
      <c r="V46" s="57" t="s">
        <v>561</v>
      </c>
      <c r="W46" s="54" t="s">
        <v>561</v>
      </c>
      <c r="X46" s="54" t="s">
        <v>561</v>
      </c>
      <c r="Y46" s="54" t="s">
        <v>561</v>
      </c>
      <c r="Z46" s="54" t="s">
        <v>561</v>
      </c>
      <c r="AA46" s="54" t="s">
        <v>561</v>
      </c>
      <c r="AB46" s="59" t="s">
        <v>561</v>
      </c>
      <c r="AC46" s="59" t="s">
        <v>561</v>
      </c>
      <c r="AD46" s="54" t="s">
        <v>561</v>
      </c>
      <c r="AE46" s="54" t="s">
        <v>561</v>
      </c>
      <c r="AF46" s="13"/>
      <c r="AG46" s="54"/>
      <c r="AH46" s="61"/>
      <c r="AI46" s="62">
        <v>2015.0</v>
      </c>
      <c r="AJ46" s="63"/>
      <c r="AK46" s="64">
        <f t="shared" si="15"/>
        <v>0.0278</v>
      </c>
      <c r="AL46" s="64">
        <f t="shared" si="16"/>
        <v>-0.002</v>
      </c>
      <c r="AM46" s="65">
        <v>0.5062</v>
      </c>
      <c r="AN46" s="65">
        <v>0.4784</v>
      </c>
      <c r="AO46" s="65">
        <v>0.473</v>
      </c>
      <c r="AP46" s="65">
        <v>0.475</v>
      </c>
      <c r="AQ46" s="62">
        <v>2026.0</v>
      </c>
    </row>
    <row r="47">
      <c r="A47" s="44" t="str">
        <f>LOOKUP(H47,'Letter grades'!$A$1:$B$6)</f>
        <v>F</v>
      </c>
      <c r="B47" s="44">
        <f t="shared" si="3"/>
        <v>42</v>
      </c>
      <c r="C47" s="67" t="s">
        <v>127</v>
      </c>
      <c r="D47" s="67" t="s">
        <v>1601</v>
      </c>
      <c r="E47" s="46" t="s">
        <v>1060</v>
      </c>
      <c r="F47" s="47">
        <f t="shared" si="4"/>
        <v>0</v>
      </c>
      <c r="G47" s="49">
        <f t="shared" si="8"/>
        <v>0.05263157895</v>
      </c>
      <c r="H47" s="51">
        <f t="shared" si="5"/>
        <v>0.0350877193</v>
      </c>
      <c r="I47" s="53" t="s">
        <v>594</v>
      </c>
      <c r="J47" s="53" t="s">
        <v>594</v>
      </c>
      <c r="K47" s="53" t="s">
        <v>1065</v>
      </c>
      <c r="L47" s="54" t="s">
        <v>766</v>
      </c>
      <c r="M47" s="54" t="s">
        <v>491</v>
      </c>
      <c r="N47" s="54" t="s">
        <v>766</v>
      </c>
      <c r="O47" s="54" t="s">
        <v>766</v>
      </c>
      <c r="P47" s="54" t="s">
        <v>766</v>
      </c>
      <c r="Q47" s="54" t="s">
        <v>766</v>
      </c>
      <c r="R47" s="54" t="s">
        <v>766</v>
      </c>
      <c r="S47" s="54" t="s">
        <v>766</v>
      </c>
      <c r="T47" s="54" t="s">
        <v>766</v>
      </c>
      <c r="U47" s="57" t="s">
        <v>561</v>
      </c>
      <c r="V47" s="57" t="s">
        <v>561</v>
      </c>
      <c r="W47" s="54" t="s">
        <v>561</v>
      </c>
      <c r="X47" s="54" t="s">
        <v>561</v>
      </c>
      <c r="Y47" s="54" t="s">
        <v>561</v>
      </c>
      <c r="Z47" s="54" t="s">
        <v>561</v>
      </c>
      <c r="AA47" s="54" t="s">
        <v>561</v>
      </c>
      <c r="AB47" s="59" t="s">
        <v>561</v>
      </c>
      <c r="AC47" s="59" t="s">
        <v>561</v>
      </c>
      <c r="AD47" s="54" t="s">
        <v>561</v>
      </c>
      <c r="AE47" s="54" t="s">
        <v>561</v>
      </c>
      <c r="AF47" s="13" t="s">
        <v>122</v>
      </c>
      <c r="AG47" s="54"/>
      <c r="AH47" s="61"/>
      <c r="AI47" s="62">
        <v>2009.0</v>
      </c>
      <c r="AJ47" s="63"/>
      <c r="AK47" s="64">
        <f t="shared" si="15"/>
        <v>0.1011</v>
      </c>
      <c r="AL47" s="64">
        <f t="shared" si="16"/>
        <v>0.053</v>
      </c>
      <c r="AM47" s="65">
        <v>0.5411</v>
      </c>
      <c r="AN47" s="65">
        <v>0.44</v>
      </c>
      <c r="AO47" s="65">
        <v>0.49700000000000005</v>
      </c>
      <c r="AP47" s="65">
        <v>0.444</v>
      </c>
      <c r="AQ47" s="62">
        <v>2026.0</v>
      </c>
    </row>
    <row r="48">
      <c r="A48" s="44" t="str">
        <f>LOOKUP(H48,'Letter grades'!$A$1:$B$6)</f>
        <v>F</v>
      </c>
      <c r="B48" s="44">
        <f t="shared" si="3"/>
        <v>44</v>
      </c>
      <c r="C48" s="67" t="s">
        <v>1634</v>
      </c>
      <c r="D48" s="67" t="s">
        <v>1635</v>
      </c>
      <c r="E48" s="46" t="s">
        <v>1637</v>
      </c>
      <c r="F48" s="47">
        <f t="shared" si="4"/>
        <v>0</v>
      </c>
      <c r="G48" s="49">
        <f t="shared" si="8"/>
        <v>0</v>
      </c>
      <c r="H48" s="51">
        <f t="shared" si="5"/>
        <v>0</v>
      </c>
      <c r="I48" s="53" t="s">
        <v>594</v>
      </c>
      <c r="J48" s="53" t="s">
        <v>594</v>
      </c>
      <c r="K48" s="53" t="s">
        <v>1065</v>
      </c>
      <c r="L48" s="54" t="s">
        <v>766</v>
      </c>
      <c r="M48" s="54" t="s">
        <v>766</v>
      </c>
      <c r="N48" s="54" t="s">
        <v>766</v>
      </c>
      <c r="O48" s="54" t="s">
        <v>766</v>
      </c>
      <c r="P48" s="54" t="s">
        <v>766</v>
      </c>
      <c r="Q48" s="54" t="s">
        <v>766</v>
      </c>
      <c r="R48" s="54" t="s">
        <v>766</v>
      </c>
      <c r="S48" s="54" t="s">
        <v>766</v>
      </c>
      <c r="T48" s="54" t="s">
        <v>766</v>
      </c>
      <c r="U48" s="57" t="s">
        <v>561</v>
      </c>
      <c r="V48" s="57" t="s">
        <v>561</v>
      </c>
      <c r="W48" s="54" t="s">
        <v>561</v>
      </c>
      <c r="X48" s="54" t="s">
        <v>561</v>
      </c>
      <c r="Y48" s="54" t="s">
        <v>561</v>
      </c>
      <c r="Z48" s="54" t="s">
        <v>561</v>
      </c>
      <c r="AA48" s="54" t="s">
        <v>561</v>
      </c>
      <c r="AB48" s="59" t="s">
        <v>561</v>
      </c>
      <c r="AC48" s="59" t="s">
        <v>561</v>
      </c>
      <c r="AD48" s="54" t="s">
        <v>561</v>
      </c>
      <c r="AE48" s="54" t="s">
        <v>561</v>
      </c>
      <c r="AF48" s="13" t="s">
        <v>108</v>
      </c>
      <c r="AG48" s="54"/>
      <c r="AH48" s="61">
        <v>94456.0</v>
      </c>
      <c r="AI48" s="62">
        <v>2017.0</v>
      </c>
      <c r="AJ48" s="63"/>
      <c r="AK48" s="64">
        <f t="shared" si="15"/>
        <v>0.0239</v>
      </c>
      <c r="AL48" s="64">
        <f t="shared" si="16"/>
        <v>0.015</v>
      </c>
      <c r="AM48" s="65">
        <v>0.5006</v>
      </c>
      <c r="AN48" s="65">
        <v>0.4767</v>
      </c>
      <c r="AO48" s="65">
        <v>0.475</v>
      </c>
      <c r="AP48" s="65">
        <v>0.46</v>
      </c>
      <c r="AQ48" s="62">
        <v>2028.0</v>
      </c>
    </row>
    <row r="49">
      <c r="A49" s="44" t="str">
        <f>LOOKUP(H49,'Letter grades'!$A$1:$B$6)</f>
        <v>F</v>
      </c>
      <c r="B49" s="44">
        <f t="shared" si="3"/>
        <v>44</v>
      </c>
      <c r="C49" s="67" t="s">
        <v>120</v>
      </c>
      <c r="D49" s="67" t="s">
        <v>1660</v>
      </c>
      <c r="E49" s="46" t="s">
        <v>1661</v>
      </c>
      <c r="F49" s="47">
        <f t="shared" si="4"/>
        <v>0</v>
      </c>
      <c r="G49" s="49">
        <f t="shared" si="8"/>
        <v>0</v>
      </c>
      <c r="H49" s="51">
        <f t="shared" si="5"/>
        <v>0</v>
      </c>
      <c r="I49" s="53" t="s">
        <v>594</v>
      </c>
      <c r="J49" s="53" t="s">
        <v>594</v>
      </c>
      <c r="K49" s="53" t="s">
        <v>1065</v>
      </c>
      <c r="L49" s="54" t="s">
        <v>766</v>
      </c>
      <c r="M49" s="54" t="s">
        <v>766</v>
      </c>
      <c r="N49" s="54" t="s">
        <v>766</v>
      </c>
      <c r="O49" s="54" t="s">
        <v>766</v>
      </c>
      <c r="P49" s="54" t="s">
        <v>766</v>
      </c>
      <c r="Q49" s="54" t="s">
        <v>766</v>
      </c>
      <c r="R49" s="54" t="s">
        <v>766</v>
      </c>
      <c r="S49" s="54" t="s">
        <v>766</v>
      </c>
      <c r="T49" s="54" t="s">
        <v>766</v>
      </c>
      <c r="U49" s="57" t="s">
        <v>561</v>
      </c>
      <c r="V49" s="57" t="s">
        <v>561</v>
      </c>
      <c r="W49" s="54" t="s">
        <v>561</v>
      </c>
      <c r="X49" s="54" t="s">
        <v>561</v>
      </c>
      <c r="Y49" s="54" t="s">
        <v>561</v>
      </c>
      <c r="Z49" s="54" t="s">
        <v>561</v>
      </c>
      <c r="AA49" s="54" t="s">
        <v>561</v>
      </c>
      <c r="AB49" s="59" t="s">
        <v>561</v>
      </c>
      <c r="AC49" s="59" t="s">
        <v>600</v>
      </c>
      <c r="AD49" s="54" t="s">
        <v>600</v>
      </c>
      <c r="AE49" s="54" t="s">
        <v>600</v>
      </c>
      <c r="AF49" s="13"/>
      <c r="AG49" s="54"/>
      <c r="AH49" s="61"/>
      <c r="AI49" s="82">
        <v>2023.0</v>
      </c>
      <c r="AJ49" s="63"/>
      <c r="AK49" s="64">
        <f t="shared" si="15"/>
        <v>0.0117</v>
      </c>
      <c r="AL49" s="64">
        <f t="shared" si="16"/>
        <v>-0.007</v>
      </c>
      <c r="AM49" s="65">
        <v>0.5001</v>
      </c>
      <c r="AN49" s="65">
        <v>0.4884</v>
      </c>
      <c r="AO49" s="65">
        <v>0.475</v>
      </c>
      <c r="AP49" s="65">
        <v>0.48200000000000004</v>
      </c>
      <c r="AQ49" s="62">
        <v>2028.0</v>
      </c>
    </row>
    <row r="50">
      <c r="A50" s="44" t="str">
        <f>LOOKUP(H50,'Letter grades'!$A$1:$B$6)</f>
        <v>F</v>
      </c>
      <c r="B50" s="44">
        <f t="shared" si="3"/>
        <v>44</v>
      </c>
      <c r="C50" s="67" t="s">
        <v>1688</v>
      </c>
      <c r="D50" s="67" t="s">
        <v>1690</v>
      </c>
      <c r="E50" s="46" t="s">
        <v>1530</v>
      </c>
      <c r="F50" s="47">
        <f t="shared" si="4"/>
        <v>0</v>
      </c>
      <c r="G50" s="49">
        <f t="shared" si="8"/>
        <v>0</v>
      </c>
      <c r="H50" s="51">
        <f t="shared" si="5"/>
        <v>0</v>
      </c>
      <c r="I50" s="53" t="s">
        <v>594</v>
      </c>
      <c r="J50" s="53" t="s">
        <v>594</v>
      </c>
      <c r="K50" s="53" t="s">
        <v>1065</v>
      </c>
      <c r="L50" s="54" t="s">
        <v>766</v>
      </c>
      <c r="M50" s="54" t="s">
        <v>766</v>
      </c>
      <c r="N50" s="54" t="s">
        <v>766</v>
      </c>
      <c r="O50" s="54" t="s">
        <v>766</v>
      </c>
      <c r="P50" s="54" t="s">
        <v>766</v>
      </c>
      <c r="Q50" s="54" t="s">
        <v>766</v>
      </c>
      <c r="R50" s="54" t="s">
        <v>766</v>
      </c>
      <c r="S50" s="54" t="s">
        <v>766</v>
      </c>
      <c r="T50" s="54" t="s">
        <v>766</v>
      </c>
      <c r="U50" s="57" t="s">
        <v>561</v>
      </c>
      <c r="V50" s="57" t="s">
        <v>561</v>
      </c>
      <c r="W50" s="54" t="s">
        <v>561</v>
      </c>
      <c r="X50" s="54" t="s">
        <v>561</v>
      </c>
      <c r="Y50" s="54" t="s">
        <v>561</v>
      </c>
      <c r="Z50" s="54" t="s">
        <v>561</v>
      </c>
      <c r="AA50" s="54" t="s">
        <v>561</v>
      </c>
      <c r="AB50" s="59" t="s">
        <v>561</v>
      </c>
      <c r="AC50" s="59" t="s">
        <v>561</v>
      </c>
      <c r="AD50" s="54" t="s">
        <v>561</v>
      </c>
      <c r="AE50" s="54" t="s">
        <v>53</v>
      </c>
      <c r="AF50" s="13"/>
      <c r="AG50" s="54"/>
      <c r="AH50" s="61">
        <v>142945.0</v>
      </c>
      <c r="AI50" s="62" t="s">
        <v>1707</v>
      </c>
      <c r="AJ50" s="63"/>
      <c r="AK50" s="64">
        <f t="shared" si="15"/>
        <v>0.2311</v>
      </c>
      <c r="AL50" s="64">
        <f t="shared" si="16"/>
        <v>0.225</v>
      </c>
      <c r="AM50" s="65">
        <v>0.6086</v>
      </c>
      <c r="AN50" s="65">
        <v>0.3775</v>
      </c>
      <c r="AO50" s="65">
        <v>0.59</v>
      </c>
      <c r="AP50" s="65">
        <v>0.365</v>
      </c>
      <c r="AQ50" s="62">
        <v>2024.0</v>
      </c>
    </row>
    <row r="51">
      <c r="A51" s="44" t="str">
        <f>LOOKUP(H51,'Letter grades'!$A$1:$B$6)</f>
        <v>F</v>
      </c>
      <c r="B51" s="44">
        <f t="shared" si="3"/>
        <v>44</v>
      </c>
      <c r="C51" s="67" t="s">
        <v>1716</v>
      </c>
      <c r="D51" s="67" t="s">
        <v>1717</v>
      </c>
      <c r="E51" s="46" t="s">
        <v>1637</v>
      </c>
      <c r="F51" s="47">
        <f t="shared" si="4"/>
        <v>0</v>
      </c>
      <c r="G51" s="49">
        <f t="shared" si="8"/>
        <v>0</v>
      </c>
      <c r="H51" s="51">
        <f t="shared" si="5"/>
        <v>0</v>
      </c>
      <c r="I51" s="53" t="s">
        <v>594</v>
      </c>
      <c r="J51" s="53" t="s">
        <v>594</v>
      </c>
      <c r="K51" s="53" t="s">
        <v>1065</v>
      </c>
      <c r="L51" s="54" t="s">
        <v>766</v>
      </c>
      <c r="M51" s="54" t="s">
        <v>766</v>
      </c>
      <c r="N51" s="54" t="s">
        <v>766</v>
      </c>
      <c r="O51" s="54" t="s">
        <v>766</v>
      </c>
      <c r="P51" s="54" t="s">
        <v>766</v>
      </c>
      <c r="Q51" s="54" t="s">
        <v>766</v>
      </c>
      <c r="R51" s="54" t="s">
        <v>766</v>
      </c>
      <c r="S51" s="54" t="s">
        <v>766</v>
      </c>
      <c r="T51" s="54" t="s">
        <v>766</v>
      </c>
      <c r="U51" s="57" t="s">
        <v>561</v>
      </c>
      <c r="V51" s="57" t="s">
        <v>561</v>
      </c>
      <c r="W51" s="54" t="s">
        <v>561</v>
      </c>
      <c r="X51" s="54" t="s">
        <v>561</v>
      </c>
      <c r="Y51" s="54" t="s">
        <v>561</v>
      </c>
      <c r="Z51" s="54" t="s">
        <v>561</v>
      </c>
      <c r="AA51" s="54" t="s">
        <v>561</v>
      </c>
      <c r="AB51" s="59" t="s">
        <v>561</v>
      </c>
      <c r="AC51" s="59" t="s">
        <v>561</v>
      </c>
      <c r="AD51" s="54" t="s">
        <v>561</v>
      </c>
      <c r="AE51" s="54" t="s">
        <v>561</v>
      </c>
      <c r="AF51" s="13"/>
      <c r="AG51" s="54"/>
      <c r="AH51" s="61">
        <v>589561.0</v>
      </c>
      <c r="AI51" s="62">
        <v>2019.0</v>
      </c>
      <c r="AJ51" s="63"/>
      <c r="AK51" s="64">
        <f t="shared" si="15"/>
        <v>0.0239</v>
      </c>
      <c r="AL51" s="64">
        <f t="shared" si="16"/>
        <v>0.015</v>
      </c>
      <c r="AM51" s="65">
        <v>0.5006</v>
      </c>
      <c r="AN51" s="65">
        <v>0.4767</v>
      </c>
      <c r="AO51" s="65">
        <v>0.475</v>
      </c>
      <c r="AP51" s="65">
        <v>0.46</v>
      </c>
      <c r="AQ51" s="62">
        <v>2024.0</v>
      </c>
    </row>
  </sheetData>
  <mergeCells count="10">
    <mergeCell ref="H1:H3"/>
    <mergeCell ref="AF1:AF3"/>
    <mergeCell ref="AH1:AH3"/>
    <mergeCell ref="A1:A3"/>
    <mergeCell ref="B1:B3"/>
    <mergeCell ref="C1:C3"/>
    <mergeCell ref="D1:D3"/>
    <mergeCell ref="E1:E3"/>
    <mergeCell ref="F1:F3"/>
    <mergeCell ref="G1:G3"/>
  </mergeCells>
  <conditionalFormatting sqref="I4:AE4">
    <cfRule type="colorScale" priority="1">
      <colorScale>
        <cfvo type="formula" val="0"/>
        <cfvo type="formula" val="0.8"/>
        <cfvo type="formula" val="1"/>
        <color rgb="FFFFFFFF"/>
        <color rgb="FFFF80FF"/>
        <color rgb="FFFF00FF"/>
      </colorScale>
    </cfRule>
  </conditionalFormatting>
  <conditionalFormatting sqref="A1:A4">
    <cfRule type="colorScale" priority="2">
      <colorScale>
        <cfvo type="min"/>
        <cfvo type="formula" val="10"/>
        <cfvo type="formula" val="35"/>
        <color rgb="FFFF00FF"/>
        <color rgb="FFFF80FF"/>
        <color rgb="FFFFFFFF"/>
      </colorScale>
    </cfRule>
  </conditionalFormatting>
  <conditionalFormatting sqref="A5:A51">
    <cfRule type="colorScale" priority="3">
      <colorScale>
        <cfvo type="min"/>
        <cfvo type="formula" val="10"/>
        <cfvo type="formula" val="50"/>
        <color rgb="FFFF00FF"/>
        <color rgb="FFFF80FF"/>
        <color rgb="FFFFFFFF"/>
      </colorScale>
    </cfRule>
  </conditionalFormatting>
  <conditionalFormatting sqref="A1:A51">
    <cfRule type="cellIs" dxfId="0" priority="4" operator="equal">
      <formula>"A"</formula>
    </cfRule>
  </conditionalFormatting>
  <conditionalFormatting sqref="A1:A51">
    <cfRule type="cellIs" dxfId="1" priority="5" operator="equal">
      <formula>"B"</formula>
    </cfRule>
  </conditionalFormatting>
  <conditionalFormatting sqref="A1:A51">
    <cfRule type="cellIs" dxfId="2" priority="6" operator="equal">
      <formula>"C"</formula>
    </cfRule>
  </conditionalFormatting>
  <conditionalFormatting sqref="A1:A51">
    <cfRule type="cellIs" dxfId="3" priority="7" operator="equal">
      <formula>"D"</formula>
    </cfRule>
  </conditionalFormatting>
  <conditionalFormatting sqref="I5:K51">
    <cfRule type="colorScale" priority="8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A5:B51">
    <cfRule type="colorScale" priority="9">
      <colorScale>
        <cfvo type="min"/>
        <cfvo type="formula" val="1"/>
        <cfvo type="formula" val="12"/>
        <color rgb="FFFF00FF"/>
        <color rgb="FFFF80FF"/>
        <color rgb="FFFFFFFF"/>
      </colorScale>
    </cfRule>
  </conditionalFormatting>
  <conditionalFormatting sqref="AH1 AH5:AH51">
    <cfRule type="cellIs" dxfId="4" priority="10" operator="equal">
      <formula>"Yes"</formula>
    </cfRule>
  </conditionalFormatting>
  <conditionalFormatting sqref="AH1 AH5:AH51">
    <cfRule type="colorScale" priority="11">
      <colorScale>
        <cfvo type="formula" val="-1000000"/>
        <cfvo type="formula" val="0"/>
        <cfvo type="formula" val="1000000"/>
        <color rgb="FF00FF00"/>
        <color rgb="FFFFFFFF"/>
        <color rgb="FFFF0000"/>
      </colorScale>
    </cfRule>
  </conditionalFormatting>
  <conditionalFormatting sqref="AM5:AM51 AO5:AO51">
    <cfRule type="colorScale" priority="12">
      <colorScale>
        <cfvo type="min"/>
        <cfvo type="max"/>
        <color rgb="FFFFFFFF"/>
        <color rgb="FF4A86E8"/>
      </colorScale>
    </cfRule>
  </conditionalFormatting>
  <conditionalFormatting sqref="AN5:AN51 AP5:AP51">
    <cfRule type="colorScale" priority="13">
      <colorScale>
        <cfvo type="min"/>
        <cfvo type="max"/>
        <color rgb="FFFFFFFF"/>
        <color rgb="FFFF0000"/>
      </colorScale>
    </cfRule>
  </conditionalFormatting>
  <conditionalFormatting sqref="AQ2:AQ4">
    <cfRule type="colorScale" priority="14">
      <colorScale>
        <cfvo type="min"/>
        <cfvo type="max"/>
        <color rgb="FFFFFFFF"/>
        <color rgb="FFFF00FF"/>
      </colorScale>
    </cfRule>
  </conditionalFormatting>
  <conditionalFormatting sqref="I5:J51 L5:M51 N5:N6 AJ5:AL51 N9 N14:N15 N20 N22 N25:N32 N38:N39 O39 N42:O42 N44:N51 K45:K51 O45:AE51 AG45:AH51">
    <cfRule type="colorScale" priority="15">
      <colorScale>
        <cfvo type="min"/>
        <cfvo type="percent" val="56"/>
        <cfvo type="max"/>
        <color rgb="FFFF0000"/>
        <color rgb="FFFFFFFF"/>
        <color rgb="FF4A86E8"/>
      </colorScale>
    </cfRule>
  </conditionalFormatting>
  <conditionalFormatting sqref="F1:H51">
    <cfRule type="colorScale" priority="16">
      <colorScale>
        <cfvo type="min"/>
        <cfvo type="max"/>
        <color rgb="FFFFFFFF"/>
        <color rgb="FFFF00FF"/>
      </colorScale>
    </cfRule>
  </conditionalFormatting>
  <dataValidations>
    <dataValidation type="list" allowBlank="1" showErrorMessage="1" sqref="L5:AA51 AD5:AE51">
      <formula1>"No,Yes,Not voting,Yes (correct),No (incorrect),Present,Not elected"</formula1>
    </dataValidation>
    <dataValidation type="list" allowBlank="1" showErrorMessage="1" sqref="AF5:AF51">
      <formula1>"JVP,PAL PAC,J Street,AIPAC,DMFI"</formula1>
    </dataValidation>
    <dataValidation type="list" allowBlank="1" showErrorMessage="1" sqref="I5:K51">
      <formula1>"Sponsor,Not sponsoring,Not elected,Sponsor (incorrect),Not sponsoring (correct)"</formula1>
    </dataValidation>
    <dataValidation type="list" allowBlank="1" showErrorMessage="1" sqref="AB5:AC51">
      <formula1>"Yes,No,Yes (correct),No (incorrect),Present,Not elected,Not voting"</formula1>
    </dataValidation>
    <dataValidation type="list" allowBlank="1" showErrorMessage="1" sqref="I2:AE2">
      <formula1>"Bill,Resolution,Confirmation,Amendment,NDAA,Veto override"</formula1>
    </dataValidation>
  </dataValidations>
  <hyperlinks>
    <hyperlink r:id="rId1" ref="A1"/>
    <hyperlink r:id="rId2" ref="I1"/>
    <hyperlink r:id="rId3" location="tabs" ref="J1"/>
    <hyperlink r:id="rId4" location="tabs" ref="K1"/>
    <hyperlink r:id="rId5" ref="L1"/>
    <hyperlink r:id="rId6" ref="M1"/>
    <hyperlink r:id="rId7" ref="N1"/>
    <hyperlink r:id="rId8" ref="O1"/>
    <hyperlink r:id="rId9" ref="P1"/>
    <hyperlink r:id="rId10" ref="Q1"/>
    <hyperlink r:id="rId11" ref="R1"/>
    <hyperlink r:id="rId12" ref="S1"/>
    <hyperlink r:id="rId13" ref="T1"/>
    <hyperlink r:id="rId14" ref="U1"/>
    <hyperlink r:id="rId15" ref="V1"/>
    <hyperlink r:id="rId16" ref="W1"/>
    <hyperlink r:id="rId17" ref="X1"/>
    <hyperlink r:id="rId18" ref="Y1"/>
    <hyperlink r:id="rId19" ref="Z1"/>
    <hyperlink r:id="rId20" ref="AA1"/>
    <hyperlink r:id="rId21" ref="AB1"/>
    <hyperlink r:id="rId22" ref="AC1"/>
    <hyperlink r:id="rId23" ref="AD1"/>
    <hyperlink r:id="rId24" ref="AE1"/>
    <hyperlink r:id="rId25" ref="N15"/>
    <hyperlink r:id="rId26" ref="O15"/>
    <hyperlink r:id="rId27" ref="N34"/>
    <hyperlink r:id="rId28" ref="O34"/>
    <hyperlink r:id="rId29" ref="N41"/>
    <hyperlink r:id="rId30" ref="O41"/>
    <hyperlink r:id="rId31" ref="Z45"/>
  </hyperlinks>
  <drawing r:id="rId3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3" t="s">
        <v>7</v>
      </c>
      <c r="E1" s="4" t="s">
        <v>13</v>
      </c>
      <c r="F1" s="3" t="s">
        <v>7</v>
      </c>
    </row>
    <row r="2">
      <c r="A2" s="5" t="s">
        <v>20</v>
      </c>
      <c r="B2" s="9">
        <f>AVERAGEIF('119th House'!E:E, A2&amp;"*", '119th House'!H:H)</f>
        <v>0.6825396825</v>
      </c>
      <c r="D2" s="11"/>
      <c r="E2" s="13" t="s">
        <v>54</v>
      </c>
      <c r="F2" s="16">
        <f>AVERAGEIF('119th House'!I:I, "*DSA*", '119th House'!H:H)</f>
        <v>0.9375</v>
      </c>
    </row>
    <row r="3">
      <c r="A3" s="5" t="s">
        <v>72</v>
      </c>
      <c r="B3" s="9">
        <f>AVERAGEIF('119th House'!E:E, A3&amp;"*", '119th House'!H:H)</f>
        <v>0.6296296296</v>
      </c>
      <c r="D3" s="11"/>
      <c r="E3" s="13" t="s">
        <v>80</v>
      </c>
      <c r="F3" s="16">
        <f>AVERAGEIF('119th House'!I:I, "*PAL PAC*", '119th House'!H:H)</f>
        <v>0.935821567</v>
      </c>
    </row>
    <row r="4">
      <c r="A4" s="5" t="s">
        <v>87</v>
      </c>
      <c r="B4" s="9">
        <f>AVERAGEIF('119th House'!E:E, A4&amp;"*", '119th House'!H:H)</f>
        <v>0.6133786848</v>
      </c>
      <c r="D4" s="11"/>
      <c r="E4" s="13" t="s">
        <v>94</v>
      </c>
      <c r="F4" s="16">
        <f>AVERAGEIF('119th House'!I:I, "*JDems*", '119th House'!H:H)</f>
        <v>0.8492525762</v>
      </c>
    </row>
    <row r="5">
      <c r="A5" s="5" t="s">
        <v>99</v>
      </c>
      <c r="B5" s="9">
        <f>AVERAGEIF('119th House'!E:E, A5&amp;"*", '119th House'!H:H)</f>
        <v>0.5359882724</v>
      </c>
      <c r="D5" s="11"/>
      <c r="E5" s="13" t="s">
        <v>108</v>
      </c>
      <c r="F5" s="18">
        <f>AVERAGEIF('119th House'!I:I, "*J Street*", '119th House'!H:H)</f>
        <v>0.439730645</v>
      </c>
    </row>
    <row r="6">
      <c r="A6" s="5" t="s">
        <v>117</v>
      </c>
      <c r="B6" s="9">
        <f>AVERAGEIF('119th House'!E:E, A6&amp;"*", '119th House'!H:H)</f>
        <v>0.517037037</v>
      </c>
      <c r="D6" s="11"/>
      <c r="E6" s="13" t="s">
        <v>122</v>
      </c>
      <c r="F6" s="20">
        <f>AVERAGEIF('119th House'!I:I, "*AIPAC*", '119th House'!H:H)</f>
        <v>0.2151550525</v>
      </c>
    </row>
    <row r="7">
      <c r="A7" s="5" t="s">
        <v>128</v>
      </c>
      <c r="B7" s="9">
        <f>AVERAGEIF('119th House'!E:E, A7&amp;"*", '119th House'!H:H)</f>
        <v>0.5129838809</v>
      </c>
      <c r="D7" s="11"/>
      <c r="E7" s="13" t="s">
        <v>135</v>
      </c>
      <c r="F7" s="21">
        <f>AVERAGEIF('119th House'!I:I, "*DMFI*", '119th House'!H:H)</f>
        <v>0.1912171467</v>
      </c>
    </row>
    <row r="8">
      <c r="A8" s="5" t="s">
        <v>146</v>
      </c>
      <c r="B8" s="9">
        <f>AVERAGEIF('119th House'!E:E, A8&amp;"*", '119th House'!H:H)</f>
        <v>0.4807256236</v>
      </c>
      <c r="D8" s="11"/>
    </row>
    <row r="9">
      <c r="A9" s="5" t="s">
        <v>154</v>
      </c>
      <c r="B9" s="9">
        <f>AVERAGEIF('119th House'!E:E, A9&amp;"*", '119th House'!H:H)</f>
        <v>0.4668753461</v>
      </c>
      <c r="D9" s="11"/>
    </row>
    <row r="10">
      <c r="A10" s="5" t="s">
        <v>161</v>
      </c>
      <c r="B10" s="9">
        <f>AVERAGEIF('119th House'!E:E, A10&amp;"*", '119th House'!H:H)</f>
        <v>0.4575886525</v>
      </c>
      <c r="D10" s="11"/>
    </row>
    <row r="11">
      <c r="A11" s="5" t="s">
        <v>170</v>
      </c>
      <c r="B11" s="9">
        <f>AVERAGEIF('119th House'!E:E, A11&amp;"*", '119th House'!H:H)</f>
        <v>0.4558404558</v>
      </c>
      <c r="D11" s="11"/>
    </row>
    <row r="12">
      <c r="A12" s="5" t="s">
        <v>177</v>
      </c>
      <c r="B12" s="9">
        <f>AVERAGEIF('119th House'!E:E, A12&amp;"*", '119th House'!H:H)</f>
        <v>0.4350861032</v>
      </c>
      <c r="D12" s="11"/>
    </row>
    <row r="13">
      <c r="A13" s="5" t="s">
        <v>185</v>
      </c>
      <c r="B13" s="9">
        <f>AVERAGEIF('119th House'!E:E, A13&amp;"*", '119th House'!H:H)</f>
        <v>0.4340563376</v>
      </c>
      <c r="D13" s="11"/>
    </row>
    <row r="14">
      <c r="A14" s="5" t="s">
        <v>193</v>
      </c>
      <c r="B14" s="9">
        <f>AVERAGEIF('119th House'!E:E, A14&amp;"*", '119th House'!H:H)</f>
        <v>0.4289245569</v>
      </c>
      <c r="D14" s="11"/>
    </row>
    <row r="15">
      <c r="A15" s="5" t="s">
        <v>199</v>
      </c>
      <c r="B15" s="9">
        <f>AVERAGEIF('119th House'!E:E, A15&amp;"*", '119th House'!H:H)</f>
        <v>0.4289405685</v>
      </c>
      <c r="D15" s="11"/>
    </row>
    <row r="16">
      <c r="A16" s="5" t="s">
        <v>206</v>
      </c>
      <c r="B16" s="9">
        <f>AVERAGEIF('119th House'!E:E, A16&amp;"*", '119th House'!H:H)</f>
        <v>0.4131428764</v>
      </c>
      <c r="D16" s="11"/>
    </row>
    <row r="17">
      <c r="A17" s="5" t="s">
        <v>214</v>
      </c>
      <c r="B17" s="9">
        <f>AVERAGEIF('119th House'!E:E, A17&amp;"*", '119th House'!H:H)</f>
        <v>0.4001130491</v>
      </c>
      <c r="D17" s="11"/>
    </row>
    <row r="18">
      <c r="A18" s="5" t="s">
        <v>221</v>
      </c>
      <c r="B18" s="9">
        <f>AVERAGEIF('119th House'!E:E, A18&amp;"*", '119th House'!H:H)</f>
        <v>0.4111505122</v>
      </c>
      <c r="D18" s="11"/>
    </row>
    <row r="19">
      <c r="A19" s="5" t="s">
        <v>229</v>
      </c>
      <c r="B19" s="9">
        <f>AVERAGEIF('119th House'!E:E, A19&amp;"*", '119th House'!H:H)</f>
        <v>0.4183103797</v>
      </c>
      <c r="D19" s="11"/>
    </row>
    <row r="20">
      <c r="A20" s="5" t="s">
        <v>234</v>
      </c>
      <c r="B20" s="9">
        <f>AVERAGEIF('119th House'!E:E, A20&amp;"*", '119th House'!H:H)</f>
        <v>0.3758169935</v>
      </c>
      <c r="D20" s="11"/>
    </row>
    <row r="21">
      <c r="A21" s="5" t="s">
        <v>238</v>
      </c>
      <c r="B21" s="9">
        <f>AVERAGEIF('119th House'!E:E, A21&amp;"*", '119th House'!H:H)</f>
        <v>0.3800037551</v>
      </c>
      <c r="D21" s="11"/>
    </row>
    <row r="22">
      <c r="A22" s="5" t="s">
        <v>243</v>
      </c>
      <c r="B22" s="9">
        <f>AVERAGEIF('119th House'!E:E, A22&amp;"*", '119th House'!H:H)</f>
        <v>0.3661042617</v>
      </c>
      <c r="D22" s="11"/>
    </row>
    <row r="23">
      <c r="A23" s="5" t="s">
        <v>247</v>
      </c>
      <c r="B23" s="9">
        <f>AVERAGEIF('119th House'!E:E, A23&amp;"*", '119th House'!H:H)</f>
        <v>0.3518825979</v>
      </c>
      <c r="D23" s="11"/>
    </row>
    <row r="24">
      <c r="A24" s="5" t="s">
        <v>251</v>
      </c>
      <c r="B24" s="9">
        <f>AVERAGEIF('119th House'!E:E, A24&amp;"*", '119th House'!H:H)</f>
        <v>0.3461235161</v>
      </c>
      <c r="D24" s="11"/>
    </row>
    <row r="25">
      <c r="A25" s="5" t="s">
        <v>256</v>
      </c>
      <c r="B25" s="9">
        <f>AVERAGEIF('119th House'!E:E, A25&amp;"*", '119th House'!H:H)</f>
        <v>0.3361714976</v>
      </c>
      <c r="D25" s="11"/>
    </row>
    <row r="26">
      <c r="A26" s="5" t="s">
        <v>260</v>
      </c>
      <c r="B26" s="9">
        <f>AVERAGEIF('119th House'!E:E, A26&amp;"*", '119th House'!H:H)</f>
        <v>0.3367346939</v>
      </c>
      <c r="D26" s="11"/>
    </row>
    <row r="27">
      <c r="A27" s="5" t="s">
        <v>265</v>
      </c>
      <c r="B27" s="9">
        <f>AVERAGEIF('119th House'!E:E, A27&amp;"*", '119th House'!H:H)</f>
        <v>0.3368882311</v>
      </c>
      <c r="D27" s="11"/>
    </row>
    <row r="28">
      <c r="A28" s="5" t="s">
        <v>269</v>
      </c>
      <c r="B28" s="9">
        <f>AVERAGEIF('119th House'!E:E, A28&amp;"*", '119th House'!H:H)</f>
        <v>0.3089569161</v>
      </c>
      <c r="D28" s="11"/>
    </row>
    <row r="29">
      <c r="A29" s="5" t="s">
        <v>274</v>
      </c>
      <c r="B29" s="9">
        <f>AVERAGEIF('119th House'!E:E, A29&amp;"*", '119th House'!H:H)</f>
        <v>0.3079561282</v>
      </c>
      <c r="D29" s="11"/>
    </row>
    <row r="30">
      <c r="A30" s="5" t="s">
        <v>278</v>
      </c>
      <c r="B30" s="9">
        <f>AVERAGEIF('119th House'!E:E, A30&amp;"*", '119th House'!H:H)</f>
        <v>0.2976199276</v>
      </c>
      <c r="D30" s="11"/>
    </row>
    <row r="31">
      <c r="A31" s="5" t="s">
        <v>284</v>
      </c>
      <c r="B31" s="9">
        <f>AVERAGEIF('119th House'!E:E, A31&amp;"*", '119th House'!H:H)</f>
        <v>0.3364494681</v>
      </c>
      <c r="D31" s="11"/>
    </row>
    <row r="32">
      <c r="A32" s="5" t="s">
        <v>289</v>
      </c>
      <c r="B32" s="9">
        <f>AVERAGEIF('119th House'!E:E, A32&amp;"*", '119th House'!H:H)</f>
        <v>0.2951388889</v>
      </c>
      <c r="D32" s="11"/>
    </row>
    <row r="33">
      <c r="A33" s="5" t="s">
        <v>294</v>
      </c>
      <c r="B33" s="9">
        <f>AVERAGEIF('119th House'!E:E, A33&amp;"*", '119th House'!H:H)</f>
        <v>0.2849584278</v>
      </c>
      <c r="D33" s="11"/>
    </row>
    <row r="34">
      <c r="A34" s="5" t="s">
        <v>299</v>
      </c>
      <c r="B34" s="9">
        <f>AVERAGEIF('119th House'!E:E, A34&amp;"*", '119th House'!H:H)</f>
        <v>0.2833504677</v>
      </c>
      <c r="D34" s="11"/>
    </row>
    <row r="35">
      <c r="A35" s="5" t="s">
        <v>302</v>
      </c>
      <c r="B35" s="9">
        <f>AVERAGEIF('119th House'!E:E, A35&amp;"*", '119th House'!H:H)</f>
        <v>0.2622222222</v>
      </c>
      <c r="D35" s="11"/>
    </row>
    <row r="36">
      <c r="A36" s="5" t="s">
        <v>307</v>
      </c>
      <c r="B36" s="9">
        <f>AVERAGEIF('119th House'!E:E, A36&amp;"*", '119th House'!H:H)</f>
        <v>0.2466666667</v>
      </c>
      <c r="D36" s="11"/>
    </row>
    <row r="37">
      <c r="A37" s="5" t="s">
        <v>311</v>
      </c>
      <c r="B37" s="9">
        <f>AVERAGEIF('119th House'!E:E, A37&amp;"*", '119th House'!H:H)</f>
        <v>0.2229219543</v>
      </c>
      <c r="D37" s="11"/>
    </row>
    <row r="38">
      <c r="A38" s="5" t="s">
        <v>318</v>
      </c>
      <c r="B38" s="9">
        <f>AVERAGEIF('119th House'!E:E, A38&amp;"*", '119th House'!H:H)</f>
        <v>0.1808261889</v>
      </c>
      <c r="D38" s="11"/>
    </row>
    <row r="39">
      <c r="A39" s="5" t="s">
        <v>322</v>
      </c>
      <c r="B39" s="9">
        <f>AVERAGEIF('119th House'!E:E, A39&amp;"*", '119th House'!H:H)</f>
        <v>0.1584138486</v>
      </c>
      <c r="D39" s="11"/>
    </row>
  </sheetData>
  <dataValidations>
    <dataValidation type="list" allowBlank="1" showErrorMessage="1" sqref="E2:E7">
      <formula1>"DSA,JVP,PAL PAC,NYC-DSA,JDems,J Street,AIPAC,DMFI"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>
        <v>0.0</v>
      </c>
      <c r="B1" s="1" t="s">
        <v>398</v>
      </c>
    </row>
    <row r="2">
      <c r="A2" s="42">
        <v>0.4</v>
      </c>
      <c r="B2" s="1" t="s">
        <v>399</v>
      </c>
    </row>
    <row r="3">
      <c r="A3" s="42">
        <v>0.6</v>
      </c>
      <c r="B3" s="1" t="s">
        <v>400</v>
      </c>
    </row>
    <row r="4">
      <c r="A4" s="42">
        <v>0.8</v>
      </c>
      <c r="B4" s="1" t="s">
        <v>407</v>
      </c>
    </row>
    <row r="5">
      <c r="A5" s="42">
        <v>0.9</v>
      </c>
      <c r="B5" s="1" t="s">
        <v>408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2.0" topLeftCell="I3" activePane="bottomRight" state="frozen"/>
      <selection activeCell="I1" sqref="I1" pane="topRight"/>
      <selection activeCell="A3" sqref="A3" pane="bottomLeft"/>
      <selection activeCell="I3" sqref="I3" pane="bottomRight"/>
    </sheetView>
  </sheetViews>
  <sheetFormatPr customHeight="1" defaultColWidth="12.63" defaultRowHeight="15.75"/>
  <cols>
    <col customWidth="1" min="1" max="1" width="5.5"/>
    <col customWidth="1" min="2" max="2" width="17.38"/>
    <col customWidth="1" min="3" max="3" width="16.63"/>
    <col customWidth="1" min="4" max="4" width="6.13"/>
    <col customWidth="1" hidden="1" min="5" max="5" width="21.75"/>
    <col customWidth="1" min="6" max="7" width="13.25"/>
    <col customWidth="1" min="8" max="8" width="13.5"/>
    <col customWidth="1" min="9" max="9" width="13.63"/>
    <col customWidth="1" min="10" max="10" width="15.5"/>
    <col customWidth="1" min="11" max="12" width="17.25"/>
    <col customWidth="1" min="13" max="14" width="16.13"/>
    <col customWidth="1" min="15" max="15" width="17.0"/>
    <col customWidth="1" min="16" max="16" width="20.38"/>
    <col customWidth="1" min="17" max="17" width="23.0"/>
    <col customWidth="1" min="18" max="18" width="14.5"/>
    <col customWidth="1" min="19" max="19" width="15.63"/>
    <col customWidth="1" min="20" max="20" width="21.75"/>
    <col customWidth="1" min="21" max="21" width="18.88"/>
    <col customWidth="1" min="22" max="23" width="16.38"/>
    <col customWidth="1" min="24" max="24" width="17.25"/>
    <col customWidth="1" min="25" max="25" width="12.13"/>
    <col customWidth="1" min="26" max="26" width="21.13"/>
    <col customWidth="1" min="27" max="27" width="18.63"/>
    <col customWidth="1" min="28" max="28" width="19.38"/>
    <col customWidth="1" min="29" max="29" width="21.63"/>
    <col customWidth="1" min="30" max="30" width="32.38"/>
    <col customWidth="1" min="31" max="32" width="19.38"/>
    <col customWidth="1" min="33" max="33" width="11.5"/>
    <col customWidth="1" min="34" max="34" width="15.5"/>
    <col customWidth="1" min="35" max="35" width="15.38"/>
    <col customWidth="1" min="36" max="36" width="21.63"/>
    <col customWidth="1" min="37" max="37" width="16.5"/>
    <col customWidth="1" min="38" max="38" width="21.0"/>
    <col customWidth="1" min="39" max="39" width="16.5"/>
    <col customWidth="1" min="40" max="40" width="25.38"/>
    <col customWidth="1" min="41" max="41" width="16.63"/>
    <col customWidth="1" min="42" max="42" width="15.5"/>
    <col customWidth="1" min="43" max="43" width="15.0"/>
    <col customWidth="1" min="44" max="44" width="17.38"/>
    <col customWidth="1" min="45" max="45" width="14.5"/>
    <col customWidth="1" min="46" max="46" width="10.25"/>
    <col customWidth="1" min="47" max="47" width="18.88"/>
    <col customWidth="1" min="48" max="48" width="16.75"/>
    <col customWidth="1" min="49" max="50" width="10.25"/>
    <col customWidth="1" min="51" max="51" width="13.25"/>
    <col customWidth="1" min="52" max="52" width="10.75"/>
    <col customWidth="1" min="53" max="53" width="10.25"/>
    <col customWidth="1" min="54" max="54" width="12.75"/>
    <col customWidth="1" min="55" max="55" width="14.88"/>
    <col customWidth="1" min="56" max="56" width="15.5"/>
    <col customWidth="1" min="57" max="57" width="17.13"/>
    <col customWidth="1" min="58" max="58" width="5.63"/>
    <col customWidth="1" min="59" max="59" width="13.13"/>
    <col customWidth="1" min="60" max="60" width="13.0"/>
    <col customWidth="1" min="61" max="61" width="18.5"/>
    <col customWidth="1" min="62" max="62" width="13.0"/>
    <col customWidth="1" min="63" max="63" width="13.38"/>
    <col customWidth="1" min="64" max="67" width="10.25"/>
    <col customWidth="1" hidden="1" min="68" max="68" width="16.63"/>
    <col customWidth="1" hidden="1" min="69" max="69" width="8.25"/>
    <col customWidth="1" hidden="1" min="70" max="70" width="14.75"/>
    <col customWidth="1" hidden="1" min="71" max="71" width="19.63"/>
    <col customWidth="1" hidden="1" min="72" max="72" width="7.38"/>
    <col customWidth="1" hidden="1" min="73" max="73" width="10.38"/>
    <col customWidth="1" hidden="1" min="74" max="74" width="6.63"/>
    <col customWidth="1" hidden="1" min="75" max="75" width="7.13"/>
    <col customWidth="1" hidden="1" min="76" max="76" width="8.13"/>
    <col customWidth="1" hidden="1" min="77" max="77" width="10.38"/>
    <col customWidth="1" hidden="1" min="78" max="78" width="7.88"/>
    <col customWidth="1" hidden="1" min="79" max="80" width="7.13"/>
    <col customWidth="1" hidden="1" min="81" max="81" width="6.5"/>
    <col customWidth="1" hidden="1" min="82" max="82" width="9.38"/>
    <col customWidth="1" hidden="1" min="83" max="83" width="6.38"/>
    <col customWidth="1" hidden="1" min="84" max="84" width="6.5"/>
    <col customWidth="1" hidden="1" min="85" max="85" width="7.0"/>
    <col customWidth="1" hidden="1" min="86" max="87" width="7.5"/>
    <col customWidth="1" hidden="1" min="88" max="88" width="6.5"/>
    <col customWidth="1" hidden="1" min="89" max="89" width="9.38"/>
    <col customWidth="1" hidden="1" min="90" max="90" width="6.38"/>
    <col customWidth="1" hidden="1" min="91" max="91" width="6.5"/>
    <col customWidth="1" hidden="1" min="92" max="92" width="7.0"/>
    <col customWidth="1" hidden="1" min="93" max="94" width="7.5"/>
    <col customWidth="1" hidden="1" min="95" max="96" width="12.38"/>
    <col customWidth="1" hidden="1" min="97" max="97" width="12.75"/>
  </cols>
  <sheetData>
    <row r="1" ht="68.25" customHeight="1">
      <c r="A1" s="48" t="s">
        <v>39</v>
      </c>
      <c r="B1" s="50" t="s">
        <v>475</v>
      </c>
      <c r="C1" s="52" t="s">
        <v>483</v>
      </c>
      <c r="E1" s="55">
        <f>COUNTIF(E3:E209,"YES - signed reso")+COUNTIF(E3:E209,"YES - not on reso")</f>
        <v>61</v>
      </c>
      <c r="F1" s="56" t="s">
        <v>495</v>
      </c>
      <c r="G1" s="56" t="s">
        <v>498</v>
      </c>
      <c r="H1" s="58" t="s">
        <v>500</v>
      </c>
      <c r="I1" s="60" t="s">
        <v>501</v>
      </c>
      <c r="J1" s="60" t="s">
        <v>508</v>
      </c>
      <c r="K1" s="66" t="s">
        <v>77</v>
      </c>
      <c r="L1" s="66" t="s">
        <v>522</v>
      </c>
      <c r="M1" s="60" t="s">
        <v>531</v>
      </c>
      <c r="N1" s="68" t="s">
        <v>539</v>
      </c>
      <c r="O1" s="70" t="s">
        <v>545</v>
      </c>
      <c r="P1" s="72" t="s">
        <v>554</v>
      </c>
      <c r="Q1" s="72" t="s">
        <v>250</v>
      </c>
      <c r="R1" s="72" t="s">
        <v>257</v>
      </c>
      <c r="S1" s="72" t="s">
        <v>267</v>
      </c>
      <c r="T1" s="72" t="s">
        <v>279</v>
      </c>
      <c r="U1" s="72" t="s">
        <v>291</v>
      </c>
      <c r="V1" s="78" t="s">
        <v>231</v>
      </c>
      <c r="W1" s="78" t="s">
        <v>310</v>
      </c>
      <c r="X1" s="80" t="s">
        <v>323</v>
      </c>
      <c r="Y1" s="78" t="s">
        <v>334</v>
      </c>
      <c r="Z1" s="72" t="s">
        <v>346</v>
      </c>
      <c r="AA1" s="81" t="s">
        <v>355</v>
      </c>
      <c r="AB1" s="81" t="s">
        <v>361</v>
      </c>
      <c r="AC1" s="72" t="s">
        <v>365</v>
      </c>
      <c r="AD1" s="81" t="s">
        <v>369</v>
      </c>
      <c r="AE1" s="81" t="s">
        <v>245</v>
      </c>
      <c r="AF1" s="72" t="s">
        <v>376</v>
      </c>
      <c r="AG1" s="72" t="s">
        <v>383</v>
      </c>
      <c r="AH1" s="72" t="s">
        <v>385</v>
      </c>
      <c r="AI1" s="84" t="s">
        <v>390</v>
      </c>
      <c r="AJ1" s="84" t="s">
        <v>403</v>
      </c>
      <c r="AK1" s="84" t="s">
        <v>410</v>
      </c>
      <c r="AL1" s="84" t="s">
        <v>415</v>
      </c>
      <c r="AM1" s="84" t="s">
        <v>421</v>
      </c>
      <c r="AN1" s="84" t="s">
        <v>425</v>
      </c>
      <c r="AO1" s="84" t="s">
        <v>431</v>
      </c>
      <c r="AP1" s="87" t="s">
        <v>437</v>
      </c>
      <c r="AQ1" s="87" t="s">
        <v>442</v>
      </c>
      <c r="AR1" s="87" t="s">
        <v>450</v>
      </c>
      <c r="AS1" s="87" t="s">
        <v>460</v>
      </c>
      <c r="AT1" s="72" t="s">
        <v>466</v>
      </c>
      <c r="AU1" s="72" t="s">
        <v>697</v>
      </c>
      <c r="AV1" s="72" t="s">
        <v>481</v>
      </c>
      <c r="AW1" s="72" t="s">
        <v>485</v>
      </c>
      <c r="AX1" s="84" t="s">
        <v>509</v>
      </c>
      <c r="AY1" s="84" t="s">
        <v>515</v>
      </c>
      <c r="AZ1" s="84" t="s">
        <v>521</v>
      </c>
      <c r="BA1" s="84" t="s">
        <v>717</v>
      </c>
      <c r="BB1" s="84" t="s">
        <v>533</v>
      </c>
      <c r="BC1" s="84" t="s">
        <v>540</v>
      </c>
      <c r="BD1" s="88" t="s">
        <v>547</v>
      </c>
      <c r="BE1" s="88" t="s">
        <v>555</v>
      </c>
      <c r="BF1" s="89"/>
      <c r="BG1" s="89" t="s">
        <v>736</v>
      </c>
      <c r="BH1" s="90" t="s">
        <v>738</v>
      </c>
      <c r="BI1" s="90" t="s">
        <v>741</v>
      </c>
      <c r="BJ1" s="91" t="s">
        <v>573</v>
      </c>
      <c r="BK1" s="92" t="s">
        <v>742</v>
      </c>
      <c r="BL1" s="93" t="s">
        <v>744</v>
      </c>
      <c r="BM1" s="93" t="s">
        <v>750</v>
      </c>
      <c r="BN1" s="93" t="s">
        <v>752</v>
      </c>
      <c r="BO1" s="93" t="s">
        <v>755</v>
      </c>
      <c r="BP1" s="94"/>
      <c r="BQ1" s="28"/>
      <c r="BR1" s="95"/>
      <c r="BS1" s="95"/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6"/>
      <c r="CK1" s="96"/>
      <c r="CL1" s="96"/>
      <c r="CM1" s="96"/>
      <c r="CN1" s="96"/>
      <c r="CO1" s="96"/>
      <c r="CP1" s="95"/>
      <c r="CQ1" s="96"/>
      <c r="CR1" s="95"/>
      <c r="CS1" s="95"/>
    </row>
    <row r="2">
      <c r="B2" s="97"/>
      <c r="C2" s="97"/>
      <c r="D2" s="97"/>
      <c r="E2" s="97"/>
      <c r="I2" s="99" t="s">
        <v>775</v>
      </c>
      <c r="J2" s="99" t="s">
        <v>775</v>
      </c>
      <c r="K2" s="100" t="s">
        <v>775</v>
      </c>
      <c r="L2" s="100" t="s">
        <v>775</v>
      </c>
      <c r="M2" s="99" t="s">
        <v>775</v>
      </c>
      <c r="N2" s="99" t="s">
        <v>775</v>
      </c>
      <c r="O2" s="101" t="s">
        <v>775</v>
      </c>
      <c r="P2" s="102">
        <v>45637.0</v>
      </c>
      <c r="Q2" s="102">
        <v>45617.0</v>
      </c>
      <c r="R2" s="102">
        <v>45616.0</v>
      </c>
      <c r="S2" s="102">
        <v>45608.0</v>
      </c>
      <c r="T2" s="102">
        <v>45553.0</v>
      </c>
      <c r="U2" s="102">
        <v>45470.0</v>
      </c>
      <c r="V2" s="103">
        <v>45447.0</v>
      </c>
      <c r="W2" s="103">
        <v>45428.0</v>
      </c>
      <c r="X2" s="103">
        <v>45413.0</v>
      </c>
      <c r="Y2" s="103">
        <v>45402.0</v>
      </c>
      <c r="Z2" s="102">
        <v>45401.0</v>
      </c>
      <c r="AA2" s="103">
        <v>45399.0</v>
      </c>
      <c r="AB2" s="103">
        <v>45398.0</v>
      </c>
      <c r="AC2" s="103">
        <v>45398.0</v>
      </c>
      <c r="AD2" s="103">
        <v>45397.0</v>
      </c>
      <c r="AE2" s="103">
        <v>45373.0</v>
      </c>
      <c r="AF2" s="102">
        <v>45336.0</v>
      </c>
      <c r="AG2" s="102">
        <v>45328.0</v>
      </c>
      <c r="AH2" s="103">
        <v>45322.0</v>
      </c>
      <c r="AI2" s="104">
        <v>45273.0</v>
      </c>
      <c r="AJ2" s="104">
        <v>45266.0</v>
      </c>
      <c r="AK2" s="104">
        <v>45265.0</v>
      </c>
      <c r="AL2" s="104">
        <v>45260.0</v>
      </c>
      <c r="AM2" s="104">
        <v>45258.0</v>
      </c>
      <c r="AN2" s="104">
        <v>45245.0</v>
      </c>
      <c r="AO2" s="104">
        <v>45237.0</v>
      </c>
      <c r="AP2" s="106">
        <v>45232.0</v>
      </c>
      <c r="AQ2" s="106">
        <v>45232.0</v>
      </c>
      <c r="AR2" s="106">
        <v>45231.0</v>
      </c>
      <c r="AS2" s="106">
        <v>45224.0</v>
      </c>
      <c r="AT2" s="103">
        <v>45197.0</v>
      </c>
      <c r="AU2" s="102">
        <v>45125.0</v>
      </c>
      <c r="AV2" s="102">
        <v>45090.0</v>
      </c>
      <c r="AW2" s="102">
        <v>45041.0</v>
      </c>
      <c r="AX2" s="104">
        <v>44462.0</v>
      </c>
      <c r="AY2" s="104">
        <v>44405.0</v>
      </c>
      <c r="AZ2" s="109">
        <v>43805.0</v>
      </c>
      <c r="BA2" s="104">
        <v>43669.0</v>
      </c>
      <c r="BB2" s="104">
        <v>42740.0</v>
      </c>
      <c r="BC2" s="104">
        <v>40731.0</v>
      </c>
      <c r="BD2" s="111">
        <v>45237.0</v>
      </c>
      <c r="BE2" s="111">
        <v>45215.0</v>
      </c>
      <c r="BP2" s="9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</row>
    <row r="3">
      <c r="A3" s="112">
        <f t="shared" ref="A3:A210" si="1">RANK(H3,H$3:H$213)</f>
        <v>1</v>
      </c>
      <c r="B3" s="112" t="s">
        <v>769</v>
      </c>
      <c r="C3" s="112" t="s">
        <v>770</v>
      </c>
      <c r="D3" s="113" t="s">
        <v>771</v>
      </c>
      <c r="E3" s="114" t="s">
        <v>810</v>
      </c>
      <c r="F3" s="115">
        <f t="shared" ref="F3:F210" si="2">((COUNTIF($I3:$BC3,"Sponsor")+COUNTIF($I3:$BC3, "Not signed"))/(COUNTIF($I3:$BC3,"Sponsor")+COUNTIF($I3:$BC3,"Not sponsoring")+COUNTIF($I3:$BC3, "Not signed")+COUNTIF($I3:$BC3, "Signed")))</f>
        <v>1</v>
      </c>
      <c r="G3" s="115">
        <f t="shared" ref="G3:G210" si="3">(((COUNTIF($I3:$BC3,"No")+(COUNTIF($I3:$BC3,"Present")*0.5))/(COUNTIF($I3:$BC3,"Yes")+COUNTIF($I3:$BC3,"No")+COUNTIF($I3:$BC3,"Present"))))</f>
        <v>0.972972973</v>
      </c>
      <c r="H3" s="116">
        <f t="shared" ref="H3:H210" si="4">(F3*(0.25))+(G3*(0.75))</f>
        <v>0.9797297297</v>
      </c>
      <c r="I3" s="117" t="s">
        <v>487</v>
      </c>
      <c r="J3" s="117" t="s">
        <v>487</v>
      </c>
      <c r="K3" s="117" t="s">
        <v>487</v>
      </c>
      <c r="L3" s="117" t="s">
        <v>487</v>
      </c>
      <c r="M3" s="117" t="s">
        <v>487</v>
      </c>
      <c r="N3" s="117" t="s">
        <v>487</v>
      </c>
      <c r="O3" s="119" t="s">
        <v>822</v>
      </c>
      <c r="P3" s="120" t="s">
        <v>53</v>
      </c>
      <c r="Q3" s="121" t="s">
        <v>53</v>
      </c>
      <c r="R3" s="119" t="s">
        <v>53</v>
      </c>
      <c r="S3" s="119" t="s">
        <v>53</v>
      </c>
      <c r="T3" s="119" t="s">
        <v>53</v>
      </c>
      <c r="U3" s="119" t="s">
        <v>53</v>
      </c>
      <c r="V3" s="123" t="s">
        <v>801</v>
      </c>
      <c r="W3" s="119" t="s">
        <v>53</v>
      </c>
      <c r="X3" s="119" t="s">
        <v>53</v>
      </c>
      <c r="Y3" s="119" t="s">
        <v>53</v>
      </c>
      <c r="Z3" s="119" t="s">
        <v>53</v>
      </c>
      <c r="AA3" s="119" t="s">
        <v>53</v>
      </c>
      <c r="AB3" s="119" t="s">
        <v>53</v>
      </c>
      <c r="AC3" s="121" t="s">
        <v>53</v>
      </c>
      <c r="AD3" s="119" t="s">
        <v>53</v>
      </c>
      <c r="AE3" s="121" t="s">
        <v>53</v>
      </c>
      <c r="AF3" s="125" t="s">
        <v>799</v>
      </c>
      <c r="AG3" s="121" t="s">
        <v>53</v>
      </c>
      <c r="AH3" s="121" t="s">
        <v>53</v>
      </c>
      <c r="AI3" s="125" t="s">
        <v>53</v>
      </c>
      <c r="AJ3" s="121" t="s">
        <v>53</v>
      </c>
      <c r="AK3" s="121" t="s">
        <v>53</v>
      </c>
      <c r="AL3" s="121" t="s">
        <v>53</v>
      </c>
      <c r="AM3" s="128" t="s">
        <v>799</v>
      </c>
      <c r="AN3" s="128" t="s">
        <v>53</v>
      </c>
      <c r="AO3" s="128" t="s">
        <v>53</v>
      </c>
      <c r="AP3" s="121" t="s">
        <v>53</v>
      </c>
      <c r="AQ3" s="128" t="s">
        <v>53</v>
      </c>
      <c r="AR3" s="121" t="s">
        <v>53</v>
      </c>
      <c r="AS3" s="117" t="s">
        <v>53</v>
      </c>
      <c r="AT3" s="117" t="s">
        <v>53</v>
      </c>
      <c r="AU3" s="117" t="s">
        <v>53</v>
      </c>
      <c r="AV3" s="117" t="s">
        <v>53</v>
      </c>
      <c r="AW3" s="117" t="s">
        <v>53</v>
      </c>
      <c r="AX3" s="117" t="s">
        <v>53</v>
      </c>
      <c r="AY3" s="117" t="s">
        <v>53</v>
      </c>
      <c r="AZ3" s="117" t="s">
        <v>53</v>
      </c>
      <c r="BA3" s="117" t="s">
        <v>53</v>
      </c>
      <c r="BB3" s="117" t="s">
        <v>600</v>
      </c>
      <c r="BC3" s="117" t="s">
        <v>600</v>
      </c>
      <c r="BD3" s="129" t="s">
        <v>821</v>
      </c>
      <c r="BE3" s="129" t="s">
        <v>821</v>
      </c>
      <c r="BF3" s="130"/>
      <c r="BG3" s="130">
        <f t="shared" ref="BG3:BG52" si="5">SUM(BH3:BK3)</f>
        <v>0</v>
      </c>
      <c r="BH3" s="131"/>
      <c r="BI3" s="131"/>
      <c r="BJ3" s="132"/>
      <c r="BK3" s="132"/>
      <c r="BL3" s="133" t="s">
        <v>561</v>
      </c>
      <c r="BM3" s="133"/>
      <c r="BN3" s="133"/>
      <c r="BO3" s="133"/>
      <c r="BP3" s="133" t="s">
        <v>845</v>
      </c>
      <c r="BQ3" s="134"/>
      <c r="BR3" s="135" t="s">
        <v>850</v>
      </c>
      <c r="BS3" s="136" t="s">
        <v>851</v>
      </c>
      <c r="BT3" s="134"/>
      <c r="BU3" s="137">
        <f t="shared" ref="BU3:BU203" si="6">BV3-BW3</f>
        <v>0.485</v>
      </c>
      <c r="BV3" s="138">
        <v>0.737</v>
      </c>
      <c r="BW3" s="137">
        <v>0.252</v>
      </c>
      <c r="BX3" s="137"/>
      <c r="BY3" s="137">
        <f t="shared" ref="BY3:BY203" si="7">BZ3-CA3</f>
        <v>0.472</v>
      </c>
      <c r="BZ3" s="138">
        <v>0.718</v>
      </c>
      <c r="CA3" s="137">
        <v>0.24600000000000002</v>
      </c>
      <c r="CB3" s="137"/>
      <c r="CC3" s="138">
        <v>0.475</v>
      </c>
      <c r="CD3" s="137">
        <v>0.028999999999999998</v>
      </c>
      <c r="CE3" s="137">
        <v>0.457</v>
      </c>
      <c r="CF3" s="137">
        <v>0.026000000000000002</v>
      </c>
      <c r="CG3" s="137">
        <v>0.016</v>
      </c>
      <c r="CH3" s="137">
        <v>0.001</v>
      </c>
      <c r="CI3" s="139"/>
      <c r="CJ3" s="138">
        <v>0.479</v>
      </c>
      <c r="CK3" s="137">
        <v>0.023</v>
      </c>
      <c r="CL3" s="137">
        <v>0.47200000000000003</v>
      </c>
      <c r="CM3" s="137">
        <v>0.016</v>
      </c>
      <c r="CN3" s="137">
        <v>0.01</v>
      </c>
      <c r="CO3" s="137">
        <v>0.0</v>
      </c>
      <c r="CP3" s="137"/>
      <c r="CQ3" s="137">
        <v>0.255</v>
      </c>
      <c r="CR3" s="137">
        <v>0.307</v>
      </c>
      <c r="CS3" s="137">
        <v>0.332</v>
      </c>
    </row>
    <row r="4">
      <c r="A4" s="112">
        <f t="shared" si="1"/>
        <v>2</v>
      </c>
      <c r="B4" s="112" t="s">
        <v>865</v>
      </c>
      <c r="C4" s="112" t="s">
        <v>866</v>
      </c>
      <c r="D4" s="113" t="s">
        <v>863</v>
      </c>
      <c r="E4" s="114" t="s">
        <v>867</v>
      </c>
      <c r="F4" s="115">
        <f t="shared" si="2"/>
        <v>1</v>
      </c>
      <c r="G4" s="115">
        <f t="shared" si="3"/>
        <v>0.9696969697</v>
      </c>
      <c r="H4" s="116">
        <f t="shared" si="4"/>
        <v>0.9772727273</v>
      </c>
      <c r="I4" s="117" t="s">
        <v>487</v>
      </c>
      <c r="J4" s="117" t="s">
        <v>487</v>
      </c>
      <c r="K4" s="117" t="s">
        <v>487</v>
      </c>
      <c r="L4" s="117" t="s">
        <v>487</v>
      </c>
      <c r="M4" s="117" t="s">
        <v>487</v>
      </c>
      <c r="N4" s="117" t="s">
        <v>487</v>
      </c>
      <c r="O4" s="119" t="s">
        <v>822</v>
      </c>
      <c r="P4" s="120" t="s">
        <v>53</v>
      </c>
      <c r="Q4" s="121" t="s">
        <v>53</v>
      </c>
      <c r="R4" s="119" t="s">
        <v>53</v>
      </c>
      <c r="S4" s="119" t="s">
        <v>53</v>
      </c>
      <c r="T4" s="119" t="s">
        <v>53</v>
      </c>
      <c r="U4" s="123" t="s">
        <v>801</v>
      </c>
      <c r="V4" s="119" t="s">
        <v>53</v>
      </c>
      <c r="W4" s="119" t="s">
        <v>53</v>
      </c>
      <c r="X4" s="119" t="s">
        <v>53</v>
      </c>
      <c r="Y4" s="119" t="s">
        <v>53</v>
      </c>
      <c r="Z4" s="119" t="s">
        <v>53</v>
      </c>
      <c r="AA4" s="119" t="s">
        <v>53</v>
      </c>
      <c r="AB4" s="119" t="s">
        <v>53</v>
      </c>
      <c r="AC4" s="121" t="s">
        <v>53</v>
      </c>
      <c r="AD4" s="119" t="s">
        <v>53</v>
      </c>
      <c r="AE4" s="121" t="s">
        <v>53</v>
      </c>
      <c r="AF4" s="125" t="s">
        <v>561</v>
      </c>
      <c r="AG4" s="121" t="s">
        <v>53</v>
      </c>
      <c r="AH4" s="121" t="s">
        <v>53</v>
      </c>
      <c r="AI4" s="125" t="s">
        <v>53</v>
      </c>
      <c r="AJ4" s="121" t="s">
        <v>53</v>
      </c>
      <c r="AK4" s="121" t="s">
        <v>53</v>
      </c>
      <c r="AL4" s="121" t="s">
        <v>53</v>
      </c>
      <c r="AM4" s="128" t="s">
        <v>801</v>
      </c>
      <c r="AN4" s="128" t="s">
        <v>53</v>
      </c>
      <c r="AO4" s="128" t="s">
        <v>53</v>
      </c>
      <c r="AP4" s="121" t="s">
        <v>53</v>
      </c>
      <c r="AQ4" s="128" t="s">
        <v>53</v>
      </c>
      <c r="AR4" s="121" t="s">
        <v>53</v>
      </c>
      <c r="AS4" s="117" t="s">
        <v>53</v>
      </c>
      <c r="AT4" s="117" t="s">
        <v>801</v>
      </c>
      <c r="AU4" s="117" t="s">
        <v>53</v>
      </c>
      <c r="AV4" s="117" t="s">
        <v>53</v>
      </c>
      <c r="AW4" s="117" t="s">
        <v>53</v>
      </c>
      <c r="AX4" s="117" t="s">
        <v>53</v>
      </c>
      <c r="AY4" s="117" t="s">
        <v>53</v>
      </c>
      <c r="AZ4" s="117" t="s">
        <v>600</v>
      </c>
      <c r="BA4" s="117" t="s">
        <v>600</v>
      </c>
      <c r="BB4" s="117" t="s">
        <v>600</v>
      </c>
      <c r="BC4" s="117" t="s">
        <v>600</v>
      </c>
      <c r="BD4" s="129" t="s">
        <v>821</v>
      </c>
      <c r="BE4" s="129" t="s">
        <v>821</v>
      </c>
      <c r="BF4" s="130"/>
      <c r="BG4" s="130">
        <f t="shared" si="5"/>
        <v>0</v>
      </c>
      <c r="BH4" s="140"/>
      <c r="BI4" s="140"/>
      <c r="BJ4" s="132"/>
      <c r="BK4" s="132"/>
      <c r="BL4" s="133" t="s">
        <v>561</v>
      </c>
      <c r="BM4" s="133"/>
      <c r="BN4" s="133"/>
      <c r="BO4" s="133"/>
      <c r="BP4" s="133" t="s">
        <v>903</v>
      </c>
      <c r="BQ4" s="134"/>
      <c r="BR4" s="135" t="s">
        <v>850</v>
      </c>
      <c r="BS4" s="136" t="s">
        <v>851</v>
      </c>
      <c r="BT4" s="134"/>
      <c r="BU4" s="137">
        <f t="shared" si="6"/>
        <v>0.584</v>
      </c>
      <c r="BV4" s="138">
        <v>0.784</v>
      </c>
      <c r="BW4" s="137">
        <v>0.2</v>
      </c>
      <c r="BX4" s="137"/>
      <c r="BY4" s="137">
        <f t="shared" si="7"/>
        <v>0.54</v>
      </c>
      <c r="BZ4" s="138">
        <v>0.7490000000000001</v>
      </c>
      <c r="CA4" s="137">
        <v>0.209</v>
      </c>
      <c r="CB4" s="137"/>
      <c r="CC4" s="141">
        <v>0.443</v>
      </c>
      <c r="CD4" s="141">
        <v>0.04</v>
      </c>
      <c r="CE4" s="142">
        <v>0.454</v>
      </c>
      <c r="CF4" s="141">
        <v>0.047</v>
      </c>
      <c r="CG4" s="141">
        <v>0.018</v>
      </c>
      <c r="CH4" s="141">
        <v>0.001</v>
      </c>
      <c r="CI4" s="143"/>
      <c r="CJ4" s="142">
        <v>0.483</v>
      </c>
      <c r="CK4" s="141">
        <v>0.023</v>
      </c>
      <c r="CL4" s="141">
        <v>0.462</v>
      </c>
      <c r="CM4" s="141">
        <v>0.024</v>
      </c>
      <c r="CN4" s="141">
        <v>0.006</v>
      </c>
      <c r="CO4" s="141">
        <v>0.0</v>
      </c>
      <c r="CP4" s="137"/>
      <c r="CQ4" s="137">
        <v>0.345</v>
      </c>
      <c r="CR4" s="137">
        <v>0.47200000000000003</v>
      </c>
      <c r="CS4" s="137">
        <v>0.255</v>
      </c>
    </row>
    <row r="5">
      <c r="A5" s="112">
        <f t="shared" si="1"/>
        <v>3</v>
      </c>
      <c r="B5" s="112" t="s">
        <v>832</v>
      </c>
      <c r="C5" s="112" t="s">
        <v>834</v>
      </c>
      <c r="D5" s="113" t="s">
        <v>836</v>
      </c>
      <c r="E5" s="114" t="s">
        <v>921</v>
      </c>
      <c r="F5" s="115">
        <f t="shared" si="2"/>
        <v>1</v>
      </c>
      <c r="G5" s="115">
        <f t="shared" si="3"/>
        <v>0.9189189189</v>
      </c>
      <c r="H5" s="116">
        <f t="shared" si="4"/>
        <v>0.9391891892</v>
      </c>
      <c r="I5" s="117" t="s">
        <v>487</v>
      </c>
      <c r="J5" s="117" t="s">
        <v>487</v>
      </c>
      <c r="K5" s="117" t="s">
        <v>487</v>
      </c>
      <c r="L5" s="117" t="s">
        <v>487</v>
      </c>
      <c r="M5" s="117" t="s">
        <v>487</v>
      </c>
      <c r="N5" s="117" t="s">
        <v>487</v>
      </c>
      <c r="O5" s="119" t="s">
        <v>822</v>
      </c>
      <c r="P5" s="120" t="s">
        <v>53</v>
      </c>
      <c r="Q5" s="121" t="s">
        <v>53</v>
      </c>
      <c r="R5" s="119" t="s">
        <v>53</v>
      </c>
      <c r="S5" s="119" t="s">
        <v>53</v>
      </c>
      <c r="T5" s="119" t="s">
        <v>53</v>
      </c>
      <c r="U5" s="119" t="s">
        <v>53</v>
      </c>
      <c r="V5" s="119" t="s">
        <v>53</v>
      </c>
      <c r="W5" s="119" t="s">
        <v>53</v>
      </c>
      <c r="X5" s="119" t="s">
        <v>53</v>
      </c>
      <c r="Y5" s="119" t="s">
        <v>53</v>
      </c>
      <c r="Z5" s="119" t="s">
        <v>53</v>
      </c>
      <c r="AA5" s="119" t="s">
        <v>53</v>
      </c>
      <c r="AB5" s="119" t="s">
        <v>53</v>
      </c>
      <c r="AC5" s="121" t="s">
        <v>53</v>
      </c>
      <c r="AD5" s="119" t="s">
        <v>53</v>
      </c>
      <c r="AE5" s="121" t="s">
        <v>53</v>
      </c>
      <c r="AF5" s="125" t="s">
        <v>801</v>
      </c>
      <c r="AG5" s="121" t="s">
        <v>53</v>
      </c>
      <c r="AH5" s="128" t="s">
        <v>561</v>
      </c>
      <c r="AI5" s="125" t="s">
        <v>53</v>
      </c>
      <c r="AJ5" s="121" t="s">
        <v>53</v>
      </c>
      <c r="AK5" s="121" t="s">
        <v>53</v>
      </c>
      <c r="AL5" s="121" t="s">
        <v>53</v>
      </c>
      <c r="AM5" s="128" t="s">
        <v>561</v>
      </c>
      <c r="AN5" s="128" t="s">
        <v>53</v>
      </c>
      <c r="AO5" s="128" t="s">
        <v>53</v>
      </c>
      <c r="AP5" s="121" t="s">
        <v>53</v>
      </c>
      <c r="AQ5" s="128" t="s">
        <v>53</v>
      </c>
      <c r="AR5" s="121" t="s">
        <v>53</v>
      </c>
      <c r="AS5" s="117" t="s">
        <v>53</v>
      </c>
      <c r="AT5" s="117" t="s">
        <v>53</v>
      </c>
      <c r="AU5" s="117" t="s">
        <v>53</v>
      </c>
      <c r="AV5" s="117" t="s">
        <v>53</v>
      </c>
      <c r="AW5" s="117" t="s">
        <v>53</v>
      </c>
      <c r="AX5" s="117" t="s">
        <v>53</v>
      </c>
      <c r="AY5" s="117" t="s">
        <v>561</v>
      </c>
      <c r="AZ5" s="117" t="s">
        <v>53</v>
      </c>
      <c r="BA5" s="117" t="s">
        <v>53</v>
      </c>
      <c r="BB5" s="117" t="s">
        <v>600</v>
      </c>
      <c r="BC5" s="117" t="s">
        <v>600</v>
      </c>
      <c r="BD5" s="129" t="s">
        <v>821</v>
      </c>
      <c r="BE5" s="129" t="s">
        <v>821</v>
      </c>
      <c r="BF5" s="130"/>
      <c r="BG5" s="130">
        <f t="shared" si="5"/>
        <v>0</v>
      </c>
      <c r="BH5" s="131"/>
      <c r="BI5" s="131"/>
      <c r="BJ5" s="132"/>
      <c r="BK5" s="132"/>
      <c r="BL5" s="133" t="s">
        <v>561</v>
      </c>
      <c r="BM5" s="133"/>
      <c r="BN5" s="133"/>
      <c r="BO5" s="133"/>
      <c r="BP5" s="133" t="s">
        <v>845</v>
      </c>
      <c r="BQ5" s="134"/>
      <c r="BR5" s="135" t="s">
        <v>850</v>
      </c>
      <c r="BS5" s="135" t="s">
        <v>940</v>
      </c>
      <c r="BT5" s="134"/>
      <c r="BU5" s="137">
        <f t="shared" si="6"/>
        <v>0.632</v>
      </c>
      <c r="BV5" s="138">
        <v>0.8059999999999999</v>
      </c>
      <c r="BW5" s="137">
        <v>0.174</v>
      </c>
      <c r="BX5" s="137"/>
      <c r="BY5" s="137">
        <f t="shared" si="7"/>
        <v>0.552</v>
      </c>
      <c r="BZ5" s="138">
        <v>0.733</v>
      </c>
      <c r="CA5" s="137">
        <v>0.18100000000000002</v>
      </c>
      <c r="CB5" s="137"/>
      <c r="CC5" s="138">
        <v>0.654</v>
      </c>
      <c r="CD5" s="137">
        <v>0.086</v>
      </c>
      <c r="CE5" s="137">
        <v>0.165</v>
      </c>
      <c r="CF5" s="137">
        <v>0.071</v>
      </c>
      <c r="CG5" s="137">
        <v>0.027999999999999997</v>
      </c>
      <c r="CH5" s="137">
        <v>0.002</v>
      </c>
      <c r="CI5" s="139"/>
      <c r="CJ5" s="138">
        <v>0.731</v>
      </c>
      <c r="CK5" s="137">
        <v>0.048</v>
      </c>
      <c r="CL5" s="137">
        <v>0.15</v>
      </c>
      <c r="CM5" s="137">
        <v>0.051</v>
      </c>
      <c r="CN5" s="137">
        <v>0.017</v>
      </c>
      <c r="CO5" s="137">
        <v>0.0</v>
      </c>
      <c r="CP5" s="137"/>
      <c r="CQ5" s="137">
        <v>0.47700000000000004</v>
      </c>
      <c r="CR5" s="138">
        <v>0.5670000000000001</v>
      </c>
      <c r="CS5" s="137">
        <v>0.316</v>
      </c>
    </row>
    <row r="6">
      <c r="A6" s="112">
        <f t="shared" si="1"/>
        <v>4</v>
      </c>
      <c r="B6" s="112" t="s">
        <v>945</v>
      </c>
      <c r="C6" s="112" t="s">
        <v>144</v>
      </c>
      <c r="D6" s="113" t="s">
        <v>946</v>
      </c>
      <c r="E6" s="114" t="s">
        <v>949</v>
      </c>
      <c r="F6" s="115">
        <f t="shared" si="2"/>
        <v>0.7142857143</v>
      </c>
      <c r="G6" s="115">
        <f t="shared" si="3"/>
        <v>0.8529411765</v>
      </c>
      <c r="H6" s="116">
        <f t="shared" si="4"/>
        <v>0.8182773109</v>
      </c>
      <c r="I6" s="117" t="s">
        <v>487</v>
      </c>
      <c r="J6" s="117" t="s">
        <v>487</v>
      </c>
      <c r="K6" s="117" t="s">
        <v>487</v>
      </c>
      <c r="L6" s="117" t="s">
        <v>594</v>
      </c>
      <c r="M6" s="117" t="s">
        <v>594</v>
      </c>
      <c r="N6" s="117" t="s">
        <v>487</v>
      </c>
      <c r="O6" s="119" t="s">
        <v>822</v>
      </c>
      <c r="P6" s="120" t="s">
        <v>53</v>
      </c>
      <c r="Q6" s="121" t="s">
        <v>53</v>
      </c>
      <c r="R6" s="121" t="s">
        <v>561</v>
      </c>
      <c r="S6" s="119" t="s">
        <v>53</v>
      </c>
      <c r="T6" s="119" t="s">
        <v>53</v>
      </c>
      <c r="U6" s="119" t="s">
        <v>53</v>
      </c>
      <c r="V6" s="119" t="s">
        <v>53</v>
      </c>
      <c r="W6" s="119" t="s">
        <v>53</v>
      </c>
      <c r="X6" s="119" t="s">
        <v>53</v>
      </c>
      <c r="Y6" s="119" t="s">
        <v>53</v>
      </c>
      <c r="Z6" s="119" t="s">
        <v>53</v>
      </c>
      <c r="AA6" s="119" t="s">
        <v>53</v>
      </c>
      <c r="AB6" s="119" t="s">
        <v>53</v>
      </c>
      <c r="AC6" s="125" t="s">
        <v>561</v>
      </c>
      <c r="AD6" s="119" t="s">
        <v>53</v>
      </c>
      <c r="AE6" s="121" t="s">
        <v>53</v>
      </c>
      <c r="AF6" s="125" t="s">
        <v>561</v>
      </c>
      <c r="AG6" s="121" t="s">
        <v>53</v>
      </c>
      <c r="AH6" s="128" t="s">
        <v>561</v>
      </c>
      <c r="AI6" s="125" t="s">
        <v>53</v>
      </c>
      <c r="AJ6" s="121" t="s">
        <v>53</v>
      </c>
      <c r="AK6" s="121" t="s">
        <v>53</v>
      </c>
      <c r="AL6" s="121" t="s">
        <v>53</v>
      </c>
      <c r="AM6" s="128" t="s">
        <v>561</v>
      </c>
      <c r="AN6" s="128" t="s">
        <v>53</v>
      </c>
      <c r="AO6" s="128" t="s">
        <v>53</v>
      </c>
      <c r="AP6" s="121" t="s">
        <v>53</v>
      </c>
      <c r="AQ6" s="128" t="s">
        <v>53</v>
      </c>
      <c r="AR6" s="121" t="s">
        <v>53</v>
      </c>
      <c r="AS6" s="117" t="s">
        <v>53</v>
      </c>
      <c r="AT6" s="117" t="s">
        <v>53</v>
      </c>
      <c r="AU6" s="117" t="s">
        <v>53</v>
      </c>
      <c r="AV6" s="117" t="s">
        <v>53</v>
      </c>
      <c r="AW6" s="117" t="s">
        <v>53</v>
      </c>
      <c r="AX6" s="117" t="s">
        <v>600</v>
      </c>
      <c r="AY6" s="117" t="s">
        <v>600</v>
      </c>
      <c r="AZ6" s="117" t="s">
        <v>600</v>
      </c>
      <c r="BA6" s="117" t="s">
        <v>600</v>
      </c>
      <c r="BB6" s="117" t="s">
        <v>600</v>
      </c>
      <c r="BC6" s="117" t="s">
        <v>600</v>
      </c>
      <c r="BD6" s="129" t="s">
        <v>821</v>
      </c>
      <c r="BE6" s="129" t="s">
        <v>821</v>
      </c>
      <c r="BF6" s="130"/>
      <c r="BG6" s="130">
        <f t="shared" si="5"/>
        <v>-5099105</v>
      </c>
      <c r="BH6" s="131">
        <v>-699642.0</v>
      </c>
      <c r="BI6" s="131">
        <f>-3924473</f>
        <v>-3924473</v>
      </c>
      <c r="BJ6" s="132">
        <f>-2000</f>
        <v>-2000</v>
      </c>
      <c r="BK6" s="132">
        <v>-472990.0</v>
      </c>
      <c r="BL6" s="133"/>
      <c r="BM6" s="133" t="s">
        <v>561</v>
      </c>
      <c r="BN6" s="133"/>
      <c r="BO6" s="133"/>
      <c r="BP6" s="133" t="s">
        <v>976</v>
      </c>
      <c r="BQ6" s="134"/>
      <c r="BR6" s="135" t="s">
        <v>850</v>
      </c>
      <c r="BS6" s="135" t="s">
        <v>940</v>
      </c>
      <c r="BT6" s="134"/>
      <c r="BU6" s="137">
        <f t="shared" si="6"/>
        <v>0.199</v>
      </c>
      <c r="BV6" s="138">
        <v>0.594</v>
      </c>
      <c r="BW6" s="137">
        <v>0.395</v>
      </c>
      <c r="BX6" s="137"/>
      <c r="BY6" s="137">
        <f t="shared" si="7"/>
        <v>0.175</v>
      </c>
      <c r="BZ6" s="138">
        <v>0.5710000000000001</v>
      </c>
      <c r="CA6" s="137">
        <v>0.396</v>
      </c>
      <c r="CB6" s="137"/>
      <c r="CC6" s="138">
        <v>0.758</v>
      </c>
      <c r="CD6" s="137">
        <v>0.024</v>
      </c>
      <c r="CE6" s="137">
        <v>0.151</v>
      </c>
      <c r="CF6" s="137">
        <v>0.052000000000000005</v>
      </c>
      <c r="CG6" s="137">
        <v>0.012</v>
      </c>
      <c r="CH6" s="137">
        <v>0.001</v>
      </c>
      <c r="CI6" s="139"/>
      <c r="CJ6" s="138">
        <v>0.805</v>
      </c>
      <c r="CK6" s="137">
        <v>0.019</v>
      </c>
      <c r="CL6" s="137">
        <v>0.14800000000000002</v>
      </c>
      <c r="CM6" s="137">
        <v>0.022000000000000002</v>
      </c>
      <c r="CN6" s="137">
        <v>0.005</v>
      </c>
      <c r="CO6" s="137">
        <v>0.0</v>
      </c>
      <c r="CP6" s="137"/>
      <c r="CQ6" s="137">
        <v>0.384</v>
      </c>
      <c r="CR6" s="137">
        <v>0.401</v>
      </c>
      <c r="CS6" s="137">
        <v>0.48200000000000004</v>
      </c>
    </row>
    <row r="7">
      <c r="A7" s="112">
        <f t="shared" si="1"/>
        <v>5</v>
      </c>
      <c r="B7" s="112" t="s">
        <v>995</v>
      </c>
      <c r="C7" s="112" t="s">
        <v>996</v>
      </c>
      <c r="D7" s="113" t="s">
        <v>997</v>
      </c>
      <c r="E7" s="114" t="s">
        <v>998</v>
      </c>
      <c r="F7" s="115">
        <f t="shared" si="2"/>
        <v>0.7142857143</v>
      </c>
      <c r="G7" s="115">
        <f t="shared" si="3"/>
        <v>0.8513513514</v>
      </c>
      <c r="H7" s="116">
        <f t="shared" si="4"/>
        <v>0.8170849421</v>
      </c>
      <c r="I7" s="117" t="s">
        <v>487</v>
      </c>
      <c r="J7" s="117" t="s">
        <v>487</v>
      </c>
      <c r="K7" s="117" t="s">
        <v>487</v>
      </c>
      <c r="L7" s="117" t="s">
        <v>594</v>
      </c>
      <c r="M7" s="117" t="s">
        <v>487</v>
      </c>
      <c r="N7" s="117" t="s">
        <v>594</v>
      </c>
      <c r="O7" s="119" t="s">
        <v>822</v>
      </c>
      <c r="P7" s="120" t="s">
        <v>53</v>
      </c>
      <c r="Q7" s="121" t="s">
        <v>53</v>
      </c>
      <c r="R7" s="121" t="s">
        <v>561</v>
      </c>
      <c r="S7" s="119" t="s">
        <v>53</v>
      </c>
      <c r="T7" s="119" t="s">
        <v>53</v>
      </c>
      <c r="U7" s="119" t="s">
        <v>53</v>
      </c>
      <c r="V7" s="119" t="s">
        <v>53</v>
      </c>
      <c r="W7" s="119" t="s">
        <v>53</v>
      </c>
      <c r="X7" s="119" t="s">
        <v>53</v>
      </c>
      <c r="Y7" s="119" t="s">
        <v>53</v>
      </c>
      <c r="Z7" s="119" t="s">
        <v>53</v>
      </c>
      <c r="AA7" s="119" t="s">
        <v>53</v>
      </c>
      <c r="AB7" s="119" t="s">
        <v>53</v>
      </c>
      <c r="AC7" s="125" t="s">
        <v>561</v>
      </c>
      <c r="AD7" s="119" t="s">
        <v>53</v>
      </c>
      <c r="AE7" s="121" t="s">
        <v>53</v>
      </c>
      <c r="AF7" s="125" t="s">
        <v>561</v>
      </c>
      <c r="AG7" s="121" t="s">
        <v>53</v>
      </c>
      <c r="AH7" s="128" t="s">
        <v>561</v>
      </c>
      <c r="AI7" s="125" t="s">
        <v>53</v>
      </c>
      <c r="AJ7" s="121" t="s">
        <v>53</v>
      </c>
      <c r="AK7" s="121" t="s">
        <v>53</v>
      </c>
      <c r="AL7" s="123" t="s">
        <v>801</v>
      </c>
      <c r="AM7" s="128" t="s">
        <v>561</v>
      </c>
      <c r="AN7" s="128" t="s">
        <v>53</v>
      </c>
      <c r="AO7" s="128" t="s">
        <v>53</v>
      </c>
      <c r="AP7" s="121" t="s">
        <v>53</v>
      </c>
      <c r="AQ7" s="128" t="s">
        <v>53</v>
      </c>
      <c r="AR7" s="121" t="s">
        <v>53</v>
      </c>
      <c r="AS7" s="117" t="s">
        <v>53</v>
      </c>
      <c r="AT7" s="117" t="s">
        <v>53</v>
      </c>
      <c r="AU7" s="117" t="s">
        <v>53</v>
      </c>
      <c r="AV7" s="117" t="s">
        <v>53</v>
      </c>
      <c r="AW7" s="117" t="s">
        <v>53</v>
      </c>
      <c r="AX7" s="117" t="s">
        <v>799</v>
      </c>
      <c r="AY7" s="117" t="s">
        <v>53</v>
      </c>
      <c r="AZ7" s="117" t="s">
        <v>53</v>
      </c>
      <c r="BA7" s="117" t="s">
        <v>53</v>
      </c>
      <c r="BB7" s="117" t="s">
        <v>600</v>
      </c>
      <c r="BC7" s="117" t="s">
        <v>600</v>
      </c>
      <c r="BD7" s="129" t="s">
        <v>821</v>
      </c>
      <c r="BE7" s="129" t="s">
        <v>821</v>
      </c>
      <c r="BF7" s="130"/>
      <c r="BG7" s="130">
        <f t="shared" si="5"/>
        <v>0</v>
      </c>
      <c r="BH7" s="131"/>
      <c r="BI7" s="131"/>
      <c r="BJ7" s="132"/>
      <c r="BK7" s="132"/>
      <c r="BL7" s="133" t="s">
        <v>561</v>
      </c>
      <c r="BM7" s="133"/>
      <c r="BN7" s="133"/>
      <c r="BO7" s="133"/>
      <c r="BP7" s="133" t="s">
        <v>845</v>
      </c>
      <c r="BQ7" s="134"/>
      <c r="BR7" s="135" t="s">
        <v>850</v>
      </c>
      <c r="BS7" s="136" t="s">
        <v>851</v>
      </c>
      <c r="BT7" s="134"/>
      <c r="BU7" s="137">
        <f t="shared" si="6"/>
        <v>0.566</v>
      </c>
      <c r="BV7" s="138">
        <v>0.779</v>
      </c>
      <c r="BW7" s="137">
        <v>0.213</v>
      </c>
      <c r="BX7" s="137"/>
      <c r="BY7" s="137">
        <f t="shared" si="7"/>
        <v>0.665</v>
      </c>
      <c r="BZ7" s="138">
        <v>0.8190000000000001</v>
      </c>
      <c r="CA7" s="137">
        <v>0.154</v>
      </c>
      <c r="CB7" s="137"/>
      <c r="CC7" s="137">
        <v>0.196</v>
      </c>
      <c r="CD7" s="138">
        <v>0.49200000000000005</v>
      </c>
      <c r="CE7" s="137">
        <v>0.221</v>
      </c>
      <c r="CF7" s="137">
        <v>0.127</v>
      </c>
      <c r="CG7" s="137">
        <v>0.031</v>
      </c>
      <c r="CH7" s="137">
        <v>0.003</v>
      </c>
      <c r="CI7" s="139"/>
      <c r="CJ7" s="137">
        <v>0.23800000000000002</v>
      </c>
      <c r="CK7" s="138">
        <v>0.457</v>
      </c>
      <c r="CL7" s="137">
        <v>0.20500000000000002</v>
      </c>
      <c r="CM7" s="137">
        <v>0.09300000000000001</v>
      </c>
      <c r="CN7" s="137">
        <v>0.004</v>
      </c>
      <c r="CO7" s="137">
        <v>0.0</v>
      </c>
      <c r="CP7" s="137"/>
      <c r="CQ7" s="137">
        <v>0.266</v>
      </c>
      <c r="CR7" s="137">
        <v>0.45899999999999996</v>
      </c>
      <c r="CS7" s="137">
        <v>0.129</v>
      </c>
    </row>
    <row r="8">
      <c r="A8" s="112">
        <f t="shared" si="1"/>
        <v>6</v>
      </c>
      <c r="B8" s="112" t="s">
        <v>776</v>
      </c>
      <c r="C8" s="112" t="s">
        <v>777</v>
      </c>
      <c r="D8" s="144" t="s">
        <v>773</v>
      </c>
      <c r="E8" s="114" t="s">
        <v>1045</v>
      </c>
      <c r="F8" s="115">
        <f t="shared" si="2"/>
        <v>0.8571428571</v>
      </c>
      <c r="G8" s="115">
        <f t="shared" si="3"/>
        <v>0.7972972973</v>
      </c>
      <c r="H8" s="116">
        <f t="shared" si="4"/>
        <v>0.8122586873</v>
      </c>
      <c r="I8" s="117" t="s">
        <v>487</v>
      </c>
      <c r="J8" s="117" t="s">
        <v>487</v>
      </c>
      <c r="K8" s="117" t="s">
        <v>487</v>
      </c>
      <c r="L8" s="117" t="s">
        <v>487</v>
      </c>
      <c r="M8" s="117" t="s">
        <v>594</v>
      </c>
      <c r="N8" s="117" t="s">
        <v>487</v>
      </c>
      <c r="O8" s="119" t="s">
        <v>822</v>
      </c>
      <c r="P8" s="120" t="s">
        <v>53</v>
      </c>
      <c r="Q8" s="121" t="s">
        <v>53</v>
      </c>
      <c r="R8" s="121" t="s">
        <v>561</v>
      </c>
      <c r="S8" s="119" t="s">
        <v>53</v>
      </c>
      <c r="T8" s="119" t="s">
        <v>53</v>
      </c>
      <c r="U8" s="119" t="s">
        <v>53</v>
      </c>
      <c r="V8" s="119" t="s">
        <v>53</v>
      </c>
      <c r="W8" s="119" t="s">
        <v>53</v>
      </c>
      <c r="X8" s="119" t="s">
        <v>53</v>
      </c>
      <c r="Y8" s="119" t="s">
        <v>53</v>
      </c>
      <c r="Z8" s="119" t="s">
        <v>53</v>
      </c>
      <c r="AA8" s="119" t="s">
        <v>53</v>
      </c>
      <c r="AB8" s="119" t="s">
        <v>53</v>
      </c>
      <c r="AC8" s="125" t="s">
        <v>561</v>
      </c>
      <c r="AD8" s="119" t="s">
        <v>53</v>
      </c>
      <c r="AE8" s="125" t="s">
        <v>801</v>
      </c>
      <c r="AF8" s="125" t="s">
        <v>561</v>
      </c>
      <c r="AG8" s="121" t="s">
        <v>53</v>
      </c>
      <c r="AH8" s="128" t="s">
        <v>561</v>
      </c>
      <c r="AI8" s="125" t="s">
        <v>53</v>
      </c>
      <c r="AJ8" s="121" t="s">
        <v>53</v>
      </c>
      <c r="AK8" s="121" t="s">
        <v>53</v>
      </c>
      <c r="AL8" s="121" t="s">
        <v>53</v>
      </c>
      <c r="AM8" s="128" t="s">
        <v>561</v>
      </c>
      <c r="AN8" s="128" t="s">
        <v>53</v>
      </c>
      <c r="AO8" s="128" t="s">
        <v>53</v>
      </c>
      <c r="AP8" s="121" t="s">
        <v>53</v>
      </c>
      <c r="AQ8" s="128" t="s">
        <v>53</v>
      </c>
      <c r="AR8" s="121" t="s">
        <v>53</v>
      </c>
      <c r="AS8" s="117" t="s">
        <v>799</v>
      </c>
      <c r="AT8" s="117" t="s">
        <v>53</v>
      </c>
      <c r="AU8" s="117" t="s">
        <v>53</v>
      </c>
      <c r="AV8" s="117" t="s">
        <v>53</v>
      </c>
      <c r="AW8" s="117" t="s">
        <v>53</v>
      </c>
      <c r="AX8" s="117" t="s">
        <v>53</v>
      </c>
      <c r="AY8" s="117" t="s">
        <v>561</v>
      </c>
      <c r="AZ8" s="117" t="s">
        <v>53</v>
      </c>
      <c r="BA8" s="117" t="s">
        <v>561</v>
      </c>
      <c r="BB8" s="117" t="s">
        <v>600</v>
      </c>
      <c r="BC8" s="117" t="s">
        <v>600</v>
      </c>
      <c r="BD8" s="129" t="s">
        <v>821</v>
      </c>
      <c r="BE8" s="129" t="s">
        <v>821</v>
      </c>
      <c r="BF8" s="130"/>
      <c r="BG8" s="130">
        <f t="shared" si="5"/>
        <v>0</v>
      </c>
      <c r="BH8" s="131"/>
      <c r="BI8" s="131"/>
      <c r="BJ8" s="132"/>
      <c r="BK8" s="132"/>
      <c r="BL8" s="133"/>
      <c r="BM8" s="133"/>
      <c r="BN8" s="133"/>
      <c r="BO8" s="133"/>
      <c r="BP8" s="133" t="s">
        <v>845</v>
      </c>
      <c r="BQ8" s="134"/>
      <c r="BR8" s="135" t="s">
        <v>850</v>
      </c>
      <c r="BS8" s="135" t="s">
        <v>940</v>
      </c>
      <c r="BT8" s="134"/>
      <c r="BU8" s="137">
        <f t="shared" si="6"/>
        <v>0.724</v>
      </c>
      <c r="BV8" s="138">
        <v>0.855</v>
      </c>
      <c r="BW8" s="137">
        <v>0.131</v>
      </c>
      <c r="BX8" s="137"/>
      <c r="BY8" s="137">
        <f t="shared" si="7"/>
        <v>0.716</v>
      </c>
      <c r="BZ8" s="138">
        <v>0.8320000000000001</v>
      </c>
      <c r="CA8" s="137">
        <v>0.11599999999999999</v>
      </c>
      <c r="CB8" s="137"/>
      <c r="CC8" s="138">
        <v>0.42200000000000004</v>
      </c>
      <c r="CD8" s="137">
        <v>0.19399999999999998</v>
      </c>
      <c r="CE8" s="137">
        <v>0.243</v>
      </c>
      <c r="CF8" s="137">
        <v>0.138</v>
      </c>
      <c r="CG8" s="137">
        <v>0.013999999999999999</v>
      </c>
      <c r="CH8" s="137">
        <v>0.002</v>
      </c>
      <c r="CI8" s="139"/>
      <c r="CJ8" s="142">
        <v>0.508</v>
      </c>
      <c r="CK8" s="141">
        <v>0.155</v>
      </c>
      <c r="CL8" s="141">
        <v>0.24100000000000002</v>
      </c>
      <c r="CM8" s="141">
        <v>0.08800000000000001</v>
      </c>
      <c r="CN8" s="141">
        <v>0.006999999999999999</v>
      </c>
      <c r="CO8" s="141">
        <v>0.001</v>
      </c>
      <c r="CP8" s="137"/>
      <c r="CQ8" s="137">
        <v>0.466</v>
      </c>
      <c r="CR8" s="138">
        <v>0.6659999999999999</v>
      </c>
      <c r="CS8" s="137">
        <v>0.17</v>
      </c>
    </row>
    <row r="9">
      <c r="A9" s="112">
        <f t="shared" si="1"/>
        <v>7</v>
      </c>
      <c r="B9" s="112" t="s">
        <v>579</v>
      </c>
      <c r="C9" s="112" t="s">
        <v>580</v>
      </c>
      <c r="D9" s="113" t="s">
        <v>575</v>
      </c>
      <c r="E9" s="114" t="s">
        <v>1088</v>
      </c>
      <c r="F9" s="115">
        <f t="shared" si="2"/>
        <v>0.5714285714</v>
      </c>
      <c r="G9" s="115">
        <f t="shared" si="3"/>
        <v>0.8676470588</v>
      </c>
      <c r="H9" s="116">
        <f t="shared" si="4"/>
        <v>0.793592437</v>
      </c>
      <c r="I9" s="117" t="s">
        <v>487</v>
      </c>
      <c r="J9" s="117" t="s">
        <v>487</v>
      </c>
      <c r="K9" s="117" t="s">
        <v>487</v>
      </c>
      <c r="L9" s="117" t="s">
        <v>594</v>
      </c>
      <c r="M9" s="117" t="s">
        <v>594</v>
      </c>
      <c r="N9" s="117" t="s">
        <v>594</v>
      </c>
      <c r="O9" s="119" t="s">
        <v>822</v>
      </c>
      <c r="P9" s="120" t="s">
        <v>53</v>
      </c>
      <c r="Q9" s="121" t="s">
        <v>53</v>
      </c>
      <c r="R9" s="121" t="s">
        <v>561</v>
      </c>
      <c r="S9" s="119" t="s">
        <v>53</v>
      </c>
      <c r="T9" s="119" t="s">
        <v>53</v>
      </c>
      <c r="U9" s="119" t="s">
        <v>53</v>
      </c>
      <c r="V9" s="119" t="s">
        <v>53</v>
      </c>
      <c r="W9" s="119" t="s">
        <v>53</v>
      </c>
      <c r="X9" s="119" t="s">
        <v>53</v>
      </c>
      <c r="Y9" s="119" t="s">
        <v>53</v>
      </c>
      <c r="Z9" s="119" t="s">
        <v>53</v>
      </c>
      <c r="AA9" s="119" t="s">
        <v>53</v>
      </c>
      <c r="AB9" s="119" t="s">
        <v>53</v>
      </c>
      <c r="AC9" s="125" t="s">
        <v>561</v>
      </c>
      <c r="AD9" s="119" t="s">
        <v>53</v>
      </c>
      <c r="AE9" s="121" t="s">
        <v>53</v>
      </c>
      <c r="AF9" s="125" t="s">
        <v>561</v>
      </c>
      <c r="AG9" s="121" t="s">
        <v>53</v>
      </c>
      <c r="AH9" s="146" t="s">
        <v>799</v>
      </c>
      <c r="AI9" s="125" t="s">
        <v>53</v>
      </c>
      <c r="AJ9" s="121" t="s">
        <v>53</v>
      </c>
      <c r="AK9" s="121" t="s">
        <v>53</v>
      </c>
      <c r="AL9" s="121" t="s">
        <v>53</v>
      </c>
      <c r="AM9" s="128" t="s">
        <v>561</v>
      </c>
      <c r="AN9" s="128" t="s">
        <v>53</v>
      </c>
      <c r="AO9" s="128" t="s">
        <v>53</v>
      </c>
      <c r="AP9" s="121" t="s">
        <v>53</v>
      </c>
      <c r="AQ9" s="128" t="s">
        <v>53</v>
      </c>
      <c r="AR9" s="121" t="s">
        <v>53</v>
      </c>
      <c r="AS9" s="117" t="s">
        <v>53</v>
      </c>
      <c r="AT9" s="117" t="s">
        <v>53</v>
      </c>
      <c r="AU9" s="117" t="s">
        <v>53</v>
      </c>
      <c r="AV9" s="117" t="s">
        <v>53</v>
      </c>
      <c r="AW9" s="117" t="s">
        <v>53</v>
      </c>
      <c r="AX9" s="117" t="s">
        <v>600</v>
      </c>
      <c r="AY9" s="117" t="s">
        <v>600</v>
      </c>
      <c r="AZ9" s="117" t="s">
        <v>600</v>
      </c>
      <c r="BA9" s="117" t="s">
        <v>600</v>
      </c>
      <c r="BB9" s="117" t="s">
        <v>600</v>
      </c>
      <c r="BC9" s="117" t="s">
        <v>600</v>
      </c>
      <c r="BD9" s="129" t="s">
        <v>821</v>
      </c>
      <c r="BE9" s="129" t="s">
        <v>821</v>
      </c>
      <c r="BF9" s="130"/>
      <c r="BG9" s="130">
        <f t="shared" si="5"/>
        <v>-157223</v>
      </c>
      <c r="BH9" s="131"/>
      <c r="BI9" s="131"/>
      <c r="BJ9" s="132"/>
      <c r="BK9" s="132">
        <v>-157223.0</v>
      </c>
      <c r="BL9" s="133"/>
      <c r="BM9" s="133" t="s">
        <v>561</v>
      </c>
      <c r="BN9" s="133"/>
      <c r="BO9" s="133"/>
      <c r="BP9" s="133" t="s">
        <v>976</v>
      </c>
      <c r="BQ9" s="134"/>
      <c r="BR9" s="135" t="s">
        <v>850</v>
      </c>
      <c r="BS9" s="134"/>
      <c r="BT9" s="134"/>
      <c r="BU9" s="137">
        <f t="shared" si="6"/>
        <v>0.414</v>
      </c>
      <c r="BV9" s="138">
        <v>0.6970000000000001</v>
      </c>
      <c r="BW9" s="137">
        <v>0.28300000000000003</v>
      </c>
      <c r="BX9" s="137"/>
      <c r="BY9" s="137">
        <f t="shared" si="7"/>
        <v>0.445</v>
      </c>
      <c r="BZ9" s="138">
        <v>0.691</v>
      </c>
      <c r="CA9" s="137">
        <v>0.24600000000000002</v>
      </c>
      <c r="CB9" s="137"/>
      <c r="CC9" s="137">
        <v>0.428</v>
      </c>
      <c r="CD9" s="138">
        <v>0.43799999999999994</v>
      </c>
      <c r="CE9" s="137">
        <v>0.06</v>
      </c>
      <c r="CF9" s="137">
        <v>0.073</v>
      </c>
      <c r="CG9" s="137">
        <v>0.035</v>
      </c>
      <c r="CH9" s="137">
        <v>0.002</v>
      </c>
      <c r="CI9" s="139"/>
      <c r="CJ9" s="138">
        <v>0.513</v>
      </c>
      <c r="CK9" s="137">
        <v>0.355</v>
      </c>
      <c r="CL9" s="137">
        <v>0.059000000000000004</v>
      </c>
      <c r="CM9" s="137">
        <v>0.066</v>
      </c>
      <c r="CN9" s="137">
        <v>0.004</v>
      </c>
      <c r="CO9" s="137">
        <v>0.0</v>
      </c>
      <c r="CP9" s="137"/>
      <c r="CQ9" s="137">
        <v>0.33799999999999997</v>
      </c>
      <c r="CR9" s="137">
        <v>0.478</v>
      </c>
      <c r="CS9" s="137">
        <v>0.268</v>
      </c>
    </row>
    <row r="10">
      <c r="A10" s="112">
        <f t="shared" si="1"/>
        <v>8</v>
      </c>
      <c r="B10" s="112" t="s">
        <v>1041</v>
      </c>
      <c r="C10" s="112" t="s">
        <v>1042</v>
      </c>
      <c r="D10" s="113" t="s">
        <v>1039</v>
      </c>
      <c r="E10" s="114" t="s">
        <v>1116</v>
      </c>
      <c r="F10" s="115">
        <f t="shared" si="2"/>
        <v>0.7142857143</v>
      </c>
      <c r="G10" s="115">
        <f t="shared" si="3"/>
        <v>0.7941176471</v>
      </c>
      <c r="H10" s="116">
        <f t="shared" si="4"/>
        <v>0.7741596639</v>
      </c>
      <c r="I10" s="117" t="s">
        <v>487</v>
      </c>
      <c r="J10" s="117" t="s">
        <v>487</v>
      </c>
      <c r="K10" s="117" t="s">
        <v>487</v>
      </c>
      <c r="L10" s="117" t="s">
        <v>594</v>
      </c>
      <c r="M10" s="117" t="s">
        <v>487</v>
      </c>
      <c r="N10" s="117" t="s">
        <v>594</v>
      </c>
      <c r="O10" s="119" t="s">
        <v>822</v>
      </c>
      <c r="P10" s="120" t="s">
        <v>53</v>
      </c>
      <c r="Q10" s="121" t="s">
        <v>53</v>
      </c>
      <c r="R10" s="121" t="s">
        <v>561</v>
      </c>
      <c r="S10" s="147" t="s">
        <v>53</v>
      </c>
      <c r="T10" s="119" t="s">
        <v>53</v>
      </c>
      <c r="U10" s="123" t="s">
        <v>801</v>
      </c>
      <c r="V10" s="123" t="s">
        <v>801</v>
      </c>
      <c r="W10" s="119" t="s">
        <v>53</v>
      </c>
      <c r="X10" s="119" t="s">
        <v>53</v>
      </c>
      <c r="Y10" s="119" t="s">
        <v>53</v>
      </c>
      <c r="Z10" s="119" t="s">
        <v>53</v>
      </c>
      <c r="AA10" s="119" t="s">
        <v>53</v>
      </c>
      <c r="AB10" s="119" t="s">
        <v>53</v>
      </c>
      <c r="AC10" s="125" t="s">
        <v>561</v>
      </c>
      <c r="AD10" s="119" t="s">
        <v>53</v>
      </c>
      <c r="AE10" s="121" t="s">
        <v>53</v>
      </c>
      <c r="AF10" s="125" t="s">
        <v>561</v>
      </c>
      <c r="AG10" s="121" t="s">
        <v>53</v>
      </c>
      <c r="AH10" s="128" t="s">
        <v>561</v>
      </c>
      <c r="AI10" s="125" t="s">
        <v>53</v>
      </c>
      <c r="AJ10" s="121" t="s">
        <v>53</v>
      </c>
      <c r="AK10" s="121" t="s">
        <v>53</v>
      </c>
      <c r="AL10" s="121" t="s">
        <v>53</v>
      </c>
      <c r="AM10" s="128" t="s">
        <v>561</v>
      </c>
      <c r="AN10" s="128" t="s">
        <v>53</v>
      </c>
      <c r="AO10" s="128" t="s">
        <v>53</v>
      </c>
      <c r="AP10" s="121" t="s">
        <v>53</v>
      </c>
      <c r="AQ10" s="128" t="s">
        <v>53</v>
      </c>
      <c r="AR10" s="121" t="s">
        <v>53</v>
      </c>
      <c r="AS10" s="117" t="s">
        <v>53</v>
      </c>
      <c r="AT10" s="117" t="s">
        <v>53</v>
      </c>
      <c r="AU10" s="117" t="s">
        <v>53</v>
      </c>
      <c r="AV10" s="117" t="s">
        <v>53</v>
      </c>
      <c r="AW10" s="117" t="s">
        <v>53</v>
      </c>
      <c r="AX10" s="117" t="s">
        <v>561</v>
      </c>
      <c r="AY10" s="117" t="s">
        <v>561</v>
      </c>
      <c r="AZ10" s="117" t="s">
        <v>600</v>
      </c>
      <c r="BA10" s="117" t="s">
        <v>600</v>
      </c>
      <c r="BB10" s="117" t="s">
        <v>600</v>
      </c>
      <c r="BC10" s="117" t="s">
        <v>600</v>
      </c>
      <c r="BD10" s="129" t="s">
        <v>821</v>
      </c>
      <c r="BE10" s="129" t="s">
        <v>821</v>
      </c>
      <c r="BF10" s="130"/>
      <c r="BG10" s="130">
        <f t="shared" si="5"/>
        <v>-1566038</v>
      </c>
      <c r="BH10" s="140"/>
      <c r="BI10" s="140"/>
      <c r="BJ10" s="132">
        <f>-2000</f>
        <v>-2000</v>
      </c>
      <c r="BK10" s="132">
        <v>-1564038.0</v>
      </c>
      <c r="BL10" s="133"/>
      <c r="BM10" s="133" t="s">
        <v>561</v>
      </c>
      <c r="BN10" s="133"/>
      <c r="BO10" s="133"/>
      <c r="BP10" s="133" t="s">
        <v>903</v>
      </c>
      <c r="BQ10" s="134"/>
      <c r="BR10" s="135" t="s">
        <v>850</v>
      </c>
      <c r="BS10" s="135" t="s">
        <v>940</v>
      </c>
      <c r="BT10" s="134"/>
      <c r="BU10" s="137">
        <f t="shared" si="6"/>
        <v>0.437</v>
      </c>
      <c r="BV10" s="138">
        <v>0.7140000000000001</v>
      </c>
      <c r="BW10" s="137">
        <v>0.27699999999999997</v>
      </c>
      <c r="BX10" s="137"/>
      <c r="BY10" s="137">
        <f t="shared" si="7"/>
        <v>0.43</v>
      </c>
      <c r="BZ10" s="138">
        <v>0.6970000000000001</v>
      </c>
      <c r="CA10" s="137">
        <v>0.267</v>
      </c>
      <c r="CB10" s="137"/>
      <c r="CC10" s="138">
        <v>0.41700000000000004</v>
      </c>
      <c r="CD10" s="137">
        <v>0.26899999999999996</v>
      </c>
      <c r="CE10" s="137">
        <v>0.249</v>
      </c>
      <c r="CF10" s="137">
        <v>0.076</v>
      </c>
      <c r="CG10" s="137">
        <v>0.018000000000000002</v>
      </c>
      <c r="CH10" s="137">
        <v>0.002</v>
      </c>
      <c r="CI10" s="139"/>
      <c r="CJ10" s="138">
        <v>0.493</v>
      </c>
      <c r="CK10" s="137">
        <v>0.207</v>
      </c>
      <c r="CL10" s="137">
        <v>0.23500000000000001</v>
      </c>
      <c r="CM10" s="137">
        <v>0.057999999999999996</v>
      </c>
      <c r="CN10" s="137">
        <v>0.005</v>
      </c>
      <c r="CO10" s="137">
        <v>0.0</v>
      </c>
      <c r="CP10" s="137"/>
      <c r="CQ10" s="137">
        <v>0.45399999999999996</v>
      </c>
      <c r="CR10" s="138">
        <v>0.599</v>
      </c>
      <c r="CS10" s="137">
        <v>0.198</v>
      </c>
    </row>
    <row r="11">
      <c r="A11" s="112">
        <f t="shared" si="1"/>
        <v>9</v>
      </c>
      <c r="B11" s="112" t="s">
        <v>588</v>
      </c>
      <c r="C11" s="112" t="s">
        <v>589</v>
      </c>
      <c r="D11" s="113" t="s">
        <v>582</v>
      </c>
      <c r="E11" s="114" t="s">
        <v>1156</v>
      </c>
      <c r="F11" s="115">
        <f t="shared" si="2"/>
        <v>0.7142857143</v>
      </c>
      <c r="G11" s="115">
        <f t="shared" si="3"/>
        <v>0.7631578947</v>
      </c>
      <c r="H11" s="116">
        <f t="shared" si="4"/>
        <v>0.7509398496</v>
      </c>
      <c r="I11" s="117" t="s">
        <v>487</v>
      </c>
      <c r="J11" s="117" t="s">
        <v>487</v>
      </c>
      <c r="K11" s="117" t="s">
        <v>487</v>
      </c>
      <c r="L11" s="117" t="s">
        <v>487</v>
      </c>
      <c r="M11" s="117" t="s">
        <v>594</v>
      </c>
      <c r="N11" s="117" t="s">
        <v>594</v>
      </c>
      <c r="O11" s="119" t="s">
        <v>822</v>
      </c>
      <c r="P11" s="120" t="s">
        <v>53</v>
      </c>
      <c r="Q11" s="121" t="s">
        <v>53</v>
      </c>
      <c r="R11" s="121" t="s">
        <v>561</v>
      </c>
      <c r="S11" s="119" t="s">
        <v>53</v>
      </c>
      <c r="T11" s="119" t="s">
        <v>53</v>
      </c>
      <c r="U11" s="119" t="s">
        <v>53</v>
      </c>
      <c r="V11" s="119" t="s">
        <v>53</v>
      </c>
      <c r="W11" s="119" t="s">
        <v>53</v>
      </c>
      <c r="X11" s="119" t="s">
        <v>53</v>
      </c>
      <c r="Y11" s="119" t="s">
        <v>53</v>
      </c>
      <c r="Z11" s="119" t="s">
        <v>53</v>
      </c>
      <c r="AA11" s="149" t="s">
        <v>561</v>
      </c>
      <c r="AB11" s="119" t="s">
        <v>53</v>
      </c>
      <c r="AC11" s="125" t="s">
        <v>561</v>
      </c>
      <c r="AD11" s="119" t="s">
        <v>53</v>
      </c>
      <c r="AE11" s="121" t="s">
        <v>53</v>
      </c>
      <c r="AF11" s="125" t="s">
        <v>561</v>
      </c>
      <c r="AG11" s="121" t="s">
        <v>53</v>
      </c>
      <c r="AH11" s="128" t="s">
        <v>561</v>
      </c>
      <c r="AI11" s="125" t="s">
        <v>53</v>
      </c>
      <c r="AJ11" s="121" t="s">
        <v>53</v>
      </c>
      <c r="AK11" s="121" t="s">
        <v>53</v>
      </c>
      <c r="AL11" s="121" t="s">
        <v>53</v>
      </c>
      <c r="AM11" s="128" t="s">
        <v>561</v>
      </c>
      <c r="AN11" s="128" t="s">
        <v>53</v>
      </c>
      <c r="AO11" s="128" t="s">
        <v>53</v>
      </c>
      <c r="AP11" s="121" t="s">
        <v>53</v>
      </c>
      <c r="AQ11" s="128" t="s">
        <v>53</v>
      </c>
      <c r="AR11" s="121" t="s">
        <v>53</v>
      </c>
      <c r="AS11" s="117" t="s">
        <v>799</v>
      </c>
      <c r="AT11" s="117" t="s">
        <v>53</v>
      </c>
      <c r="AU11" s="117" t="s">
        <v>561</v>
      </c>
      <c r="AV11" s="117" t="s">
        <v>53</v>
      </c>
      <c r="AW11" s="117" t="s">
        <v>53</v>
      </c>
      <c r="AX11" s="117" t="s">
        <v>53</v>
      </c>
      <c r="AY11" s="117" t="s">
        <v>561</v>
      </c>
      <c r="AZ11" s="117" t="s">
        <v>799</v>
      </c>
      <c r="BA11" s="117" t="s">
        <v>53</v>
      </c>
      <c r="BB11" s="117" t="s">
        <v>600</v>
      </c>
      <c r="BC11" s="117" t="s">
        <v>600</v>
      </c>
      <c r="BD11" s="129" t="s">
        <v>821</v>
      </c>
      <c r="BE11" s="129" t="s">
        <v>821</v>
      </c>
      <c r="BF11" s="130"/>
      <c r="BG11" s="130">
        <f t="shared" si="5"/>
        <v>0</v>
      </c>
      <c r="BH11" s="131"/>
      <c r="BI11" s="131"/>
      <c r="BJ11" s="132"/>
      <c r="BK11" s="132"/>
      <c r="BL11" s="133" t="s">
        <v>561</v>
      </c>
      <c r="BM11" s="133" t="s">
        <v>561</v>
      </c>
      <c r="BN11" s="133"/>
      <c r="BO11" s="133"/>
      <c r="BP11" s="133" t="s">
        <v>845</v>
      </c>
      <c r="BQ11" s="134"/>
      <c r="BR11" s="135" t="s">
        <v>850</v>
      </c>
      <c r="BS11" s="134"/>
      <c r="BT11" s="134"/>
      <c r="BU11" s="137">
        <f t="shared" si="6"/>
        <v>0.464</v>
      </c>
      <c r="BV11" s="138">
        <v>0.723</v>
      </c>
      <c r="BW11" s="137">
        <v>0.259</v>
      </c>
      <c r="BX11" s="137"/>
      <c r="BY11" s="137">
        <f t="shared" si="7"/>
        <v>0.507</v>
      </c>
      <c r="BZ11" s="138">
        <v>0.7240000000000001</v>
      </c>
      <c r="CA11" s="137">
        <v>0.217</v>
      </c>
      <c r="CB11" s="137"/>
      <c r="CC11" s="137">
        <v>0.262</v>
      </c>
      <c r="CD11" s="138">
        <v>0.632</v>
      </c>
      <c r="CE11" s="137">
        <v>0.057999999999999996</v>
      </c>
      <c r="CF11" s="137">
        <v>0.047</v>
      </c>
      <c r="CG11" s="137">
        <v>0.048</v>
      </c>
      <c r="CH11" s="137">
        <v>0.001</v>
      </c>
      <c r="CI11" s="139"/>
      <c r="CJ11" s="137">
        <v>0.35200000000000004</v>
      </c>
      <c r="CK11" s="138">
        <v>0.532</v>
      </c>
      <c r="CL11" s="137">
        <v>0.068</v>
      </c>
      <c r="CM11" s="137">
        <v>0.043</v>
      </c>
      <c r="CN11" s="137">
        <v>0.003</v>
      </c>
      <c r="CO11" s="137">
        <v>0.0</v>
      </c>
      <c r="CP11" s="137"/>
      <c r="CQ11" s="137">
        <v>0.222</v>
      </c>
      <c r="CR11" s="137">
        <v>0.40700000000000003</v>
      </c>
      <c r="CS11" s="137">
        <v>0.209</v>
      </c>
    </row>
    <row r="12">
      <c r="A12" s="112">
        <f t="shared" si="1"/>
        <v>10</v>
      </c>
      <c r="B12" s="112" t="s">
        <v>657</v>
      </c>
      <c r="C12" s="112" t="s">
        <v>658</v>
      </c>
      <c r="D12" s="113" t="s">
        <v>655</v>
      </c>
      <c r="E12" s="114" t="s">
        <v>1192</v>
      </c>
      <c r="F12" s="115">
        <f t="shared" si="2"/>
        <v>0.8571428571</v>
      </c>
      <c r="G12" s="115">
        <f t="shared" si="3"/>
        <v>0.6666666667</v>
      </c>
      <c r="H12" s="116">
        <f t="shared" si="4"/>
        <v>0.7142857143</v>
      </c>
      <c r="I12" s="117" t="s">
        <v>487</v>
      </c>
      <c r="J12" s="117" t="s">
        <v>487</v>
      </c>
      <c r="K12" s="117" t="s">
        <v>487</v>
      </c>
      <c r="L12" s="117" t="s">
        <v>487</v>
      </c>
      <c r="M12" s="117" t="s">
        <v>594</v>
      </c>
      <c r="N12" s="117" t="s">
        <v>487</v>
      </c>
      <c r="O12" s="119" t="s">
        <v>822</v>
      </c>
      <c r="P12" s="120" t="s">
        <v>53</v>
      </c>
      <c r="Q12" s="121" t="s">
        <v>53</v>
      </c>
      <c r="R12" s="121" t="s">
        <v>561</v>
      </c>
      <c r="S12" s="119" t="s">
        <v>53</v>
      </c>
      <c r="T12" s="119" t="s">
        <v>53</v>
      </c>
      <c r="U12" s="119" t="s">
        <v>53</v>
      </c>
      <c r="V12" s="119" t="s">
        <v>53</v>
      </c>
      <c r="W12" s="123" t="s">
        <v>801</v>
      </c>
      <c r="X12" s="119" t="s">
        <v>53</v>
      </c>
      <c r="Y12" s="119" t="s">
        <v>53</v>
      </c>
      <c r="Z12" s="119" t="s">
        <v>53</v>
      </c>
      <c r="AA12" s="149" t="s">
        <v>561</v>
      </c>
      <c r="AB12" s="119" t="s">
        <v>53</v>
      </c>
      <c r="AC12" s="125" t="s">
        <v>561</v>
      </c>
      <c r="AD12" s="149" t="s">
        <v>561</v>
      </c>
      <c r="AE12" s="121" t="s">
        <v>53</v>
      </c>
      <c r="AF12" s="125" t="s">
        <v>561</v>
      </c>
      <c r="AG12" s="121" t="s">
        <v>53</v>
      </c>
      <c r="AH12" s="128" t="s">
        <v>561</v>
      </c>
      <c r="AI12" s="125" t="s">
        <v>53</v>
      </c>
      <c r="AJ12" s="121" t="s">
        <v>53</v>
      </c>
      <c r="AK12" s="125" t="s">
        <v>799</v>
      </c>
      <c r="AL12" s="128" t="s">
        <v>561</v>
      </c>
      <c r="AM12" s="128" t="s">
        <v>561</v>
      </c>
      <c r="AN12" s="128" t="s">
        <v>561</v>
      </c>
      <c r="AO12" s="128" t="s">
        <v>53</v>
      </c>
      <c r="AP12" s="121" t="s">
        <v>53</v>
      </c>
      <c r="AQ12" s="128" t="s">
        <v>53</v>
      </c>
      <c r="AR12" s="121" t="s">
        <v>53</v>
      </c>
      <c r="AS12" s="117" t="s">
        <v>53</v>
      </c>
      <c r="AT12" s="117" t="s">
        <v>53</v>
      </c>
      <c r="AU12" s="117" t="s">
        <v>53</v>
      </c>
      <c r="AV12" s="117" t="s">
        <v>561</v>
      </c>
      <c r="AW12" s="117" t="s">
        <v>53</v>
      </c>
      <c r="AX12" s="117" t="s">
        <v>53</v>
      </c>
      <c r="AY12" s="117" t="s">
        <v>561</v>
      </c>
      <c r="AZ12" s="117" t="s">
        <v>561</v>
      </c>
      <c r="BA12" s="117" t="s">
        <v>53</v>
      </c>
      <c r="BB12" s="117" t="s">
        <v>53</v>
      </c>
      <c r="BC12" s="117" t="s">
        <v>799</v>
      </c>
      <c r="BD12" s="129" t="s">
        <v>821</v>
      </c>
      <c r="BE12" s="129" t="s">
        <v>821</v>
      </c>
      <c r="BF12" s="130"/>
      <c r="BG12" s="130">
        <f t="shared" si="5"/>
        <v>0</v>
      </c>
      <c r="BH12" s="140"/>
      <c r="BI12" s="140"/>
      <c r="BJ12" s="132"/>
      <c r="BK12" s="132"/>
      <c r="BL12" s="133" t="s">
        <v>561</v>
      </c>
      <c r="BM12" s="133" t="s">
        <v>561</v>
      </c>
      <c r="BN12" s="133"/>
      <c r="BO12" s="133"/>
      <c r="BP12" s="133" t="s">
        <v>1198</v>
      </c>
      <c r="BQ12" s="134"/>
      <c r="BR12" s="150" t="s">
        <v>1199</v>
      </c>
      <c r="BS12" s="134"/>
      <c r="BT12" s="134"/>
      <c r="BU12" s="137">
        <f t="shared" si="6"/>
        <v>0.424</v>
      </c>
      <c r="BV12" s="138">
        <v>0.703</v>
      </c>
      <c r="BW12" s="137">
        <v>0.27899999999999997</v>
      </c>
      <c r="BX12" s="137"/>
      <c r="BY12" s="137">
        <f t="shared" si="7"/>
        <v>0.357</v>
      </c>
      <c r="BZ12" s="138">
        <v>0.647</v>
      </c>
      <c r="CA12" s="137">
        <v>0.29</v>
      </c>
      <c r="CB12" s="137"/>
      <c r="CC12" s="138">
        <v>0.504</v>
      </c>
      <c r="CD12" s="137">
        <v>0.122</v>
      </c>
      <c r="CE12" s="137">
        <v>0.33399999999999996</v>
      </c>
      <c r="CF12" s="137">
        <v>0.027000000000000003</v>
      </c>
      <c r="CG12" s="137">
        <v>0.02</v>
      </c>
      <c r="CH12" s="137">
        <v>0.001</v>
      </c>
      <c r="CI12" s="139"/>
      <c r="CJ12" s="138">
        <v>0.583</v>
      </c>
      <c r="CK12" s="137">
        <v>0.05</v>
      </c>
      <c r="CL12" s="137">
        <v>0.342</v>
      </c>
      <c r="CM12" s="137">
        <v>0.017</v>
      </c>
      <c r="CN12" s="137">
        <v>0.006</v>
      </c>
      <c r="CO12" s="137">
        <v>0.0</v>
      </c>
      <c r="CP12" s="137"/>
      <c r="CQ12" s="137">
        <v>0.331</v>
      </c>
      <c r="CR12" s="137">
        <v>0.428</v>
      </c>
      <c r="CS12" s="137">
        <v>0.33299999999999996</v>
      </c>
    </row>
    <row r="13">
      <c r="A13" s="112">
        <f t="shared" si="1"/>
        <v>11</v>
      </c>
      <c r="B13" s="112" t="s">
        <v>1200</v>
      </c>
      <c r="C13" s="112" t="s">
        <v>1201</v>
      </c>
      <c r="D13" s="113" t="s">
        <v>1202</v>
      </c>
      <c r="E13" s="114" t="s">
        <v>1203</v>
      </c>
      <c r="F13" s="115">
        <f t="shared" si="2"/>
        <v>0.7142857143</v>
      </c>
      <c r="G13" s="115">
        <f t="shared" si="3"/>
        <v>0.6794871795</v>
      </c>
      <c r="H13" s="116">
        <f t="shared" si="4"/>
        <v>0.6881868132</v>
      </c>
      <c r="I13" s="117" t="s">
        <v>487</v>
      </c>
      <c r="J13" s="117" t="s">
        <v>487</v>
      </c>
      <c r="K13" s="117" t="s">
        <v>487</v>
      </c>
      <c r="L13" s="117" t="s">
        <v>487</v>
      </c>
      <c r="M13" s="117" t="s">
        <v>594</v>
      </c>
      <c r="N13" s="117" t="s">
        <v>594</v>
      </c>
      <c r="O13" s="119" t="s">
        <v>822</v>
      </c>
      <c r="P13" s="120" t="s">
        <v>53</v>
      </c>
      <c r="Q13" s="121" t="s">
        <v>53</v>
      </c>
      <c r="R13" s="121" t="s">
        <v>561</v>
      </c>
      <c r="S13" s="119" t="s">
        <v>53</v>
      </c>
      <c r="T13" s="119" t="s">
        <v>53</v>
      </c>
      <c r="U13" s="119" t="s">
        <v>53</v>
      </c>
      <c r="V13" s="119" t="s">
        <v>53</v>
      </c>
      <c r="W13" s="119" t="s">
        <v>53</v>
      </c>
      <c r="X13" s="119" t="s">
        <v>53</v>
      </c>
      <c r="Y13" s="119" t="s">
        <v>53</v>
      </c>
      <c r="Z13" s="119" t="s">
        <v>53</v>
      </c>
      <c r="AA13" s="119" t="s">
        <v>53</v>
      </c>
      <c r="AB13" s="119" t="s">
        <v>53</v>
      </c>
      <c r="AC13" s="125" t="s">
        <v>561</v>
      </c>
      <c r="AD13" s="149" t="s">
        <v>561</v>
      </c>
      <c r="AE13" s="121" t="s">
        <v>53</v>
      </c>
      <c r="AF13" s="125" t="s">
        <v>561</v>
      </c>
      <c r="AG13" s="121" t="s">
        <v>53</v>
      </c>
      <c r="AH13" s="128" t="s">
        <v>561</v>
      </c>
      <c r="AI13" s="125" t="s">
        <v>53</v>
      </c>
      <c r="AJ13" s="121" t="s">
        <v>53</v>
      </c>
      <c r="AK13" s="121" t="s">
        <v>53</v>
      </c>
      <c r="AL13" s="128" t="s">
        <v>561</v>
      </c>
      <c r="AM13" s="128" t="s">
        <v>561</v>
      </c>
      <c r="AN13" s="128" t="s">
        <v>53</v>
      </c>
      <c r="AO13" s="128" t="s">
        <v>53</v>
      </c>
      <c r="AP13" s="121" t="s">
        <v>53</v>
      </c>
      <c r="AQ13" s="128" t="s">
        <v>53</v>
      </c>
      <c r="AR13" s="121" t="s">
        <v>53</v>
      </c>
      <c r="AS13" s="117" t="s">
        <v>799</v>
      </c>
      <c r="AT13" s="117" t="s">
        <v>53</v>
      </c>
      <c r="AU13" s="117" t="s">
        <v>561</v>
      </c>
      <c r="AV13" s="117" t="s">
        <v>561</v>
      </c>
      <c r="AW13" s="117" t="s">
        <v>53</v>
      </c>
      <c r="AX13" s="117" t="s">
        <v>561</v>
      </c>
      <c r="AY13" s="117" t="s">
        <v>561</v>
      </c>
      <c r="AZ13" s="117" t="s">
        <v>561</v>
      </c>
      <c r="BA13" s="117" t="s">
        <v>53</v>
      </c>
      <c r="BB13" s="117" t="s">
        <v>53</v>
      </c>
      <c r="BC13" s="117" t="s">
        <v>600</v>
      </c>
      <c r="BD13" s="129" t="s">
        <v>821</v>
      </c>
      <c r="BE13" s="129" t="s">
        <v>821</v>
      </c>
      <c r="BF13" s="130"/>
      <c r="BG13" s="130">
        <f t="shared" si="5"/>
        <v>0</v>
      </c>
      <c r="BH13" s="131"/>
      <c r="BI13" s="131"/>
      <c r="BJ13" s="132"/>
      <c r="BK13" s="132"/>
      <c r="BL13" s="133" t="s">
        <v>561</v>
      </c>
      <c r="BM13" s="133" t="s">
        <v>561</v>
      </c>
      <c r="BN13" s="133"/>
      <c r="BO13" s="133"/>
      <c r="BP13" s="133" t="s">
        <v>1207</v>
      </c>
      <c r="BQ13" s="134"/>
      <c r="BR13" s="135" t="s">
        <v>850</v>
      </c>
      <c r="BS13" s="135" t="s">
        <v>940</v>
      </c>
      <c r="BT13" s="134"/>
      <c r="BU13" s="137">
        <f t="shared" si="6"/>
        <v>0.755</v>
      </c>
      <c r="BV13" s="138">
        <v>0.868</v>
      </c>
      <c r="BW13" s="137">
        <v>0.113</v>
      </c>
      <c r="BX13" s="137"/>
      <c r="BY13" s="137">
        <f t="shared" si="7"/>
        <v>0.724</v>
      </c>
      <c r="BZ13" s="138">
        <v>0.8340000000000001</v>
      </c>
      <c r="CA13" s="137">
        <v>0.11</v>
      </c>
      <c r="CB13" s="137"/>
      <c r="CC13" s="138">
        <v>0.645</v>
      </c>
      <c r="CD13" s="137">
        <v>0.085</v>
      </c>
      <c r="CE13" s="137">
        <v>0.06</v>
      </c>
      <c r="CF13" s="137">
        <v>0.182</v>
      </c>
      <c r="CG13" s="137">
        <v>0.024</v>
      </c>
      <c r="CH13" s="137">
        <v>0.008</v>
      </c>
      <c r="CI13" s="139"/>
      <c r="CJ13" s="138">
        <v>0.7440000000000001</v>
      </c>
      <c r="CK13" s="137">
        <v>0.059000000000000004</v>
      </c>
      <c r="CL13" s="137">
        <v>0.05</v>
      </c>
      <c r="CM13" s="137">
        <v>0.12400000000000001</v>
      </c>
      <c r="CN13" s="137">
        <v>0.013999999999999999</v>
      </c>
      <c r="CO13" s="137">
        <v>0.003</v>
      </c>
      <c r="CP13" s="137"/>
      <c r="CQ13" s="138">
        <v>0.632</v>
      </c>
      <c r="CR13" s="138">
        <v>0.669</v>
      </c>
      <c r="CS13" s="137">
        <v>0.24600000000000002</v>
      </c>
    </row>
    <row r="14">
      <c r="A14" s="112">
        <f t="shared" si="1"/>
        <v>12</v>
      </c>
      <c r="B14" s="112" t="s">
        <v>73</v>
      </c>
      <c r="C14" s="112" t="s">
        <v>1209</v>
      </c>
      <c r="D14" s="113" t="s">
        <v>1210</v>
      </c>
      <c r="E14" s="114" t="s">
        <v>1211</v>
      </c>
      <c r="F14" s="115">
        <f t="shared" si="2"/>
        <v>0.7142857143</v>
      </c>
      <c r="G14" s="115">
        <f t="shared" si="3"/>
        <v>0.6764705882</v>
      </c>
      <c r="H14" s="116">
        <f t="shared" si="4"/>
        <v>0.6859243697</v>
      </c>
      <c r="I14" s="117" t="s">
        <v>487</v>
      </c>
      <c r="J14" s="117" t="s">
        <v>487</v>
      </c>
      <c r="K14" s="117" t="s">
        <v>487</v>
      </c>
      <c r="L14" s="117" t="s">
        <v>487</v>
      </c>
      <c r="M14" s="117" t="s">
        <v>594</v>
      </c>
      <c r="N14" s="117" t="s">
        <v>594</v>
      </c>
      <c r="O14" s="119" t="s">
        <v>822</v>
      </c>
      <c r="P14" s="120" t="s">
        <v>53</v>
      </c>
      <c r="Q14" s="121" t="s">
        <v>53</v>
      </c>
      <c r="R14" s="121" t="s">
        <v>561</v>
      </c>
      <c r="S14" s="119" t="s">
        <v>53</v>
      </c>
      <c r="T14" s="119" t="s">
        <v>53</v>
      </c>
      <c r="U14" s="119" t="s">
        <v>53</v>
      </c>
      <c r="V14" s="119" t="s">
        <v>53</v>
      </c>
      <c r="W14" s="119" t="s">
        <v>53</v>
      </c>
      <c r="X14" s="119" t="s">
        <v>53</v>
      </c>
      <c r="Y14" s="119" t="s">
        <v>53</v>
      </c>
      <c r="Z14" s="119" t="s">
        <v>53</v>
      </c>
      <c r="AA14" s="119" t="s">
        <v>53</v>
      </c>
      <c r="AB14" s="119" t="s">
        <v>53</v>
      </c>
      <c r="AC14" s="125" t="s">
        <v>561</v>
      </c>
      <c r="AD14" s="149" t="s">
        <v>561</v>
      </c>
      <c r="AE14" s="121" t="s">
        <v>53</v>
      </c>
      <c r="AF14" s="125" t="s">
        <v>561</v>
      </c>
      <c r="AG14" s="121" t="s">
        <v>53</v>
      </c>
      <c r="AH14" s="128" t="s">
        <v>561</v>
      </c>
      <c r="AI14" s="125" t="s">
        <v>53</v>
      </c>
      <c r="AJ14" s="121" t="s">
        <v>53</v>
      </c>
      <c r="AK14" s="125" t="s">
        <v>799</v>
      </c>
      <c r="AL14" s="121" t="s">
        <v>53</v>
      </c>
      <c r="AM14" s="128" t="s">
        <v>561</v>
      </c>
      <c r="AN14" s="128" t="s">
        <v>53</v>
      </c>
      <c r="AO14" s="128" t="s">
        <v>53</v>
      </c>
      <c r="AP14" s="121" t="s">
        <v>561</v>
      </c>
      <c r="AQ14" s="128" t="s">
        <v>53</v>
      </c>
      <c r="AR14" s="121" t="s">
        <v>53</v>
      </c>
      <c r="AS14" s="117" t="s">
        <v>799</v>
      </c>
      <c r="AT14" s="117" t="s">
        <v>53</v>
      </c>
      <c r="AU14" s="117" t="s">
        <v>561</v>
      </c>
      <c r="AV14" s="117" t="s">
        <v>561</v>
      </c>
      <c r="AW14" s="117" t="s">
        <v>561</v>
      </c>
      <c r="AX14" s="117" t="s">
        <v>600</v>
      </c>
      <c r="AY14" s="117" t="s">
        <v>600</v>
      </c>
      <c r="AZ14" s="117" t="s">
        <v>600</v>
      </c>
      <c r="BA14" s="117" t="s">
        <v>600</v>
      </c>
      <c r="BB14" s="117" t="s">
        <v>600</v>
      </c>
      <c r="BC14" s="117" t="s">
        <v>600</v>
      </c>
      <c r="BD14" s="129" t="s">
        <v>821</v>
      </c>
      <c r="BE14" s="129" t="s">
        <v>821</v>
      </c>
      <c r="BF14" s="130"/>
      <c r="BG14" s="130">
        <f t="shared" si="5"/>
        <v>0</v>
      </c>
      <c r="BH14" s="140"/>
      <c r="BI14" s="140"/>
      <c r="BJ14" s="132"/>
      <c r="BK14" s="132"/>
      <c r="BL14" s="133"/>
      <c r="BM14" s="133" t="s">
        <v>561</v>
      </c>
      <c r="BN14" s="133"/>
      <c r="BO14" s="133"/>
      <c r="BP14" s="133" t="s">
        <v>976</v>
      </c>
      <c r="BQ14" s="134"/>
      <c r="BR14" s="135" t="s">
        <v>850</v>
      </c>
      <c r="BS14" s="135" t="s">
        <v>940</v>
      </c>
      <c r="BT14" s="134"/>
      <c r="BU14" s="137">
        <f t="shared" si="6"/>
        <v>0.452</v>
      </c>
      <c r="BV14" s="138">
        <v>0.7170000000000001</v>
      </c>
      <c r="BW14" s="137">
        <v>0.265</v>
      </c>
      <c r="BX14" s="137"/>
      <c r="BY14" s="137">
        <f t="shared" si="7"/>
        <v>0.424</v>
      </c>
      <c r="BZ14" s="138">
        <v>0.6809999999999999</v>
      </c>
      <c r="CA14" s="137">
        <v>0.257</v>
      </c>
      <c r="CB14" s="137"/>
      <c r="CC14" s="137">
        <v>0.298</v>
      </c>
      <c r="CD14" s="138">
        <v>0.513</v>
      </c>
      <c r="CE14" s="137">
        <v>0.139</v>
      </c>
      <c r="CF14" s="137">
        <v>0.046</v>
      </c>
      <c r="CG14" s="137">
        <v>0.031</v>
      </c>
      <c r="CH14" s="137">
        <v>0.006999999999999999</v>
      </c>
      <c r="CI14" s="139"/>
      <c r="CJ14" s="137">
        <v>0.33799999999999997</v>
      </c>
      <c r="CK14" s="138">
        <v>0.47700000000000004</v>
      </c>
      <c r="CL14" s="137">
        <v>0.149</v>
      </c>
      <c r="CM14" s="137">
        <v>0.025</v>
      </c>
      <c r="CN14" s="137">
        <v>0.008</v>
      </c>
      <c r="CO14" s="137">
        <v>0.001</v>
      </c>
      <c r="CP14" s="137"/>
      <c r="CQ14" s="137">
        <v>0.26899999999999996</v>
      </c>
      <c r="CR14" s="137">
        <v>0.44</v>
      </c>
      <c r="CS14" s="137">
        <v>0.18899999999999997</v>
      </c>
    </row>
    <row r="15">
      <c r="A15" s="112">
        <f t="shared" si="1"/>
        <v>13</v>
      </c>
      <c r="B15" s="112" t="s">
        <v>143</v>
      </c>
      <c r="C15" s="112" t="s">
        <v>144</v>
      </c>
      <c r="D15" s="113" t="s">
        <v>140</v>
      </c>
      <c r="E15" s="114" t="s">
        <v>1218</v>
      </c>
      <c r="F15" s="115">
        <f t="shared" si="2"/>
        <v>0.7142857143</v>
      </c>
      <c r="G15" s="115">
        <f t="shared" si="3"/>
        <v>0.6315789474</v>
      </c>
      <c r="H15" s="116">
        <f t="shared" si="4"/>
        <v>0.6522556391</v>
      </c>
      <c r="I15" s="117" t="s">
        <v>487</v>
      </c>
      <c r="J15" s="117" t="s">
        <v>487</v>
      </c>
      <c r="K15" s="117" t="s">
        <v>487</v>
      </c>
      <c r="L15" s="117" t="s">
        <v>487</v>
      </c>
      <c r="M15" s="117" t="s">
        <v>594</v>
      </c>
      <c r="N15" s="117" t="s">
        <v>594</v>
      </c>
      <c r="O15" s="119" t="s">
        <v>822</v>
      </c>
      <c r="P15" s="120" t="s">
        <v>53</v>
      </c>
      <c r="Q15" s="121" t="s">
        <v>53</v>
      </c>
      <c r="R15" s="121" t="s">
        <v>561</v>
      </c>
      <c r="S15" s="119" t="s">
        <v>53</v>
      </c>
      <c r="T15" s="119" t="s">
        <v>53</v>
      </c>
      <c r="U15" s="119" t="s">
        <v>53</v>
      </c>
      <c r="V15" s="119" t="s">
        <v>53</v>
      </c>
      <c r="W15" s="119" t="s">
        <v>53</v>
      </c>
      <c r="X15" s="119" t="s">
        <v>53</v>
      </c>
      <c r="Y15" s="119" t="s">
        <v>53</v>
      </c>
      <c r="Z15" s="119" t="s">
        <v>53</v>
      </c>
      <c r="AA15" s="119" t="s">
        <v>53</v>
      </c>
      <c r="AB15" s="119" t="s">
        <v>53</v>
      </c>
      <c r="AC15" s="125" t="s">
        <v>561</v>
      </c>
      <c r="AD15" s="149" t="s">
        <v>561</v>
      </c>
      <c r="AE15" s="121" t="s">
        <v>53</v>
      </c>
      <c r="AF15" s="125" t="s">
        <v>561</v>
      </c>
      <c r="AG15" s="121" t="s">
        <v>53</v>
      </c>
      <c r="AH15" s="128" t="s">
        <v>561</v>
      </c>
      <c r="AI15" s="125" t="s">
        <v>53</v>
      </c>
      <c r="AJ15" s="121" t="s">
        <v>53</v>
      </c>
      <c r="AK15" s="125" t="s">
        <v>799</v>
      </c>
      <c r="AL15" s="128" t="s">
        <v>561</v>
      </c>
      <c r="AM15" s="128" t="s">
        <v>801</v>
      </c>
      <c r="AN15" s="128" t="s">
        <v>53</v>
      </c>
      <c r="AO15" s="128" t="s">
        <v>53</v>
      </c>
      <c r="AP15" s="121" t="s">
        <v>561</v>
      </c>
      <c r="AQ15" s="128" t="s">
        <v>53</v>
      </c>
      <c r="AR15" s="121" t="s">
        <v>53</v>
      </c>
      <c r="AS15" s="117" t="s">
        <v>561</v>
      </c>
      <c r="AT15" s="117" t="s">
        <v>53</v>
      </c>
      <c r="AU15" s="117" t="s">
        <v>561</v>
      </c>
      <c r="AV15" s="151" t="s">
        <v>561</v>
      </c>
      <c r="AW15" s="117" t="s">
        <v>801</v>
      </c>
      <c r="AX15" s="117" t="s">
        <v>561</v>
      </c>
      <c r="AY15" s="117" t="s">
        <v>561</v>
      </c>
      <c r="AZ15" s="117" t="s">
        <v>561</v>
      </c>
      <c r="BA15" s="117" t="s">
        <v>53</v>
      </c>
      <c r="BB15" s="117" t="s">
        <v>53</v>
      </c>
      <c r="BC15" s="117" t="s">
        <v>799</v>
      </c>
      <c r="BD15" s="129" t="s">
        <v>821</v>
      </c>
      <c r="BE15" s="129" t="s">
        <v>821</v>
      </c>
      <c r="BF15" s="130"/>
      <c r="BG15" s="130">
        <f t="shared" si="5"/>
        <v>0</v>
      </c>
      <c r="BH15" s="131"/>
      <c r="BI15" s="131"/>
      <c r="BJ15" s="132"/>
      <c r="BK15" s="132"/>
      <c r="BL15" s="133"/>
      <c r="BM15" s="133" t="s">
        <v>561</v>
      </c>
      <c r="BN15" s="133"/>
      <c r="BO15" s="133"/>
      <c r="BP15" s="133" t="s">
        <v>1234</v>
      </c>
      <c r="BQ15" s="134"/>
      <c r="BR15" s="135" t="s">
        <v>850</v>
      </c>
      <c r="BS15" s="134"/>
      <c r="BT15" s="134"/>
      <c r="BU15" s="137">
        <f t="shared" si="6"/>
        <v>0.807</v>
      </c>
      <c r="BV15" s="138">
        <v>0.893</v>
      </c>
      <c r="BW15" s="137">
        <v>0.086</v>
      </c>
      <c r="BX15" s="137"/>
      <c r="BY15" s="137">
        <f t="shared" si="7"/>
        <v>0.811</v>
      </c>
      <c r="BZ15" s="138">
        <v>0.8759999999999999</v>
      </c>
      <c r="CA15" s="137">
        <v>0.065</v>
      </c>
      <c r="CB15" s="137"/>
      <c r="CC15" s="138">
        <v>0.35200000000000004</v>
      </c>
      <c r="CD15" s="137">
        <v>0.212</v>
      </c>
      <c r="CE15" s="137">
        <v>0.18</v>
      </c>
      <c r="CF15" s="137">
        <v>0.24600000000000002</v>
      </c>
      <c r="CG15" s="137">
        <v>0.031</v>
      </c>
      <c r="CH15" s="137">
        <v>0.009000000000000001</v>
      </c>
      <c r="CI15" s="139"/>
      <c r="CJ15" s="138">
        <v>0.419</v>
      </c>
      <c r="CK15" s="137">
        <v>0.147</v>
      </c>
      <c r="CL15" s="137">
        <v>0.19399999999999998</v>
      </c>
      <c r="CM15" s="137">
        <v>0.217</v>
      </c>
      <c r="CN15" s="137">
        <v>0.008</v>
      </c>
      <c r="CO15" s="137">
        <v>0.006</v>
      </c>
      <c r="CP15" s="137"/>
      <c r="CQ15" s="138">
        <v>0.518</v>
      </c>
      <c r="CR15" s="138">
        <v>0.737</v>
      </c>
      <c r="CS15" s="137">
        <v>0.11</v>
      </c>
    </row>
    <row r="16">
      <c r="A16" s="112">
        <f t="shared" si="1"/>
        <v>14</v>
      </c>
      <c r="B16" s="112" t="s">
        <v>562</v>
      </c>
      <c r="C16" s="112" t="s">
        <v>563</v>
      </c>
      <c r="D16" s="113" t="s">
        <v>559</v>
      </c>
      <c r="E16" s="114" t="s">
        <v>1249</v>
      </c>
      <c r="F16" s="115">
        <f t="shared" si="2"/>
        <v>0.4285714286</v>
      </c>
      <c r="G16" s="115">
        <f t="shared" si="3"/>
        <v>0.6212121212</v>
      </c>
      <c r="H16" s="116">
        <f t="shared" si="4"/>
        <v>0.5730519481</v>
      </c>
      <c r="I16" s="117" t="s">
        <v>487</v>
      </c>
      <c r="J16" s="117" t="s">
        <v>487</v>
      </c>
      <c r="K16" s="117" t="s">
        <v>487</v>
      </c>
      <c r="L16" s="117" t="s">
        <v>594</v>
      </c>
      <c r="M16" s="117" t="s">
        <v>594</v>
      </c>
      <c r="N16" s="117" t="s">
        <v>594</v>
      </c>
      <c r="O16" s="149" t="s">
        <v>1256</v>
      </c>
      <c r="P16" s="120" t="s">
        <v>53</v>
      </c>
      <c r="Q16" s="121" t="s">
        <v>53</v>
      </c>
      <c r="R16" s="121" t="s">
        <v>561</v>
      </c>
      <c r="S16" s="119" t="s">
        <v>53</v>
      </c>
      <c r="T16" s="119" t="s">
        <v>53</v>
      </c>
      <c r="U16" s="149" t="s">
        <v>561</v>
      </c>
      <c r="V16" s="119" t="s">
        <v>53</v>
      </c>
      <c r="W16" s="119" t="s">
        <v>53</v>
      </c>
      <c r="X16" s="119" t="s">
        <v>53</v>
      </c>
      <c r="Y16" s="119" t="s">
        <v>53</v>
      </c>
      <c r="Z16" s="119" t="s">
        <v>53</v>
      </c>
      <c r="AA16" s="119" t="s">
        <v>53</v>
      </c>
      <c r="AB16" s="119" t="s">
        <v>53</v>
      </c>
      <c r="AC16" s="125" t="s">
        <v>561</v>
      </c>
      <c r="AD16" s="149" t="s">
        <v>561</v>
      </c>
      <c r="AE16" s="121" t="s">
        <v>53</v>
      </c>
      <c r="AF16" s="125" t="s">
        <v>561</v>
      </c>
      <c r="AG16" s="121" t="s">
        <v>53</v>
      </c>
      <c r="AH16" s="128" t="s">
        <v>561</v>
      </c>
      <c r="AI16" s="125" t="s">
        <v>53</v>
      </c>
      <c r="AJ16" s="121" t="s">
        <v>53</v>
      </c>
      <c r="AK16" s="125" t="s">
        <v>799</v>
      </c>
      <c r="AL16" s="128" t="s">
        <v>561</v>
      </c>
      <c r="AM16" s="128" t="s">
        <v>561</v>
      </c>
      <c r="AN16" s="128" t="s">
        <v>53</v>
      </c>
      <c r="AO16" s="128" t="s">
        <v>53</v>
      </c>
      <c r="AP16" s="121" t="s">
        <v>53</v>
      </c>
      <c r="AQ16" s="128" t="s">
        <v>53</v>
      </c>
      <c r="AR16" s="121" t="s">
        <v>53</v>
      </c>
      <c r="AS16" s="117" t="s">
        <v>561</v>
      </c>
      <c r="AT16" s="117" t="s">
        <v>561</v>
      </c>
      <c r="AU16" s="117" t="s">
        <v>801</v>
      </c>
      <c r="AV16" s="117" t="s">
        <v>561</v>
      </c>
      <c r="AW16" s="117" t="s">
        <v>561</v>
      </c>
      <c r="AX16" s="117" t="s">
        <v>600</v>
      </c>
      <c r="AY16" s="117" t="s">
        <v>600</v>
      </c>
      <c r="AZ16" s="117" t="s">
        <v>600</v>
      </c>
      <c r="BA16" s="117" t="s">
        <v>600</v>
      </c>
      <c r="BB16" s="117" t="s">
        <v>600</v>
      </c>
      <c r="BC16" s="117" t="s">
        <v>600</v>
      </c>
      <c r="BD16" s="129" t="s">
        <v>821</v>
      </c>
      <c r="BE16" s="129" t="s">
        <v>821</v>
      </c>
      <c r="BF16" s="130"/>
      <c r="BG16" s="130">
        <f t="shared" si="5"/>
        <v>20800</v>
      </c>
      <c r="BH16" s="131">
        <v>20800.0</v>
      </c>
      <c r="BI16" s="131"/>
      <c r="BJ16" s="132"/>
      <c r="BK16" s="132"/>
      <c r="BL16" s="133"/>
      <c r="BM16" s="133"/>
      <c r="BN16" s="133"/>
      <c r="BO16" s="133"/>
      <c r="BP16" s="133" t="s">
        <v>976</v>
      </c>
      <c r="BQ16" s="134"/>
      <c r="BR16" s="135" t="s">
        <v>850</v>
      </c>
      <c r="BS16" s="134"/>
      <c r="BT16" s="134"/>
      <c r="BU16" s="137">
        <f t="shared" si="6"/>
        <v>0.424</v>
      </c>
      <c r="BV16" s="138">
        <v>0.705</v>
      </c>
      <c r="BW16" s="137">
        <v>0.281</v>
      </c>
      <c r="BX16" s="137"/>
      <c r="BY16" s="137">
        <f t="shared" si="7"/>
        <v>0.479</v>
      </c>
      <c r="BZ16" s="138">
        <v>0.7190000000000001</v>
      </c>
      <c r="CA16" s="137">
        <v>0.24</v>
      </c>
      <c r="CB16" s="137"/>
      <c r="CC16" s="137">
        <v>0.37</v>
      </c>
      <c r="CD16" s="137">
        <v>0.079</v>
      </c>
      <c r="CE16" s="138">
        <v>0.52</v>
      </c>
      <c r="CF16" s="137">
        <v>0.026000000000000002</v>
      </c>
      <c r="CG16" s="137">
        <v>0.013999999999999999</v>
      </c>
      <c r="CH16" s="137">
        <v>0.001</v>
      </c>
      <c r="CI16" s="139"/>
      <c r="CJ16" s="137">
        <v>0.394</v>
      </c>
      <c r="CK16" s="137">
        <v>0.06</v>
      </c>
      <c r="CL16" s="138">
        <v>0.525</v>
      </c>
      <c r="CM16" s="137">
        <v>0.016</v>
      </c>
      <c r="CN16" s="137">
        <v>0.004</v>
      </c>
      <c r="CO16" s="137">
        <v>0.0</v>
      </c>
      <c r="CP16" s="137"/>
      <c r="CQ16" s="137">
        <v>0.303</v>
      </c>
      <c r="CR16" s="137">
        <v>0.37200000000000005</v>
      </c>
      <c r="CS16" s="137">
        <v>0.247</v>
      </c>
    </row>
    <row r="17">
      <c r="A17" s="112">
        <f t="shared" si="1"/>
        <v>15</v>
      </c>
      <c r="B17" s="112" t="s">
        <v>127</v>
      </c>
      <c r="C17" s="112" t="s">
        <v>1280</v>
      </c>
      <c r="D17" s="113" t="s">
        <v>1281</v>
      </c>
      <c r="E17" s="153" t="s">
        <v>1283</v>
      </c>
      <c r="F17" s="115">
        <f t="shared" si="2"/>
        <v>0.5714285714</v>
      </c>
      <c r="G17" s="115">
        <f t="shared" si="3"/>
        <v>0.5657894737</v>
      </c>
      <c r="H17" s="116">
        <f t="shared" si="4"/>
        <v>0.5671992481</v>
      </c>
      <c r="I17" s="117" t="s">
        <v>594</v>
      </c>
      <c r="J17" s="117" t="s">
        <v>487</v>
      </c>
      <c r="K17" s="117" t="s">
        <v>487</v>
      </c>
      <c r="L17" s="117" t="s">
        <v>487</v>
      </c>
      <c r="M17" s="117" t="s">
        <v>594</v>
      </c>
      <c r="N17" s="117" t="s">
        <v>594</v>
      </c>
      <c r="O17" s="119" t="s">
        <v>822</v>
      </c>
      <c r="P17" s="120" t="s">
        <v>53</v>
      </c>
      <c r="Q17" s="121" t="s">
        <v>53</v>
      </c>
      <c r="R17" s="121" t="s">
        <v>561</v>
      </c>
      <c r="S17" s="119" t="s">
        <v>53</v>
      </c>
      <c r="T17" s="119" t="s">
        <v>53</v>
      </c>
      <c r="U17" s="123" t="s">
        <v>801</v>
      </c>
      <c r="V17" s="119" t="s">
        <v>53</v>
      </c>
      <c r="W17" s="119" t="s">
        <v>53</v>
      </c>
      <c r="X17" s="119" t="s">
        <v>53</v>
      </c>
      <c r="Y17" s="119" t="s">
        <v>53</v>
      </c>
      <c r="Z17" s="119" t="s">
        <v>53</v>
      </c>
      <c r="AA17" s="149" t="s">
        <v>561</v>
      </c>
      <c r="AB17" s="119" t="s">
        <v>53</v>
      </c>
      <c r="AC17" s="125" t="s">
        <v>561</v>
      </c>
      <c r="AD17" s="149" t="s">
        <v>561</v>
      </c>
      <c r="AE17" s="128" t="s">
        <v>561</v>
      </c>
      <c r="AF17" s="125" t="s">
        <v>561</v>
      </c>
      <c r="AG17" s="121" t="s">
        <v>53</v>
      </c>
      <c r="AH17" s="128" t="s">
        <v>561</v>
      </c>
      <c r="AI17" s="125" t="s">
        <v>53</v>
      </c>
      <c r="AJ17" s="121" t="s">
        <v>53</v>
      </c>
      <c r="AK17" s="125" t="s">
        <v>799</v>
      </c>
      <c r="AL17" s="128" t="s">
        <v>561</v>
      </c>
      <c r="AM17" s="128" t="s">
        <v>561</v>
      </c>
      <c r="AN17" s="128" t="s">
        <v>53</v>
      </c>
      <c r="AO17" s="128" t="s">
        <v>53</v>
      </c>
      <c r="AP17" s="121" t="s">
        <v>561</v>
      </c>
      <c r="AQ17" s="128" t="s">
        <v>53</v>
      </c>
      <c r="AR17" s="121" t="s">
        <v>53</v>
      </c>
      <c r="AS17" s="117" t="s">
        <v>561</v>
      </c>
      <c r="AT17" s="117" t="s">
        <v>53</v>
      </c>
      <c r="AU17" s="117" t="s">
        <v>561</v>
      </c>
      <c r="AV17" s="117" t="s">
        <v>561</v>
      </c>
      <c r="AW17" s="117" t="s">
        <v>53</v>
      </c>
      <c r="AX17" s="117" t="s">
        <v>561</v>
      </c>
      <c r="AY17" s="117" t="s">
        <v>561</v>
      </c>
      <c r="AZ17" s="117" t="s">
        <v>561</v>
      </c>
      <c r="BA17" s="117" t="s">
        <v>53</v>
      </c>
      <c r="BB17" s="117" t="s">
        <v>53</v>
      </c>
      <c r="BC17" s="117" t="s">
        <v>600</v>
      </c>
      <c r="BD17" s="129" t="s">
        <v>821</v>
      </c>
      <c r="BE17" s="129" t="s">
        <v>821</v>
      </c>
      <c r="BF17" s="130"/>
      <c r="BG17" s="130">
        <f t="shared" si="5"/>
        <v>0</v>
      </c>
      <c r="BH17" s="131"/>
      <c r="BI17" s="131"/>
      <c r="BJ17" s="132"/>
      <c r="BK17" s="132"/>
      <c r="BL17" s="133" t="s">
        <v>561</v>
      </c>
      <c r="BM17" s="133" t="s">
        <v>561</v>
      </c>
      <c r="BN17" s="133"/>
      <c r="BO17" s="133"/>
      <c r="BP17" s="133" t="s">
        <v>1311</v>
      </c>
      <c r="BQ17" s="134"/>
      <c r="BR17" s="135" t="s">
        <v>850</v>
      </c>
      <c r="BS17" s="134"/>
      <c r="BT17" s="134"/>
      <c r="BU17" s="137">
        <f t="shared" si="6"/>
        <v>0.418</v>
      </c>
      <c r="BV17" s="138">
        <v>0.7020000000000001</v>
      </c>
      <c r="BW17" s="137">
        <v>0.284</v>
      </c>
      <c r="BX17" s="137"/>
      <c r="BY17" s="137">
        <f t="shared" si="7"/>
        <v>0.377</v>
      </c>
      <c r="BZ17" s="138">
        <v>0.6559999999999999</v>
      </c>
      <c r="CA17" s="137">
        <v>0.27899999999999997</v>
      </c>
      <c r="CB17" s="137"/>
      <c r="CC17" s="138">
        <v>0.82</v>
      </c>
      <c r="CD17" s="137">
        <v>0.057</v>
      </c>
      <c r="CE17" s="137">
        <v>0.047</v>
      </c>
      <c r="CF17" s="137">
        <v>0.057999999999999996</v>
      </c>
      <c r="CG17" s="137">
        <v>0.016</v>
      </c>
      <c r="CH17" s="137">
        <v>0.001</v>
      </c>
      <c r="CI17" s="139"/>
      <c r="CJ17" s="138">
        <v>0.885</v>
      </c>
      <c r="CK17" s="137">
        <v>0.032</v>
      </c>
      <c r="CL17" s="137">
        <v>0.040999999999999995</v>
      </c>
      <c r="CM17" s="137">
        <v>0.033</v>
      </c>
      <c r="CN17" s="137">
        <v>0.006999999999999999</v>
      </c>
      <c r="CO17" s="137">
        <v>0.0</v>
      </c>
      <c r="CP17" s="137"/>
      <c r="CQ17" s="137">
        <v>0.452</v>
      </c>
      <c r="CR17" s="137">
        <v>0.457</v>
      </c>
      <c r="CS17" s="137">
        <v>0.48100000000000004</v>
      </c>
    </row>
    <row r="18">
      <c r="A18" s="112">
        <f t="shared" si="1"/>
        <v>16</v>
      </c>
      <c r="B18" s="112" t="s">
        <v>852</v>
      </c>
      <c r="C18" s="112" t="s">
        <v>853</v>
      </c>
      <c r="D18" s="113" t="s">
        <v>847</v>
      </c>
      <c r="E18" s="154" t="s">
        <v>1323</v>
      </c>
      <c r="F18" s="115">
        <f t="shared" si="2"/>
        <v>0.5714285714</v>
      </c>
      <c r="G18" s="115">
        <f t="shared" si="3"/>
        <v>0.55</v>
      </c>
      <c r="H18" s="116">
        <f t="shared" si="4"/>
        <v>0.5553571429</v>
      </c>
      <c r="I18" s="117" t="s">
        <v>594</v>
      </c>
      <c r="J18" s="117" t="s">
        <v>487</v>
      </c>
      <c r="K18" s="117" t="s">
        <v>487</v>
      </c>
      <c r="L18" s="117" t="s">
        <v>487</v>
      </c>
      <c r="M18" s="117" t="s">
        <v>487</v>
      </c>
      <c r="N18" s="117" t="s">
        <v>594</v>
      </c>
      <c r="O18" s="149" t="s">
        <v>1256</v>
      </c>
      <c r="P18" s="120" t="s">
        <v>53</v>
      </c>
      <c r="Q18" s="121" t="s">
        <v>53</v>
      </c>
      <c r="R18" s="121" t="s">
        <v>561</v>
      </c>
      <c r="S18" s="119" t="s">
        <v>53</v>
      </c>
      <c r="T18" s="119" t="s">
        <v>53</v>
      </c>
      <c r="U18" s="119" t="s">
        <v>53</v>
      </c>
      <c r="V18" s="119" t="s">
        <v>53</v>
      </c>
      <c r="W18" s="119" t="s">
        <v>53</v>
      </c>
      <c r="X18" s="119" t="s">
        <v>53</v>
      </c>
      <c r="Y18" s="149" t="s">
        <v>561</v>
      </c>
      <c r="Z18" s="149" t="s">
        <v>561</v>
      </c>
      <c r="AA18" s="149" t="s">
        <v>561</v>
      </c>
      <c r="AB18" s="149" t="s">
        <v>561</v>
      </c>
      <c r="AC18" s="125" t="s">
        <v>561</v>
      </c>
      <c r="AD18" s="149" t="s">
        <v>561</v>
      </c>
      <c r="AE18" s="128" t="s">
        <v>561</v>
      </c>
      <c r="AF18" s="125" t="s">
        <v>561</v>
      </c>
      <c r="AG18" s="121" t="s">
        <v>53</v>
      </c>
      <c r="AH18" s="128" t="s">
        <v>561</v>
      </c>
      <c r="AI18" s="125" t="s">
        <v>53</v>
      </c>
      <c r="AJ18" s="121" t="s">
        <v>53</v>
      </c>
      <c r="AK18" s="125" t="s">
        <v>799</v>
      </c>
      <c r="AL18" s="128" t="s">
        <v>561</v>
      </c>
      <c r="AM18" s="128" t="s">
        <v>561</v>
      </c>
      <c r="AN18" s="128" t="s">
        <v>53</v>
      </c>
      <c r="AO18" s="128" t="s">
        <v>53</v>
      </c>
      <c r="AP18" s="121" t="s">
        <v>561</v>
      </c>
      <c r="AQ18" s="128" t="s">
        <v>53</v>
      </c>
      <c r="AR18" s="121" t="s">
        <v>53</v>
      </c>
      <c r="AS18" s="117" t="s">
        <v>561</v>
      </c>
      <c r="AT18" s="117" t="s">
        <v>53</v>
      </c>
      <c r="AU18" s="117" t="s">
        <v>799</v>
      </c>
      <c r="AV18" s="117" t="s">
        <v>53</v>
      </c>
      <c r="AW18" s="117" t="s">
        <v>53</v>
      </c>
      <c r="AX18" s="117" t="s">
        <v>561</v>
      </c>
      <c r="AY18" s="117" t="s">
        <v>561</v>
      </c>
      <c r="AZ18" s="117" t="s">
        <v>799</v>
      </c>
      <c r="BA18" s="117" t="s">
        <v>53</v>
      </c>
      <c r="BB18" s="117" t="s">
        <v>53</v>
      </c>
      <c r="BC18" s="117" t="s">
        <v>799</v>
      </c>
      <c r="BD18" s="129" t="s">
        <v>821</v>
      </c>
      <c r="BE18" s="129" t="s">
        <v>821</v>
      </c>
      <c r="BF18" s="130"/>
      <c r="BG18" s="130">
        <f t="shared" si="5"/>
        <v>0</v>
      </c>
      <c r="BH18" s="131"/>
      <c r="BI18" s="131"/>
      <c r="BJ18" s="132"/>
      <c r="BK18" s="132"/>
      <c r="BL18" s="133" t="s">
        <v>561</v>
      </c>
      <c r="BM18" s="133" t="s">
        <v>561</v>
      </c>
      <c r="BN18" s="133"/>
      <c r="BO18" s="133"/>
      <c r="BP18" s="133" t="s">
        <v>1344</v>
      </c>
      <c r="BQ18" s="134"/>
      <c r="BR18" s="134"/>
      <c r="BS18" s="134"/>
      <c r="BT18" s="134"/>
      <c r="BU18" s="137">
        <f t="shared" si="6"/>
        <v>0.376</v>
      </c>
      <c r="BV18" s="138">
        <v>0.6779999999999999</v>
      </c>
      <c r="BW18" s="137">
        <v>0.302</v>
      </c>
      <c r="BX18" s="137"/>
      <c r="BY18" s="137">
        <f t="shared" si="7"/>
        <v>0.311</v>
      </c>
      <c r="BZ18" s="138">
        <v>0.611</v>
      </c>
      <c r="CA18" s="137">
        <v>0.3</v>
      </c>
      <c r="CB18" s="137"/>
      <c r="CC18" s="138">
        <v>0.679</v>
      </c>
      <c r="CD18" s="137">
        <v>0.062</v>
      </c>
      <c r="CE18" s="137">
        <v>0.11</v>
      </c>
      <c r="CF18" s="137">
        <v>0.128</v>
      </c>
      <c r="CG18" s="137">
        <v>0.021</v>
      </c>
      <c r="CH18" s="137">
        <v>0.002</v>
      </c>
      <c r="CI18" s="139"/>
      <c r="CJ18" s="138">
        <v>0.753</v>
      </c>
      <c r="CK18" s="137">
        <v>0.043</v>
      </c>
      <c r="CL18" s="137">
        <v>0.091</v>
      </c>
      <c r="CM18" s="137">
        <v>0.1</v>
      </c>
      <c r="CN18" s="137">
        <v>0.01</v>
      </c>
      <c r="CO18" s="137">
        <v>0.0</v>
      </c>
      <c r="CP18" s="137"/>
      <c r="CQ18" s="137">
        <v>0.445</v>
      </c>
      <c r="CR18" s="138">
        <v>0.501</v>
      </c>
      <c r="CS18" s="137">
        <v>0.375</v>
      </c>
    </row>
    <row r="19">
      <c r="A19" s="112">
        <f t="shared" si="1"/>
        <v>17</v>
      </c>
      <c r="B19" s="112" t="s">
        <v>1357</v>
      </c>
      <c r="C19" s="112" t="s">
        <v>452</v>
      </c>
      <c r="D19" s="113" t="s">
        <v>448</v>
      </c>
      <c r="E19" s="114" t="s">
        <v>1358</v>
      </c>
      <c r="F19" s="115">
        <f t="shared" si="2"/>
        <v>0.4285714286</v>
      </c>
      <c r="G19" s="115">
        <f t="shared" si="3"/>
        <v>0.5882352941</v>
      </c>
      <c r="H19" s="116">
        <f t="shared" si="4"/>
        <v>0.5483193277</v>
      </c>
      <c r="I19" s="117" t="s">
        <v>487</v>
      </c>
      <c r="J19" s="117" t="s">
        <v>594</v>
      </c>
      <c r="K19" s="117" t="s">
        <v>487</v>
      </c>
      <c r="L19" s="117" t="s">
        <v>594</v>
      </c>
      <c r="M19" s="117" t="s">
        <v>594</v>
      </c>
      <c r="N19" s="117" t="s">
        <v>594</v>
      </c>
      <c r="O19" s="119" t="s">
        <v>822</v>
      </c>
      <c r="P19" s="120" t="s">
        <v>53</v>
      </c>
      <c r="Q19" s="121" t="s">
        <v>53</v>
      </c>
      <c r="R19" s="121" t="s">
        <v>561</v>
      </c>
      <c r="S19" s="119" t="s">
        <v>53</v>
      </c>
      <c r="T19" s="119" t="s">
        <v>53</v>
      </c>
      <c r="U19" s="119" t="s">
        <v>53</v>
      </c>
      <c r="V19" s="119" t="s">
        <v>53</v>
      </c>
      <c r="W19" s="119" t="s">
        <v>53</v>
      </c>
      <c r="X19" s="119" t="s">
        <v>53</v>
      </c>
      <c r="Y19" s="119" t="s">
        <v>53</v>
      </c>
      <c r="Z19" s="119" t="s">
        <v>53</v>
      </c>
      <c r="AA19" s="149" t="s">
        <v>561</v>
      </c>
      <c r="AB19" s="119" t="s">
        <v>53</v>
      </c>
      <c r="AC19" s="125" t="s">
        <v>561</v>
      </c>
      <c r="AD19" s="149" t="s">
        <v>561</v>
      </c>
      <c r="AE19" s="121" t="s">
        <v>53</v>
      </c>
      <c r="AF19" s="125" t="s">
        <v>561</v>
      </c>
      <c r="AG19" s="121" t="s">
        <v>53</v>
      </c>
      <c r="AH19" s="128" t="s">
        <v>561</v>
      </c>
      <c r="AI19" s="125" t="s">
        <v>53</v>
      </c>
      <c r="AJ19" s="121" t="s">
        <v>53</v>
      </c>
      <c r="AK19" s="125" t="s">
        <v>561</v>
      </c>
      <c r="AL19" s="128" t="s">
        <v>561</v>
      </c>
      <c r="AM19" s="128" t="s">
        <v>561</v>
      </c>
      <c r="AN19" s="128" t="s">
        <v>561</v>
      </c>
      <c r="AO19" s="128" t="s">
        <v>53</v>
      </c>
      <c r="AP19" s="121" t="s">
        <v>53</v>
      </c>
      <c r="AQ19" s="128" t="s">
        <v>53</v>
      </c>
      <c r="AR19" s="121" t="s">
        <v>53</v>
      </c>
      <c r="AS19" s="117" t="s">
        <v>561</v>
      </c>
      <c r="AT19" s="117" t="s">
        <v>53</v>
      </c>
      <c r="AU19" s="117" t="s">
        <v>561</v>
      </c>
      <c r="AV19" s="117" t="s">
        <v>561</v>
      </c>
      <c r="AW19" s="117" t="s">
        <v>561</v>
      </c>
      <c r="AX19" s="117" t="s">
        <v>600</v>
      </c>
      <c r="AY19" s="117" t="s">
        <v>600</v>
      </c>
      <c r="AZ19" s="117" t="s">
        <v>600</v>
      </c>
      <c r="BA19" s="117" t="s">
        <v>600</v>
      </c>
      <c r="BB19" s="117" t="s">
        <v>600</v>
      </c>
      <c r="BC19" s="117" t="s">
        <v>600</v>
      </c>
      <c r="BD19" s="129" t="s">
        <v>821</v>
      </c>
      <c r="BE19" s="129" t="s">
        <v>821</v>
      </c>
      <c r="BF19" s="130"/>
      <c r="BG19" s="130">
        <f t="shared" si="5"/>
        <v>0</v>
      </c>
      <c r="BH19" s="131"/>
      <c r="BI19" s="131"/>
      <c r="BJ19" s="132"/>
      <c r="BK19" s="132"/>
      <c r="BL19" s="133"/>
      <c r="BM19" s="133"/>
      <c r="BN19" s="133"/>
      <c r="BO19" s="133"/>
      <c r="BP19" s="133" t="s">
        <v>976</v>
      </c>
      <c r="BQ19" s="134"/>
      <c r="BR19" s="135" t="s">
        <v>850</v>
      </c>
      <c r="BS19" s="134"/>
      <c r="BT19" s="134"/>
      <c r="BU19" s="137">
        <f t="shared" si="6"/>
        <v>0.318</v>
      </c>
      <c r="BV19" s="138">
        <v>0.653</v>
      </c>
      <c r="BW19" s="137">
        <v>0.335</v>
      </c>
      <c r="BX19" s="137"/>
      <c r="BY19" s="137">
        <f t="shared" si="7"/>
        <v>0.322</v>
      </c>
      <c r="BZ19" s="138">
        <v>0.636</v>
      </c>
      <c r="CA19" s="137">
        <v>0.314</v>
      </c>
      <c r="CB19" s="137"/>
      <c r="CC19" s="138">
        <v>0.385</v>
      </c>
      <c r="CD19" s="137">
        <v>0.28600000000000003</v>
      </c>
      <c r="CE19" s="137">
        <v>0.26</v>
      </c>
      <c r="CF19" s="137">
        <v>0.061</v>
      </c>
      <c r="CG19" s="137">
        <v>0.017</v>
      </c>
      <c r="CH19" s="137">
        <v>0.003</v>
      </c>
      <c r="CI19" s="139"/>
      <c r="CJ19" s="138">
        <v>0.445</v>
      </c>
      <c r="CK19" s="137">
        <v>0.253</v>
      </c>
      <c r="CL19" s="137">
        <v>0.24800000000000003</v>
      </c>
      <c r="CM19" s="137">
        <v>0.045</v>
      </c>
      <c r="CN19" s="137">
        <v>0.006</v>
      </c>
      <c r="CO19" s="137">
        <v>0.001</v>
      </c>
      <c r="CP19" s="137"/>
      <c r="CQ19" s="137">
        <v>0.34</v>
      </c>
      <c r="CR19" s="137">
        <v>0.47</v>
      </c>
      <c r="CS19" s="137">
        <v>0.23600000000000002</v>
      </c>
    </row>
    <row r="20">
      <c r="A20" s="112">
        <f t="shared" si="1"/>
        <v>18</v>
      </c>
      <c r="B20" s="112" t="s">
        <v>81</v>
      </c>
      <c r="C20" s="112" t="s">
        <v>82</v>
      </c>
      <c r="D20" s="113" t="s">
        <v>78</v>
      </c>
      <c r="E20" s="153" t="s">
        <v>1385</v>
      </c>
      <c r="F20" s="115">
        <f t="shared" si="2"/>
        <v>0.5714285714</v>
      </c>
      <c r="G20" s="115">
        <f t="shared" si="3"/>
        <v>0.5384615385</v>
      </c>
      <c r="H20" s="116">
        <f t="shared" si="4"/>
        <v>0.5467032967</v>
      </c>
      <c r="I20" s="117" t="s">
        <v>594</v>
      </c>
      <c r="J20" s="117" t="s">
        <v>487</v>
      </c>
      <c r="K20" s="117" t="s">
        <v>487</v>
      </c>
      <c r="L20" s="117" t="s">
        <v>487</v>
      </c>
      <c r="M20" s="117" t="s">
        <v>594</v>
      </c>
      <c r="N20" s="117" t="s">
        <v>594</v>
      </c>
      <c r="O20" s="119" t="s">
        <v>822</v>
      </c>
      <c r="P20" s="156" t="s">
        <v>801</v>
      </c>
      <c r="Q20" s="121" t="s">
        <v>53</v>
      </c>
      <c r="R20" s="121" t="s">
        <v>561</v>
      </c>
      <c r="S20" s="121" t="s">
        <v>801</v>
      </c>
      <c r="T20" s="123" t="s">
        <v>801</v>
      </c>
      <c r="U20" s="123" t="s">
        <v>801</v>
      </c>
      <c r="V20" s="123" t="s">
        <v>801</v>
      </c>
      <c r="W20" s="123" t="s">
        <v>801</v>
      </c>
      <c r="X20" s="123" t="s">
        <v>801</v>
      </c>
      <c r="Y20" s="123" t="s">
        <v>801</v>
      </c>
      <c r="Z20" s="128" t="s">
        <v>801</v>
      </c>
      <c r="AA20" s="123" t="s">
        <v>801</v>
      </c>
      <c r="AB20" s="123" t="s">
        <v>801</v>
      </c>
      <c r="AC20" s="125" t="s">
        <v>801</v>
      </c>
      <c r="AD20" s="123" t="s">
        <v>801</v>
      </c>
      <c r="AE20" s="125" t="s">
        <v>801</v>
      </c>
      <c r="AF20" s="125" t="s">
        <v>561</v>
      </c>
      <c r="AG20" s="121" t="s">
        <v>53</v>
      </c>
      <c r="AH20" s="128" t="s">
        <v>561</v>
      </c>
      <c r="AI20" s="125" t="s">
        <v>53</v>
      </c>
      <c r="AJ20" s="121" t="s">
        <v>53</v>
      </c>
      <c r="AK20" s="121" t="s">
        <v>53</v>
      </c>
      <c r="AL20" s="128" t="s">
        <v>561</v>
      </c>
      <c r="AM20" s="128" t="s">
        <v>561</v>
      </c>
      <c r="AN20" s="128" t="s">
        <v>53</v>
      </c>
      <c r="AO20" s="128" t="s">
        <v>53</v>
      </c>
      <c r="AP20" s="121" t="s">
        <v>561</v>
      </c>
      <c r="AQ20" s="128" t="s">
        <v>53</v>
      </c>
      <c r="AR20" s="121" t="s">
        <v>53</v>
      </c>
      <c r="AS20" s="117" t="s">
        <v>561</v>
      </c>
      <c r="AT20" s="117" t="s">
        <v>53</v>
      </c>
      <c r="AU20" s="117" t="s">
        <v>561</v>
      </c>
      <c r="AV20" s="117" t="s">
        <v>561</v>
      </c>
      <c r="AW20" s="117" t="s">
        <v>53</v>
      </c>
      <c r="AX20" s="117" t="s">
        <v>53</v>
      </c>
      <c r="AY20" s="117" t="s">
        <v>561</v>
      </c>
      <c r="AZ20" s="117" t="s">
        <v>561</v>
      </c>
      <c r="BA20" s="117" t="s">
        <v>53</v>
      </c>
      <c r="BB20" s="117" t="s">
        <v>53</v>
      </c>
      <c r="BC20" s="117" t="s">
        <v>561</v>
      </c>
      <c r="BD20" s="129" t="s">
        <v>821</v>
      </c>
      <c r="BE20" s="129" t="s">
        <v>821</v>
      </c>
      <c r="BF20" s="130"/>
      <c r="BG20" s="130">
        <f t="shared" si="5"/>
        <v>0</v>
      </c>
      <c r="BH20" s="131"/>
      <c r="BI20" s="131"/>
      <c r="BJ20" s="132"/>
      <c r="BK20" s="132"/>
      <c r="BL20" s="133" t="s">
        <v>561</v>
      </c>
      <c r="BM20" s="133" t="s">
        <v>561</v>
      </c>
      <c r="BN20" s="133"/>
      <c r="BO20" s="133"/>
      <c r="BP20" s="133" t="s">
        <v>1400</v>
      </c>
      <c r="BQ20" s="134"/>
      <c r="BR20" s="135" t="s">
        <v>850</v>
      </c>
      <c r="BS20" s="135" t="s">
        <v>940</v>
      </c>
      <c r="BT20" s="134"/>
      <c r="BU20" s="137">
        <f t="shared" si="6"/>
        <v>0.327</v>
      </c>
      <c r="BV20" s="138">
        <v>0.6559999999999999</v>
      </c>
      <c r="BW20" s="137">
        <v>0.32899999999999996</v>
      </c>
      <c r="BX20" s="137"/>
      <c r="BY20" s="137">
        <f t="shared" si="7"/>
        <v>0.336</v>
      </c>
      <c r="BZ20" s="138">
        <v>0.634</v>
      </c>
      <c r="CA20" s="137">
        <v>0.298</v>
      </c>
      <c r="CB20" s="137"/>
      <c r="CC20" s="137">
        <v>0.32899999999999996</v>
      </c>
      <c r="CD20" s="138">
        <v>0.555</v>
      </c>
      <c r="CE20" s="137">
        <v>0.049</v>
      </c>
      <c r="CF20" s="137">
        <v>0.03</v>
      </c>
      <c r="CG20" s="137">
        <v>0.057999999999999996</v>
      </c>
      <c r="CH20" s="137">
        <v>0.004</v>
      </c>
      <c r="CI20" s="139"/>
      <c r="CJ20" s="137">
        <v>0.376</v>
      </c>
      <c r="CK20" s="138">
        <v>0.516</v>
      </c>
      <c r="CL20" s="137">
        <v>0.044000000000000004</v>
      </c>
      <c r="CM20" s="137">
        <v>0.02</v>
      </c>
      <c r="CN20" s="137">
        <v>0.04</v>
      </c>
      <c r="CO20" s="137">
        <v>0.001</v>
      </c>
      <c r="CP20" s="137"/>
      <c r="CQ20" s="137">
        <v>0.198</v>
      </c>
      <c r="CR20" s="137">
        <v>0.319</v>
      </c>
      <c r="CS20" s="137">
        <v>0.256</v>
      </c>
    </row>
    <row r="21">
      <c r="A21" s="112">
        <f t="shared" si="1"/>
        <v>19</v>
      </c>
      <c r="B21" s="112" t="s">
        <v>960</v>
      </c>
      <c r="C21" s="112" t="s">
        <v>961</v>
      </c>
      <c r="D21" s="113" t="s">
        <v>958</v>
      </c>
      <c r="E21" s="114" t="s">
        <v>1413</v>
      </c>
      <c r="F21" s="115">
        <f t="shared" si="2"/>
        <v>0.5714285714</v>
      </c>
      <c r="G21" s="115">
        <f t="shared" si="3"/>
        <v>0.5277777778</v>
      </c>
      <c r="H21" s="116">
        <f t="shared" si="4"/>
        <v>0.5386904762</v>
      </c>
      <c r="I21" s="117" t="s">
        <v>487</v>
      </c>
      <c r="J21" s="117" t="s">
        <v>487</v>
      </c>
      <c r="K21" s="117" t="s">
        <v>487</v>
      </c>
      <c r="L21" s="117" t="s">
        <v>487</v>
      </c>
      <c r="M21" s="117" t="s">
        <v>594</v>
      </c>
      <c r="N21" s="117" t="s">
        <v>594</v>
      </c>
      <c r="O21" s="149" t="s">
        <v>1256</v>
      </c>
      <c r="P21" s="120" t="s">
        <v>53</v>
      </c>
      <c r="Q21" s="121" t="s">
        <v>53</v>
      </c>
      <c r="R21" s="121" t="s">
        <v>561</v>
      </c>
      <c r="S21" s="119" t="s">
        <v>53</v>
      </c>
      <c r="T21" s="119" t="s">
        <v>53</v>
      </c>
      <c r="U21" s="123" t="s">
        <v>801</v>
      </c>
      <c r="V21" s="123" t="s">
        <v>801</v>
      </c>
      <c r="W21" s="119" t="s">
        <v>53</v>
      </c>
      <c r="X21" s="119" t="s">
        <v>53</v>
      </c>
      <c r="Y21" s="119" t="s">
        <v>53</v>
      </c>
      <c r="Z21" s="119" t="s">
        <v>53</v>
      </c>
      <c r="AA21" s="149" t="s">
        <v>561</v>
      </c>
      <c r="AB21" s="119" t="s">
        <v>53</v>
      </c>
      <c r="AC21" s="125" t="s">
        <v>561</v>
      </c>
      <c r="AD21" s="149" t="s">
        <v>561</v>
      </c>
      <c r="AE21" s="128" t="s">
        <v>561</v>
      </c>
      <c r="AF21" s="125" t="s">
        <v>561</v>
      </c>
      <c r="AG21" s="121" t="s">
        <v>53</v>
      </c>
      <c r="AH21" s="128" t="s">
        <v>561</v>
      </c>
      <c r="AI21" s="125" t="s">
        <v>53</v>
      </c>
      <c r="AJ21" s="121" t="s">
        <v>53</v>
      </c>
      <c r="AK21" s="121" t="s">
        <v>53</v>
      </c>
      <c r="AL21" s="128" t="s">
        <v>561</v>
      </c>
      <c r="AM21" s="128" t="s">
        <v>561</v>
      </c>
      <c r="AN21" s="128" t="s">
        <v>53</v>
      </c>
      <c r="AO21" s="128" t="s">
        <v>53</v>
      </c>
      <c r="AP21" s="128" t="s">
        <v>53</v>
      </c>
      <c r="AQ21" s="128" t="s">
        <v>53</v>
      </c>
      <c r="AR21" s="128" t="s">
        <v>561</v>
      </c>
      <c r="AS21" s="117" t="s">
        <v>561</v>
      </c>
      <c r="AT21" s="117" t="s">
        <v>561</v>
      </c>
      <c r="AU21" s="117" t="s">
        <v>561</v>
      </c>
      <c r="AV21" s="117" t="s">
        <v>561</v>
      </c>
      <c r="AW21" s="117" t="s">
        <v>801</v>
      </c>
      <c r="AX21" s="117" t="s">
        <v>561</v>
      </c>
      <c r="AY21" s="117" t="s">
        <v>561</v>
      </c>
      <c r="AZ21" s="117" t="s">
        <v>561</v>
      </c>
      <c r="BA21" s="117" t="s">
        <v>53</v>
      </c>
      <c r="BB21" s="117" t="s">
        <v>53</v>
      </c>
      <c r="BC21" s="117" t="s">
        <v>600</v>
      </c>
      <c r="BD21" s="129" t="s">
        <v>821</v>
      </c>
      <c r="BE21" s="129" t="s">
        <v>821</v>
      </c>
      <c r="BF21" s="130"/>
      <c r="BG21" s="130">
        <f t="shared" si="5"/>
        <v>0</v>
      </c>
      <c r="BH21" s="131"/>
      <c r="BI21" s="131"/>
      <c r="BJ21" s="132"/>
      <c r="BK21" s="132"/>
      <c r="BL21" s="133"/>
      <c r="BM21" s="133" t="s">
        <v>561</v>
      </c>
      <c r="BN21" s="133"/>
      <c r="BO21" s="133"/>
      <c r="BP21" s="133" t="s">
        <v>1432</v>
      </c>
      <c r="BQ21" s="134"/>
      <c r="BR21" s="135" t="s">
        <v>850</v>
      </c>
      <c r="BS21" s="134"/>
      <c r="BT21" s="134"/>
      <c r="BU21" s="137">
        <f t="shared" si="6"/>
        <v>0.345</v>
      </c>
      <c r="BV21" s="138">
        <v>0.6659999999999999</v>
      </c>
      <c r="BW21" s="137">
        <v>0.321</v>
      </c>
      <c r="BX21" s="137"/>
      <c r="BY21" s="137">
        <f t="shared" si="7"/>
        <v>0.314</v>
      </c>
      <c r="BZ21" s="138">
        <v>0.6409999999999999</v>
      </c>
      <c r="CA21" s="137">
        <v>0.327</v>
      </c>
      <c r="CB21" s="137"/>
      <c r="CC21" s="138">
        <v>0.435</v>
      </c>
      <c r="CD21" s="137">
        <v>0.192</v>
      </c>
      <c r="CE21" s="137">
        <v>0.177</v>
      </c>
      <c r="CF21" s="137">
        <v>0.195</v>
      </c>
      <c r="CG21" s="137">
        <v>0.013999999999999999</v>
      </c>
      <c r="CH21" s="137">
        <v>0.002</v>
      </c>
      <c r="CI21" s="139"/>
      <c r="CJ21" s="138">
        <v>0.544</v>
      </c>
      <c r="CK21" s="137">
        <v>0.125</v>
      </c>
      <c r="CL21" s="137">
        <v>0.182</v>
      </c>
      <c r="CM21" s="137">
        <v>0.142</v>
      </c>
      <c r="CN21" s="137">
        <v>0.004</v>
      </c>
      <c r="CO21" s="137">
        <v>0.0</v>
      </c>
      <c r="CP21" s="137"/>
      <c r="CQ21" s="137">
        <v>0.47600000000000003</v>
      </c>
      <c r="CR21" s="138">
        <v>0.505</v>
      </c>
      <c r="CS21" s="137">
        <v>0.26899999999999996</v>
      </c>
    </row>
    <row r="22">
      <c r="A22" s="112">
        <f t="shared" si="1"/>
        <v>20</v>
      </c>
      <c r="B22" s="112" t="s">
        <v>999</v>
      </c>
      <c r="C22" s="112" t="s">
        <v>1000</v>
      </c>
      <c r="D22" s="113" t="s">
        <v>993</v>
      </c>
      <c r="E22" s="114" t="s">
        <v>1442</v>
      </c>
      <c r="F22" s="115">
        <f t="shared" si="2"/>
        <v>0.4285714286</v>
      </c>
      <c r="G22" s="115">
        <f t="shared" si="3"/>
        <v>0.55</v>
      </c>
      <c r="H22" s="116">
        <f t="shared" si="4"/>
        <v>0.5196428571</v>
      </c>
      <c r="I22" s="117" t="s">
        <v>487</v>
      </c>
      <c r="J22" s="117" t="s">
        <v>594</v>
      </c>
      <c r="K22" s="117" t="s">
        <v>487</v>
      </c>
      <c r="L22" s="117" t="s">
        <v>594</v>
      </c>
      <c r="M22" s="117" t="s">
        <v>594</v>
      </c>
      <c r="N22" s="117" t="s">
        <v>594</v>
      </c>
      <c r="O22" s="119" t="s">
        <v>822</v>
      </c>
      <c r="P22" s="120" t="s">
        <v>53</v>
      </c>
      <c r="Q22" s="121" t="s">
        <v>53</v>
      </c>
      <c r="R22" s="121" t="s">
        <v>561</v>
      </c>
      <c r="S22" s="119" t="s">
        <v>53</v>
      </c>
      <c r="T22" s="119" t="s">
        <v>53</v>
      </c>
      <c r="U22" s="119" t="s">
        <v>53</v>
      </c>
      <c r="V22" s="119" t="s">
        <v>53</v>
      </c>
      <c r="W22" s="119" t="s">
        <v>53</v>
      </c>
      <c r="X22" s="119" t="s">
        <v>53</v>
      </c>
      <c r="Y22" s="119" t="s">
        <v>53</v>
      </c>
      <c r="Z22" s="149" t="s">
        <v>561</v>
      </c>
      <c r="AA22" s="149" t="s">
        <v>561</v>
      </c>
      <c r="AB22" s="119" t="s">
        <v>53</v>
      </c>
      <c r="AC22" s="125" t="s">
        <v>561</v>
      </c>
      <c r="AD22" s="149" t="s">
        <v>561</v>
      </c>
      <c r="AE22" s="121" t="s">
        <v>53</v>
      </c>
      <c r="AF22" s="125" t="s">
        <v>561</v>
      </c>
      <c r="AG22" s="121" t="s">
        <v>53</v>
      </c>
      <c r="AH22" s="128" t="s">
        <v>561</v>
      </c>
      <c r="AI22" s="125" t="s">
        <v>53</v>
      </c>
      <c r="AJ22" s="121" t="s">
        <v>53</v>
      </c>
      <c r="AK22" s="125" t="s">
        <v>799</v>
      </c>
      <c r="AL22" s="128" t="s">
        <v>561</v>
      </c>
      <c r="AM22" s="128" t="s">
        <v>561</v>
      </c>
      <c r="AN22" s="128" t="s">
        <v>53</v>
      </c>
      <c r="AO22" s="128" t="s">
        <v>53</v>
      </c>
      <c r="AP22" s="121" t="s">
        <v>53</v>
      </c>
      <c r="AQ22" s="128" t="s">
        <v>53</v>
      </c>
      <c r="AR22" s="121" t="s">
        <v>53</v>
      </c>
      <c r="AS22" s="117" t="s">
        <v>799</v>
      </c>
      <c r="AT22" s="117" t="s">
        <v>53</v>
      </c>
      <c r="AU22" s="117" t="s">
        <v>561</v>
      </c>
      <c r="AV22" s="117" t="s">
        <v>561</v>
      </c>
      <c r="AW22" s="117" t="s">
        <v>53</v>
      </c>
      <c r="AX22" s="117" t="s">
        <v>561</v>
      </c>
      <c r="AY22" s="117" t="s">
        <v>561</v>
      </c>
      <c r="AZ22" s="117" t="s">
        <v>561</v>
      </c>
      <c r="BA22" s="117" t="s">
        <v>561</v>
      </c>
      <c r="BB22" s="117" t="s">
        <v>561</v>
      </c>
      <c r="BC22" s="117" t="s">
        <v>561</v>
      </c>
      <c r="BD22" s="129" t="s">
        <v>821</v>
      </c>
      <c r="BE22" s="129" t="s">
        <v>821</v>
      </c>
      <c r="BF22" s="130"/>
      <c r="BG22" s="130">
        <f t="shared" si="5"/>
        <v>0</v>
      </c>
      <c r="BH22" s="131"/>
      <c r="BI22" s="131"/>
      <c r="BJ22" s="132"/>
      <c r="BK22" s="132"/>
      <c r="BL22" s="133"/>
      <c r="BM22" s="133" t="s">
        <v>561</v>
      </c>
      <c r="BN22" s="133"/>
      <c r="BO22" s="133"/>
      <c r="BP22" s="133" t="s">
        <v>1457</v>
      </c>
      <c r="BQ22" s="134"/>
      <c r="BR22" s="135" t="s">
        <v>850</v>
      </c>
      <c r="BS22" s="134"/>
      <c r="BT22" s="134"/>
      <c r="BU22" s="137">
        <f t="shared" si="6"/>
        <v>0.626</v>
      </c>
      <c r="BV22" s="138">
        <v>0.8079999999999999</v>
      </c>
      <c r="BW22" s="137">
        <v>0.182</v>
      </c>
      <c r="BX22" s="137"/>
      <c r="BY22" s="137">
        <f t="shared" si="7"/>
        <v>0.727</v>
      </c>
      <c r="BZ22" s="138">
        <v>0.846</v>
      </c>
      <c r="CA22" s="137">
        <v>0.11900000000000001</v>
      </c>
      <c r="CB22" s="137"/>
      <c r="CC22" s="138">
        <v>0.37</v>
      </c>
      <c r="CD22" s="137">
        <v>0.341</v>
      </c>
      <c r="CE22" s="137">
        <v>0.14800000000000002</v>
      </c>
      <c r="CF22" s="137">
        <v>0.155</v>
      </c>
      <c r="CG22" s="137">
        <v>0.024</v>
      </c>
      <c r="CH22" s="137">
        <v>0.003</v>
      </c>
      <c r="CI22" s="139"/>
      <c r="CJ22" s="138">
        <v>0.41200000000000003</v>
      </c>
      <c r="CK22" s="137">
        <v>0.334</v>
      </c>
      <c r="CL22" s="137">
        <v>0.139</v>
      </c>
      <c r="CM22" s="137">
        <v>0.107</v>
      </c>
      <c r="CN22" s="137">
        <v>0.004</v>
      </c>
      <c r="CO22" s="137">
        <v>0.0</v>
      </c>
      <c r="CP22" s="137"/>
      <c r="CQ22" s="137">
        <v>0.39899999999999997</v>
      </c>
      <c r="CR22" s="138">
        <v>0.58</v>
      </c>
      <c r="CS22" s="137">
        <v>0.17300000000000001</v>
      </c>
    </row>
    <row r="23">
      <c r="A23" s="112">
        <f t="shared" si="1"/>
        <v>21</v>
      </c>
      <c r="B23" s="112" t="s">
        <v>516</v>
      </c>
      <c r="C23" s="112" t="s">
        <v>517</v>
      </c>
      <c r="D23" s="113" t="s">
        <v>513</v>
      </c>
      <c r="E23" s="157" t="s">
        <v>1469</v>
      </c>
      <c r="F23" s="115">
        <f t="shared" si="2"/>
        <v>0.4285714286</v>
      </c>
      <c r="G23" s="115">
        <f t="shared" si="3"/>
        <v>0.5256410256</v>
      </c>
      <c r="H23" s="116">
        <f t="shared" si="4"/>
        <v>0.5013736264</v>
      </c>
      <c r="I23" s="117" t="s">
        <v>487</v>
      </c>
      <c r="J23" s="117" t="s">
        <v>594</v>
      </c>
      <c r="K23" s="117" t="s">
        <v>487</v>
      </c>
      <c r="L23" s="117" t="s">
        <v>487</v>
      </c>
      <c r="M23" s="117" t="s">
        <v>594</v>
      </c>
      <c r="N23" s="117" t="s">
        <v>594</v>
      </c>
      <c r="O23" s="149" t="s">
        <v>1256</v>
      </c>
      <c r="P23" s="120" t="s">
        <v>53</v>
      </c>
      <c r="Q23" s="121" t="s">
        <v>53</v>
      </c>
      <c r="R23" s="121" t="s">
        <v>561</v>
      </c>
      <c r="S23" s="119" t="s">
        <v>53</v>
      </c>
      <c r="T23" s="119" t="s">
        <v>53</v>
      </c>
      <c r="U23" s="119" t="s">
        <v>53</v>
      </c>
      <c r="V23" s="119" t="s">
        <v>53</v>
      </c>
      <c r="W23" s="119" t="s">
        <v>53</v>
      </c>
      <c r="X23" s="119" t="s">
        <v>53</v>
      </c>
      <c r="Y23" s="119" t="s">
        <v>53</v>
      </c>
      <c r="Z23" s="149" t="s">
        <v>561</v>
      </c>
      <c r="AA23" s="119" t="s">
        <v>53</v>
      </c>
      <c r="AB23" s="119" t="s">
        <v>53</v>
      </c>
      <c r="AC23" s="125" t="s">
        <v>561</v>
      </c>
      <c r="AD23" s="149" t="s">
        <v>561</v>
      </c>
      <c r="AE23" s="128" t="s">
        <v>561</v>
      </c>
      <c r="AF23" s="125" t="s">
        <v>561</v>
      </c>
      <c r="AG23" s="121" t="s">
        <v>53</v>
      </c>
      <c r="AH23" s="128" t="s">
        <v>561</v>
      </c>
      <c r="AI23" s="125" t="s">
        <v>53</v>
      </c>
      <c r="AJ23" s="123" t="s">
        <v>801</v>
      </c>
      <c r="AK23" s="125" t="s">
        <v>799</v>
      </c>
      <c r="AL23" s="128" t="s">
        <v>561</v>
      </c>
      <c r="AM23" s="128" t="s">
        <v>561</v>
      </c>
      <c r="AN23" s="128" t="s">
        <v>53</v>
      </c>
      <c r="AO23" s="128" t="s">
        <v>53</v>
      </c>
      <c r="AP23" s="121" t="s">
        <v>561</v>
      </c>
      <c r="AQ23" s="128" t="s">
        <v>53</v>
      </c>
      <c r="AR23" s="128" t="s">
        <v>561</v>
      </c>
      <c r="AS23" s="117" t="s">
        <v>561</v>
      </c>
      <c r="AT23" s="117" t="s">
        <v>53</v>
      </c>
      <c r="AU23" s="117" t="s">
        <v>561</v>
      </c>
      <c r="AV23" s="117" t="s">
        <v>561</v>
      </c>
      <c r="AW23" s="117" t="s">
        <v>53</v>
      </c>
      <c r="AX23" s="117" t="s">
        <v>799</v>
      </c>
      <c r="AY23" s="117" t="s">
        <v>561</v>
      </c>
      <c r="AZ23" s="117" t="s">
        <v>561</v>
      </c>
      <c r="BA23" s="117" t="s">
        <v>799</v>
      </c>
      <c r="BB23" s="117" t="s">
        <v>53</v>
      </c>
      <c r="BC23" s="117" t="s">
        <v>561</v>
      </c>
      <c r="BD23" s="129" t="s">
        <v>821</v>
      </c>
      <c r="BE23" s="129" t="s">
        <v>821</v>
      </c>
      <c r="BF23" s="130"/>
      <c r="BG23" s="130">
        <f t="shared" si="5"/>
        <v>0</v>
      </c>
      <c r="BH23" s="131"/>
      <c r="BI23" s="131"/>
      <c r="BJ23" s="132"/>
      <c r="BK23" s="132"/>
      <c r="BL23" s="133"/>
      <c r="BM23" s="133" t="s">
        <v>561</v>
      </c>
      <c r="BN23" s="133"/>
      <c r="BO23" s="133"/>
      <c r="BP23" s="133" t="s">
        <v>1495</v>
      </c>
      <c r="BQ23" s="134"/>
      <c r="BR23" s="135" t="s">
        <v>850</v>
      </c>
      <c r="BS23" s="134"/>
      <c r="BT23" s="134"/>
      <c r="BU23" s="137">
        <f t="shared" si="6"/>
        <v>0.577</v>
      </c>
      <c r="BV23" s="138">
        <v>0.7829999999999999</v>
      </c>
      <c r="BW23" s="137">
        <v>0.20600000000000002</v>
      </c>
      <c r="BX23" s="137"/>
      <c r="BY23" s="137">
        <f t="shared" si="7"/>
        <v>0.523</v>
      </c>
      <c r="BZ23" s="138">
        <v>0.747</v>
      </c>
      <c r="CA23" s="137">
        <v>0.22399999999999998</v>
      </c>
      <c r="CB23" s="137"/>
      <c r="CC23" s="137">
        <v>0.28300000000000003</v>
      </c>
      <c r="CD23" s="137">
        <v>0.10099999999999999</v>
      </c>
      <c r="CE23" s="138">
        <v>0.545</v>
      </c>
      <c r="CF23" s="137">
        <v>0.067</v>
      </c>
      <c r="CG23" s="137">
        <v>0.017</v>
      </c>
      <c r="CH23" s="137">
        <v>0.001</v>
      </c>
      <c r="CI23" s="139"/>
      <c r="CJ23" s="137">
        <v>0.32799999999999996</v>
      </c>
      <c r="CK23" s="137">
        <v>0.04</v>
      </c>
      <c r="CL23" s="138">
        <v>0.5870000000000001</v>
      </c>
      <c r="CM23" s="137">
        <v>0.038</v>
      </c>
      <c r="CN23" s="137">
        <v>0.006999999999999999</v>
      </c>
      <c r="CO23" s="137">
        <v>0.0</v>
      </c>
      <c r="CP23" s="137"/>
      <c r="CQ23" s="137">
        <v>0.405</v>
      </c>
      <c r="CR23" s="138">
        <v>0.591</v>
      </c>
      <c r="CS23" s="137">
        <v>0.134</v>
      </c>
    </row>
    <row r="24">
      <c r="A24" s="112">
        <f t="shared" si="1"/>
        <v>22</v>
      </c>
      <c r="B24" s="112" t="s">
        <v>320</v>
      </c>
      <c r="C24" s="112" t="s">
        <v>321</v>
      </c>
      <c r="D24" s="113" t="s">
        <v>316</v>
      </c>
      <c r="E24" s="154" t="s">
        <v>1506</v>
      </c>
      <c r="F24" s="115">
        <f t="shared" si="2"/>
        <v>0.2857142857</v>
      </c>
      <c r="G24" s="115">
        <f t="shared" si="3"/>
        <v>0.5384615385</v>
      </c>
      <c r="H24" s="116">
        <f t="shared" si="4"/>
        <v>0.4752747253</v>
      </c>
      <c r="I24" s="117" t="s">
        <v>594</v>
      </c>
      <c r="J24" s="117" t="s">
        <v>594</v>
      </c>
      <c r="K24" s="117" t="s">
        <v>487</v>
      </c>
      <c r="L24" s="117" t="s">
        <v>487</v>
      </c>
      <c r="M24" s="117" t="s">
        <v>594</v>
      </c>
      <c r="N24" s="117" t="s">
        <v>594</v>
      </c>
      <c r="O24" s="149" t="s">
        <v>1256</v>
      </c>
      <c r="P24" s="120" t="s">
        <v>53</v>
      </c>
      <c r="Q24" s="121" t="s">
        <v>53</v>
      </c>
      <c r="R24" s="121" t="s">
        <v>561</v>
      </c>
      <c r="S24" s="119" t="s">
        <v>53</v>
      </c>
      <c r="T24" s="119" t="s">
        <v>53</v>
      </c>
      <c r="U24" s="119" t="s">
        <v>53</v>
      </c>
      <c r="V24" s="119" t="s">
        <v>53</v>
      </c>
      <c r="W24" s="119" t="s">
        <v>53</v>
      </c>
      <c r="X24" s="119" t="s">
        <v>53</v>
      </c>
      <c r="Y24" s="119" t="s">
        <v>53</v>
      </c>
      <c r="Z24" s="119" t="s">
        <v>53</v>
      </c>
      <c r="AA24" s="149" t="s">
        <v>561</v>
      </c>
      <c r="AB24" s="119" t="s">
        <v>53</v>
      </c>
      <c r="AC24" s="125" t="s">
        <v>561</v>
      </c>
      <c r="AD24" s="123" t="s">
        <v>801</v>
      </c>
      <c r="AE24" s="128" t="s">
        <v>561</v>
      </c>
      <c r="AF24" s="125" t="s">
        <v>561</v>
      </c>
      <c r="AG24" s="121" t="s">
        <v>53</v>
      </c>
      <c r="AH24" s="128" t="s">
        <v>561</v>
      </c>
      <c r="AI24" s="125" t="s">
        <v>53</v>
      </c>
      <c r="AJ24" s="121" t="s">
        <v>53</v>
      </c>
      <c r="AK24" s="125" t="s">
        <v>799</v>
      </c>
      <c r="AL24" s="128" t="s">
        <v>561</v>
      </c>
      <c r="AM24" s="128" t="s">
        <v>561</v>
      </c>
      <c r="AN24" s="128" t="s">
        <v>561</v>
      </c>
      <c r="AO24" s="128" t="s">
        <v>53</v>
      </c>
      <c r="AP24" s="121" t="s">
        <v>53</v>
      </c>
      <c r="AQ24" s="128" t="s">
        <v>53</v>
      </c>
      <c r="AR24" s="121" t="s">
        <v>53</v>
      </c>
      <c r="AS24" s="117" t="s">
        <v>561</v>
      </c>
      <c r="AT24" s="117" t="s">
        <v>53</v>
      </c>
      <c r="AU24" s="117" t="s">
        <v>561</v>
      </c>
      <c r="AV24" s="117" t="s">
        <v>561</v>
      </c>
      <c r="AW24" s="117" t="s">
        <v>561</v>
      </c>
      <c r="AX24" s="117" t="s">
        <v>561</v>
      </c>
      <c r="AY24" s="117" t="s">
        <v>561</v>
      </c>
      <c r="AZ24" s="117" t="s">
        <v>561</v>
      </c>
      <c r="BA24" s="117" t="s">
        <v>561</v>
      </c>
      <c r="BB24" s="117" t="s">
        <v>53</v>
      </c>
      <c r="BC24" s="117" t="s">
        <v>799</v>
      </c>
      <c r="BD24" s="129" t="s">
        <v>821</v>
      </c>
      <c r="BE24" s="129" t="s">
        <v>821</v>
      </c>
      <c r="BF24" s="130"/>
      <c r="BG24" s="130">
        <f t="shared" si="5"/>
        <v>0</v>
      </c>
      <c r="BH24" s="131"/>
      <c r="BI24" s="131"/>
      <c r="BJ24" s="132"/>
      <c r="BK24" s="132"/>
      <c r="BL24" s="133"/>
      <c r="BM24" s="133"/>
      <c r="BN24" s="133"/>
      <c r="BO24" s="133"/>
      <c r="BP24" s="133" t="s">
        <v>1531</v>
      </c>
      <c r="BQ24" s="134"/>
      <c r="BR24" s="135" t="s">
        <v>850</v>
      </c>
      <c r="BS24" s="134"/>
      <c r="BT24" s="134"/>
      <c r="BU24" s="137">
        <f t="shared" si="6"/>
        <v>0.638</v>
      </c>
      <c r="BV24" s="138">
        <v>0.8079999999999999</v>
      </c>
      <c r="BW24" s="137">
        <v>0.17</v>
      </c>
      <c r="BX24" s="137"/>
      <c r="BY24" s="137">
        <f t="shared" si="7"/>
        <v>0.727</v>
      </c>
      <c r="BZ24" s="138">
        <v>0.841</v>
      </c>
      <c r="CA24" s="137">
        <v>0.114</v>
      </c>
      <c r="CB24" s="137"/>
      <c r="CC24" s="137">
        <v>0.08</v>
      </c>
      <c r="CD24" s="138">
        <v>0.541</v>
      </c>
      <c r="CE24" s="137">
        <v>0.27399999999999997</v>
      </c>
      <c r="CF24" s="137">
        <v>0.106</v>
      </c>
      <c r="CG24" s="137">
        <v>0.035</v>
      </c>
      <c r="CH24" s="137">
        <v>0.006999999999999999</v>
      </c>
      <c r="CI24" s="139"/>
      <c r="CJ24" s="137">
        <v>0.102</v>
      </c>
      <c r="CK24" s="138">
        <v>0.446</v>
      </c>
      <c r="CL24" s="137">
        <v>0.337</v>
      </c>
      <c r="CM24" s="137">
        <v>0.1</v>
      </c>
      <c r="CN24" s="137">
        <v>0.006</v>
      </c>
      <c r="CO24" s="137">
        <v>0.005</v>
      </c>
      <c r="CP24" s="137"/>
      <c r="CQ24" s="137">
        <v>0.2</v>
      </c>
      <c r="CR24" s="137">
        <v>0.415</v>
      </c>
      <c r="CS24" s="137">
        <v>0.06</v>
      </c>
    </row>
    <row r="25">
      <c r="A25" s="112">
        <f t="shared" si="1"/>
        <v>23</v>
      </c>
      <c r="B25" s="112" t="s">
        <v>1267</v>
      </c>
      <c r="C25" s="112" t="s">
        <v>1268</v>
      </c>
      <c r="D25" s="113" t="s">
        <v>1265</v>
      </c>
      <c r="E25" s="154" t="s">
        <v>1546</v>
      </c>
      <c r="F25" s="115">
        <f t="shared" si="2"/>
        <v>0.2857142857</v>
      </c>
      <c r="G25" s="115">
        <f t="shared" si="3"/>
        <v>0.5277777778</v>
      </c>
      <c r="H25" s="116">
        <f t="shared" si="4"/>
        <v>0.4672619048</v>
      </c>
      <c r="I25" s="117" t="s">
        <v>594</v>
      </c>
      <c r="J25" s="117" t="s">
        <v>594</v>
      </c>
      <c r="K25" s="117" t="s">
        <v>487</v>
      </c>
      <c r="L25" s="117" t="s">
        <v>594</v>
      </c>
      <c r="M25" s="117" t="s">
        <v>594</v>
      </c>
      <c r="N25" s="117" t="s">
        <v>594</v>
      </c>
      <c r="O25" s="119" t="s">
        <v>822</v>
      </c>
      <c r="P25" s="120" t="s">
        <v>53</v>
      </c>
      <c r="Q25" s="121" t="s">
        <v>53</v>
      </c>
      <c r="R25" s="121" t="s">
        <v>561</v>
      </c>
      <c r="S25" s="119" t="s">
        <v>53</v>
      </c>
      <c r="T25" s="119" t="s">
        <v>53</v>
      </c>
      <c r="U25" s="119" t="s">
        <v>53</v>
      </c>
      <c r="V25" s="119" t="s">
        <v>53</v>
      </c>
      <c r="W25" s="119" t="s">
        <v>53</v>
      </c>
      <c r="X25" s="119" t="s">
        <v>53</v>
      </c>
      <c r="Y25" s="119" t="s">
        <v>53</v>
      </c>
      <c r="Z25" s="128" t="s">
        <v>801</v>
      </c>
      <c r="AA25" s="149" t="s">
        <v>561</v>
      </c>
      <c r="AB25" s="123" t="s">
        <v>801</v>
      </c>
      <c r="AC25" s="125" t="s">
        <v>561</v>
      </c>
      <c r="AD25" s="149" t="s">
        <v>561</v>
      </c>
      <c r="AE25" s="121" t="s">
        <v>53</v>
      </c>
      <c r="AF25" s="125" t="s">
        <v>561</v>
      </c>
      <c r="AG25" s="121" t="s">
        <v>53</v>
      </c>
      <c r="AH25" s="128" t="s">
        <v>561</v>
      </c>
      <c r="AI25" s="125" t="s">
        <v>53</v>
      </c>
      <c r="AJ25" s="121" t="s">
        <v>53</v>
      </c>
      <c r="AK25" s="125" t="s">
        <v>799</v>
      </c>
      <c r="AL25" s="128" t="s">
        <v>561</v>
      </c>
      <c r="AM25" s="128" t="s">
        <v>561</v>
      </c>
      <c r="AN25" s="128" t="s">
        <v>561</v>
      </c>
      <c r="AO25" s="128" t="s">
        <v>53</v>
      </c>
      <c r="AP25" s="121" t="s">
        <v>801</v>
      </c>
      <c r="AQ25" s="128" t="s">
        <v>53</v>
      </c>
      <c r="AR25" s="121" t="s">
        <v>53</v>
      </c>
      <c r="AS25" s="117" t="s">
        <v>799</v>
      </c>
      <c r="AT25" s="117" t="s">
        <v>53</v>
      </c>
      <c r="AU25" s="117" t="s">
        <v>561</v>
      </c>
      <c r="AV25" s="117" t="s">
        <v>561</v>
      </c>
      <c r="AW25" s="117" t="s">
        <v>561</v>
      </c>
      <c r="AX25" s="117" t="s">
        <v>561</v>
      </c>
      <c r="AY25" s="117" t="s">
        <v>561</v>
      </c>
      <c r="AZ25" s="117" t="s">
        <v>561</v>
      </c>
      <c r="BA25" s="117" t="s">
        <v>561</v>
      </c>
      <c r="BB25" s="117" t="s">
        <v>53</v>
      </c>
      <c r="BC25" s="117" t="s">
        <v>600</v>
      </c>
      <c r="BD25" s="129" t="s">
        <v>821</v>
      </c>
      <c r="BE25" s="129" t="s">
        <v>821</v>
      </c>
      <c r="BF25" s="130"/>
      <c r="BG25" s="130">
        <f t="shared" si="5"/>
        <v>0</v>
      </c>
      <c r="BH25" s="140"/>
      <c r="BI25" s="140"/>
      <c r="BJ25" s="132"/>
      <c r="BK25" s="132"/>
      <c r="BL25" s="133"/>
      <c r="BM25" s="133" t="s">
        <v>561</v>
      </c>
      <c r="BN25" s="133"/>
      <c r="BO25" s="133"/>
      <c r="BP25" s="133" t="s">
        <v>1311</v>
      </c>
      <c r="BQ25" s="134"/>
      <c r="BR25" s="150" t="s">
        <v>1569</v>
      </c>
      <c r="BS25" s="134"/>
      <c r="BT25" s="134"/>
      <c r="BU25" s="137">
        <f t="shared" si="6"/>
        <v>0.331</v>
      </c>
      <c r="BV25" s="138">
        <v>0.6579999999999999</v>
      </c>
      <c r="BW25" s="137">
        <v>0.327</v>
      </c>
      <c r="BX25" s="137"/>
      <c r="BY25" s="137">
        <f t="shared" si="7"/>
        <v>0.319</v>
      </c>
      <c r="BZ25" s="138">
        <v>0.63</v>
      </c>
      <c r="CA25" s="137">
        <v>0.311</v>
      </c>
      <c r="CB25" s="137"/>
      <c r="CC25" s="137">
        <v>0.19699999999999998</v>
      </c>
      <c r="CD25" s="138">
        <v>0.682</v>
      </c>
      <c r="CE25" s="137">
        <v>0.07200000000000001</v>
      </c>
      <c r="CF25" s="137">
        <v>0.047</v>
      </c>
      <c r="CG25" s="137">
        <v>0.03</v>
      </c>
      <c r="CH25" s="137">
        <v>0.003</v>
      </c>
      <c r="CI25" s="139"/>
      <c r="CJ25" s="137">
        <v>0.222</v>
      </c>
      <c r="CK25" s="138">
        <v>0.6859999999999999</v>
      </c>
      <c r="CL25" s="137">
        <v>0.06</v>
      </c>
      <c r="CM25" s="137">
        <v>0.024</v>
      </c>
      <c r="CN25" s="137">
        <v>0.004</v>
      </c>
      <c r="CO25" s="137">
        <v>0.001</v>
      </c>
      <c r="CP25" s="137"/>
      <c r="CQ25" s="137">
        <v>0.233</v>
      </c>
      <c r="CR25" s="137">
        <v>0.376</v>
      </c>
      <c r="CS25" s="137">
        <v>0.138</v>
      </c>
    </row>
    <row r="26">
      <c r="A26" s="112">
        <f t="shared" si="1"/>
        <v>24</v>
      </c>
      <c r="B26" s="112" t="s">
        <v>127</v>
      </c>
      <c r="C26" s="112" t="s">
        <v>129</v>
      </c>
      <c r="D26" s="113" t="s">
        <v>125</v>
      </c>
      <c r="E26" s="154" t="s">
        <v>1585</v>
      </c>
      <c r="F26" s="115">
        <f t="shared" si="2"/>
        <v>0.2857142857</v>
      </c>
      <c r="G26" s="115">
        <f t="shared" si="3"/>
        <v>0.527027027</v>
      </c>
      <c r="H26" s="116">
        <f t="shared" si="4"/>
        <v>0.4666988417</v>
      </c>
      <c r="I26" s="117" t="s">
        <v>594</v>
      </c>
      <c r="J26" s="117" t="s">
        <v>487</v>
      </c>
      <c r="K26" s="117" t="s">
        <v>487</v>
      </c>
      <c r="L26" s="117" t="s">
        <v>594</v>
      </c>
      <c r="M26" s="117" t="s">
        <v>594</v>
      </c>
      <c r="N26" s="117" t="s">
        <v>594</v>
      </c>
      <c r="O26" s="149" t="s">
        <v>1256</v>
      </c>
      <c r="P26" s="120" t="s">
        <v>53</v>
      </c>
      <c r="Q26" s="121" t="s">
        <v>53</v>
      </c>
      <c r="R26" s="121" t="s">
        <v>561</v>
      </c>
      <c r="S26" s="119" t="s">
        <v>53</v>
      </c>
      <c r="T26" s="119" t="s">
        <v>53</v>
      </c>
      <c r="U26" s="119" t="s">
        <v>53</v>
      </c>
      <c r="V26" s="119" t="s">
        <v>53</v>
      </c>
      <c r="W26" s="119" t="s">
        <v>53</v>
      </c>
      <c r="X26" s="119" t="s">
        <v>53</v>
      </c>
      <c r="Y26" s="119" t="s">
        <v>53</v>
      </c>
      <c r="Z26" s="119" t="s">
        <v>53</v>
      </c>
      <c r="AA26" s="149" t="s">
        <v>561</v>
      </c>
      <c r="AB26" s="119" t="s">
        <v>53</v>
      </c>
      <c r="AC26" s="125" t="s">
        <v>561</v>
      </c>
      <c r="AD26" s="149" t="s">
        <v>561</v>
      </c>
      <c r="AE26" s="128" t="s">
        <v>561</v>
      </c>
      <c r="AF26" s="125" t="s">
        <v>561</v>
      </c>
      <c r="AG26" s="121" t="s">
        <v>53</v>
      </c>
      <c r="AH26" s="128" t="s">
        <v>561</v>
      </c>
      <c r="AI26" s="125" t="s">
        <v>53</v>
      </c>
      <c r="AJ26" s="121" t="s">
        <v>53</v>
      </c>
      <c r="AK26" s="125" t="s">
        <v>799</v>
      </c>
      <c r="AL26" s="128" t="s">
        <v>561</v>
      </c>
      <c r="AM26" s="128" t="s">
        <v>561</v>
      </c>
      <c r="AN26" s="128" t="s">
        <v>561</v>
      </c>
      <c r="AO26" s="128" t="s">
        <v>53</v>
      </c>
      <c r="AP26" s="121" t="s">
        <v>801</v>
      </c>
      <c r="AQ26" s="121" t="s">
        <v>801</v>
      </c>
      <c r="AR26" s="121" t="s">
        <v>53</v>
      </c>
      <c r="AS26" s="117" t="s">
        <v>561</v>
      </c>
      <c r="AT26" s="117" t="s">
        <v>53</v>
      </c>
      <c r="AU26" s="117" t="s">
        <v>561</v>
      </c>
      <c r="AV26" s="117" t="s">
        <v>561</v>
      </c>
      <c r="AW26" s="117" t="s">
        <v>53</v>
      </c>
      <c r="AX26" s="117" t="s">
        <v>561</v>
      </c>
      <c r="AY26" s="117" t="s">
        <v>561</v>
      </c>
      <c r="AZ26" s="117" t="s">
        <v>561</v>
      </c>
      <c r="BA26" s="117" t="s">
        <v>561</v>
      </c>
      <c r="BB26" s="117" t="s">
        <v>53</v>
      </c>
      <c r="BC26" s="117" t="s">
        <v>600</v>
      </c>
      <c r="BD26" s="129" t="s">
        <v>821</v>
      </c>
      <c r="BE26" s="129" t="s">
        <v>821</v>
      </c>
      <c r="BF26" s="130"/>
      <c r="BG26" s="130">
        <f t="shared" si="5"/>
        <v>0</v>
      </c>
      <c r="BH26" s="131"/>
      <c r="BI26" s="131"/>
      <c r="BJ26" s="132"/>
      <c r="BK26" s="132"/>
      <c r="BL26" s="133"/>
      <c r="BM26" s="133" t="s">
        <v>561</v>
      </c>
      <c r="BN26" s="133"/>
      <c r="BO26" s="133"/>
      <c r="BP26" s="133" t="s">
        <v>1432</v>
      </c>
      <c r="BQ26" s="134"/>
      <c r="BR26" s="135" t="s">
        <v>850</v>
      </c>
      <c r="BS26" s="134"/>
      <c r="BT26" s="134"/>
      <c r="BU26" s="137">
        <f t="shared" si="6"/>
        <v>0.393</v>
      </c>
      <c r="BV26" s="138">
        <v>0.6859999999999999</v>
      </c>
      <c r="BW26" s="137">
        <v>0.293</v>
      </c>
      <c r="BX26" s="137"/>
      <c r="BY26" s="137">
        <f t="shared" si="7"/>
        <v>0.362</v>
      </c>
      <c r="BZ26" s="138">
        <v>0.6509999999999999</v>
      </c>
      <c r="CA26" s="137">
        <v>0.289</v>
      </c>
      <c r="CB26" s="137"/>
      <c r="CC26" s="138">
        <v>0.513</v>
      </c>
      <c r="CD26" s="137">
        <v>0.16699999999999998</v>
      </c>
      <c r="CE26" s="137">
        <v>0.057999999999999996</v>
      </c>
      <c r="CF26" s="137">
        <v>0.245</v>
      </c>
      <c r="CG26" s="137">
        <v>0.023</v>
      </c>
      <c r="CH26" s="137">
        <v>0.009000000000000001</v>
      </c>
      <c r="CI26" s="139"/>
      <c r="CJ26" s="138">
        <v>0.605</v>
      </c>
      <c r="CK26" s="137">
        <v>0.138</v>
      </c>
      <c r="CL26" s="137">
        <v>0.057</v>
      </c>
      <c r="CM26" s="137">
        <v>0.18</v>
      </c>
      <c r="CN26" s="137">
        <v>0.008</v>
      </c>
      <c r="CO26" s="137">
        <v>0.004</v>
      </c>
      <c r="CP26" s="137"/>
      <c r="CQ26" s="138">
        <v>0.5379999999999999</v>
      </c>
      <c r="CR26" s="138">
        <v>0.556</v>
      </c>
      <c r="CS26" s="137">
        <v>0.26899999999999996</v>
      </c>
    </row>
    <row r="27">
      <c r="A27" s="112">
        <f t="shared" si="1"/>
        <v>25</v>
      </c>
      <c r="B27" s="112" t="s">
        <v>1139</v>
      </c>
      <c r="C27" s="112" t="s">
        <v>1140</v>
      </c>
      <c r="D27" s="113" t="s">
        <v>1137</v>
      </c>
      <c r="E27" s="158" t="s">
        <v>1622</v>
      </c>
      <c r="F27" s="115">
        <f t="shared" si="2"/>
        <v>0.2857142857</v>
      </c>
      <c r="G27" s="115">
        <f t="shared" si="3"/>
        <v>0.5256410256</v>
      </c>
      <c r="H27" s="116">
        <f t="shared" si="4"/>
        <v>0.4656593407</v>
      </c>
      <c r="I27" s="117" t="s">
        <v>594</v>
      </c>
      <c r="J27" s="117" t="s">
        <v>487</v>
      </c>
      <c r="K27" s="117" t="s">
        <v>487</v>
      </c>
      <c r="L27" s="117" t="s">
        <v>594</v>
      </c>
      <c r="M27" s="117" t="s">
        <v>594</v>
      </c>
      <c r="N27" s="117" t="s">
        <v>594</v>
      </c>
      <c r="O27" s="149" t="s">
        <v>1256</v>
      </c>
      <c r="P27" s="120" t="s">
        <v>53</v>
      </c>
      <c r="Q27" s="121" t="s">
        <v>53</v>
      </c>
      <c r="R27" s="121" t="s">
        <v>801</v>
      </c>
      <c r="S27" s="119" t="s">
        <v>53</v>
      </c>
      <c r="T27" s="119" t="s">
        <v>53</v>
      </c>
      <c r="U27" s="119" t="s">
        <v>53</v>
      </c>
      <c r="V27" s="119" t="s">
        <v>53</v>
      </c>
      <c r="W27" s="119" t="s">
        <v>53</v>
      </c>
      <c r="X27" s="119" t="s">
        <v>53</v>
      </c>
      <c r="Y27" s="119" t="s">
        <v>53</v>
      </c>
      <c r="Z27" s="149" t="s">
        <v>561</v>
      </c>
      <c r="AA27" s="149" t="s">
        <v>561</v>
      </c>
      <c r="AB27" s="149" t="s">
        <v>561</v>
      </c>
      <c r="AC27" s="125" t="s">
        <v>561</v>
      </c>
      <c r="AD27" s="149" t="s">
        <v>561</v>
      </c>
      <c r="AE27" s="128" t="s">
        <v>561</v>
      </c>
      <c r="AF27" s="125" t="s">
        <v>561</v>
      </c>
      <c r="AG27" s="121" t="s">
        <v>53</v>
      </c>
      <c r="AH27" s="128" t="s">
        <v>561</v>
      </c>
      <c r="AI27" s="125" t="s">
        <v>53</v>
      </c>
      <c r="AJ27" s="121" t="s">
        <v>53</v>
      </c>
      <c r="AK27" s="125" t="s">
        <v>799</v>
      </c>
      <c r="AL27" s="128" t="s">
        <v>561</v>
      </c>
      <c r="AM27" s="128" t="s">
        <v>561</v>
      </c>
      <c r="AN27" s="128" t="s">
        <v>561</v>
      </c>
      <c r="AO27" s="128" t="s">
        <v>53</v>
      </c>
      <c r="AP27" s="121" t="s">
        <v>53</v>
      </c>
      <c r="AQ27" s="128" t="s">
        <v>53</v>
      </c>
      <c r="AR27" s="121" t="s">
        <v>53</v>
      </c>
      <c r="AS27" s="117" t="s">
        <v>561</v>
      </c>
      <c r="AT27" s="117" t="s">
        <v>53</v>
      </c>
      <c r="AU27" s="117" t="s">
        <v>561</v>
      </c>
      <c r="AV27" s="117" t="s">
        <v>561</v>
      </c>
      <c r="AW27" s="117" t="s">
        <v>561</v>
      </c>
      <c r="AX27" s="117" t="s">
        <v>561</v>
      </c>
      <c r="AY27" s="117" t="s">
        <v>561</v>
      </c>
      <c r="AZ27" s="117" t="s">
        <v>561</v>
      </c>
      <c r="BA27" s="117" t="s">
        <v>53</v>
      </c>
      <c r="BB27" s="117" t="s">
        <v>53</v>
      </c>
      <c r="BC27" s="117" t="s">
        <v>53</v>
      </c>
      <c r="BD27" s="129" t="s">
        <v>821</v>
      </c>
      <c r="BE27" s="129" t="s">
        <v>821</v>
      </c>
      <c r="BF27" s="130"/>
      <c r="BG27" s="130">
        <f t="shared" si="5"/>
        <v>0</v>
      </c>
      <c r="BH27" s="140"/>
      <c r="BI27" s="140"/>
      <c r="BJ27" s="132"/>
      <c r="BK27" s="132"/>
      <c r="BL27" s="133"/>
      <c r="BM27" s="133" t="s">
        <v>561</v>
      </c>
      <c r="BN27" s="133"/>
      <c r="BO27" s="133"/>
      <c r="BP27" s="133" t="s">
        <v>1250</v>
      </c>
      <c r="BQ27" s="134"/>
      <c r="BR27" s="135" t="s">
        <v>850</v>
      </c>
      <c r="BS27" s="134"/>
      <c r="BT27" s="134"/>
      <c r="BU27" s="137">
        <f t="shared" si="6"/>
        <v>0.473</v>
      </c>
      <c r="BV27" s="138">
        <v>0.725</v>
      </c>
      <c r="BW27" s="137">
        <v>0.252</v>
      </c>
      <c r="BX27" s="137"/>
      <c r="BY27" s="137">
        <f t="shared" si="7"/>
        <v>0.432</v>
      </c>
      <c r="BZ27" s="138">
        <v>0.6659999999999999</v>
      </c>
      <c r="CA27" s="137">
        <v>0.23399999999999999</v>
      </c>
      <c r="CB27" s="137"/>
      <c r="CC27" s="138">
        <v>0.679</v>
      </c>
      <c r="CD27" s="137">
        <v>0.12</v>
      </c>
      <c r="CE27" s="137">
        <v>0.067</v>
      </c>
      <c r="CF27" s="137">
        <v>0.094</v>
      </c>
      <c r="CG27" s="137">
        <v>0.036000000000000004</v>
      </c>
      <c r="CH27" s="137">
        <v>0.011000000000000001</v>
      </c>
      <c r="CI27" s="139"/>
      <c r="CJ27" s="138">
        <v>0.767</v>
      </c>
      <c r="CK27" s="137">
        <v>0.075</v>
      </c>
      <c r="CL27" s="137">
        <v>0.059000000000000004</v>
      </c>
      <c r="CM27" s="137">
        <v>0.071</v>
      </c>
      <c r="CN27" s="137">
        <v>0.019</v>
      </c>
      <c r="CO27" s="137">
        <v>0.004</v>
      </c>
      <c r="CP27" s="137"/>
      <c r="CQ27" s="137">
        <v>0.381</v>
      </c>
      <c r="CR27" s="137">
        <v>0.424</v>
      </c>
      <c r="CS27" s="137">
        <v>0.442</v>
      </c>
    </row>
    <row r="28">
      <c r="A28" s="112">
        <f t="shared" si="1"/>
        <v>26</v>
      </c>
      <c r="B28" s="112" t="s">
        <v>684</v>
      </c>
      <c r="C28" s="112" t="s">
        <v>685</v>
      </c>
      <c r="D28" s="113" t="s">
        <v>681</v>
      </c>
      <c r="E28" s="153" t="s">
        <v>1655</v>
      </c>
      <c r="F28" s="115">
        <f t="shared" si="2"/>
        <v>0.2857142857</v>
      </c>
      <c r="G28" s="115">
        <f t="shared" si="3"/>
        <v>0.525</v>
      </c>
      <c r="H28" s="116">
        <f t="shared" si="4"/>
        <v>0.4651785714</v>
      </c>
      <c r="I28" s="117" t="s">
        <v>594</v>
      </c>
      <c r="J28" s="117" t="s">
        <v>487</v>
      </c>
      <c r="K28" s="117" t="s">
        <v>487</v>
      </c>
      <c r="L28" s="117" t="s">
        <v>594</v>
      </c>
      <c r="M28" s="117" t="s">
        <v>594</v>
      </c>
      <c r="N28" s="117" t="s">
        <v>594</v>
      </c>
      <c r="O28" s="149" t="s">
        <v>1256</v>
      </c>
      <c r="P28" s="120" t="s">
        <v>53</v>
      </c>
      <c r="Q28" s="121" t="s">
        <v>53</v>
      </c>
      <c r="R28" s="121" t="s">
        <v>561</v>
      </c>
      <c r="S28" s="119" t="s">
        <v>53</v>
      </c>
      <c r="T28" s="119" t="s">
        <v>53</v>
      </c>
      <c r="U28" s="119" t="s">
        <v>53</v>
      </c>
      <c r="V28" s="119" t="s">
        <v>53</v>
      </c>
      <c r="W28" s="119" t="s">
        <v>53</v>
      </c>
      <c r="X28" s="119" t="s">
        <v>53</v>
      </c>
      <c r="Y28" s="119" t="s">
        <v>53</v>
      </c>
      <c r="Z28" s="119" t="s">
        <v>53</v>
      </c>
      <c r="AA28" s="149" t="s">
        <v>561</v>
      </c>
      <c r="AB28" s="119" t="s">
        <v>53</v>
      </c>
      <c r="AC28" s="125" t="s">
        <v>561</v>
      </c>
      <c r="AD28" s="149" t="s">
        <v>561</v>
      </c>
      <c r="AE28" s="128" t="s">
        <v>561</v>
      </c>
      <c r="AF28" s="125" t="s">
        <v>561</v>
      </c>
      <c r="AG28" s="121" t="s">
        <v>53</v>
      </c>
      <c r="AH28" s="128" t="s">
        <v>561</v>
      </c>
      <c r="AI28" s="125" t="s">
        <v>53</v>
      </c>
      <c r="AJ28" s="121" t="s">
        <v>53</v>
      </c>
      <c r="AK28" s="125" t="s">
        <v>799</v>
      </c>
      <c r="AL28" s="128" t="s">
        <v>561</v>
      </c>
      <c r="AM28" s="128" t="s">
        <v>561</v>
      </c>
      <c r="AN28" s="128" t="s">
        <v>53</v>
      </c>
      <c r="AO28" s="128" t="s">
        <v>53</v>
      </c>
      <c r="AP28" s="128" t="s">
        <v>561</v>
      </c>
      <c r="AQ28" s="128" t="s">
        <v>53</v>
      </c>
      <c r="AR28" s="128" t="s">
        <v>561</v>
      </c>
      <c r="AS28" s="117" t="s">
        <v>561</v>
      </c>
      <c r="AT28" s="117" t="s">
        <v>53</v>
      </c>
      <c r="AU28" s="117" t="s">
        <v>561</v>
      </c>
      <c r="AV28" s="117" t="s">
        <v>561</v>
      </c>
      <c r="AW28" s="117" t="s">
        <v>561</v>
      </c>
      <c r="AX28" s="117" t="s">
        <v>561</v>
      </c>
      <c r="AY28" s="117" t="s">
        <v>561</v>
      </c>
      <c r="AZ28" s="117" t="s">
        <v>561</v>
      </c>
      <c r="BA28" s="117" t="s">
        <v>53</v>
      </c>
      <c r="BB28" s="117" t="s">
        <v>53</v>
      </c>
      <c r="BC28" s="117" t="s">
        <v>799</v>
      </c>
      <c r="BD28" s="129" t="s">
        <v>821</v>
      </c>
      <c r="BE28" s="129" t="s">
        <v>821</v>
      </c>
      <c r="BF28" s="130"/>
      <c r="BG28" s="130">
        <f t="shared" si="5"/>
        <v>0</v>
      </c>
      <c r="BH28" s="131"/>
      <c r="BI28" s="131"/>
      <c r="BJ28" s="132"/>
      <c r="BK28" s="132"/>
      <c r="BL28" s="133"/>
      <c r="BM28" s="133" t="s">
        <v>561</v>
      </c>
      <c r="BN28" s="133"/>
      <c r="BO28" s="133"/>
      <c r="BP28" s="133" t="s">
        <v>1678</v>
      </c>
      <c r="BQ28" s="134"/>
      <c r="BR28" s="135" t="s">
        <v>850</v>
      </c>
      <c r="BS28" s="134"/>
      <c r="BT28" s="134"/>
      <c r="BU28" s="137">
        <f t="shared" si="6"/>
        <v>0.228</v>
      </c>
      <c r="BV28" s="138">
        <v>0.6</v>
      </c>
      <c r="BW28" s="137">
        <v>0.37200000000000005</v>
      </c>
      <c r="BX28" s="137"/>
      <c r="BY28" s="137">
        <f t="shared" si="7"/>
        <v>0.144</v>
      </c>
      <c r="BZ28" s="138">
        <v>0.5379999999999999</v>
      </c>
      <c r="CA28" s="137">
        <v>0.39399999999999996</v>
      </c>
      <c r="CB28" s="137"/>
      <c r="CC28" s="138">
        <v>0.91</v>
      </c>
      <c r="CD28" s="137">
        <v>0.018000000000000002</v>
      </c>
      <c r="CE28" s="137">
        <v>0.023</v>
      </c>
      <c r="CF28" s="137">
        <v>0.021</v>
      </c>
      <c r="CG28" s="137">
        <v>0.018000000000000002</v>
      </c>
      <c r="CH28" s="137">
        <v>0.001</v>
      </c>
      <c r="CI28" s="139"/>
      <c r="CJ28" s="138">
        <v>0.948</v>
      </c>
      <c r="CK28" s="137">
        <v>0.02</v>
      </c>
      <c r="CL28" s="137">
        <v>0.012</v>
      </c>
      <c r="CM28" s="137">
        <v>0.015</v>
      </c>
      <c r="CN28" s="137">
        <v>0.009000000000000001</v>
      </c>
      <c r="CO28" s="137">
        <v>0.0</v>
      </c>
      <c r="CP28" s="137"/>
      <c r="CQ28" s="137">
        <v>0.392</v>
      </c>
      <c r="CR28" s="137">
        <v>0.395</v>
      </c>
      <c r="CS28" s="138">
        <v>0.573</v>
      </c>
    </row>
    <row r="29">
      <c r="A29" s="112">
        <f t="shared" si="1"/>
        <v>27</v>
      </c>
      <c r="B29" s="112" t="s">
        <v>426</v>
      </c>
      <c r="C29" s="112" t="s">
        <v>735</v>
      </c>
      <c r="D29" s="144" t="s">
        <v>733</v>
      </c>
      <c r="E29" s="154" t="s">
        <v>1687</v>
      </c>
      <c r="F29" s="115">
        <f t="shared" si="2"/>
        <v>0.4285714286</v>
      </c>
      <c r="G29" s="115">
        <f t="shared" si="3"/>
        <v>0.4743589744</v>
      </c>
      <c r="H29" s="116">
        <f t="shared" si="4"/>
        <v>0.4629120879</v>
      </c>
      <c r="I29" s="117" t="s">
        <v>594</v>
      </c>
      <c r="J29" s="117" t="s">
        <v>487</v>
      </c>
      <c r="K29" s="117" t="s">
        <v>487</v>
      </c>
      <c r="L29" s="117" t="s">
        <v>487</v>
      </c>
      <c r="M29" s="117" t="s">
        <v>594</v>
      </c>
      <c r="N29" s="117" t="s">
        <v>594</v>
      </c>
      <c r="O29" s="149" t="s">
        <v>1256</v>
      </c>
      <c r="P29" s="156" t="s">
        <v>801</v>
      </c>
      <c r="Q29" s="121" t="s">
        <v>53</v>
      </c>
      <c r="R29" s="121" t="s">
        <v>561</v>
      </c>
      <c r="S29" s="119" t="s">
        <v>53</v>
      </c>
      <c r="T29" s="119" t="s">
        <v>53</v>
      </c>
      <c r="U29" s="119" t="s">
        <v>53</v>
      </c>
      <c r="V29" s="119" t="s">
        <v>53</v>
      </c>
      <c r="W29" s="119" t="s">
        <v>53</v>
      </c>
      <c r="X29" s="119" t="s">
        <v>53</v>
      </c>
      <c r="Y29" s="119" t="s">
        <v>53</v>
      </c>
      <c r="Z29" s="149" t="s">
        <v>561</v>
      </c>
      <c r="AA29" s="149" t="s">
        <v>561</v>
      </c>
      <c r="AB29" s="119" t="s">
        <v>53</v>
      </c>
      <c r="AC29" s="125" t="s">
        <v>561</v>
      </c>
      <c r="AD29" s="149" t="s">
        <v>561</v>
      </c>
      <c r="AE29" s="121" t="s">
        <v>53</v>
      </c>
      <c r="AF29" s="125" t="s">
        <v>561</v>
      </c>
      <c r="AG29" s="121" t="s">
        <v>53</v>
      </c>
      <c r="AH29" s="128" t="s">
        <v>561</v>
      </c>
      <c r="AI29" s="125" t="s">
        <v>53</v>
      </c>
      <c r="AJ29" s="128" t="s">
        <v>561</v>
      </c>
      <c r="AK29" s="125" t="s">
        <v>799</v>
      </c>
      <c r="AL29" s="128" t="s">
        <v>561</v>
      </c>
      <c r="AM29" s="128" t="s">
        <v>561</v>
      </c>
      <c r="AN29" s="128" t="s">
        <v>561</v>
      </c>
      <c r="AO29" s="128" t="s">
        <v>53</v>
      </c>
      <c r="AP29" s="121" t="s">
        <v>53</v>
      </c>
      <c r="AQ29" s="128" t="s">
        <v>53</v>
      </c>
      <c r="AR29" s="121" t="s">
        <v>53</v>
      </c>
      <c r="AS29" s="117" t="s">
        <v>561</v>
      </c>
      <c r="AT29" s="117" t="s">
        <v>53</v>
      </c>
      <c r="AU29" s="117" t="s">
        <v>561</v>
      </c>
      <c r="AV29" s="117" t="s">
        <v>561</v>
      </c>
      <c r="AW29" s="117" t="s">
        <v>561</v>
      </c>
      <c r="AX29" s="117" t="s">
        <v>561</v>
      </c>
      <c r="AY29" s="117" t="s">
        <v>561</v>
      </c>
      <c r="AZ29" s="117" t="s">
        <v>561</v>
      </c>
      <c r="BA29" s="117" t="s">
        <v>561</v>
      </c>
      <c r="BB29" s="117" t="s">
        <v>53</v>
      </c>
      <c r="BC29" s="117" t="s">
        <v>561</v>
      </c>
      <c r="BD29" s="129" t="s">
        <v>821</v>
      </c>
      <c r="BE29" s="129" t="s">
        <v>821</v>
      </c>
      <c r="BF29" s="130"/>
      <c r="BG29" s="130">
        <f t="shared" si="5"/>
        <v>0</v>
      </c>
      <c r="BH29" s="131"/>
      <c r="BI29" s="131"/>
      <c r="BJ29" s="132"/>
      <c r="BK29" s="132"/>
      <c r="BL29" s="133"/>
      <c r="BM29" s="133" t="s">
        <v>561</v>
      </c>
      <c r="BN29" s="133"/>
      <c r="BO29" s="133"/>
      <c r="BP29" s="133" t="s">
        <v>1711</v>
      </c>
      <c r="BQ29" s="134"/>
      <c r="BR29" s="135" t="s">
        <v>850</v>
      </c>
      <c r="BS29" s="134"/>
      <c r="BT29" s="134"/>
      <c r="BU29" s="137">
        <f t="shared" si="6"/>
        <v>0.308</v>
      </c>
      <c r="BV29" s="138">
        <v>0.643</v>
      </c>
      <c r="BW29" s="137">
        <v>0.335</v>
      </c>
      <c r="BX29" s="137"/>
      <c r="BY29" s="137">
        <f t="shared" si="7"/>
        <v>0.236</v>
      </c>
      <c r="BZ29" s="138">
        <v>0.575</v>
      </c>
      <c r="CA29" s="137">
        <v>0.33899999999999997</v>
      </c>
      <c r="CB29" s="137"/>
      <c r="CC29" s="138">
        <v>0.7390000000000001</v>
      </c>
      <c r="CD29" s="137">
        <v>0.096</v>
      </c>
      <c r="CE29" s="137">
        <v>0.065</v>
      </c>
      <c r="CF29" s="137">
        <v>0.078</v>
      </c>
      <c r="CG29" s="137">
        <v>0.013999999999999999</v>
      </c>
      <c r="CH29" s="137">
        <v>0.001</v>
      </c>
      <c r="CI29" s="139"/>
      <c r="CJ29" s="142">
        <v>0.8220000000000001</v>
      </c>
      <c r="CK29" s="141">
        <v>0.081</v>
      </c>
      <c r="CL29" s="141">
        <v>0.044000000000000004</v>
      </c>
      <c r="CM29" s="141">
        <v>0.045</v>
      </c>
      <c r="CN29" s="141">
        <v>0.006</v>
      </c>
      <c r="CO29" s="141">
        <v>0.001</v>
      </c>
      <c r="CP29" s="137"/>
      <c r="CQ29" s="137">
        <v>0.44</v>
      </c>
      <c r="CR29" s="137">
        <v>0.451</v>
      </c>
      <c r="CS29" s="137">
        <v>0.452</v>
      </c>
    </row>
    <row r="30">
      <c r="A30" s="112">
        <f t="shared" si="1"/>
        <v>28</v>
      </c>
      <c r="B30" s="112" t="s">
        <v>1072</v>
      </c>
      <c r="C30" s="112" t="s">
        <v>1340</v>
      </c>
      <c r="D30" s="113" t="s">
        <v>1337</v>
      </c>
      <c r="E30" s="154" t="s">
        <v>1724</v>
      </c>
      <c r="F30" s="115">
        <f t="shared" si="2"/>
        <v>0.4285714286</v>
      </c>
      <c r="G30" s="115">
        <f t="shared" si="3"/>
        <v>0.472972973</v>
      </c>
      <c r="H30" s="116">
        <f t="shared" si="4"/>
        <v>0.4618725869</v>
      </c>
      <c r="I30" s="117" t="s">
        <v>594</v>
      </c>
      <c r="J30" s="117" t="s">
        <v>487</v>
      </c>
      <c r="K30" s="117" t="s">
        <v>487</v>
      </c>
      <c r="L30" s="117" t="s">
        <v>487</v>
      </c>
      <c r="M30" s="117" t="s">
        <v>594</v>
      </c>
      <c r="N30" s="117" t="s">
        <v>594</v>
      </c>
      <c r="O30" s="149" t="s">
        <v>1256</v>
      </c>
      <c r="P30" s="156" t="s">
        <v>801</v>
      </c>
      <c r="Q30" s="121" t="s">
        <v>53</v>
      </c>
      <c r="R30" s="121" t="s">
        <v>801</v>
      </c>
      <c r="S30" s="119" t="s">
        <v>53</v>
      </c>
      <c r="T30" s="119" t="s">
        <v>53</v>
      </c>
      <c r="U30" s="119" t="s">
        <v>53</v>
      </c>
      <c r="V30" s="119" t="s">
        <v>53</v>
      </c>
      <c r="W30" s="119" t="s">
        <v>53</v>
      </c>
      <c r="X30" s="128" t="s">
        <v>53</v>
      </c>
      <c r="Y30" s="119" t="s">
        <v>53</v>
      </c>
      <c r="Z30" s="149" t="s">
        <v>561</v>
      </c>
      <c r="AA30" s="149" t="s">
        <v>561</v>
      </c>
      <c r="AB30" s="119" t="s">
        <v>53</v>
      </c>
      <c r="AC30" s="125" t="s">
        <v>561</v>
      </c>
      <c r="AD30" s="149" t="s">
        <v>561</v>
      </c>
      <c r="AE30" s="128" t="s">
        <v>561</v>
      </c>
      <c r="AF30" s="125" t="s">
        <v>561</v>
      </c>
      <c r="AG30" s="121" t="s">
        <v>53</v>
      </c>
      <c r="AH30" s="128" t="s">
        <v>561</v>
      </c>
      <c r="AI30" s="125" t="s">
        <v>53</v>
      </c>
      <c r="AJ30" s="121" t="s">
        <v>53</v>
      </c>
      <c r="AK30" s="125" t="s">
        <v>799</v>
      </c>
      <c r="AL30" s="128" t="s">
        <v>561</v>
      </c>
      <c r="AM30" s="128" t="s">
        <v>561</v>
      </c>
      <c r="AN30" s="128" t="s">
        <v>53</v>
      </c>
      <c r="AO30" s="128" t="s">
        <v>53</v>
      </c>
      <c r="AP30" s="121" t="s">
        <v>561</v>
      </c>
      <c r="AQ30" s="128" t="s">
        <v>53</v>
      </c>
      <c r="AR30" s="128" t="s">
        <v>561</v>
      </c>
      <c r="AS30" s="117" t="s">
        <v>561</v>
      </c>
      <c r="AT30" s="117" t="s">
        <v>53</v>
      </c>
      <c r="AU30" s="117" t="s">
        <v>561</v>
      </c>
      <c r="AV30" s="117" t="s">
        <v>561</v>
      </c>
      <c r="AW30" s="117" t="s">
        <v>561</v>
      </c>
      <c r="AX30" s="117" t="s">
        <v>561</v>
      </c>
      <c r="AY30" s="117" t="s">
        <v>561</v>
      </c>
      <c r="AZ30" s="117" t="s">
        <v>561</v>
      </c>
      <c r="BA30" s="117" t="s">
        <v>561</v>
      </c>
      <c r="BB30" s="117" t="s">
        <v>53</v>
      </c>
      <c r="BC30" s="117" t="s">
        <v>600</v>
      </c>
      <c r="BD30" s="129" t="s">
        <v>821</v>
      </c>
      <c r="BE30" s="129" t="s">
        <v>821</v>
      </c>
      <c r="BF30" s="130"/>
      <c r="BG30" s="130">
        <f t="shared" si="5"/>
        <v>0</v>
      </c>
      <c r="BH30" s="140"/>
      <c r="BI30" s="140"/>
      <c r="BJ30" s="132"/>
      <c r="BK30" s="132"/>
      <c r="BL30" s="133"/>
      <c r="BM30" s="133" t="s">
        <v>561</v>
      </c>
      <c r="BN30" s="133"/>
      <c r="BO30" s="133"/>
      <c r="BP30" s="133" t="s">
        <v>1432</v>
      </c>
      <c r="BQ30" s="134"/>
      <c r="BR30" s="150" t="s">
        <v>1199</v>
      </c>
      <c r="BS30" s="134"/>
      <c r="BT30" s="134"/>
      <c r="BU30" s="137">
        <f t="shared" si="6"/>
        <v>0.561</v>
      </c>
      <c r="BV30" s="138">
        <v>0.774</v>
      </c>
      <c r="BW30" s="137">
        <v>0.213</v>
      </c>
      <c r="BX30" s="137"/>
      <c r="BY30" s="137">
        <f t="shared" si="7"/>
        <v>0.516</v>
      </c>
      <c r="BZ30" s="138">
        <v>0.723</v>
      </c>
      <c r="CA30" s="137">
        <v>0.207</v>
      </c>
      <c r="CB30" s="137"/>
      <c r="CC30" s="138">
        <v>0.522</v>
      </c>
      <c r="CD30" s="137">
        <v>0.184</v>
      </c>
      <c r="CE30" s="137">
        <v>0.14</v>
      </c>
      <c r="CF30" s="137">
        <v>0.145</v>
      </c>
      <c r="CG30" s="137">
        <v>0.019</v>
      </c>
      <c r="CH30" s="137">
        <v>0.002</v>
      </c>
      <c r="CI30" s="139"/>
      <c r="CJ30" s="138">
        <v>0.625</v>
      </c>
      <c r="CK30" s="137">
        <v>0.114</v>
      </c>
      <c r="CL30" s="137">
        <v>0.138</v>
      </c>
      <c r="CM30" s="137">
        <v>0.114</v>
      </c>
      <c r="CN30" s="137">
        <v>0.005</v>
      </c>
      <c r="CO30" s="137">
        <v>0.001</v>
      </c>
      <c r="CP30" s="137"/>
      <c r="CQ30" s="138">
        <v>0.639</v>
      </c>
      <c r="CR30" s="138">
        <v>0.7859999999999999</v>
      </c>
      <c r="CS30" s="137">
        <v>0.134</v>
      </c>
    </row>
    <row r="31">
      <c r="A31" s="112">
        <f t="shared" si="1"/>
        <v>29</v>
      </c>
      <c r="B31" s="112" t="s">
        <v>1317</v>
      </c>
      <c r="C31" s="112" t="s">
        <v>1318</v>
      </c>
      <c r="D31" s="113" t="s">
        <v>1315</v>
      </c>
      <c r="E31" s="154" t="s">
        <v>1754</v>
      </c>
      <c r="F31" s="115">
        <f t="shared" si="2"/>
        <v>0.1428571429</v>
      </c>
      <c r="G31" s="115">
        <f t="shared" si="3"/>
        <v>0.5606060606</v>
      </c>
      <c r="H31" s="116">
        <f t="shared" si="4"/>
        <v>0.4561688312</v>
      </c>
      <c r="I31" s="117" t="s">
        <v>594</v>
      </c>
      <c r="J31" s="117" t="s">
        <v>594</v>
      </c>
      <c r="K31" s="117" t="s">
        <v>487</v>
      </c>
      <c r="L31" s="117" t="s">
        <v>594</v>
      </c>
      <c r="M31" s="117" t="s">
        <v>594</v>
      </c>
      <c r="N31" s="117" t="s">
        <v>594</v>
      </c>
      <c r="O31" s="149" t="s">
        <v>1256</v>
      </c>
      <c r="P31" s="120" t="s">
        <v>53</v>
      </c>
      <c r="Q31" s="121" t="s">
        <v>53</v>
      </c>
      <c r="R31" s="121" t="s">
        <v>561</v>
      </c>
      <c r="S31" s="119" t="s">
        <v>53</v>
      </c>
      <c r="T31" s="119" t="s">
        <v>53</v>
      </c>
      <c r="U31" s="119" t="s">
        <v>53</v>
      </c>
      <c r="V31" s="119" t="s">
        <v>53</v>
      </c>
      <c r="W31" s="119" t="s">
        <v>53</v>
      </c>
      <c r="X31" s="119" t="s">
        <v>53</v>
      </c>
      <c r="Y31" s="119" t="s">
        <v>53</v>
      </c>
      <c r="Z31" s="119" t="s">
        <v>53</v>
      </c>
      <c r="AA31" s="149" t="s">
        <v>561</v>
      </c>
      <c r="AB31" s="119" t="s">
        <v>53</v>
      </c>
      <c r="AC31" s="125" t="s">
        <v>561</v>
      </c>
      <c r="AD31" s="149" t="s">
        <v>561</v>
      </c>
      <c r="AE31" s="121" t="s">
        <v>53</v>
      </c>
      <c r="AF31" s="125" t="s">
        <v>561</v>
      </c>
      <c r="AG31" s="121" t="s">
        <v>53</v>
      </c>
      <c r="AH31" s="128" t="s">
        <v>561</v>
      </c>
      <c r="AI31" s="125" t="s">
        <v>53</v>
      </c>
      <c r="AJ31" s="123" t="s">
        <v>801</v>
      </c>
      <c r="AK31" s="125" t="s">
        <v>799</v>
      </c>
      <c r="AL31" s="128" t="s">
        <v>561</v>
      </c>
      <c r="AM31" s="128" t="s">
        <v>561</v>
      </c>
      <c r="AN31" s="128" t="s">
        <v>53</v>
      </c>
      <c r="AO31" s="128" t="s">
        <v>53</v>
      </c>
      <c r="AP31" s="121" t="s">
        <v>561</v>
      </c>
      <c r="AQ31" s="128" t="s">
        <v>53</v>
      </c>
      <c r="AR31" s="121" t="s">
        <v>53</v>
      </c>
      <c r="AS31" s="117" t="s">
        <v>561</v>
      </c>
      <c r="AT31" s="117" t="s">
        <v>561</v>
      </c>
      <c r="AU31" s="117" t="s">
        <v>561</v>
      </c>
      <c r="AV31" s="117" t="s">
        <v>561</v>
      </c>
      <c r="AW31" s="117" t="s">
        <v>561</v>
      </c>
      <c r="AX31" s="117" t="s">
        <v>600</v>
      </c>
      <c r="AY31" s="117" t="s">
        <v>600</v>
      </c>
      <c r="AZ31" s="117" t="s">
        <v>600</v>
      </c>
      <c r="BA31" s="117" t="s">
        <v>600</v>
      </c>
      <c r="BB31" s="117" t="s">
        <v>600</v>
      </c>
      <c r="BC31" s="117" t="s">
        <v>600</v>
      </c>
      <c r="BD31" s="129" t="s">
        <v>821</v>
      </c>
      <c r="BE31" s="129" t="s">
        <v>821</v>
      </c>
      <c r="BF31" s="130"/>
      <c r="BG31" s="130">
        <f t="shared" si="5"/>
        <v>0</v>
      </c>
      <c r="BH31" s="140"/>
      <c r="BI31" s="140"/>
      <c r="BJ31" s="132"/>
      <c r="BK31" s="132"/>
      <c r="BL31" s="133"/>
      <c r="BM31" s="133" t="s">
        <v>561</v>
      </c>
      <c r="BN31" s="133"/>
      <c r="BO31" s="133"/>
      <c r="BP31" s="133" t="s">
        <v>976</v>
      </c>
      <c r="BQ31" s="134"/>
      <c r="BR31" s="135" t="s">
        <v>850</v>
      </c>
      <c r="BS31" s="134"/>
      <c r="BT31" s="134"/>
      <c r="BU31" s="137">
        <f t="shared" si="6"/>
        <v>0.356</v>
      </c>
      <c r="BV31" s="138">
        <v>0.664</v>
      </c>
      <c r="BW31" s="137">
        <v>0.308</v>
      </c>
      <c r="BX31" s="137"/>
      <c r="BY31" s="137">
        <f t="shared" si="7"/>
        <v>0.264</v>
      </c>
      <c r="BZ31" s="138">
        <v>0.5670000000000001</v>
      </c>
      <c r="CA31" s="137">
        <v>0.303</v>
      </c>
      <c r="CB31" s="137"/>
      <c r="CC31" s="138">
        <v>0.904</v>
      </c>
      <c r="CD31" s="137">
        <v>0.021</v>
      </c>
      <c r="CE31" s="137">
        <v>0.017</v>
      </c>
      <c r="CF31" s="137">
        <v>0.022000000000000002</v>
      </c>
      <c r="CG31" s="137">
        <v>0.024</v>
      </c>
      <c r="CH31" s="137">
        <v>0.001</v>
      </c>
      <c r="CI31" s="139"/>
      <c r="CJ31" s="138">
        <v>0.946</v>
      </c>
      <c r="CK31" s="137">
        <v>0.016</v>
      </c>
      <c r="CL31" s="137">
        <v>0.012</v>
      </c>
      <c r="CM31" s="137">
        <v>0.013999999999999999</v>
      </c>
      <c r="CN31" s="137">
        <v>0.011000000000000001</v>
      </c>
      <c r="CO31" s="137">
        <v>0.0</v>
      </c>
      <c r="CP31" s="137"/>
      <c r="CQ31" s="137">
        <v>0.397</v>
      </c>
      <c r="CR31" s="137">
        <v>0.396</v>
      </c>
      <c r="CS31" s="138">
        <v>0.5720000000000001</v>
      </c>
    </row>
    <row r="32">
      <c r="A32" s="112">
        <f t="shared" si="1"/>
        <v>30</v>
      </c>
      <c r="B32" s="112" t="s">
        <v>223</v>
      </c>
      <c r="C32" s="112" t="s">
        <v>224</v>
      </c>
      <c r="D32" s="113" t="s">
        <v>219</v>
      </c>
      <c r="E32" s="159" t="s">
        <v>1791</v>
      </c>
      <c r="F32" s="115">
        <f t="shared" si="2"/>
        <v>0.2857142857</v>
      </c>
      <c r="G32" s="115">
        <f t="shared" si="3"/>
        <v>0.4743589744</v>
      </c>
      <c r="H32" s="116">
        <f t="shared" si="4"/>
        <v>0.4271978022</v>
      </c>
      <c r="I32" s="117" t="s">
        <v>594</v>
      </c>
      <c r="J32" s="117" t="s">
        <v>487</v>
      </c>
      <c r="K32" s="117" t="s">
        <v>487</v>
      </c>
      <c r="L32" s="117" t="s">
        <v>594</v>
      </c>
      <c r="M32" s="117" t="s">
        <v>594</v>
      </c>
      <c r="N32" s="117" t="s">
        <v>594</v>
      </c>
      <c r="O32" s="149" t="s">
        <v>1256</v>
      </c>
      <c r="P32" s="120" t="s">
        <v>53</v>
      </c>
      <c r="Q32" s="121" t="s">
        <v>53</v>
      </c>
      <c r="R32" s="121" t="s">
        <v>561</v>
      </c>
      <c r="S32" s="119" t="s">
        <v>53</v>
      </c>
      <c r="T32" s="119" t="s">
        <v>53</v>
      </c>
      <c r="U32" s="119" t="s">
        <v>53</v>
      </c>
      <c r="V32" s="119" t="s">
        <v>53</v>
      </c>
      <c r="W32" s="119" t="s">
        <v>53</v>
      </c>
      <c r="X32" s="149" t="s">
        <v>561</v>
      </c>
      <c r="Y32" s="119" t="s">
        <v>53</v>
      </c>
      <c r="Z32" s="149" t="s">
        <v>561</v>
      </c>
      <c r="AA32" s="149" t="s">
        <v>561</v>
      </c>
      <c r="AB32" s="119" t="s">
        <v>53</v>
      </c>
      <c r="AC32" s="125" t="s">
        <v>561</v>
      </c>
      <c r="AD32" s="149" t="s">
        <v>561</v>
      </c>
      <c r="AE32" s="128" t="s">
        <v>561</v>
      </c>
      <c r="AF32" s="125" t="s">
        <v>801</v>
      </c>
      <c r="AG32" s="121" t="s">
        <v>53</v>
      </c>
      <c r="AH32" s="128" t="s">
        <v>561</v>
      </c>
      <c r="AI32" s="125" t="s">
        <v>53</v>
      </c>
      <c r="AJ32" s="121" t="s">
        <v>53</v>
      </c>
      <c r="AK32" s="125" t="s">
        <v>799</v>
      </c>
      <c r="AL32" s="128" t="s">
        <v>561</v>
      </c>
      <c r="AM32" s="128" t="s">
        <v>561</v>
      </c>
      <c r="AN32" s="128" t="s">
        <v>53</v>
      </c>
      <c r="AO32" s="128" t="s">
        <v>53</v>
      </c>
      <c r="AP32" s="121" t="s">
        <v>561</v>
      </c>
      <c r="AQ32" s="128" t="s">
        <v>53</v>
      </c>
      <c r="AR32" s="121" t="s">
        <v>53</v>
      </c>
      <c r="AS32" s="117" t="s">
        <v>561</v>
      </c>
      <c r="AT32" s="117" t="s">
        <v>53</v>
      </c>
      <c r="AU32" s="117" t="s">
        <v>561</v>
      </c>
      <c r="AV32" s="117" t="s">
        <v>561</v>
      </c>
      <c r="AW32" s="117" t="s">
        <v>561</v>
      </c>
      <c r="AX32" s="117" t="s">
        <v>561</v>
      </c>
      <c r="AY32" s="117" t="s">
        <v>561</v>
      </c>
      <c r="AZ32" s="117" t="s">
        <v>561</v>
      </c>
      <c r="BA32" s="117" t="s">
        <v>561</v>
      </c>
      <c r="BB32" s="117" t="s">
        <v>53</v>
      </c>
      <c r="BC32" s="117" t="s">
        <v>561</v>
      </c>
      <c r="BD32" s="129" t="s">
        <v>821</v>
      </c>
      <c r="BE32" s="129" t="s">
        <v>821</v>
      </c>
      <c r="BF32" s="130"/>
      <c r="BG32" s="130">
        <f t="shared" si="5"/>
        <v>0</v>
      </c>
      <c r="BH32" s="140"/>
      <c r="BI32" s="140"/>
      <c r="BJ32" s="132"/>
      <c r="BK32" s="132"/>
      <c r="BL32" s="133"/>
      <c r="BM32" s="133" t="s">
        <v>561</v>
      </c>
      <c r="BN32" s="133"/>
      <c r="BO32" s="133"/>
      <c r="BP32" s="133" t="s">
        <v>1808</v>
      </c>
      <c r="BQ32" s="134"/>
      <c r="BR32" s="135" t="s">
        <v>850</v>
      </c>
      <c r="BS32" s="134"/>
      <c r="BT32" s="134"/>
      <c r="BU32" s="137">
        <f t="shared" si="6"/>
        <v>0.342</v>
      </c>
      <c r="BV32" s="138">
        <v>0.6609999999999999</v>
      </c>
      <c r="BW32" s="137">
        <v>0.319</v>
      </c>
      <c r="BX32" s="137"/>
      <c r="BY32" s="137">
        <f t="shared" si="7"/>
        <v>0.345</v>
      </c>
      <c r="BZ32" s="138">
        <v>0.644</v>
      </c>
      <c r="CA32" s="137">
        <v>0.299</v>
      </c>
      <c r="CB32" s="137"/>
      <c r="CC32" s="137">
        <v>0.289</v>
      </c>
      <c r="CD32" s="137">
        <v>0.247</v>
      </c>
      <c r="CE32" s="137">
        <v>0.048</v>
      </c>
      <c r="CF32" s="138">
        <v>0.414</v>
      </c>
      <c r="CG32" s="137">
        <v>0.023</v>
      </c>
      <c r="CH32" s="137">
        <v>0.004</v>
      </c>
      <c r="CI32" s="139"/>
      <c r="CJ32" s="137">
        <v>0.34</v>
      </c>
      <c r="CK32" s="137">
        <v>0.242</v>
      </c>
      <c r="CL32" s="137">
        <v>0.053</v>
      </c>
      <c r="CM32" s="138">
        <v>0.354</v>
      </c>
      <c r="CN32" s="137">
        <v>0.005</v>
      </c>
      <c r="CO32" s="137">
        <v>0.002</v>
      </c>
      <c r="CP32" s="137"/>
      <c r="CQ32" s="137">
        <v>0.45399999999999996</v>
      </c>
      <c r="CR32" s="138">
        <v>0.56</v>
      </c>
      <c r="CS32" s="137">
        <v>0.15</v>
      </c>
    </row>
    <row r="33">
      <c r="A33" s="112">
        <f t="shared" si="1"/>
        <v>31</v>
      </c>
      <c r="B33" s="112" t="s">
        <v>556</v>
      </c>
      <c r="C33" s="112" t="s">
        <v>557</v>
      </c>
      <c r="D33" s="113" t="s">
        <v>552</v>
      </c>
      <c r="E33" s="163"/>
      <c r="F33" s="115">
        <f t="shared" si="2"/>
        <v>0.1428571429</v>
      </c>
      <c r="G33" s="115">
        <f t="shared" si="3"/>
        <v>0.5147058824</v>
      </c>
      <c r="H33" s="116">
        <f t="shared" si="4"/>
        <v>0.4217436975</v>
      </c>
      <c r="I33" s="117" t="s">
        <v>594</v>
      </c>
      <c r="J33" s="117" t="s">
        <v>594</v>
      </c>
      <c r="K33" s="117" t="s">
        <v>487</v>
      </c>
      <c r="L33" s="117" t="s">
        <v>594</v>
      </c>
      <c r="M33" s="117" t="s">
        <v>594</v>
      </c>
      <c r="N33" s="117" t="s">
        <v>594</v>
      </c>
      <c r="O33" s="149" t="s">
        <v>1256</v>
      </c>
      <c r="P33" s="120" t="s">
        <v>53</v>
      </c>
      <c r="Q33" s="121" t="s">
        <v>53</v>
      </c>
      <c r="R33" s="121" t="s">
        <v>561</v>
      </c>
      <c r="S33" s="119" t="s">
        <v>53</v>
      </c>
      <c r="T33" s="119" t="s">
        <v>53</v>
      </c>
      <c r="U33" s="119" t="s">
        <v>53</v>
      </c>
      <c r="V33" s="119" t="s">
        <v>53</v>
      </c>
      <c r="W33" s="119" t="s">
        <v>53</v>
      </c>
      <c r="X33" s="119" t="s">
        <v>53</v>
      </c>
      <c r="Y33" s="119" t="s">
        <v>53</v>
      </c>
      <c r="Z33" s="149" t="s">
        <v>561</v>
      </c>
      <c r="AA33" s="149" t="s">
        <v>561</v>
      </c>
      <c r="AB33" s="119" t="s">
        <v>53</v>
      </c>
      <c r="AC33" s="125" t="s">
        <v>561</v>
      </c>
      <c r="AD33" s="149" t="s">
        <v>561</v>
      </c>
      <c r="AE33" s="128" t="s">
        <v>561</v>
      </c>
      <c r="AF33" s="125" t="s">
        <v>561</v>
      </c>
      <c r="AG33" s="121" t="s">
        <v>53</v>
      </c>
      <c r="AH33" s="128" t="s">
        <v>561</v>
      </c>
      <c r="AI33" s="125" t="s">
        <v>53</v>
      </c>
      <c r="AJ33" s="121" t="s">
        <v>53</v>
      </c>
      <c r="AK33" s="125" t="s">
        <v>799</v>
      </c>
      <c r="AL33" s="128" t="s">
        <v>561</v>
      </c>
      <c r="AM33" s="128" t="s">
        <v>561</v>
      </c>
      <c r="AN33" s="128" t="s">
        <v>53</v>
      </c>
      <c r="AO33" s="128" t="s">
        <v>53</v>
      </c>
      <c r="AP33" s="121" t="s">
        <v>561</v>
      </c>
      <c r="AQ33" s="128" t="s">
        <v>53</v>
      </c>
      <c r="AR33" s="121" t="s">
        <v>53</v>
      </c>
      <c r="AS33" s="117" t="s">
        <v>561</v>
      </c>
      <c r="AT33" s="117" t="s">
        <v>561</v>
      </c>
      <c r="AU33" s="117" t="s">
        <v>561</v>
      </c>
      <c r="AV33" s="117" t="s">
        <v>561</v>
      </c>
      <c r="AW33" s="117" t="s">
        <v>561</v>
      </c>
      <c r="AX33" s="117" t="s">
        <v>600</v>
      </c>
      <c r="AY33" s="117" t="s">
        <v>600</v>
      </c>
      <c r="AZ33" s="117" t="s">
        <v>600</v>
      </c>
      <c r="BA33" s="117" t="s">
        <v>600</v>
      </c>
      <c r="BB33" s="117" t="s">
        <v>600</v>
      </c>
      <c r="BC33" s="117" t="s">
        <v>600</v>
      </c>
      <c r="BD33" s="129" t="s">
        <v>821</v>
      </c>
      <c r="BE33" s="164" t="s">
        <v>1832</v>
      </c>
      <c r="BF33" s="130"/>
      <c r="BG33" s="130">
        <f t="shared" si="5"/>
        <v>18500</v>
      </c>
      <c r="BH33" s="131">
        <v>18500.0</v>
      </c>
      <c r="BI33" s="131"/>
      <c r="BJ33" s="132"/>
      <c r="BK33" s="132"/>
      <c r="BL33" s="133"/>
      <c r="BM33" s="133"/>
      <c r="BN33" s="133"/>
      <c r="BO33" s="133"/>
      <c r="BP33" s="133" t="s">
        <v>976</v>
      </c>
      <c r="BQ33" s="134"/>
      <c r="BR33" s="135" t="s">
        <v>850</v>
      </c>
      <c r="BS33" s="134"/>
      <c r="BT33" s="134"/>
      <c r="BU33" s="137">
        <f t="shared" si="6"/>
        <v>0.295</v>
      </c>
      <c r="BV33" s="138">
        <v>0.636</v>
      </c>
      <c r="BW33" s="137">
        <v>0.341</v>
      </c>
      <c r="BX33" s="137"/>
      <c r="BY33" s="137">
        <f t="shared" si="7"/>
        <v>0.318</v>
      </c>
      <c r="BZ33" s="138">
        <v>0.614</v>
      </c>
      <c r="CA33" s="137">
        <v>0.29600000000000004</v>
      </c>
      <c r="CB33" s="137"/>
      <c r="CC33" s="137">
        <v>0.318</v>
      </c>
      <c r="CD33" s="137">
        <v>0.095</v>
      </c>
      <c r="CE33" s="137">
        <v>0.024</v>
      </c>
      <c r="CF33" s="138">
        <v>0.434</v>
      </c>
      <c r="CG33" s="137">
        <v>0.03</v>
      </c>
      <c r="CH33" s="137">
        <v>0.28</v>
      </c>
      <c r="CI33" s="139"/>
      <c r="CJ33" s="138">
        <v>0.332</v>
      </c>
      <c r="CK33" s="137">
        <v>0.099</v>
      </c>
      <c r="CL33" s="137">
        <v>0.02</v>
      </c>
      <c r="CM33" s="137">
        <v>0.29300000000000004</v>
      </c>
      <c r="CN33" s="137">
        <v>0.01</v>
      </c>
      <c r="CO33" s="137">
        <v>0.106</v>
      </c>
      <c r="CP33" s="137"/>
      <c r="CQ33" s="137">
        <v>0.301</v>
      </c>
      <c r="CR33" s="137">
        <v>0.433</v>
      </c>
      <c r="CS33" s="137">
        <v>0.188</v>
      </c>
    </row>
    <row r="34">
      <c r="A34" s="112">
        <f t="shared" si="1"/>
        <v>32</v>
      </c>
      <c r="B34" s="112" t="s">
        <v>1404</v>
      </c>
      <c r="C34" s="112" t="s">
        <v>1405</v>
      </c>
      <c r="D34" s="113" t="s">
        <v>1402</v>
      </c>
      <c r="E34" s="159" t="s">
        <v>1847</v>
      </c>
      <c r="F34" s="115">
        <f t="shared" si="2"/>
        <v>0.1428571429</v>
      </c>
      <c r="G34" s="115">
        <f t="shared" si="3"/>
        <v>0.5</v>
      </c>
      <c r="H34" s="116">
        <f t="shared" si="4"/>
        <v>0.4107142857</v>
      </c>
      <c r="I34" s="117" t="s">
        <v>594</v>
      </c>
      <c r="J34" s="117" t="s">
        <v>594</v>
      </c>
      <c r="K34" s="117" t="s">
        <v>487</v>
      </c>
      <c r="L34" s="117" t="s">
        <v>594</v>
      </c>
      <c r="M34" s="117" t="s">
        <v>594</v>
      </c>
      <c r="N34" s="117" t="s">
        <v>594</v>
      </c>
      <c r="O34" s="149" t="s">
        <v>1256</v>
      </c>
      <c r="P34" s="120" t="s">
        <v>53</v>
      </c>
      <c r="Q34" s="121" t="s">
        <v>53</v>
      </c>
      <c r="R34" s="121" t="s">
        <v>561</v>
      </c>
      <c r="S34" s="149" t="s">
        <v>561</v>
      </c>
      <c r="T34" s="119" t="s">
        <v>53</v>
      </c>
      <c r="U34" s="119" t="s">
        <v>53</v>
      </c>
      <c r="V34" s="119" t="s">
        <v>53</v>
      </c>
      <c r="W34" s="119" t="s">
        <v>53</v>
      </c>
      <c r="X34" s="119" t="s">
        <v>53</v>
      </c>
      <c r="Y34" s="149" t="s">
        <v>561</v>
      </c>
      <c r="Z34" s="149" t="s">
        <v>561</v>
      </c>
      <c r="AA34" s="149" t="s">
        <v>561</v>
      </c>
      <c r="AB34" s="119" t="s">
        <v>53</v>
      </c>
      <c r="AC34" s="125" t="s">
        <v>561</v>
      </c>
      <c r="AD34" s="123" t="s">
        <v>801</v>
      </c>
      <c r="AE34" s="121" t="s">
        <v>53</v>
      </c>
      <c r="AF34" s="125" t="s">
        <v>561</v>
      </c>
      <c r="AG34" s="121" t="s">
        <v>53</v>
      </c>
      <c r="AH34" s="128" t="s">
        <v>561</v>
      </c>
      <c r="AI34" s="125" t="s">
        <v>53</v>
      </c>
      <c r="AJ34" s="128" t="s">
        <v>561</v>
      </c>
      <c r="AK34" s="125" t="s">
        <v>799</v>
      </c>
      <c r="AL34" s="123" t="s">
        <v>801</v>
      </c>
      <c r="AM34" s="128" t="s">
        <v>561</v>
      </c>
      <c r="AN34" s="128" t="s">
        <v>53</v>
      </c>
      <c r="AO34" s="128" t="s">
        <v>53</v>
      </c>
      <c r="AP34" s="121" t="s">
        <v>561</v>
      </c>
      <c r="AQ34" s="128" t="s">
        <v>53</v>
      </c>
      <c r="AR34" s="121" t="s">
        <v>53</v>
      </c>
      <c r="AS34" s="117" t="s">
        <v>561</v>
      </c>
      <c r="AT34" s="117" t="s">
        <v>53</v>
      </c>
      <c r="AU34" s="117" t="s">
        <v>561</v>
      </c>
      <c r="AV34" s="117" t="s">
        <v>561</v>
      </c>
      <c r="AW34" s="117" t="s">
        <v>561</v>
      </c>
      <c r="AX34" s="117" t="s">
        <v>561</v>
      </c>
      <c r="AY34" s="117" t="s">
        <v>561</v>
      </c>
      <c r="AZ34" s="117" t="s">
        <v>561</v>
      </c>
      <c r="BA34" s="117" t="s">
        <v>53</v>
      </c>
      <c r="BB34" s="117" t="s">
        <v>53</v>
      </c>
      <c r="BC34" s="117" t="s">
        <v>799</v>
      </c>
      <c r="BD34" s="129" t="s">
        <v>821</v>
      </c>
      <c r="BE34" s="129" t="s">
        <v>821</v>
      </c>
      <c r="BF34" s="130"/>
      <c r="BG34" s="130">
        <f t="shared" si="5"/>
        <v>0</v>
      </c>
      <c r="BH34" s="131"/>
      <c r="BI34" s="131"/>
      <c r="BJ34" s="132"/>
      <c r="BK34" s="132"/>
      <c r="BL34" s="133"/>
      <c r="BM34" s="133" t="s">
        <v>561</v>
      </c>
      <c r="BN34" s="133"/>
      <c r="BO34" s="133"/>
      <c r="BP34" s="133" t="s">
        <v>1867</v>
      </c>
      <c r="BQ34" s="134"/>
      <c r="BR34" s="135" t="s">
        <v>850</v>
      </c>
      <c r="BS34" s="134"/>
      <c r="BT34" s="134"/>
      <c r="BU34" s="137">
        <f t="shared" si="6"/>
        <v>0.531</v>
      </c>
      <c r="BV34" s="138">
        <v>0.759</v>
      </c>
      <c r="BW34" s="137">
        <v>0.228</v>
      </c>
      <c r="BX34" s="137"/>
      <c r="BY34" s="137">
        <f t="shared" si="7"/>
        <v>0.497</v>
      </c>
      <c r="BZ34" s="138">
        <v>0.72</v>
      </c>
      <c r="CA34" s="137">
        <v>0.223</v>
      </c>
      <c r="CB34" s="137"/>
      <c r="CC34" s="138">
        <v>0.47100000000000003</v>
      </c>
      <c r="CD34" s="137">
        <v>0.153</v>
      </c>
      <c r="CE34" s="137">
        <v>0.315</v>
      </c>
      <c r="CF34" s="137">
        <v>0.052000000000000005</v>
      </c>
      <c r="CG34" s="137">
        <v>0.021</v>
      </c>
      <c r="CH34" s="137">
        <v>0.001</v>
      </c>
      <c r="CI34" s="139"/>
      <c r="CJ34" s="138">
        <v>0.522</v>
      </c>
      <c r="CK34" s="137">
        <v>0.10800000000000001</v>
      </c>
      <c r="CL34" s="137">
        <v>0.325</v>
      </c>
      <c r="CM34" s="137">
        <v>0.033</v>
      </c>
      <c r="CN34" s="137">
        <v>0.01</v>
      </c>
      <c r="CO34" s="137">
        <v>0.0</v>
      </c>
      <c r="CP34" s="137"/>
      <c r="CQ34" s="137">
        <v>0.308</v>
      </c>
      <c r="CR34" s="137">
        <v>0.451</v>
      </c>
      <c r="CS34" s="137">
        <v>0.287</v>
      </c>
    </row>
    <row r="35">
      <c r="A35" s="112">
        <f t="shared" si="1"/>
        <v>33</v>
      </c>
      <c r="B35" s="112" t="s">
        <v>88</v>
      </c>
      <c r="C35" s="112" t="s">
        <v>89</v>
      </c>
      <c r="D35" s="113" t="s">
        <v>85</v>
      </c>
      <c r="E35" s="159" t="s">
        <v>1791</v>
      </c>
      <c r="F35" s="115">
        <f t="shared" si="2"/>
        <v>0.2857142857</v>
      </c>
      <c r="G35" s="115">
        <f t="shared" si="3"/>
        <v>0.4342105263</v>
      </c>
      <c r="H35" s="116">
        <f t="shared" si="4"/>
        <v>0.3970864662</v>
      </c>
      <c r="I35" s="117" t="s">
        <v>594</v>
      </c>
      <c r="J35" s="117" t="s">
        <v>487</v>
      </c>
      <c r="K35" s="117" t="s">
        <v>487</v>
      </c>
      <c r="L35" s="117" t="s">
        <v>594</v>
      </c>
      <c r="M35" s="117" t="s">
        <v>594</v>
      </c>
      <c r="N35" s="117" t="s">
        <v>594</v>
      </c>
      <c r="O35" s="149" t="s">
        <v>1256</v>
      </c>
      <c r="P35" s="120" t="s">
        <v>53</v>
      </c>
      <c r="Q35" s="121" t="s">
        <v>53</v>
      </c>
      <c r="R35" s="121" t="s">
        <v>561</v>
      </c>
      <c r="S35" s="119" t="s">
        <v>53</v>
      </c>
      <c r="T35" s="119" t="s">
        <v>53</v>
      </c>
      <c r="U35" s="119" t="s">
        <v>53</v>
      </c>
      <c r="V35" s="119" t="s">
        <v>53</v>
      </c>
      <c r="W35" s="119" t="s">
        <v>53</v>
      </c>
      <c r="X35" s="149" t="s">
        <v>561</v>
      </c>
      <c r="Y35" s="149" t="s">
        <v>561</v>
      </c>
      <c r="Z35" s="149" t="s">
        <v>561</v>
      </c>
      <c r="AA35" s="149" t="s">
        <v>561</v>
      </c>
      <c r="AB35" s="119" t="s">
        <v>53</v>
      </c>
      <c r="AC35" s="125" t="s">
        <v>561</v>
      </c>
      <c r="AD35" s="123" t="s">
        <v>801</v>
      </c>
      <c r="AE35" s="128" t="s">
        <v>561</v>
      </c>
      <c r="AF35" s="125" t="s">
        <v>561</v>
      </c>
      <c r="AG35" s="121" t="s">
        <v>53</v>
      </c>
      <c r="AH35" s="128" t="s">
        <v>561</v>
      </c>
      <c r="AI35" s="125" t="s">
        <v>53</v>
      </c>
      <c r="AJ35" s="128" t="s">
        <v>561</v>
      </c>
      <c r="AK35" s="125" t="s">
        <v>561</v>
      </c>
      <c r="AL35" s="128" t="s">
        <v>561</v>
      </c>
      <c r="AM35" s="128" t="s">
        <v>561</v>
      </c>
      <c r="AN35" s="128" t="s">
        <v>561</v>
      </c>
      <c r="AO35" s="128" t="s">
        <v>53</v>
      </c>
      <c r="AP35" s="147" t="s">
        <v>561</v>
      </c>
      <c r="AQ35" s="128" t="s">
        <v>53</v>
      </c>
      <c r="AR35" s="121" t="s">
        <v>53</v>
      </c>
      <c r="AS35" s="117" t="s">
        <v>561</v>
      </c>
      <c r="AT35" s="117" t="s">
        <v>53</v>
      </c>
      <c r="AU35" s="117" t="s">
        <v>561</v>
      </c>
      <c r="AV35" s="117" t="s">
        <v>561</v>
      </c>
      <c r="AW35" s="117" t="s">
        <v>53</v>
      </c>
      <c r="AX35" s="117" t="s">
        <v>561</v>
      </c>
      <c r="AY35" s="117" t="s">
        <v>561</v>
      </c>
      <c r="AZ35" s="117" t="s">
        <v>561</v>
      </c>
      <c r="BA35" s="117" t="s">
        <v>799</v>
      </c>
      <c r="BB35" s="117" t="s">
        <v>53</v>
      </c>
      <c r="BC35" s="117" t="s">
        <v>600</v>
      </c>
      <c r="BD35" s="164" t="s">
        <v>1832</v>
      </c>
      <c r="BE35" s="129" t="s">
        <v>821</v>
      </c>
      <c r="BF35" s="130"/>
      <c r="BG35" s="130">
        <f t="shared" si="5"/>
        <v>0</v>
      </c>
      <c r="BH35" s="131"/>
      <c r="BI35" s="131"/>
      <c r="BJ35" s="132"/>
      <c r="BK35" s="132"/>
      <c r="BL35" s="133"/>
      <c r="BM35" s="133" t="s">
        <v>561</v>
      </c>
      <c r="BN35" s="133"/>
      <c r="BO35" s="133"/>
      <c r="BP35" s="133" t="s">
        <v>1311</v>
      </c>
      <c r="BQ35" s="134"/>
      <c r="BR35" s="135" t="s">
        <v>850</v>
      </c>
      <c r="BS35" s="134"/>
      <c r="BT35" s="134"/>
      <c r="BU35" s="137">
        <f t="shared" si="6"/>
        <v>0.495</v>
      </c>
      <c r="BV35" s="138">
        <v>0.735</v>
      </c>
      <c r="BW35" s="137">
        <v>0.24</v>
      </c>
      <c r="BX35" s="137"/>
      <c r="BY35" s="137">
        <f t="shared" si="7"/>
        <v>0.455</v>
      </c>
      <c r="BZ35" s="138">
        <v>0.6890000000000001</v>
      </c>
      <c r="CA35" s="137">
        <v>0.23399999999999999</v>
      </c>
      <c r="CB35" s="137"/>
      <c r="CC35" s="138">
        <v>0.684</v>
      </c>
      <c r="CD35" s="137">
        <v>0.179</v>
      </c>
      <c r="CE35" s="137">
        <v>0.026000000000000002</v>
      </c>
      <c r="CF35" s="137">
        <v>0.059000000000000004</v>
      </c>
      <c r="CG35" s="137">
        <v>0.054000000000000006</v>
      </c>
      <c r="CH35" s="137">
        <v>0.006</v>
      </c>
      <c r="CI35" s="139"/>
      <c r="CJ35" s="138">
        <v>0.7809999999999999</v>
      </c>
      <c r="CK35" s="137">
        <v>0.11599999999999999</v>
      </c>
      <c r="CL35" s="137">
        <v>0.022000000000000002</v>
      </c>
      <c r="CM35" s="137">
        <v>0.045</v>
      </c>
      <c r="CN35" s="137">
        <v>0.031000000000000003</v>
      </c>
      <c r="CO35" s="137">
        <v>0.002</v>
      </c>
      <c r="CP35" s="137"/>
      <c r="CQ35" s="137">
        <v>0.41700000000000004</v>
      </c>
      <c r="CR35" s="137">
        <v>0.46799999999999997</v>
      </c>
      <c r="CS35" s="137">
        <v>0.415</v>
      </c>
    </row>
    <row r="36">
      <c r="A36" s="112">
        <f t="shared" si="1"/>
        <v>34</v>
      </c>
      <c r="B36" s="112" t="s">
        <v>1251</v>
      </c>
      <c r="C36" s="112" t="s">
        <v>1252</v>
      </c>
      <c r="D36" s="113" t="s">
        <v>1247</v>
      </c>
      <c r="E36" s="153" t="s">
        <v>1909</v>
      </c>
      <c r="F36" s="115">
        <f t="shared" si="2"/>
        <v>0.1428571429</v>
      </c>
      <c r="G36" s="115">
        <f t="shared" si="3"/>
        <v>0.4743589744</v>
      </c>
      <c r="H36" s="116">
        <f t="shared" si="4"/>
        <v>0.3914835165</v>
      </c>
      <c r="I36" s="117" t="s">
        <v>594</v>
      </c>
      <c r="J36" s="117" t="s">
        <v>594</v>
      </c>
      <c r="K36" s="117" t="s">
        <v>487</v>
      </c>
      <c r="L36" s="117" t="s">
        <v>594</v>
      </c>
      <c r="M36" s="117" t="s">
        <v>594</v>
      </c>
      <c r="N36" s="117" t="s">
        <v>594</v>
      </c>
      <c r="O36" s="149" t="s">
        <v>1256</v>
      </c>
      <c r="P36" s="120" t="s">
        <v>53</v>
      </c>
      <c r="Q36" s="121" t="s">
        <v>53</v>
      </c>
      <c r="R36" s="121" t="s">
        <v>561</v>
      </c>
      <c r="S36" s="119" t="s">
        <v>53</v>
      </c>
      <c r="T36" s="119" t="s">
        <v>53</v>
      </c>
      <c r="U36" s="119" t="s">
        <v>53</v>
      </c>
      <c r="V36" s="119" t="s">
        <v>53</v>
      </c>
      <c r="W36" s="119" t="s">
        <v>53</v>
      </c>
      <c r="X36" s="119" t="s">
        <v>53</v>
      </c>
      <c r="Y36" s="119" t="s">
        <v>53</v>
      </c>
      <c r="Z36" s="149" t="s">
        <v>561</v>
      </c>
      <c r="AA36" s="149" t="s">
        <v>561</v>
      </c>
      <c r="AB36" s="119" t="s">
        <v>53</v>
      </c>
      <c r="AC36" s="125" t="s">
        <v>561</v>
      </c>
      <c r="AD36" s="123" t="s">
        <v>801</v>
      </c>
      <c r="AE36" s="128" t="s">
        <v>561</v>
      </c>
      <c r="AF36" s="125" t="s">
        <v>561</v>
      </c>
      <c r="AG36" s="121" t="s">
        <v>53</v>
      </c>
      <c r="AH36" s="128" t="s">
        <v>561</v>
      </c>
      <c r="AI36" s="125" t="s">
        <v>53</v>
      </c>
      <c r="AJ36" s="128" t="s">
        <v>561</v>
      </c>
      <c r="AK36" s="125" t="s">
        <v>799</v>
      </c>
      <c r="AL36" s="121" t="s">
        <v>53</v>
      </c>
      <c r="AM36" s="128" t="s">
        <v>561</v>
      </c>
      <c r="AN36" s="128" t="s">
        <v>53</v>
      </c>
      <c r="AO36" s="128" t="s">
        <v>53</v>
      </c>
      <c r="AP36" s="121" t="s">
        <v>561</v>
      </c>
      <c r="AQ36" s="128" t="s">
        <v>53</v>
      </c>
      <c r="AR36" s="128" t="s">
        <v>561</v>
      </c>
      <c r="AS36" s="177" t="s">
        <v>53</v>
      </c>
      <c r="AT36" s="117" t="s">
        <v>561</v>
      </c>
      <c r="AU36" s="117" t="s">
        <v>561</v>
      </c>
      <c r="AV36" s="117" t="s">
        <v>561</v>
      </c>
      <c r="AW36" s="117" t="s">
        <v>561</v>
      </c>
      <c r="AX36" s="117" t="s">
        <v>561</v>
      </c>
      <c r="AY36" s="117" t="s">
        <v>561</v>
      </c>
      <c r="AZ36" s="117" t="s">
        <v>561</v>
      </c>
      <c r="BA36" s="117" t="s">
        <v>561</v>
      </c>
      <c r="BB36" s="117" t="s">
        <v>53</v>
      </c>
      <c r="BC36" s="117" t="s">
        <v>561</v>
      </c>
      <c r="BD36" s="129" t="s">
        <v>821</v>
      </c>
      <c r="BE36" s="129" t="s">
        <v>821</v>
      </c>
      <c r="BF36" s="130"/>
      <c r="BG36" s="130">
        <f t="shared" si="5"/>
        <v>0</v>
      </c>
      <c r="BH36" s="131"/>
      <c r="BI36" s="131"/>
      <c r="BJ36" s="132"/>
      <c r="BK36" s="132"/>
      <c r="BL36" s="133"/>
      <c r="BM36" s="133" t="s">
        <v>561</v>
      </c>
      <c r="BN36" s="133"/>
      <c r="BO36" s="133"/>
      <c r="BP36" s="133" t="s">
        <v>1867</v>
      </c>
      <c r="BQ36" s="134"/>
      <c r="BR36" s="134"/>
      <c r="BS36" s="134"/>
      <c r="BT36" s="134"/>
      <c r="BU36" s="137">
        <f t="shared" si="6"/>
        <v>0.535</v>
      </c>
      <c r="BV36" s="138">
        <v>0.762</v>
      </c>
      <c r="BW36" s="137">
        <v>0.22699999999999998</v>
      </c>
      <c r="BX36" s="137"/>
      <c r="BY36" s="137">
        <f t="shared" si="7"/>
        <v>0.573</v>
      </c>
      <c r="BZ36" s="138">
        <v>0.77</v>
      </c>
      <c r="CA36" s="137">
        <v>0.19699999999999998</v>
      </c>
      <c r="CB36" s="137"/>
      <c r="CC36" s="137">
        <v>0.139</v>
      </c>
      <c r="CD36" s="137">
        <v>0.364</v>
      </c>
      <c r="CE36" s="138">
        <v>0.386</v>
      </c>
      <c r="CF36" s="137">
        <v>0.11199999999999999</v>
      </c>
      <c r="CG36" s="137">
        <v>0.022000000000000002</v>
      </c>
      <c r="CH36" s="137">
        <v>0.002</v>
      </c>
      <c r="CI36" s="139"/>
      <c r="CJ36" s="137">
        <v>0.189</v>
      </c>
      <c r="CK36" s="137">
        <v>0.24800000000000003</v>
      </c>
      <c r="CL36" s="138">
        <v>0.47200000000000003</v>
      </c>
      <c r="CM36" s="137">
        <v>0.085</v>
      </c>
      <c r="CN36" s="137">
        <v>0.004</v>
      </c>
      <c r="CO36" s="137">
        <v>0.0</v>
      </c>
      <c r="CP36" s="137"/>
      <c r="CQ36" s="137">
        <v>0.308</v>
      </c>
      <c r="CR36" s="138">
        <v>0.547</v>
      </c>
      <c r="CS36" s="137">
        <v>0.086</v>
      </c>
    </row>
    <row r="37">
      <c r="A37" s="112">
        <f t="shared" si="1"/>
        <v>35</v>
      </c>
      <c r="B37" s="112" t="s">
        <v>356</v>
      </c>
      <c r="C37" s="112" t="s">
        <v>357</v>
      </c>
      <c r="D37" s="113" t="s">
        <v>352</v>
      </c>
      <c r="E37" s="154" t="s">
        <v>1937</v>
      </c>
      <c r="F37" s="115">
        <f t="shared" si="2"/>
        <v>0.1428571429</v>
      </c>
      <c r="G37" s="115">
        <f t="shared" si="3"/>
        <v>0.4583333333</v>
      </c>
      <c r="H37" s="116">
        <f t="shared" si="4"/>
        <v>0.3794642857</v>
      </c>
      <c r="I37" s="117" t="s">
        <v>594</v>
      </c>
      <c r="J37" s="117" t="s">
        <v>594</v>
      </c>
      <c r="K37" s="117" t="s">
        <v>487</v>
      </c>
      <c r="L37" s="117" t="s">
        <v>594</v>
      </c>
      <c r="M37" s="117" t="s">
        <v>594</v>
      </c>
      <c r="N37" s="117" t="s">
        <v>594</v>
      </c>
      <c r="O37" s="149" t="s">
        <v>1256</v>
      </c>
      <c r="P37" s="120" t="s">
        <v>53</v>
      </c>
      <c r="Q37" s="121" t="s">
        <v>53</v>
      </c>
      <c r="R37" s="121" t="s">
        <v>561</v>
      </c>
      <c r="S37" s="119" t="s">
        <v>53</v>
      </c>
      <c r="T37" s="119" t="s">
        <v>53</v>
      </c>
      <c r="U37" s="119" t="s">
        <v>53</v>
      </c>
      <c r="V37" s="119" t="s">
        <v>53</v>
      </c>
      <c r="W37" s="119" t="s">
        <v>53</v>
      </c>
      <c r="X37" s="119" t="s">
        <v>53</v>
      </c>
      <c r="Y37" s="149" t="s">
        <v>561</v>
      </c>
      <c r="Z37" s="149" t="s">
        <v>561</v>
      </c>
      <c r="AA37" s="149" t="s">
        <v>561</v>
      </c>
      <c r="AB37" s="119" t="s">
        <v>53</v>
      </c>
      <c r="AC37" s="125" t="s">
        <v>561</v>
      </c>
      <c r="AD37" s="149" t="s">
        <v>561</v>
      </c>
      <c r="AE37" s="128" t="s">
        <v>561</v>
      </c>
      <c r="AF37" s="125" t="s">
        <v>561</v>
      </c>
      <c r="AG37" s="121" t="s">
        <v>53</v>
      </c>
      <c r="AH37" s="128" t="s">
        <v>561</v>
      </c>
      <c r="AI37" s="125" t="s">
        <v>53</v>
      </c>
      <c r="AJ37" s="128" t="s">
        <v>561</v>
      </c>
      <c r="AK37" s="125" t="s">
        <v>799</v>
      </c>
      <c r="AL37" s="128" t="s">
        <v>561</v>
      </c>
      <c r="AM37" s="128" t="s">
        <v>561</v>
      </c>
      <c r="AN37" s="128" t="s">
        <v>53</v>
      </c>
      <c r="AO37" s="128" t="s">
        <v>53</v>
      </c>
      <c r="AP37" s="121" t="s">
        <v>561</v>
      </c>
      <c r="AQ37" s="128" t="s">
        <v>53</v>
      </c>
      <c r="AR37" s="121" t="s">
        <v>53</v>
      </c>
      <c r="AS37" s="117" t="s">
        <v>561</v>
      </c>
      <c r="AT37" s="117" t="s">
        <v>53</v>
      </c>
      <c r="AU37" s="117" t="s">
        <v>561</v>
      </c>
      <c r="AV37" s="117" t="s">
        <v>561</v>
      </c>
      <c r="AW37" s="117" t="s">
        <v>561</v>
      </c>
      <c r="AX37" s="117" t="s">
        <v>561</v>
      </c>
      <c r="AY37" s="117" t="s">
        <v>561</v>
      </c>
      <c r="AZ37" s="117" t="s">
        <v>600</v>
      </c>
      <c r="BA37" s="117" t="s">
        <v>600</v>
      </c>
      <c r="BB37" s="117" t="s">
        <v>600</v>
      </c>
      <c r="BC37" s="117" t="s">
        <v>600</v>
      </c>
      <c r="BD37" s="129" t="s">
        <v>821</v>
      </c>
      <c r="BE37" s="129" t="s">
        <v>821</v>
      </c>
      <c r="BF37" s="130"/>
      <c r="BG37" s="130">
        <f t="shared" si="5"/>
        <v>-471343</v>
      </c>
      <c r="BH37" s="131"/>
      <c r="BI37" s="131"/>
      <c r="BJ37" s="132">
        <f>-5000</f>
        <v>-5000</v>
      </c>
      <c r="BK37" s="132">
        <v>-466343.0</v>
      </c>
      <c r="BL37" s="133"/>
      <c r="BM37" s="133" t="s">
        <v>561</v>
      </c>
      <c r="BN37" s="133"/>
      <c r="BO37" s="133"/>
      <c r="BP37" s="133" t="s">
        <v>903</v>
      </c>
      <c r="BQ37" s="134"/>
      <c r="BR37" s="150" t="s">
        <v>1199</v>
      </c>
      <c r="BS37" s="134"/>
      <c r="BT37" s="134"/>
      <c r="BU37" s="137">
        <f t="shared" si="6"/>
        <v>0.273</v>
      </c>
      <c r="BV37" s="138">
        <v>0.625</v>
      </c>
      <c r="BW37" s="137">
        <v>0.35200000000000004</v>
      </c>
      <c r="BX37" s="137"/>
      <c r="BY37" s="137">
        <f t="shared" si="7"/>
        <v>0.23</v>
      </c>
      <c r="BZ37" s="138">
        <v>0.584</v>
      </c>
      <c r="CA37" s="137">
        <v>0.354</v>
      </c>
      <c r="CB37" s="137"/>
      <c r="CC37" s="138">
        <v>0.486</v>
      </c>
      <c r="CD37" s="137">
        <v>0.226</v>
      </c>
      <c r="CE37" s="137">
        <v>0.075</v>
      </c>
      <c r="CF37" s="137">
        <v>0.19899999999999998</v>
      </c>
      <c r="CG37" s="137">
        <v>0.025</v>
      </c>
      <c r="CH37" s="137">
        <v>0.011000000000000001</v>
      </c>
      <c r="CI37" s="139"/>
      <c r="CJ37" s="138">
        <v>0.554</v>
      </c>
      <c r="CK37" s="137">
        <v>0.19899999999999998</v>
      </c>
      <c r="CL37" s="137">
        <v>0.07</v>
      </c>
      <c r="CM37" s="137">
        <v>0.159</v>
      </c>
      <c r="CN37" s="137">
        <v>0.008</v>
      </c>
      <c r="CO37" s="137">
        <v>0.003</v>
      </c>
      <c r="CP37" s="137"/>
      <c r="CQ37" s="137">
        <v>0.43</v>
      </c>
      <c r="CR37" s="137">
        <v>0.47600000000000003</v>
      </c>
      <c r="CS37" s="137">
        <v>0.29</v>
      </c>
    </row>
    <row r="38">
      <c r="A38" s="112">
        <f t="shared" si="1"/>
        <v>36</v>
      </c>
      <c r="B38" s="112" t="s">
        <v>176</v>
      </c>
      <c r="C38" s="112" t="s">
        <v>178</v>
      </c>
      <c r="D38" s="113" t="s">
        <v>173</v>
      </c>
      <c r="E38" s="154" t="s">
        <v>1968</v>
      </c>
      <c r="F38" s="115">
        <f t="shared" si="2"/>
        <v>0.2857142857</v>
      </c>
      <c r="G38" s="115">
        <f t="shared" si="3"/>
        <v>0.4078947368</v>
      </c>
      <c r="H38" s="116">
        <f t="shared" si="4"/>
        <v>0.3773496241</v>
      </c>
      <c r="I38" s="117" t="s">
        <v>594</v>
      </c>
      <c r="J38" s="117" t="s">
        <v>594</v>
      </c>
      <c r="K38" s="117" t="s">
        <v>487</v>
      </c>
      <c r="L38" s="117" t="s">
        <v>594</v>
      </c>
      <c r="M38" s="117" t="s">
        <v>594</v>
      </c>
      <c r="N38" s="117" t="s">
        <v>594</v>
      </c>
      <c r="O38" s="119" t="s">
        <v>822</v>
      </c>
      <c r="P38" s="120" t="s">
        <v>53</v>
      </c>
      <c r="Q38" s="121" t="s">
        <v>53</v>
      </c>
      <c r="R38" s="121" t="s">
        <v>561</v>
      </c>
      <c r="S38" s="119" t="s">
        <v>53</v>
      </c>
      <c r="T38" s="119" t="s">
        <v>53</v>
      </c>
      <c r="U38" s="119" t="s">
        <v>53</v>
      </c>
      <c r="V38" s="119" t="s">
        <v>53</v>
      </c>
      <c r="W38" s="123" t="s">
        <v>801</v>
      </c>
      <c r="X38" s="119" t="s">
        <v>53</v>
      </c>
      <c r="Y38" s="119" t="s">
        <v>53</v>
      </c>
      <c r="Z38" s="119" t="s">
        <v>53</v>
      </c>
      <c r="AA38" s="149" t="s">
        <v>561</v>
      </c>
      <c r="AB38" s="149" t="s">
        <v>561</v>
      </c>
      <c r="AC38" s="125" t="s">
        <v>561</v>
      </c>
      <c r="AD38" s="149" t="s">
        <v>561</v>
      </c>
      <c r="AE38" s="121" t="s">
        <v>53</v>
      </c>
      <c r="AF38" s="125" t="s">
        <v>561</v>
      </c>
      <c r="AG38" s="121" t="s">
        <v>53</v>
      </c>
      <c r="AH38" s="128" t="s">
        <v>561</v>
      </c>
      <c r="AI38" s="125" t="s">
        <v>53</v>
      </c>
      <c r="AJ38" s="128" t="s">
        <v>561</v>
      </c>
      <c r="AK38" s="125" t="s">
        <v>799</v>
      </c>
      <c r="AL38" s="128" t="s">
        <v>561</v>
      </c>
      <c r="AM38" s="128" t="s">
        <v>561</v>
      </c>
      <c r="AN38" s="128" t="s">
        <v>561</v>
      </c>
      <c r="AO38" s="128" t="s">
        <v>53</v>
      </c>
      <c r="AP38" s="121" t="s">
        <v>561</v>
      </c>
      <c r="AQ38" s="128" t="s">
        <v>53</v>
      </c>
      <c r="AR38" s="128" t="s">
        <v>561</v>
      </c>
      <c r="AS38" s="117" t="s">
        <v>561</v>
      </c>
      <c r="AT38" s="117" t="s">
        <v>53</v>
      </c>
      <c r="AU38" s="117" t="s">
        <v>561</v>
      </c>
      <c r="AV38" s="117" t="s">
        <v>561</v>
      </c>
      <c r="AW38" s="117" t="s">
        <v>561</v>
      </c>
      <c r="AX38" s="117" t="s">
        <v>561</v>
      </c>
      <c r="AY38" s="117" t="s">
        <v>561</v>
      </c>
      <c r="AZ38" s="117" t="s">
        <v>561</v>
      </c>
      <c r="BA38" s="117" t="s">
        <v>561</v>
      </c>
      <c r="BB38" s="117" t="s">
        <v>561</v>
      </c>
      <c r="BC38" s="117" t="s">
        <v>600</v>
      </c>
      <c r="BD38" s="129" t="s">
        <v>821</v>
      </c>
      <c r="BE38" s="129" t="s">
        <v>821</v>
      </c>
      <c r="BF38" s="130"/>
      <c r="BG38" s="130">
        <f t="shared" si="5"/>
        <v>0</v>
      </c>
      <c r="BH38" s="131"/>
      <c r="BI38" s="131"/>
      <c r="BJ38" s="132"/>
      <c r="BK38" s="132"/>
      <c r="BL38" s="133"/>
      <c r="BM38" s="133" t="s">
        <v>561</v>
      </c>
      <c r="BN38" s="133"/>
      <c r="BO38" s="133"/>
      <c r="BP38" s="133" t="s">
        <v>1207</v>
      </c>
      <c r="BQ38" s="134"/>
      <c r="BR38" s="135" t="s">
        <v>850</v>
      </c>
      <c r="BS38" s="135" t="s">
        <v>940</v>
      </c>
      <c r="BT38" s="134"/>
      <c r="BU38" s="137">
        <f t="shared" si="6"/>
        <v>0.474</v>
      </c>
      <c r="BV38" s="138">
        <v>0.727</v>
      </c>
      <c r="BW38" s="137">
        <v>0.253</v>
      </c>
      <c r="BX38" s="137"/>
      <c r="BY38" s="137">
        <f t="shared" si="7"/>
        <v>0.539</v>
      </c>
      <c r="BZ38" s="138">
        <v>0.741</v>
      </c>
      <c r="CA38" s="137">
        <v>0.20199999999999999</v>
      </c>
      <c r="CB38" s="137"/>
      <c r="CC38" s="137">
        <v>0.228</v>
      </c>
      <c r="CD38" s="137">
        <v>0.151</v>
      </c>
      <c r="CE38" s="137">
        <v>0.027000000000000003</v>
      </c>
      <c r="CF38" s="138">
        <v>0.585</v>
      </c>
      <c r="CG38" s="137">
        <v>0.016</v>
      </c>
      <c r="CH38" s="137">
        <v>0.008</v>
      </c>
      <c r="CI38" s="139"/>
      <c r="CJ38" s="137">
        <v>0.32299999999999995</v>
      </c>
      <c r="CK38" s="137">
        <v>0.157</v>
      </c>
      <c r="CL38" s="137">
        <v>0.033</v>
      </c>
      <c r="CM38" s="138">
        <v>0.47000000000000003</v>
      </c>
      <c r="CN38" s="137">
        <v>0.006</v>
      </c>
      <c r="CO38" s="137">
        <v>0.006</v>
      </c>
      <c r="CP38" s="137"/>
      <c r="CQ38" s="138">
        <v>0.598</v>
      </c>
      <c r="CR38" s="138">
        <v>0.565</v>
      </c>
      <c r="CS38" s="137">
        <v>0.141</v>
      </c>
    </row>
    <row r="39">
      <c r="A39" s="112">
        <f t="shared" si="1"/>
        <v>37</v>
      </c>
      <c r="B39" s="112" t="s">
        <v>606</v>
      </c>
      <c r="C39" s="112" t="s">
        <v>607</v>
      </c>
      <c r="D39" s="113" t="s">
        <v>604</v>
      </c>
      <c r="E39" s="50" t="s">
        <v>1622</v>
      </c>
      <c r="F39" s="115">
        <f t="shared" si="2"/>
        <v>0.2857142857</v>
      </c>
      <c r="G39" s="115">
        <f t="shared" si="3"/>
        <v>0.3947368421</v>
      </c>
      <c r="H39" s="116">
        <f t="shared" si="4"/>
        <v>0.367481203</v>
      </c>
      <c r="I39" s="117" t="s">
        <v>594</v>
      </c>
      <c r="J39" s="117" t="s">
        <v>487</v>
      </c>
      <c r="K39" s="117" t="s">
        <v>487</v>
      </c>
      <c r="L39" s="117" t="s">
        <v>594</v>
      </c>
      <c r="M39" s="117" t="s">
        <v>594</v>
      </c>
      <c r="N39" s="117" t="s">
        <v>594</v>
      </c>
      <c r="O39" s="149" t="s">
        <v>1256</v>
      </c>
      <c r="P39" s="120" t="s">
        <v>53</v>
      </c>
      <c r="Q39" s="121" t="s">
        <v>53</v>
      </c>
      <c r="R39" s="121" t="s">
        <v>561</v>
      </c>
      <c r="S39" s="121" t="s">
        <v>801</v>
      </c>
      <c r="T39" s="119" t="s">
        <v>53</v>
      </c>
      <c r="U39" s="119" t="s">
        <v>53</v>
      </c>
      <c r="V39" s="119" t="s">
        <v>53</v>
      </c>
      <c r="W39" s="123" t="s">
        <v>801</v>
      </c>
      <c r="X39" s="119" t="s">
        <v>53</v>
      </c>
      <c r="Y39" s="149" t="s">
        <v>561</v>
      </c>
      <c r="Z39" s="119" t="s">
        <v>53</v>
      </c>
      <c r="AA39" s="149" t="s">
        <v>561</v>
      </c>
      <c r="AB39" s="119" t="s">
        <v>53</v>
      </c>
      <c r="AC39" s="125" t="s">
        <v>561</v>
      </c>
      <c r="AD39" s="149" t="s">
        <v>561</v>
      </c>
      <c r="AE39" s="128" t="s">
        <v>561</v>
      </c>
      <c r="AF39" s="125" t="s">
        <v>561</v>
      </c>
      <c r="AG39" s="121" t="s">
        <v>53</v>
      </c>
      <c r="AH39" s="128" t="s">
        <v>561</v>
      </c>
      <c r="AI39" s="125" t="s">
        <v>53</v>
      </c>
      <c r="AJ39" s="128" t="s">
        <v>561</v>
      </c>
      <c r="AK39" s="125" t="s">
        <v>799</v>
      </c>
      <c r="AL39" s="128" t="s">
        <v>561</v>
      </c>
      <c r="AM39" s="128" t="s">
        <v>561</v>
      </c>
      <c r="AN39" s="128" t="s">
        <v>561</v>
      </c>
      <c r="AO39" s="128" t="s">
        <v>53</v>
      </c>
      <c r="AP39" s="121" t="s">
        <v>561</v>
      </c>
      <c r="AQ39" s="128" t="s">
        <v>53</v>
      </c>
      <c r="AR39" s="128" t="s">
        <v>561</v>
      </c>
      <c r="AS39" s="117" t="s">
        <v>561</v>
      </c>
      <c r="AT39" s="117" t="s">
        <v>53</v>
      </c>
      <c r="AU39" s="117" t="s">
        <v>561</v>
      </c>
      <c r="AV39" s="117" t="s">
        <v>561</v>
      </c>
      <c r="AW39" s="117" t="s">
        <v>561</v>
      </c>
      <c r="AX39" s="117" t="s">
        <v>561</v>
      </c>
      <c r="AY39" s="117" t="s">
        <v>561</v>
      </c>
      <c r="AZ39" s="117" t="s">
        <v>561</v>
      </c>
      <c r="BA39" s="117" t="s">
        <v>799</v>
      </c>
      <c r="BB39" s="117" t="s">
        <v>53</v>
      </c>
      <c r="BC39" s="117" t="s">
        <v>561</v>
      </c>
      <c r="BD39" s="164" t="s">
        <v>1832</v>
      </c>
      <c r="BE39" s="129" t="s">
        <v>821</v>
      </c>
      <c r="BF39" s="130"/>
      <c r="BG39" s="130">
        <f t="shared" si="5"/>
        <v>0</v>
      </c>
      <c r="BH39" s="131"/>
      <c r="BI39" s="131"/>
      <c r="BJ39" s="132"/>
      <c r="BK39" s="132"/>
      <c r="BL39" s="133"/>
      <c r="BM39" s="133" t="s">
        <v>561</v>
      </c>
      <c r="BN39" s="133"/>
      <c r="BO39" s="133"/>
      <c r="BP39" s="133" t="s">
        <v>1711</v>
      </c>
      <c r="BQ39" s="134"/>
      <c r="BR39" s="135" t="s">
        <v>850</v>
      </c>
      <c r="BS39" s="134"/>
      <c r="BT39" s="134"/>
      <c r="BU39" s="137">
        <f t="shared" si="6"/>
        <v>0.728</v>
      </c>
      <c r="BV39" s="138">
        <v>0.856</v>
      </c>
      <c r="BW39" s="137">
        <v>0.128</v>
      </c>
      <c r="BX39" s="137"/>
      <c r="BY39" s="137">
        <f t="shared" si="7"/>
        <v>0.76</v>
      </c>
      <c r="BZ39" s="138">
        <v>0.858</v>
      </c>
      <c r="CA39" s="137">
        <v>0.098</v>
      </c>
      <c r="CB39" s="137"/>
      <c r="CC39" s="137">
        <v>0.327</v>
      </c>
      <c r="CD39" s="137">
        <v>0.138</v>
      </c>
      <c r="CE39" s="138">
        <v>0.43</v>
      </c>
      <c r="CF39" s="137">
        <v>0.102</v>
      </c>
      <c r="CG39" s="137">
        <v>0.015</v>
      </c>
      <c r="CH39" s="137">
        <v>0.001</v>
      </c>
      <c r="CI39" s="139"/>
      <c r="CJ39" s="137">
        <v>0.358</v>
      </c>
      <c r="CK39" s="137">
        <v>0.098</v>
      </c>
      <c r="CL39" s="138">
        <v>0.46799999999999997</v>
      </c>
      <c r="CM39" s="137">
        <v>0.071</v>
      </c>
      <c r="CN39" s="137">
        <v>0.004</v>
      </c>
      <c r="CO39" s="137">
        <v>0.0</v>
      </c>
      <c r="CP39" s="137"/>
      <c r="CQ39" s="137">
        <v>0.45</v>
      </c>
      <c r="CR39" s="138">
        <v>0.7559999999999999</v>
      </c>
      <c r="CS39" s="137">
        <v>0.087</v>
      </c>
    </row>
    <row r="40">
      <c r="A40" s="112">
        <f t="shared" si="1"/>
        <v>38</v>
      </c>
      <c r="B40" s="112" t="s">
        <v>1082</v>
      </c>
      <c r="C40" s="112" t="s">
        <v>1084</v>
      </c>
      <c r="D40" s="113" t="s">
        <v>1079</v>
      </c>
      <c r="E40" s="154" t="s">
        <v>2010</v>
      </c>
      <c r="F40" s="115">
        <f t="shared" si="2"/>
        <v>0.1428571429</v>
      </c>
      <c r="G40" s="115">
        <f t="shared" si="3"/>
        <v>0.4375</v>
      </c>
      <c r="H40" s="116">
        <f t="shared" si="4"/>
        <v>0.3638392857</v>
      </c>
      <c r="I40" s="117" t="s">
        <v>594</v>
      </c>
      <c r="J40" s="117" t="s">
        <v>594</v>
      </c>
      <c r="K40" s="117" t="s">
        <v>487</v>
      </c>
      <c r="L40" s="117" t="s">
        <v>594</v>
      </c>
      <c r="M40" s="117" t="s">
        <v>594</v>
      </c>
      <c r="N40" s="117" t="s">
        <v>594</v>
      </c>
      <c r="O40" s="149" t="s">
        <v>1256</v>
      </c>
      <c r="P40" s="120" t="s">
        <v>53</v>
      </c>
      <c r="Q40" s="121" t="s">
        <v>801</v>
      </c>
      <c r="R40" s="121" t="s">
        <v>561</v>
      </c>
      <c r="S40" s="119" t="s">
        <v>53</v>
      </c>
      <c r="T40" s="119" t="s">
        <v>53</v>
      </c>
      <c r="U40" s="119" t="s">
        <v>53</v>
      </c>
      <c r="V40" s="119" t="s">
        <v>53</v>
      </c>
      <c r="W40" s="119" t="s">
        <v>53</v>
      </c>
      <c r="X40" s="119" t="s">
        <v>53</v>
      </c>
      <c r="Y40" s="149" t="s">
        <v>561</v>
      </c>
      <c r="Z40" s="149" t="s">
        <v>561</v>
      </c>
      <c r="AA40" s="149" t="s">
        <v>561</v>
      </c>
      <c r="AB40" s="119" t="s">
        <v>53</v>
      </c>
      <c r="AC40" s="125" t="s">
        <v>561</v>
      </c>
      <c r="AD40" s="149" t="s">
        <v>561</v>
      </c>
      <c r="AE40" s="128" t="s">
        <v>561</v>
      </c>
      <c r="AF40" s="125" t="s">
        <v>561</v>
      </c>
      <c r="AG40" s="121" t="s">
        <v>53</v>
      </c>
      <c r="AH40" s="128" t="s">
        <v>561</v>
      </c>
      <c r="AI40" s="125" t="s">
        <v>53</v>
      </c>
      <c r="AJ40" s="121" t="s">
        <v>53</v>
      </c>
      <c r="AK40" s="125" t="s">
        <v>801</v>
      </c>
      <c r="AL40" s="128" t="s">
        <v>561</v>
      </c>
      <c r="AM40" s="128" t="s">
        <v>561</v>
      </c>
      <c r="AN40" s="128" t="s">
        <v>561</v>
      </c>
      <c r="AO40" s="128" t="s">
        <v>53</v>
      </c>
      <c r="AP40" s="121" t="s">
        <v>561</v>
      </c>
      <c r="AQ40" s="128" t="s">
        <v>53</v>
      </c>
      <c r="AR40" s="121" t="s">
        <v>53</v>
      </c>
      <c r="AS40" s="117" t="s">
        <v>561</v>
      </c>
      <c r="AT40" s="117" t="s">
        <v>561</v>
      </c>
      <c r="AU40" s="117" t="s">
        <v>561</v>
      </c>
      <c r="AV40" s="117" t="s">
        <v>561</v>
      </c>
      <c r="AW40" s="117" t="s">
        <v>561</v>
      </c>
      <c r="AX40" s="117" t="s">
        <v>600</v>
      </c>
      <c r="AY40" s="117" t="s">
        <v>600</v>
      </c>
      <c r="AZ40" s="117" t="s">
        <v>600</v>
      </c>
      <c r="BA40" s="117" t="s">
        <v>600</v>
      </c>
      <c r="BB40" s="117" t="s">
        <v>600</v>
      </c>
      <c r="BC40" s="117" t="s">
        <v>600</v>
      </c>
      <c r="BD40" s="129" t="s">
        <v>821</v>
      </c>
      <c r="BE40" s="129" t="s">
        <v>821</v>
      </c>
      <c r="BF40" s="130"/>
      <c r="BG40" s="130">
        <f t="shared" si="5"/>
        <v>2891619</v>
      </c>
      <c r="BH40" s="131">
        <v>471294.0</v>
      </c>
      <c r="BI40" s="131">
        <v>2128194.0</v>
      </c>
      <c r="BJ40" s="132">
        <f>2000</f>
        <v>2000</v>
      </c>
      <c r="BK40" s="132">
        <v>290131.0</v>
      </c>
      <c r="BL40" s="133"/>
      <c r="BM40" s="133"/>
      <c r="BN40" s="133" t="s">
        <v>561</v>
      </c>
      <c r="BO40" s="133" t="s">
        <v>561</v>
      </c>
      <c r="BP40" s="133" t="s">
        <v>976</v>
      </c>
      <c r="BQ40" s="134"/>
      <c r="BR40" s="150" t="s">
        <v>1199</v>
      </c>
      <c r="BS40" s="181" t="s">
        <v>2030</v>
      </c>
      <c r="BT40" s="134"/>
      <c r="BU40" s="137">
        <f t="shared" si="6"/>
        <v>0.35</v>
      </c>
      <c r="BV40" s="138">
        <v>0.669</v>
      </c>
      <c r="BW40" s="137">
        <v>0.319</v>
      </c>
      <c r="BX40" s="137"/>
      <c r="BY40" s="137">
        <f t="shared" si="7"/>
        <v>0.34</v>
      </c>
      <c r="BZ40" s="138">
        <v>0.65</v>
      </c>
      <c r="CA40" s="137">
        <v>0.31</v>
      </c>
      <c r="CB40" s="137"/>
      <c r="CC40" s="138">
        <v>0.556</v>
      </c>
      <c r="CD40" s="137">
        <v>0.109</v>
      </c>
      <c r="CE40" s="137">
        <v>0.266</v>
      </c>
      <c r="CF40" s="137">
        <v>0.054000000000000006</v>
      </c>
      <c r="CG40" s="137">
        <v>0.022000000000000002</v>
      </c>
      <c r="CH40" s="137">
        <v>0.001</v>
      </c>
      <c r="CI40" s="139"/>
      <c r="CJ40" s="138">
        <v>0.625</v>
      </c>
      <c r="CK40" s="137">
        <v>0.044000000000000004</v>
      </c>
      <c r="CL40" s="137">
        <v>0.28600000000000003</v>
      </c>
      <c r="CM40" s="137">
        <v>0.034</v>
      </c>
      <c r="CN40" s="137">
        <v>0.009000000000000001</v>
      </c>
      <c r="CO40" s="137">
        <v>0.001</v>
      </c>
      <c r="CP40" s="137"/>
      <c r="CQ40" s="137">
        <v>0.42</v>
      </c>
      <c r="CR40" s="137">
        <v>0.493</v>
      </c>
      <c r="CS40" s="137">
        <v>0.317</v>
      </c>
    </row>
    <row r="41">
      <c r="A41" s="112">
        <f t="shared" si="1"/>
        <v>38</v>
      </c>
      <c r="B41" s="112" t="s">
        <v>619</v>
      </c>
      <c r="C41" s="112" t="s">
        <v>620</v>
      </c>
      <c r="D41" s="113" t="s">
        <v>617</v>
      </c>
      <c r="E41" s="154" t="s">
        <v>2039</v>
      </c>
      <c r="F41" s="115">
        <f t="shared" si="2"/>
        <v>0.1428571429</v>
      </c>
      <c r="G41" s="115">
        <f t="shared" si="3"/>
        <v>0.4375</v>
      </c>
      <c r="H41" s="116">
        <f t="shared" si="4"/>
        <v>0.3638392857</v>
      </c>
      <c r="I41" s="117" t="s">
        <v>594</v>
      </c>
      <c r="J41" s="117" t="s">
        <v>594</v>
      </c>
      <c r="K41" s="117" t="s">
        <v>487</v>
      </c>
      <c r="L41" s="117" t="s">
        <v>594</v>
      </c>
      <c r="M41" s="117" t="s">
        <v>594</v>
      </c>
      <c r="N41" s="117" t="s">
        <v>594</v>
      </c>
      <c r="O41" s="149" t="s">
        <v>1256</v>
      </c>
      <c r="P41" s="120" t="s">
        <v>53</v>
      </c>
      <c r="Q41" s="121" t="s">
        <v>53</v>
      </c>
      <c r="R41" s="121" t="s">
        <v>561</v>
      </c>
      <c r="S41" s="119" t="s">
        <v>53</v>
      </c>
      <c r="T41" s="119" t="s">
        <v>53</v>
      </c>
      <c r="U41" s="119" t="s">
        <v>53</v>
      </c>
      <c r="V41" s="119" t="s">
        <v>53</v>
      </c>
      <c r="W41" s="119" t="s">
        <v>53</v>
      </c>
      <c r="X41" s="119" t="s">
        <v>53</v>
      </c>
      <c r="Y41" s="149" t="s">
        <v>561</v>
      </c>
      <c r="Z41" s="149" t="s">
        <v>561</v>
      </c>
      <c r="AA41" s="149" t="s">
        <v>561</v>
      </c>
      <c r="AB41" s="119" t="s">
        <v>53</v>
      </c>
      <c r="AC41" s="125" t="s">
        <v>561</v>
      </c>
      <c r="AD41" s="119" t="s">
        <v>53</v>
      </c>
      <c r="AE41" s="128" t="s">
        <v>561</v>
      </c>
      <c r="AF41" s="125" t="s">
        <v>561</v>
      </c>
      <c r="AG41" s="121" t="s">
        <v>53</v>
      </c>
      <c r="AH41" s="128" t="s">
        <v>561</v>
      </c>
      <c r="AI41" s="125" t="s">
        <v>53</v>
      </c>
      <c r="AJ41" s="128" t="s">
        <v>561</v>
      </c>
      <c r="AK41" s="125" t="s">
        <v>799</v>
      </c>
      <c r="AL41" s="128" t="s">
        <v>561</v>
      </c>
      <c r="AM41" s="128" t="s">
        <v>561</v>
      </c>
      <c r="AN41" s="128" t="s">
        <v>53</v>
      </c>
      <c r="AO41" s="128" t="s">
        <v>53</v>
      </c>
      <c r="AP41" s="121" t="s">
        <v>561</v>
      </c>
      <c r="AQ41" s="128" t="s">
        <v>53</v>
      </c>
      <c r="AR41" s="121" t="s">
        <v>53</v>
      </c>
      <c r="AS41" s="117" t="s">
        <v>561</v>
      </c>
      <c r="AT41" s="117" t="s">
        <v>561</v>
      </c>
      <c r="AU41" s="117" t="s">
        <v>561</v>
      </c>
      <c r="AV41" s="117" t="s">
        <v>561</v>
      </c>
      <c r="AW41" s="117" t="s">
        <v>561</v>
      </c>
      <c r="AX41" s="117" t="s">
        <v>561</v>
      </c>
      <c r="AY41" s="117" t="s">
        <v>561</v>
      </c>
      <c r="AZ41" s="117" t="s">
        <v>561</v>
      </c>
      <c r="BA41" s="117" t="s">
        <v>561</v>
      </c>
      <c r="BB41" s="117" t="s">
        <v>53</v>
      </c>
      <c r="BC41" s="117" t="s">
        <v>561</v>
      </c>
      <c r="BD41" s="129" t="s">
        <v>821</v>
      </c>
      <c r="BE41" s="129" t="s">
        <v>821</v>
      </c>
      <c r="BF41" s="130"/>
      <c r="BG41" s="130">
        <f t="shared" si="5"/>
        <v>0</v>
      </c>
      <c r="BH41" s="131"/>
      <c r="BI41" s="131"/>
      <c r="BJ41" s="132"/>
      <c r="BK41" s="132"/>
      <c r="BL41" s="133"/>
      <c r="BM41" s="133" t="s">
        <v>561</v>
      </c>
      <c r="BN41" s="133"/>
      <c r="BO41" s="133"/>
      <c r="BP41" s="133" t="s">
        <v>2061</v>
      </c>
      <c r="BQ41" s="134"/>
      <c r="BR41" s="135" t="s">
        <v>850</v>
      </c>
      <c r="BS41" s="134"/>
      <c r="BT41" s="134"/>
      <c r="BU41" s="137">
        <f t="shared" si="6"/>
        <v>0.415</v>
      </c>
      <c r="BV41" s="138">
        <v>0.6990000000000001</v>
      </c>
      <c r="BW41" s="137">
        <v>0.284</v>
      </c>
      <c r="BX41" s="137"/>
      <c r="BY41" s="137">
        <f t="shared" si="7"/>
        <v>0.424</v>
      </c>
      <c r="BZ41" s="138">
        <v>0.682</v>
      </c>
      <c r="CA41" s="137">
        <v>0.258</v>
      </c>
      <c r="CB41" s="137"/>
      <c r="CC41" s="138">
        <v>0.616</v>
      </c>
      <c r="CD41" s="137">
        <v>0.11699999999999999</v>
      </c>
      <c r="CE41" s="137">
        <v>0.09699999999999999</v>
      </c>
      <c r="CF41" s="137">
        <v>0.16</v>
      </c>
      <c r="CG41" s="137">
        <v>0.015</v>
      </c>
      <c r="CH41" s="137">
        <v>0.001</v>
      </c>
      <c r="CI41" s="139"/>
      <c r="CJ41" s="138">
        <v>0.6970000000000001</v>
      </c>
      <c r="CK41" s="137">
        <v>0.09</v>
      </c>
      <c r="CL41" s="137">
        <v>0.08800000000000001</v>
      </c>
      <c r="CM41" s="137">
        <v>0.11800000000000001</v>
      </c>
      <c r="CN41" s="137">
        <v>0.004</v>
      </c>
      <c r="CO41" s="137">
        <v>0.0</v>
      </c>
      <c r="CP41" s="137"/>
      <c r="CQ41" s="138">
        <v>0.5379999999999999</v>
      </c>
      <c r="CR41" s="138">
        <v>0.591</v>
      </c>
      <c r="CS41" s="137">
        <v>0.285</v>
      </c>
    </row>
    <row r="42">
      <c r="A42" s="112">
        <f t="shared" si="1"/>
        <v>40</v>
      </c>
      <c r="B42" s="112" t="s">
        <v>1312</v>
      </c>
      <c r="C42" s="112" t="s">
        <v>1313</v>
      </c>
      <c r="D42" s="113" t="s">
        <v>1309</v>
      </c>
      <c r="E42" s="154" t="s">
        <v>2068</v>
      </c>
      <c r="F42" s="115">
        <f t="shared" si="2"/>
        <v>0.1428571429</v>
      </c>
      <c r="G42" s="115">
        <f t="shared" si="3"/>
        <v>0.4342105263</v>
      </c>
      <c r="H42" s="116">
        <f t="shared" si="4"/>
        <v>0.3613721805</v>
      </c>
      <c r="I42" s="117" t="s">
        <v>594</v>
      </c>
      <c r="J42" s="117" t="s">
        <v>594</v>
      </c>
      <c r="K42" s="117" t="s">
        <v>487</v>
      </c>
      <c r="L42" s="117" t="s">
        <v>594</v>
      </c>
      <c r="M42" s="117" t="s">
        <v>594</v>
      </c>
      <c r="N42" s="117" t="s">
        <v>594</v>
      </c>
      <c r="O42" s="149" t="s">
        <v>1256</v>
      </c>
      <c r="P42" s="120" t="s">
        <v>53</v>
      </c>
      <c r="Q42" s="121" t="s">
        <v>53</v>
      </c>
      <c r="R42" s="121" t="s">
        <v>561</v>
      </c>
      <c r="S42" s="119" t="s">
        <v>53</v>
      </c>
      <c r="T42" s="119" t="s">
        <v>53</v>
      </c>
      <c r="U42" s="119" t="s">
        <v>53</v>
      </c>
      <c r="V42" s="123" t="s">
        <v>801</v>
      </c>
      <c r="W42" s="119" t="s">
        <v>53</v>
      </c>
      <c r="X42" s="119" t="s">
        <v>53</v>
      </c>
      <c r="Y42" s="119" t="s">
        <v>53</v>
      </c>
      <c r="Z42" s="119" t="s">
        <v>53</v>
      </c>
      <c r="AA42" s="149" t="s">
        <v>561</v>
      </c>
      <c r="AB42" s="149" t="s">
        <v>561</v>
      </c>
      <c r="AC42" s="125" t="s">
        <v>561</v>
      </c>
      <c r="AD42" s="123" t="s">
        <v>801</v>
      </c>
      <c r="AE42" s="128" t="s">
        <v>561</v>
      </c>
      <c r="AF42" s="125" t="s">
        <v>561</v>
      </c>
      <c r="AG42" s="121" t="s">
        <v>53</v>
      </c>
      <c r="AH42" s="128" t="s">
        <v>561</v>
      </c>
      <c r="AI42" s="125" t="s">
        <v>53</v>
      </c>
      <c r="AJ42" s="121" t="s">
        <v>53</v>
      </c>
      <c r="AK42" s="125" t="s">
        <v>799</v>
      </c>
      <c r="AL42" s="128" t="s">
        <v>561</v>
      </c>
      <c r="AM42" s="128" t="s">
        <v>561</v>
      </c>
      <c r="AN42" s="128" t="s">
        <v>561</v>
      </c>
      <c r="AO42" s="128" t="s">
        <v>53</v>
      </c>
      <c r="AP42" s="121" t="s">
        <v>561</v>
      </c>
      <c r="AQ42" s="128" t="s">
        <v>53</v>
      </c>
      <c r="AR42" s="128" t="s">
        <v>561</v>
      </c>
      <c r="AS42" s="117" t="s">
        <v>561</v>
      </c>
      <c r="AT42" s="117" t="s">
        <v>53</v>
      </c>
      <c r="AU42" s="117" t="s">
        <v>561</v>
      </c>
      <c r="AV42" s="117" t="s">
        <v>561</v>
      </c>
      <c r="AW42" s="117" t="s">
        <v>561</v>
      </c>
      <c r="AX42" s="117" t="s">
        <v>561</v>
      </c>
      <c r="AY42" s="117" t="s">
        <v>561</v>
      </c>
      <c r="AZ42" s="117" t="s">
        <v>561</v>
      </c>
      <c r="BA42" s="117" t="s">
        <v>561</v>
      </c>
      <c r="BB42" s="117" t="s">
        <v>53</v>
      </c>
      <c r="BC42" s="117" t="s">
        <v>561</v>
      </c>
      <c r="BD42" s="164" t="s">
        <v>1832</v>
      </c>
      <c r="BE42" s="129" t="s">
        <v>821</v>
      </c>
      <c r="BF42" s="130"/>
      <c r="BG42" s="130">
        <f t="shared" si="5"/>
        <v>0</v>
      </c>
      <c r="BH42" s="131"/>
      <c r="BI42" s="131"/>
      <c r="BJ42" s="132"/>
      <c r="BK42" s="132"/>
      <c r="BL42" s="133"/>
      <c r="BM42" s="133" t="s">
        <v>561</v>
      </c>
      <c r="BN42" s="133"/>
      <c r="BO42" s="133"/>
      <c r="BP42" s="133" t="s">
        <v>2084</v>
      </c>
      <c r="BQ42" s="134"/>
      <c r="BR42" s="135" t="s">
        <v>850</v>
      </c>
      <c r="BS42" s="134"/>
      <c r="BT42" s="134"/>
      <c r="BU42" s="137">
        <f t="shared" si="6"/>
        <v>0.528</v>
      </c>
      <c r="BV42" s="138">
        <v>0.755</v>
      </c>
      <c r="BW42" s="137">
        <v>0.22699999999999998</v>
      </c>
      <c r="BX42" s="137"/>
      <c r="BY42" s="137">
        <f t="shared" si="7"/>
        <v>0.451</v>
      </c>
      <c r="BZ42" s="138">
        <v>0.688</v>
      </c>
      <c r="CA42" s="137">
        <v>0.237</v>
      </c>
      <c r="CB42" s="137"/>
      <c r="CC42" s="138">
        <v>0.5529999999999999</v>
      </c>
      <c r="CD42" s="137">
        <v>0.251</v>
      </c>
      <c r="CE42" s="137">
        <v>0.068</v>
      </c>
      <c r="CF42" s="137">
        <v>0.11199999999999999</v>
      </c>
      <c r="CG42" s="137">
        <v>0.026000000000000002</v>
      </c>
      <c r="CH42" s="137">
        <v>0.002</v>
      </c>
      <c r="CI42" s="139"/>
      <c r="CJ42" s="138">
        <v>0.63</v>
      </c>
      <c r="CK42" s="137">
        <v>0.222</v>
      </c>
      <c r="CL42" s="137">
        <v>0.068</v>
      </c>
      <c r="CM42" s="137">
        <v>0.067</v>
      </c>
      <c r="CN42" s="137">
        <v>0.009000000000000001</v>
      </c>
      <c r="CO42" s="137">
        <v>0.0</v>
      </c>
      <c r="CP42" s="137"/>
      <c r="CQ42" s="138">
        <v>0.578</v>
      </c>
      <c r="CR42" s="138">
        <v>0.6679999999999999</v>
      </c>
      <c r="CS42" s="137">
        <v>0.209</v>
      </c>
    </row>
    <row r="43">
      <c r="A43" s="112">
        <f t="shared" si="1"/>
        <v>41</v>
      </c>
      <c r="B43" s="112" t="s">
        <v>232</v>
      </c>
      <c r="C43" s="112" t="s">
        <v>233</v>
      </c>
      <c r="D43" s="113" t="s">
        <v>227</v>
      </c>
      <c r="E43" s="154" t="s">
        <v>2095</v>
      </c>
      <c r="F43" s="115">
        <f t="shared" si="2"/>
        <v>0.1428571429</v>
      </c>
      <c r="G43" s="115">
        <f t="shared" si="3"/>
        <v>0.4305555556</v>
      </c>
      <c r="H43" s="116">
        <f t="shared" si="4"/>
        <v>0.3586309524</v>
      </c>
      <c r="I43" s="117" t="s">
        <v>594</v>
      </c>
      <c r="J43" s="117" t="s">
        <v>594</v>
      </c>
      <c r="K43" s="117" t="s">
        <v>487</v>
      </c>
      <c r="L43" s="117" t="s">
        <v>594</v>
      </c>
      <c r="M43" s="117" t="s">
        <v>594</v>
      </c>
      <c r="N43" s="117" t="s">
        <v>594</v>
      </c>
      <c r="O43" s="149" t="s">
        <v>1256</v>
      </c>
      <c r="P43" s="120" t="s">
        <v>53</v>
      </c>
      <c r="Q43" s="121" t="s">
        <v>53</v>
      </c>
      <c r="R43" s="121" t="s">
        <v>801</v>
      </c>
      <c r="S43" s="119" t="s">
        <v>53</v>
      </c>
      <c r="T43" s="119" t="s">
        <v>53</v>
      </c>
      <c r="U43" s="119" t="s">
        <v>53</v>
      </c>
      <c r="V43" s="119" t="s">
        <v>53</v>
      </c>
      <c r="W43" s="119" t="s">
        <v>53</v>
      </c>
      <c r="X43" s="119" t="s">
        <v>53</v>
      </c>
      <c r="Y43" s="149" t="s">
        <v>561</v>
      </c>
      <c r="Z43" s="149" t="s">
        <v>561</v>
      </c>
      <c r="AA43" s="149" t="s">
        <v>561</v>
      </c>
      <c r="AB43" s="123" t="s">
        <v>801</v>
      </c>
      <c r="AC43" s="125" t="s">
        <v>561</v>
      </c>
      <c r="AD43" s="149" t="s">
        <v>561</v>
      </c>
      <c r="AE43" s="125" t="s">
        <v>801</v>
      </c>
      <c r="AF43" s="125" t="s">
        <v>561</v>
      </c>
      <c r="AG43" s="121" t="s">
        <v>53</v>
      </c>
      <c r="AH43" s="128" t="s">
        <v>561</v>
      </c>
      <c r="AI43" s="125" t="s">
        <v>53</v>
      </c>
      <c r="AJ43" s="128" t="s">
        <v>561</v>
      </c>
      <c r="AK43" s="125" t="s">
        <v>799</v>
      </c>
      <c r="AL43" s="128" t="s">
        <v>561</v>
      </c>
      <c r="AM43" s="128" t="s">
        <v>561</v>
      </c>
      <c r="AN43" s="128" t="s">
        <v>53</v>
      </c>
      <c r="AO43" s="128" t="s">
        <v>53</v>
      </c>
      <c r="AP43" s="121" t="s">
        <v>561</v>
      </c>
      <c r="AQ43" s="128" t="s">
        <v>53</v>
      </c>
      <c r="AR43" s="121" t="s">
        <v>53</v>
      </c>
      <c r="AS43" s="117" t="s">
        <v>561</v>
      </c>
      <c r="AT43" s="117" t="s">
        <v>53</v>
      </c>
      <c r="AU43" s="117" t="s">
        <v>561</v>
      </c>
      <c r="AV43" s="117" t="s">
        <v>561</v>
      </c>
      <c r="AW43" s="117" t="s">
        <v>561</v>
      </c>
      <c r="AX43" s="117" t="s">
        <v>561</v>
      </c>
      <c r="AY43" s="117" t="s">
        <v>561</v>
      </c>
      <c r="AZ43" s="117" t="s">
        <v>561</v>
      </c>
      <c r="BA43" s="117" t="s">
        <v>561</v>
      </c>
      <c r="BB43" s="117" t="s">
        <v>561</v>
      </c>
      <c r="BC43" s="117" t="s">
        <v>600</v>
      </c>
      <c r="BD43" s="129" t="s">
        <v>821</v>
      </c>
      <c r="BE43" s="129" t="s">
        <v>821</v>
      </c>
      <c r="BF43" s="130"/>
      <c r="BG43" s="130">
        <f t="shared" si="5"/>
        <v>108550</v>
      </c>
      <c r="BH43" s="131">
        <v>108550.0</v>
      </c>
      <c r="BI43" s="131"/>
      <c r="BJ43" s="132"/>
      <c r="BK43" s="132"/>
      <c r="BL43" s="133"/>
      <c r="BM43" s="133"/>
      <c r="BN43" s="133" t="s">
        <v>561</v>
      </c>
      <c r="BO43" s="133" t="s">
        <v>561</v>
      </c>
      <c r="BP43" s="133" t="s">
        <v>1311</v>
      </c>
      <c r="BQ43" s="134"/>
      <c r="BR43" s="183"/>
      <c r="BS43" s="181" t="s">
        <v>2030</v>
      </c>
      <c r="BT43" s="134"/>
      <c r="BU43" s="137">
        <f t="shared" si="6"/>
        <v>0.513</v>
      </c>
      <c r="BV43" s="138">
        <v>0.745</v>
      </c>
      <c r="BW43" s="137">
        <v>0.23199999999999998</v>
      </c>
      <c r="BX43" s="137"/>
      <c r="BY43" s="137">
        <f t="shared" si="7"/>
        <v>0.613</v>
      </c>
      <c r="BZ43" s="138">
        <v>0.779</v>
      </c>
      <c r="CA43" s="137">
        <v>0.166</v>
      </c>
      <c r="CB43" s="137"/>
      <c r="CC43" s="137">
        <v>0.23600000000000002</v>
      </c>
      <c r="CD43" s="138">
        <v>0.611</v>
      </c>
      <c r="CE43" s="137">
        <v>0.052000000000000005</v>
      </c>
      <c r="CF43" s="137">
        <v>0.098</v>
      </c>
      <c r="CG43" s="137">
        <v>0.037000000000000005</v>
      </c>
      <c r="CH43" s="137">
        <v>0.003</v>
      </c>
      <c r="CI43" s="139"/>
      <c r="CJ43" s="137">
        <v>0.292</v>
      </c>
      <c r="CK43" s="138">
        <v>0.55</v>
      </c>
      <c r="CL43" s="137">
        <v>0.057</v>
      </c>
      <c r="CM43" s="137">
        <v>0.092</v>
      </c>
      <c r="CN43" s="137">
        <v>0.005</v>
      </c>
      <c r="CO43" s="137">
        <v>0.001</v>
      </c>
      <c r="CP43" s="137"/>
      <c r="CQ43" s="137">
        <v>0.23199999999999998</v>
      </c>
      <c r="CR43" s="137">
        <v>0.41100000000000003</v>
      </c>
      <c r="CS43" s="137">
        <v>0.172</v>
      </c>
    </row>
    <row r="44">
      <c r="A44" s="112">
        <f t="shared" si="1"/>
        <v>42</v>
      </c>
      <c r="B44" s="112" t="s">
        <v>1277</v>
      </c>
      <c r="C44" s="112" t="s">
        <v>313</v>
      </c>
      <c r="D44" s="113" t="s">
        <v>1275</v>
      </c>
      <c r="E44" s="163"/>
      <c r="F44" s="115">
        <f t="shared" si="2"/>
        <v>0.1428571429</v>
      </c>
      <c r="G44" s="115">
        <f t="shared" si="3"/>
        <v>0.4166666667</v>
      </c>
      <c r="H44" s="116">
        <f t="shared" si="4"/>
        <v>0.3482142857</v>
      </c>
      <c r="I44" s="117" t="s">
        <v>594</v>
      </c>
      <c r="J44" s="117" t="s">
        <v>594</v>
      </c>
      <c r="K44" s="117" t="s">
        <v>487</v>
      </c>
      <c r="L44" s="117" t="s">
        <v>594</v>
      </c>
      <c r="M44" s="117" t="s">
        <v>594</v>
      </c>
      <c r="N44" s="117" t="s">
        <v>594</v>
      </c>
      <c r="O44" s="149" t="s">
        <v>1256</v>
      </c>
      <c r="P44" s="120" t="s">
        <v>53</v>
      </c>
      <c r="Q44" s="121" t="s">
        <v>53</v>
      </c>
      <c r="R44" s="121" t="s">
        <v>561</v>
      </c>
      <c r="S44" s="119" t="s">
        <v>53</v>
      </c>
      <c r="T44" s="119" t="s">
        <v>53</v>
      </c>
      <c r="U44" s="119" t="s">
        <v>53</v>
      </c>
      <c r="V44" s="119" t="s">
        <v>53</v>
      </c>
      <c r="W44" s="119" t="s">
        <v>53</v>
      </c>
      <c r="X44" s="119" t="s">
        <v>53</v>
      </c>
      <c r="Y44" s="149" t="s">
        <v>561</v>
      </c>
      <c r="Z44" s="149" t="s">
        <v>561</v>
      </c>
      <c r="AA44" s="149" t="s">
        <v>561</v>
      </c>
      <c r="AB44" s="119" t="s">
        <v>53</v>
      </c>
      <c r="AC44" s="125" t="s">
        <v>561</v>
      </c>
      <c r="AD44" s="149" t="s">
        <v>561</v>
      </c>
      <c r="AE44" s="128" t="s">
        <v>561</v>
      </c>
      <c r="AF44" s="125" t="s">
        <v>561</v>
      </c>
      <c r="AG44" s="121" t="s">
        <v>53</v>
      </c>
      <c r="AH44" s="128" t="s">
        <v>561</v>
      </c>
      <c r="AI44" s="125" t="s">
        <v>53</v>
      </c>
      <c r="AJ44" s="123" t="s">
        <v>801</v>
      </c>
      <c r="AK44" s="125" t="s">
        <v>801</v>
      </c>
      <c r="AL44" s="128" t="s">
        <v>561</v>
      </c>
      <c r="AM44" s="128" t="s">
        <v>561</v>
      </c>
      <c r="AN44" s="128" t="s">
        <v>561</v>
      </c>
      <c r="AO44" s="128" t="s">
        <v>53</v>
      </c>
      <c r="AP44" s="121" t="s">
        <v>561</v>
      </c>
      <c r="AQ44" s="128" t="s">
        <v>53</v>
      </c>
      <c r="AR44" s="121" t="s">
        <v>53</v>
      </c>
      <c r="AS44" s="117" t="s">
        <v>561</v>
      </c>
      <c r="AT44" s="117" t="s">
        <v>53</v>
      </c>
      <c r="AU44" s="117" t="s">
        <v>561</v>
      </c>
      <c r="AV44" s="117" t="s">
        <v>561</v>
      </c>
      <c r="AW44" s="117" t="s">
        <v>561</v>
      </c>
      <c r="AX44" s="117" t="s">
        <v>561</v>
      </c>
      <c r="AY44" s="117" t="s">
        <v>561</v>
      </c>
      <c r="AZ44" s="117" t="s">
        <v>561</v>
      </c>
      <c r="BA44" s="117" t="s">
        <v>561</v>
      </c>
      <c r="BB44" s="117" t="s">
        <v>600</v>
      </c>
      <c r="BC44" s="117" t="s">
        <v>600</v>
      </c>
      <c r="BD44" s="129" t="s">
        <v>821</v>
      </c>
      <c r="BE44" s="164" t="s">
        <v>1832</v>
      </c>
      <c r="BF44" s="130"/>
      <c r="BG44" s="130">
        <f t="shared" si="5"/>
        <v>41510</v>
      </c>
      <c r="BH44" s="131">
        <v>41510.0</v>
      </c>
      <c r="BI44" s="131"/>
      <c r="BJ44" s="132"/>
      <c r="BK44" s="132"/>
      <c r="BL44" s="133"/>
      <c r="BM44" s="133"/>
      <c r="BN44" s="133"/>
      <c r="BO44" s="133" t="s">
        <v>561</v>
      </c>
      <c r="BP44" s="133" t="s">
        <v>845</v>
      </c>
      <c r="BQ44" s="134"/>
      <c r="BR44" s="135" t="s">
        <v>850</v>
      </c>
      <c r="BS44" s="181" t="s">
        <v>122</v>
      </c>
      <c r="BT44" s="134"/>
      <c r="BU44" s="137">
        <f t="shared" si="6"/>
        <v>0.368</v>
      </c>
      <c r="BV44" s="138">
        <v>0.6779999999999999</v>
      </c>
      <c r="BW44" s="137">
        <v>0.31</v>
      </c>
      <c r="BX44" s="137"/>
      <c r="BY44" s="137">
        <f t="shared" si="7"/>
        <v>0.496</v>
      </c>
      <c r="BZ44" s="138">
        <v>0.73</v>
      </c>
      <c r="CA44" s="137">
        <v>0.23399999999999999</v>
      </c>
      <c r="CB44" s="137"/>
      <c r="CC44" s="137">
        <v>0.1</v>
      </c>
      <c r="CD44" s="138">
        <v>0.7240000000000001</v>
      </c>
      <c r="CE44" s="137">
        <v>0.146</v>
      </c>
      <c r="CF44" s="137">
        <v>0.03</v>
      </c>
      <c r="CG44" s="137">
        <v>0.03</v>
      </c>
      <c r="CH44" s="137">
        <v>0.002</v>
      </c>
      <c r="CI44" s="139"/>
      <c r="CJ44" s="137">
        <v>0.14</v>
      </c>
      <c r="CK44" s="138">
        <v>0.6459999999999999</v>
      </c>
      <c r="CL44" s="137">
        <v>0.18</v>
      </c>
      <c r="CM44" s="137">
        <v>0.03</v>
      </c>
      <c r="CN44" s="137">
        <v>0.005</v>
      </c>
      <c r="CO44" s="137">
        <v>0.001</v>
      </c>
      <c r="CP44" s="137"/>
      <c r="CQ44" s="137">
        <v>0.109</v>
      </c>
      <c r="CR44" s="137">
        <v>0.247</v>
      </c>
      <c r="CS44" s="137">
        <v>0.105</v>
      </c>
    </row>
    <row r="45">
      <c r="A45" s="112">
        <f t="shared" si="1"/>
        <v>43</v>
      </c>
      <c r="B45" s="112" t="s">
        <v>127</v>
      </c>
      <c r="C45" s="112" t="s">
        <v>303</v>
      </c>
      <c r="D45" s="113" t="s">
        <v>298</v>
      </c>
      <c r="E45" s="184" t="s">
        <v>2159</v>
      </c>
      <c r="F45" s="115">
        <f t="shared" si="2"/>
        <v>0</v>
      </c>
      <c r="G45" s="115">
        <f t="shared" si="3"/>
        <v>0.4605263158</v>
      </c>
      <c r="H45" s="116">
        <f t="shared" si="4"/>
        <v>0.3453947368</v>
      </c>
      <c r="I45" s="117" t="s">
        <v>594</v>
      </c>
      <c r="J45" s="117" t="s">
        <v>594</v>
      </c>
      <c r="K45" s="117" t="s">
        <v>594</v>
      </c>
      <c r="L45" s="117" t="s">
        <v>594</v>
      </c>
      <c r="M45" s="117" t="s">
        <v>594</v>
      </c>
      <c r="N45" s="117" t="s">
        <v>594</v>
      </c>
      <c r="O45" s="149" t="s">
        <v>1256</v>
      </c>
      <c r="P45" s="120" t="s">
        <v>53</v>
      </c>
      <c r="Q45" s="121" t="s">
        <v>53</v>
      </c>
      <c r="R45" s="121" t="s">
        <v>561</v>
      </c>
      <c r="S45" s="119" t="s">
        <v>53</v>
      </c>
      <c r="T45" s="123" t="s">
        <v>801</v>
      </c>
      <c r="U45" s="119" t="s">
        <v>53</v>
      </c>
      <c r="V45" s="119" t="s">
        <v>53</v>
      </c>
      <c r="W45" s="119" t="s">
        <v>53</v>
      </c>
      <c r="X45" s="119" t="s">
        <v>53</v>
      </c>
      <c r="Y45" s="119" t="s">
        <v>53</v>
      </c>
      <c r="Z45" s="149" t="s">
        <v>561</v>
      </c>
      <c r="AA45" s="149" t="s">
        <v>561</v>
      </c>
      <c r="AB45" s="149" t="s">
        <v>561</v>
      </c>
      <c r="AC45" s="125" t="s">
        <v>561</v>
      </c>
      <c r="AD45" s="149" t="s">
        <v>561</v>
      </c>
      <c r="AE45" s="128" t="s">
        <v>561</v>
      </c>
      <c r="AF45" s="125" t="s">
        <v>561</v>
      </c>
      <c r="AG45" s="121" t="s">
        <v>53</v>
      </c>
      <c r="AH45" s="128" t="s">
        <v>561</v>
      </c>
      <c r="AI45" s="125" t="s">
        <v>53</v>
      </c>
      <c r="AJ45" s="121" t="s">
        <v>53</v>
      </c>
      <c r="AK45" s="125" t="s">
        <v>799</v>
      </c>
      <c r="AL45" s="128" t="s">
        <v>561</v>
      </c>
      <c r="AM45" s="128" t="s">
        <v>561</v>
      </c>
      <c r="AN45" s="128" t="s">
        <v>53</v>
      </c>
      <c r="AO45" s="128" t="s">
        <v>53</v>
      </c>
      <c r="AP45" s="121" t="s">
        <v>53</v>
      </c>
      <c r="AQ45" s="128" t="s">
        <v>53</v>
      </c>
      <c r="AR45" s="121" t="s">
        <v>53</v>
      </c>
      <c r="AS45" s="117" t="s">
        <v>561</v>
      </c>
      <c r="AT45" s="117" t="s">
        <v>561</v>
      </c>
      <c r="AU45" s="117" t="s">
        <v>561</v>
      </c>
      <c r="AV45" s="117" t="s">
        <v>561</v>
      </c>
      <c r="AW45" s="117" t="s">
        <v>561</v>
      </c>
      <c r="AX45" s="117" t="s">
        <v>561</v>
      </c>
      <c r="AY45" s="117" t="s">
        <v>561</v>
      </c>
      <c r="AZ45" s="117" t="s">
        <v>561</v>
      </c>
      <c r="BA45" s="117" t="s">
        <v>561</v>
      </c>
      <c r="BB45" s="117" t="s">
        <v>53</v>
      </c>
      <c r="BC45" s="117" t="s">
        <v>600</v>
      </c>
      <c r="BD45" s="129" t="s">
        <v>821</v>
      </c>
      <c r="BE45" s="129" t="s">
        <v>821</v>
      </c>
      <c r="BF45" s="130"/>
      <c r="BG45" s="130">
        <f t="shared" si="5"/>
        <v>0</v>
      </c>
      <c r="BH45" s="131"/>
      <c r="BI45" s="131"/>
      <c r="BJ45" s="132"/>
      <c r="BK45" s="132"/>
      <c r="BL45" s="133"/>
      <c r="BM45" s="133" t="s">
        <v>561</v>
      </c>
      <c r="BN45" s="133"/>
      <c r="BO45" s="133"/>
      <c r="BP45" s="133" t="s">
        <v>1311</v>
      </c>
      <c r="BQ45" s="134"/>
      <c r="BR45" s="135" t="s">
        <v>850</v>
      </c>
      <c r="BS45" s="134"/>
      <c r="BT45" s="134"/>
      <c r="BU45" s="137">
        <f t="shared" si="6"/>
        <v>0.262</v>
      </c>
      <c r="BV45" s="138">
        <v>0.62</v>
      </c>
      <c r="BW45" s="137">
        <v>0.358</v>
      </c>
      <c r="BX45" s="137"/>
      <c r="BY45" s="137">
        <f t="shared" si="7"/>
        <v>0.287</v>
      </c>
      <c r="BZ45" s="138">
        <v>0.614</v>
      </c>
      <c r="CA45" s="137">
        <v>0.327</v>
      </c>
      <c r="CB45" s="137"/>
      <c r="CC45" s="137">
        <v>0.22399999999999998</v>
      </c>
      <c r="CD45" s="138">
        <v>0.585</v>
      </c>
      <c r="CE45" s="137">
        <v>0.10400000000000001</v>
      </c>
      <c r="CF45" s="137">
        <v>0.079</v>
      </c>
      <c r="CG45" s="137">
        <v>0.039</v>
      </c>
      <c r="CH45" s="137">
        <v>0.006999999999999999</v>
      </c>
      <c r="CI45" s="139"/>
      <c r="CJ45" s="137">
        <v>0.281</v>
      </c>
      <c r="CK45" s="138">
        <v>0.526</v>
      </c>
      <c r="CL45" s="137">
        <v>0.111</v>
      </c>
      <c r="CM45" s="137">
        <v>0.069</v>
      </c>
      <c r="CN45" s="137">
        <v>0.006999999999999999</v>
      </c>
      <c r="CO45" s="137">
        <v>0.003</v>
      </c>
      <c r="CP45" s="137"/>
      <c r="CQ45" s="137">
        <v>0.183</v>
      </c>
      <c r="CR45" s="137">
        <v>0.263</v>
      </c>
      <c r="CS45" s="137">
        <v>0.207</v>
      </c>
    </row>
    <row r="46">
      <c r="A46" s="112">
        <f t="shared" si="1"/>
        <v>43</v>
      </c>
      <c r="B46" s="112" t="s">
        <v>639</v>
      </c>
      <c r="C46" s="112" t="s">
        <v>640</v>
      </c>
      <c r="D46" s="113" t="s">
        <v>637</v>
      </c>
      <c r="E46" s="184" t="s">
        <v>2189</v>
      </c>
      <c r="F46" s="115">
        <f t="shared" si="2"/>
        <v>0</v>
      </c>
      <c r="G46" s="115">
        <f t="shared" si="3"/>
        <v>0.4605263158</v>
      </c>
      <c r="H46" s="116">
        <f t="shared" si="4"/>
        <v>0.3453947368</v>
      </c>
      <c r="I46" s="117" t="s">
        <v>594</v>
      </c>
      <c r="J46" s="117" t="s">
        <v>594</v>
      </c>
      <c r="K46" s="117" t="s">
        <v>594</v>
      </c>
      <c r="L46" s="117" t="s">
        <v>594</v>
      </c>
      <c r="M46" s="117" t="s">
        <v>594</v>
      </c>
      <c r="N46" s="117" t="s">
        <v>594</v>
      </c>
      <c r="O46" s="149" t="s">
        <v>1256</v>
      </c>
      <c r="P46" s="120" t="s">
        <v>53</v>
      </c>
      <c r="Q46" s="121" t="s">
        <v>53</v>
      </c>
      <c r="R46" s="121" t="s">
        <v>561</v>
      </c>
      <c r="S46" s="119" t="s">
        <v>53</v>
      </c>
      <c r="T46" s="119" t="s">
        <v>53</v>
      </c>
      <c r="U46" s="119" t="s">
        <v>53</v>
      </c>
      <c r="V46" s="119" t="s">
        <v>53</v>
      </c>
      <c r="W46" s="119" t="s">
        <v>53</v>
      </c>
      <c r="X46" s="119" t="s">
        <v>53</v>
      </c>
      <c r="Y46" s="149" t="s">
        <v>561</v>
      </c>
      <c r="Z46" s="119" t="s">
        <v>53</v>
      </c>
      <c r="AA46" s="149" t="s">
        <v>561</v>
      </c>
      <c r="AB46" s="119" t="s">
        <v>53</v>
      </c>
      <c r="AC46" s="125" t="s">
        <v>561</v>
      </c>
      <c r="AD46" s="149" t="s">
        <v>561</v>
      </c>
      <c r="AE46" s="128" t="s">
        <v>561</v>
      </c>
      <c r="AF46" s="125" t="s">
        <v>561</v>
      </c>
      <c r="AG46" s="121" t="s">
        <v>53</v>
      </c>
      <c r="AH46" s="128" t="s">
        <v>561</v>
      </c>
      <c r="AI46" s="125" t="s">
        <v>53</v>
      </c>
      <c r="AJ46" s="128" t="s">
        <v>561</v>
      </c>
      <c r="AK46" s="125" t="s">
        <v>799</v>
      </c>
      <c r="AL46" s="128" t="s">
        <v>561</v>
      </c>
      <c r="AM46" s="128" t="s">
        <v>561</v>
      </c>
      <c r="AN46" s="128" t="s">
        <v>561</v>
      </c>
      <c r="AO46" s="128" t="s">
        <v>53</v>
      </c>
      <c r="AP46" s="121" t="s">
        <v>53</v>
      </c>
      <c r="AQ46" s="128" t="s">
        <v>53</v>
      </c>
      <c r="AR46" s="121" t="s">
        <v>53</v>
      </c>
      <c r="AS46" s="117" t="s">
        <v>561</v>
      </c>
      <c r="AT46" s="117" t="s">
        <v>53</v>
      </c>
      <c r="AU46" s="117" t="s">
        <v>561</v>
      </c>
      <c r="AV46" s="117" t="s">
        <v>561</v>
      </c>
      <c r="AW46" s="117" t="s">
        <v>561</v>
      </c>
      <c r="AX46" s="117" t="s">
        <v>561</v>
      </c>
      <c r="AY46" s="117" t="s">
        <v>561</v>
      </c>
      <c r="AZ46" s="117" t="s">
        <v>561</v>
      </c>
      <c r="BA46" s="117" t="s">
        <v>561</v>
      </c>
      <c r="BB46" s="117" t="s">
        <v>600</v>
      </c>
      <c r="BC46" s="117" t="s">
        <v>600</v>
      </c>
      <c r="BD46" s="129" t="s">
        <v>821</v>
      </c>
      <c r="BE46" s="129" t="s">
        <v>821</v>
      </c>
      <c r="BF46" s="130"/>
      <c r="BG46" s="130">
        <f t="shared" si="5"/>
        <v>2000</v>
      </c>
      <c r="BH46" s="131"/>
      <c r="BI46" s="131"/>
      <c r="BJ46" s="132">
        <f>2000</f>
        <v>2000</v>
      </c>
      <c r="BK46" s="132"/>
      <c r="BL46" s="133"/>
      <c r="BM46" s="133"/>
      <c r="BN46" s="133"/>
      <c r="BO46" s="133"/>
      <c r="BP46" s="133" t="s">
        <v>845</v>
      </c>
      <c r="BQ46" s="134"/>
      <c r="BR46" s="134"/>
      <c r="BS46" s="134"/>
      <c r="BT46" s="134"/>
      <c r="BU46" s="137">
        <f t="shared" si="6"/>
        <v>0.114</v>
      </c>
      <c r="BV46" s="138">
        <v>0.547</v>
      </c>
      <c r="BW46" s="137">
        <v>0.433</v>
      </c>
      <c r="BX46" s="137"/>
      <c r="BY46" s="137">
        <f t="shared" si="7"/>
        <v>0.086</v>
      </c>
      <c r="BZ46" s="138">
        <v>0.507</v>
      </c>
      <c r="CA46" s="137">
        <v>0.42100000000000004</v>
      </c>
      <c r="CB46" s="137"/>
      <c r="CC46" s="138">
        <v>0.627</v>
      </c>
      <c r="CD46" s="137">
        <v>0.201</v>
      </c>
      <c r="CE46" s="137">
        <v>0.102</v>
      </c>
      <c r="CF46" s="137">
        <v>0.057</v>
      </c>
      <c r="CG46" s="137">
        <v>0.022000000000000002</v>
      </c>
      <c r="CH46" s="137">
        <v>0.001</v>
      </c>
      <c r="CI46" s="139"/>
      <c r="CJ46" s="138">
        <v>0.6970000000000001</v>
      </c>
      <c r="CK46" s="137">
        <v>0.149</v>
      </c>
      <c r="CL46" s="137">
        <v>0.105</v>
      </c>
      <c r="CM46" s="137">
        <v>0.043</v>
      </c>
      <c r="CN46" s="137">
        <v>0.004</v>
      </c>
      <c r="CO46" s="137">
        <v>0.001</v>
      </c>
      <c r="CP46" s="137"/>
      <c r="CQ46" s="137">
        <v>0.315</v>
      </c>
      <c r="CR46" s="137">
        <v>0.348</v>
      </c>
      <c r="CS46" s="137">
        <v>0.455</v>
      </c>
    </row>
    <row r="47">
      <c r="A47" s="112">
        <f t="shared" si="1"/>
        <v>45</v>
      </c>
      <c r="B47" s="112" t="s">
        <v>328</v>
      </c>
      <c r="C47" s="112" t="s">
        <v>329</v>
      </c>
      <c r="D47" s="113" t="s">
        <v>325</v>
      </c>
      <c r="E47" s="163"/>
      <c r="F47" s="115">
        <f t="shared" si="2"/>
        <v>0.1428571429</v>
      </c>
      <c r="G47" s="115">
        <f t="shared" si="3"/>
        <v>0.4078947368</v>
      </c>
      <c r="H47" s="116">
        <f t="shared" si="4"/>
        <v>0.3416353383</v>
      </c>
      <c r="I47" s="117" t="s">
        <v>594</v>
      </c>
      <c r="J47" s="117" t="s">
        <v>594</v>
      </c>
      <c r="K47" s="117" t="s">
        <v>487</v>
      </c>
      <c r="L47" s="117" t="s">
        <v>594</v>
      </c>
      <c r="M47" s="117" t="s">
        <v>594</v>
      </c>
      <c r="N47" s="117" t="s">
        <v>594</v>
      </c>
      <c r="O47" s="149" t="s">
        <v>1256</v>
      </c>
      <c r="P47" s="120" t="s">
        <v>53</v>
      </c>
      <c r="Q47" s="121" t="s">
        <v>53</v>
      </c>
      <c r="R47" s="121" t="s">
        <v>561</v>
      </c>
      <c r="S47" s="119" t="s">
        <v>53</v>
      </c>
      <c r="T47" s="119" t="s">
        <v>53</v>
      </c>
      <c r="U47" s="119" t="s">
        <v>53</v>
      </c>
      <c r="V47" s="119" t="s">
        <v>53</v>
      </c>
      <c r="W47" s="119" t="s">
        <v>53</v>
      </c>
      <c r="X47" s="149" t="s">
        <v>561</v>
      </c>
      <c r="Y47" s="149" t="s">
        <v>561</v>
      </c>
      <c r="Z47" s="119" t="s">
        <v>53</v>
      </c>
      <c r="AA47" s="149" t="s">
        <v>561</v>
      </c>
      <c r="AB47" s="149" t="s">
        <v>561</v>
      </c>
      <c r="AC47" s="125" t="s">
        <v>561</v>
      </c>
      <c r="AD47" s="123" t="s">
        <v>801</v>
      </c>
      <c r="AE47" s="128" t="s">
        <v>561</v>
      </c>
      <c r="AF47" s="125" t="s">
        <v>561</v>
      </c>
      <c r="AG47" s="121" t="s">
        <v>53</v>
      </c>
      <c r="AH47" s="128" t="s">
        <v>561</v>
      </c>
      <c r="AI47" s="125" t="s">
        <v>53</v>
      </c>
      <c r="AJ47" s="121" t="s">
        <v>53</v>
      </c>
      <c r="AK47" s="125" t="s">
        <v>799</v>
      </c>
      <c r="AL47" s="128" t="s">
        <v>561</v>
      </c>
      <c r="AM47" s="128" t="s">
        <v>561</v>
      </c>
      <c r="AN47" s="128" t="s">
        <v>53</v>
      </c>
      <c r="AO47" s="128" t="s">
        <v>53</v>
      </c>
      <c r="AP47" s="121" t="s">
        <v>561</v>
      </c>
      <c r="AQ47" s="128" t="s">
        <v>53</v>
      </c>
      <c r="AR47" s="128" t="s">
        <v>561</v>
      </c>
      <c r="AS47" s="117" t="s">
        <v>561</v>
      </c>
      <c r="AT47" s="117" t="s">
        <v>53</v>
      </c>
      <c r="AU47" s="117" t="s">
        <v>561</v>
      </c>
      <c r="AV47" s="117" t="s">
        <v>561</v>
      </c>
      <c r="AW47" s="117" t="s">
        <v>561</v>
      </c>
      <c r="AX47" s="117" t="s">
        <v>561</v>
      </c>
      <c r="AY47" s="117" t="s">
        <v>561</v>
      </c>
      <c r="AZ47" s="117" t="s">
        <v>561</v>
      </c>
      <c r="BA47" s="117" t="s">
        <v>561</v>
      </c>
      <c r="BB47" s="117" t="s">
        <v>561</v>
      </c>
      <c r="BC47" s="117" t="s">
        <v>600</v>
      </c>
      <c r="BD47" s="129" t="s">
        <v>821</v>
      </c>
      <c r="BE47" s="129" t="s">
        <v>821</v>
      </c>
      <c r="BF47" s="130"/>
      <c r="BG47" s="130">
        <f t="shared" si="5"/>
        <v>44441</v>
      </c>
      <c r="BH47" s="131">
        <v>44441.0</v>
      </c>
      <c r="BI47" s="131"/>
      <c r="BJ47" s="132"/>
      <c r="BK47" s="132"/>
      <c r="BL47" s="133"/>
      <c r="BM47" s="133"/>
      <c r="BN47" s="133"/>
      <c r="BO47" s="133" t="s">
        <v>561</v>
      </c>
      <c r="BP47" s="133" t="s">
        <v>1207</v>
      </c>
      <c r="BQ47" s="134"/>
      <c r="BR47" s="135" t="s">
        <v>850</v>
      </c>
      <c r="BS47" s="181" t="s">
        <v>122</v>
      </c>
      <c r="BT47" s="134"/>
      <c r="BU47" s="137">
        <f t="shared" si="6"/>
        <v>0.482</v>
      </c>
      <c r="BV47" s="138">
        <v>0.7290000000000001</v>
      </c>
      <c r="BW47" s="137">
        <v>0.247</v>
      </c>
      <c r="BX47" s="137"/>
      <c r="BY47" s="137">
        <f t="shared" si="7"/>
        <v>0.565</v>
      </c>
      <c r="BZ47" s="138">
        <v>0.7559999999999999</v>
      </c>
      <c r="CA47" s="137">
        <v>0.191</v>
      </c>
      <c r="CB47" s="137"/>
      <c r="CC47" s="137">
        <v>0.14400000000000002</v>
      </c>
      <c r="CD47" s="138">
        <v>0.579</v>
      </c>
      <c r="CE47" s="137">
        <v>0.128</v>
      </c>
      <c r="CF47" s="137">
        <v>0.142</v>
      </c>
      <c r="CG47" s="137">
        <v>0.039</v>
      </c>
      <c r="CH47" s="137">
        <v>0.013999999999999999</v>
      </c>
      <c r="CI47" s="139"/>
      <c r="CJ47" s="137">
        <v>0.18600000000000003</v>
      </c>
      <c r="CK47" s="138">
        <v>0.521</v>
      </c>
      <c r="CL47" s="137">
        <v>0.14800000000000002</v>
      </c>
      <c r="CM47" s="137">
        <v>0.126</v>
      </c>
      <c r="CN47" s="137">
        <v>0.006999999999999999</v>
      </c>
      <c r="CO47" s="137">
        <v>0.008</v>
      </c>
      <c r="CP47" s="137"/>
      <c r="CQ47" s="137">
        <v>0.209</v>
      </c>
      <c r="CR47" s="137">
        <v>0.341</v>
      </c>
      <c r="CS47" s="137">
        <v>0.122</v>
      </c>
    </row>
    <row r="48">
      <c r="A48" s="112">
        <f t="shared" si="1"/>
        <v>45</v>
      </c>
      <c r="B48" s="112" t="s">
        <v>503</v>
      </c>
      <c r="C48" s="112" t="s">
        <v>800</v>
      </c>
      <c r="D48" s="113" t="s">
        <v>797</v>
      </c>
      <c r="E48" s="154" t="s">
        <v>2241</v>
      </c>
      <c r="F48" s="115">
        <f t="shared" si="2"/>
        <v>0.1428571429</v>
      </c>
      <c r="G48" s="115">
        <f t="shared" si="3"/>
        <v>0.4078947368</v>
      </c>
      <c r="H48" s="116">
        <f t="shared" si="4"/>
        <v>0.3416353383</v>
      </c>
      <c r="I48" s="117" t="s">
        <v>594</v>
      </c>
      <c r="J48" s="117" t="s">
        <v>594</v>
      </c>
      <c r="K48" s="117" t="s">
        <v>487</v>
      </c>
      <c r="L48" s="117" t="s">
        <v>594</v>
      </c>
      <c r="M48" s="117" t="s">
        <v>594</v>
      </c>
      <c r="N48" s="117" t="s">
        <v>594</v>
      </c>
      <c r="O48" s="149" t="s">
        <v>1256</v>
      </c>
      <c r="P48" s="120" t="s">
        <v>53</v>
      </c>
      <c r="Q48" s="121" t="s">
        <v>53</v>
      </c>
      <c r="R48" s="121" t="s">
        <v>561</v>
      </c>
      <c r="S48" s="149" t="s">
        <v>561</v>
      </c>
      <c r="T48" s="119" t="s">
        <v>53</v>
      </c>
      <c r="U48" s="119" t="s">
        <v>53</v>
      </c>
      <c r="V48" s="119" t="s">
        <v>53</v>
      </c>
      <c r="W48" s="119" t="s">
        <v>53</v>
      </c>
      <c r="X48" s="149" t="s">
        <v>561</v>
      </c>
      <c r="Y48" s="123" t="s">
        <v>801</v>
      </c>
      <c r="Z48" s="119" t="s">
        <v>53</v>
      </c>
      <c r="AA48" s="149" t="s">
        <v>561</v>
      </c>
      <c r="AB48" s="119" t="s">
        <v>53</v>
      </c>
      <c r="AC48" s="125" t="s">
        <v>561</v>
      </c>
      <c r="AD48" s="149" t="s">
        <v>561</v>
      </c>
      <c r="AE48" s="128" t="s">
        <v>561</v>
      </c>
      <c r="AF48" s="125" t="s">
        <v>561</v>
      </c>
      <c r="AG48" s="121" t="s">
        <v>53</v>
      </c>
      <c r="AH48" s="128" t="s">
        <v>561</v>
      </c>
      <c r="AI48" s="125" t="s">
        <v>53</v>
      </c>
      <c r="AJ48" s="128" t="s">
        <v>561</v>
      </c>
      <c r="AK48" s="125" t="s">
        <v>799</v>
      </c>
      <c r="AL48" s="128" t="s">
        <v>561</v>
      </c>
      <c r="AM48" s="128" t="s">
        <v>561</v>
      </c>
      <c r="AN48" s="128" t="s">
        <v>561</v>
      </c>
      <c r="AO48" s="128" t="s">
        <v>53</v>
      </c>
      <c r="AP48" s="121" t="s">
        <v>561</v>
      </c>
      <c r="AQ48" s="128" t="s">
        <v>53</v>
      </c>
      <c r="AR48" s="128" t="s">
        <v>561</v>
      </c>
      <c r="AS48" s="117" t="s">
        <v>561</v>
      </c>
      <c r="AT48" s="117" t="s">
        <v>53</v>
      </c>
      <c r="AU48" s="117" t="s">
        <v>561</v>
      </c>
      <c r="AV48" s="117" t="s">
        <v>561</v>
      </c>
      <c r="AW48" s="117" t="s">
        <v>561</v>
      </c>
      <c r="AX48" s="117" t="s">
        <v>561</v>
      </c>
      <c r="AY48" s="117" t="s">
        <v>561</v>
      </c>
      <c r="AZ48" s="117" t="s">
        <v>561</v>
      </c>
      <c r="BA48" s="117" t="s">
        <v>53</v>
      </c>
      <c r="BB48" s="117" t="s">
        <v>53</v>
      </c>
      <c r="BC48" s="117" t="s">
        <v>600</v>
      </c>
      <c r="BD48" s="129" t="s">
        <v>821</v>
      </c>
      <c r="BE48" s="129" t="s">
        <v>821</v>
      </c>
      <c r="BF48" s="130"/>
      <c r="BG48" s="130">
        <f t="shared" si="5"/>
        <v>0</v>
      </c>
      <c r="BH48" s="131"/>
      <c r="BI48" s="131"/>
      <c r="BJ48" s="132"/>
      <c r="BK48" s="132"/>
      <c r="BL48" s="133"/>
      <c r="BM48" s="133" t="s">
        <v>561</v>
      </c>
      <c r="BN48" s="133"/>
      <c r="BO48" s="133"/>
      <c r="BP48" s="133" t="s">
        <v>1432</v>
      </c>
      <c r="BQ48" s="134"/>
      <c r="BR48" s="135" t="s">
        <v>850</v>
      </c>
      <c r="BS48" s="134"/>
      <c r="BT48" s="134"/>
      <c r="BU48" s="137">
        <f t="shared" si="6"/>
        <v>0.267</v>
      </c>
      <c r="BV48" s="138">
        <v>0.627</v>
      </c>
      <c r="BW48" s="137">
        <v>0.36</v>
      </c>
      <c r="BX48" s="137"/>
      <c r="BY48" s="137">
        <f t="shared" si="7"/>
        <v>0.208</v>
      </c>
      <c r="BZ48" s="138">
        <v>0.58</v>
      </c>
      <c r="CA48" s="137">
        <v>0.37200000000000005</v>
      </c>
      <c r="CB48" s="137"/>
      <c r="CC48" s="138">
        <v>0.715</v>
      </c>
      <c r="CD48" s="137">
        <v>0.043</v>
      </c>
      <c r="CE48" s="137">
        <v>0.10800000000000001</v>
      </c>
      <c r="CF48" s="137">
        <v>0.111</v>
      </c>
      <c r="CG48" s="137">
        <v>0.018000000000000002</v>
      </c>
      <c r="CH48" s="137">
        <v>0.001</v>
      </c>
      <c r="CI48" s="139"/>
      <c r="CJ48" s="138">
        <v>0.785</v>
      </c>
      <c r="CK48" s="137">
        <v>0.033</v>
      </c>
      <c r="CL48" s="137">
        <v>0.105</v>
      </c>
      <c r="CM48" s="137">
        <v>0.068</v>
      </c>
      <c r="CN48" s="137">
        <v>0.008</v>
      </c>
      <c r="CO48" s="137">
        <v>0.0</v>
      </c>
      <c r="CP48" s="137"/>
      <c r="CQ48" s="138">
        <v>0.498</v>
      </c>
      <c r="CR48" s="137">
        <v>0.49</v>
      </c>
      <c r="CS48" s="137">
        <v>0.4</v>
      </c>
    </row>
    <row r="49">
      <c r="A49" s="112">
        <f t="shared" si="1"/>
        <v>47</v>
      </c>
      <c r="B49" s="112" t="s">
        <v>1054</v>
      </c>
      <c r="C49" s="112" t="s">
        <v>1055</v>
      </c>
      <c r="D49" s="113" t="s">
        <v>1052</v>
      </c>
      <c r="E49" s="154" t="s">
        <v>2269</v>
      </c>
      <c r="F49" s="115">
        <f t="shared" si="2"/>
        <v>0.4285714286</v>
      </c>
      <c r="G49" s="115">
        <f t="shared" si="3"/>
        <v>0.3125</v>
      </c>
      <c r="H49" s="116">
        <f t="shared" si="4"/>
        <v>0.3415178571</v>
      </c>
      <c r="I49" s="117" t="s">
        <v>594</v>
      </c>
      <c r="J49" s="117" t="s">
        <v>487</v>
      </c>
      <c r="K49" s="117" t="s">
        <v>487</v>
      </c>
      <c r="L49" s="117" t="s">
        <v>487</v>
      </c>
      <c r="M49" s="117" t="s">
        <v>594</v>
      </c>
      <c r="N49" s="117" t="s">
        <v>594</v>
      </c>
      <c r="O49" s="149" t="s">
        <v>1256</v>
      </c>
      <c r="P49" s="185" t="s">
        <v>561</v>
      </c>
      <c r="Q49" s="121" t="s">
        <v>53</v>
      </c>
      <c r="R49" s="121" t="s">
        <v>561</v>
      </c>
      <c r="S49" s="119" t="s">
        <v>53</v>
      </c>
      <c r="T49" s="119" t="s">
        <v>53</v>
      </c>
      <c r="U49" s="119" t="s">
        <v>53</v>
      </c>
      <c r="V49" s="119" t="s">
        <v>53</v>
      </c>
      <c r="W49" s="119" t="s">
        <v>53</v>
      </c>
      <c r="X49" s="149" t="s">
        <v>561</v>
      </c>
      <c r="Y49" s="149" t="s">
        <v>561</v>
      </c>
      <c r="Z49" s="149" t="s">
        <v>561</v>
      </c>
      <c r="AA49" s="149" t="s">
        <v>561</v>
      </c>
      <c r="AB49" s="149" t="s">
        <v>561</v>
      </c>
      <c r="AC49" s="125" t="s">
        <v>561</v>
      </c>
      <c r="AD49" s="149" t="s">
        <v>561</v>
      </c>
      <c r="AE49" s="128" t="s">
        <v>561</v>
      </c>
      <c r="AF49" s="125" t="s">
        <v>561</v>
      </c>
      <c r="AG49" s="121" t="s">
        <v>53</v>
      </c>
      <c r="AH49" s="128" t="s">
        <v>561</v>
      </c>
      <c r="AI49" s="125" t="s">
        <v>53</v>
      </c>
      <c r="AJ49" s="128" t="s">
        <v>561</v>
      </c>
      <c r="AK49" s="125" t="s">
        <v>799</v>
      </c>
      <c r="AL49" s="128" t="s">
        <v>561</v>
      </c>
      <c r="AM49" s="128" t="s">
        <v>561</v>
      </c>
      <c r="AN49" s="128" t="s">
        <v>561</v>
      </c>
      <c r="AO49" s="128" t="s">
        <v>53</v>
      </c>
      <c r="AP49" s="128" t="s">
        <v>561</v>
      </c>
      <c r="AQ49" s="128" t="s">
        <v>53</v>
      </c>
      <c r="AR49" s="128" t="s">
        <v>561</v>
      </c>
      <c r="AS49" s="117" t="s">
        <v>561</v>
      </c>
      <c r="AT49" s="117" t="s">
        <v>53</v>
      </c>
      <c r="AU49" s="117" t="s">
        <v>561</v>
      </c>
      <c r="AV49" s="117" t="s">
        <v>561</v>
      </c>
      <c r="AW49" s="117" t="s">
        <v>561</v>
      </c>
      <c r="AX49" s="117" t="s">
        <v>561</v>
      </c>
      <c r="AY49" s="117" t="s">
        <v>561</v>
      </c>
      <c r="AZ49" s="117" t="s">
        <v>561</v>
      </c>
      <c r="BA49" s="117" t="s">
        <v>561</v>
      </c>
      <c r="BB49" s="117" t="s">
        <v>53</v>
      </c>
      <c r="BC49" s="117" t="s">
        <v>561</v>
      </c>
      <c r="BD49" s="129" t="s">
        <v>821</v>
      </c>
      <c r="BE49" s="129" t="s">
        <v>821</v>
      </c>
      <c r="BF49" s="130"/>
      <c r="BG49" s="130">
        <f t="shared" si="5"/>
        <v>0</v>
      </c>
      <c r="BH49" s="131"/>
      <c r="BI49" s="131"/>
      <c r="BJ49" s="132"/>
      <c r="BK49" s="132"/>
      <c r="BL49" s="133"/>
      <c r="BM49" s="133" t="s">
        <v>561</v>
      </c>
      <c r="BN49" s="133"/>
      <c r="BO49" s="133"/>
      <c r="BP49" s="133" t="s">
        <v>1678</v>
      </c>
      <c r="BQ49" s="134"/>
      <c r="BR49" s="135" t="s">
        <v>850</v>
      </c>
      <c r="BS49" s="134"/>
      <c r="BT49" s="134"/>
      <c r="BU49" s="137">
        <f t="shared" si="6"/>
        <v>0.192</v>
      </c>
      <c r="BV49" s="138">
        <v>0.586</v>
      </c>
      <c r="BW49" s="137">
        <v>0.39399999999999996</v>
      </c>
      <c r="BX49" s="137"/>
      <c r="BY49" s="137">
        <f t="shared" si="7"/>
        <v>0.118</v>
      </c>
      <c r="BZ49" s="138">
        <v>0.524</v>
      </c>
      <c r="CA49" s="137">
        <v>0.406</v>
      </c>
      <c r="CB49" s="137"/>
      <c r="CC49" s="138">
        <v>0.755</v>
      </c>
      <c r="CD49" s="137">
        <v>0.054000000000000006</v>
      </c>
      <c r="CE49" s="137">
        <v>0.10400000000000001</v>
      </c>
      <c r="CF49" s="137">
        <v>0.063</v>
      </c>
      <c r="CG49" s="137">
        <v>0.019</v>
      </c>
      <c r="CH49" s="137">
        <v>0.002</v>
      </c>
      <c r="CI49" s="139"/>
      <c r="CJ49" s="138">
        <v>0.826</v>
      </c>
      <c r="CK49" s="137">
        <v>0.044000000000000004</v>
      </c>
      <c r="CL49" s="137">
        <v>0.08800000000000001</v>
      </c>
      <c r="CM49" s="137">
        <v>0.033</v>
      </c>
      <c r="CN49" s="137">
        <v>0.006</v>
      </c>
      <c r="CO49" s="137">
        <v>0.0</v>
      </c>
      <c r="CP49" s="137"/>
      <c r="CQ49" s="137">
        <v>0.397</v>
      </c>
      <c r="CR49" s="137">
        <v>0.414</v>
      </c>
      <c r="CS49" s="137">
        <v>0.484</v>
      </c>
    </row>
    <row r="50">
      <c r="A50" s="112">
        <f t="shared" si="1"/>
        <v>48</v>
      </c>
      <c r="B50" s="112" t="s">
        <v>2300</v>
      </c>
      <c r="C50" s="112" t="s">
        <v>2301</v>
      </c>
      <c r="D50" s="117" t="s">
        <v>2302</v>
      </c>
      <c r="E50" s="186"/>
      <c r="F50" s="115">
        <f t="shared" si="2"/>
        <v>0</v>
      </c>
      <c r="G50" s="115">
        <f t="shared" si="3"/>
        <v>0.453125</v>
      </c>
      <c r="H50" s="116">
        <f t="shared" si="4"/>
        <v>0.33984375</v>
      </c>
      <c r="I50" s="117" t="s">
        <v>594</v>
      </c>
      <c r="J50" s="117" t="s">
        <v>594</v>
      </c>
      <c r="K50" s="117" t="s">
        <v>594</v>
      </c>
      <c r="L50" s="117" t="s">
        <v>594</v>
      </c>
      <c r="M50" s="117" t="s">
        <v>594</v>
      </c>
      <c r="N50" s="117" t="s">
        <v>594</v>
      </c>
      <c r="O50" s="149" t="s">
        <v>1256</v>
      </c>
      <c r="P50" s="120" t="s">
        <v>53</v>
      </c>
      <c r="Q50" s="121" t="s">
        <v>53</v>
      </c>
      <c r="R50" s="121" t="s">
        <v>561</v>
      </c>
      <c r="S50" s="121" t="s">
        <v>801</v>
      </c>
      <c r="T50" s="119" t="s">
        <v>53</v>
      </c>
      <c r="U50" s="119" t="s">
        <v>53</v>
      </c>
      <c r="V50" s="119" t="s">
        <v>53</v>
      </c>
      <c r="W50" s="119" t="s">
        <v>53</v>
      </c>
      <c r="X50" s="149" t="s">
        <v>561</v>
      </c>
      <c r="Y50" s="149" t="s">
        <v>561</v>
      </c>
      <c r="Z50" s="119" t="s">
        <v>53</v>
      </c>
      <c r="AA50" s="149" t="s">
        <v>561</v>
      </c>
      <c r="AB50" s="119" t="s">
        <v>53</v>
      </c>
      <c r="AC50" s="125" t="s">
        <v>561</v>
      </c>
      <c r="AD50" s="123" t="s">
        <v>801</v>
      </c>
      <c r="AE50" s="128" t="s">
        <v>561</v>
      </c>
      <c r="AF50" s="125" t="s">
        <v>561</v>
      </c>
      <c r="AG50" s="121" t="s">
        <v>53</v>
      </c>
      <c r="AH50" s="128" t="s">
        <v>561</v>
      </c>
      <c r="AI50" s="125" t="s">
        <v>53</v>
      </c>
      <c r="AJ50" s="128" t="s">
        <v>561</v>
      </c>
      <c r="AK50" s="125" t="s">
        <v>799</v>
      </c>
      <c r="AL50" s="128" t="s">
        <v>561</v>
      </c>
      <c r="AM50" s="128" t="s">
        <v>561</v>
      </c>
      <c r="AN50" s="128" t="s">
        <v>53</v>
      </c>
      <c r="AO50" s="128" t="s">
        <v>53</v>
      </c>
      <c r="AP50" s="121" t="s">
        <v>561</v>
      </c>
      <c r="AQ50" s="128" t="s">
        <v>53</v>
      </c>
      <c r="AR50" s="121" t="s">
        <v>53</v>
      </c>
      <c r="AS50" s="117" t="s">
        <v>561</v>
      </c>
      <c r="AT50" s="117" t="s">
        <v>561</v>
      </c>
      <c r="AU50" s="117" t="s">
        <v>561</v>
      </c>
      <c r="AV50" s="117" t="s">
        <v>561</v>
      </c>
      <c r="AW50" s="117" t="s">
        <v>561</v>
      </c>
      <c r="AX50" s="117" t="s">
        <v>600</v>
      </c>
      <c r="AY50" s="117" t="s">
        <v>600</v>
      </c>
      <c r="AZ50" s="117" t="s">
        <v>600</v>
      </c>
      <c r="BA50" s="117" t="s">
        <v>600</v>
      </c>
      <c r="BB50" s="117" t="s">
        <v>600</v>
      </c>
      <c r="BC50" s="117" t="s">
        <v>600</v>
      </c>
      <c r="BD50" s="129" t="s">
        <v>821</v>
      </c>
      <c r="BE50" s="129" t="s">
        <v>821</v>
      </c>
      <c r="BF50" s="130"/>
      <c r="BG50" s="130">
        <f t="shared" si="5"/>
        <v>238783</v>
      </c>
      <c r="BH50" s="131">
        <v>5500.0</v>
      </c>
      <c r="BI50" s="131"/>
      <c r="BJ50" s="132">
        <f>2000</f>
        <v>2000</v>
      </c>
      <c r="BK50" s="132">
        <v>231283.0</v>
      </c>
      <c r="BL50" s="133"/>
      <c r="BM50" s="133" t="s">
        <v>561</v>
      </c>
      <c r="BN50" s="133" t="s">
        <v>561</v>
      </c>
      <c r="BO50" s="133"/>
      <c r="BP50" s="133" t="s">
        <v>976</v>
      </c>
      <c r="BQ50" s="134"/>
      <c r="BR50" s="135" t="s">
        <v>850</v>
      </c>
      <c r="BS50" s="150" t="s">
        <v>135</v>
      </c>
      <c r="BT50" s="134"/>
      <c r="BU50" s="137">
        <f t="shared" si="6"/>
        <v>0.733</v>
      </c>
      <c r="BV50" s="142">
        <v>0.857</v>
      </c>
      <c r="BW50" s="141">
        <v>0.124</v>
      </c>
      <c r="BX50" s="141"/>
      <c r="BY50" s="137">
        <f t="shared" si="7"/>
        <v>0.811</v>
      </c>
      <c r="BZ50" s="142">
        <v>0.884</v>
      </c>
      <c r="CA50" s="141">
        <v>0.073</v>
      </c>
      <c r="CB50" s="141"/>
      <c r="CC50" s="141">
        <v>0.146</v>
      </c>
      <c r="CD50" s="142">
        <v>0.503</v>
      </c>
      <c r="CE50" s="141">
        <v>0.265</v>
      </c>
      <c r="CF50" s="141">
        <v>0.085</v>
      </c>
      <c r="CG50" s="141">
        <v>0.037000000000000005</v>
      </c>
      <c r="CH50" s="141">
        <v>0.003</v>
      </c>
      <c r="CI50" s="139"/>
      <c r="CJ50" s="141">
        <v>0.174</v>
      </c>
      <c r="CK50" s="142">
        <v>0.40299999999999997</v>
      </c>
      <c r="CL50" s="141">
        <v>0.34299999999999997</v>
      </c>
      <c r="CM50" s="141">
        <v>0.07</v>
      </c>
      <c r="CN50" s="141">
        <v>0.006</v>
      </c>
      <c r="CO50" s="141">
        <v>0.002</v>
      </c>
      <c r="CP50" s="141"/>
      <c r="CQ50" s="141">
        <v>0.264</v>
      </c>
      <c r="CR50" s="142">
        <v>0.6609999999999999</v>
      </c>
      <c r="CS50" s="141">
        <v>0.059000000000000004</v>
      </c>
    </row>
    <row r="51">
      <c r="A51" s="112">
        <f t="shared" si="1"/>
        <v>49</v>
      </c>
      <c r="B51" s="112" t="s">
        <v>1257</v>
      </c>
      <c r="C51" s="112" t="s">
        <v>1258</v>
      </c>
      <c r="D51" s="113" t="s">
        <v>1254</v>
      </c>
      <c r="E51" s="154" t="s">
        <v>2327</v>
      </c>
      <c r="F51" s="115">
        <f t="shared" si="2"/>
        <v>0.1428571429</v>
      </c>
      <c r="G51" s="115">
        <f t="shared" si="3"/>
        <v>0.4027777778</v>
      </c>
      <c r="H51" s="116">
        <f t="shared" si="4"/>
        <v>0.337797619</v>
      </c>
      <c r="I51" s="117" t="s">
        <v>594</v>
      </c>
      <c r="J51" s="117" t="s">
        <v>594</v>
      </c>
      <c r="K51" s="117" t="s">
        <v>487</v>
      </c>
      <c r="L51" s="117" t="s">
        <v>594</v>
      </c>
      <c r="M51" s="117" t="s">
        <v>594</v>
      </c>
      <c r="N51" s="117" t="s">
        <v>594</v>
      </c>
      <c r="O51" s="149" t="s">
        <v>1256</v>
      </c>
      <c r="P51" s="185" t="s">
        <v>561</v>
      </c>
      <c r="Q51" s="121" t="s">
        <v>53</v>
      </c>
      <c r="R51" s="121" t="s">
        <v>561</v>
      </c>
      <c r="S51" s="119" t="s">
        <v>53</v>
      </c>
      <c r="T51" s="119" t="s">
        <v>53</v>
      </c>
      <c r="U51" s="119" t="s">
        <v>53</v>
      </c>
      <c r="V51" s="119" t="s">
        <v>53</v>
      </c>
      <c r="W51" s="119" t="s">
        <v>53</v>
      </c>
      <c r="X51" s="149" t="s">
        <v>561</v>
      </c>
      <c r="Y51" s="149" t="s">
        <v>561</v>
      </c>
      <c r="Z51" s="119" t="s">
        <v>53</v>
      </c>
      <c r="AA51" s="149" t="s">
        <v>561</v>
      </c>
      <c r="AB51" s="119" t="s">
        <v>53</v>
      </c>
      <c r="AC51" s="125" t="s">
        <v>561</v>
      </c>
      <c r="AD51" s="149" t="s">
        <v>561</v>
      </c>
      <c r="AE51" s="128" t="s">
        <v>561</v>
      </c>
      <c r="AF51" s="125" t="s">
        <v>561</v>
      </c>
      <c r="AG51" s="121" t="s">
        <v>53</v>
      </c>
      <c r="AH51" s="128" t="s">
        <v>561</v>
      </c>
      <c r="AI51" s="125" t="s">
        <v>53</v>
      </c>
      <c r="AJ51" s="123" t="s">
        <v>801</v>
      </c>
      <c r="AK51" s="125" t="s">
        <v>799</v>
      </c>
      <c r="AL51" s="128" t="s">
        <v>561</v>
      </c>
      <c r="AM51" s="128" t="s">
        <v>561</v>
      </c>
      <c r="AN51" s="128" t="s">
        <v>801</v>
      </c>
      <c r="AO51" s="128" t="s">
        <v>53</v>
      </c>
      <c r="AP51" s="121" t="s">
        <v>561</v>
      </c>
      <c r="AQ51" s="128" t="s">
        <v>53</v>
      </c>
      <c r="AR51" s="121" t="s">
        <v>53</v>
      </c>
      <c r="AS51" s="117" t="s">
        <v>561</v>
      </c>
      <c r="AT51" s="117" t="s">
        <v>53</v>
      </c>
      <c r="AU51" s="117" t="s">
        <v>561</v>
      </c>
      <c r="AV51" s="117" t="s">
        <v>561</v>
      </c>
      <c r="AW51" s="117" t="s">
        <v>561</v>
      </c>
      <c r="AX51" s="117" t="s">
        <v>561</v>
      </c>
      <c r="AY51" s="117" t="s">
        <v>561</v>
      </c>
      <c r="AZ51" s="117" t="s">
        <v>561</v>
      </c>
      <c r="BA51" s="117" t="s">
        <v>561</v>
      </c>
      <c r="BB51" s="117" t="s">
        <v>600</v>
      </c>
      <c r="BC51" s="117" t="s">
        <v>600</v>
      </c>
      <c r="BD51" s="129" t="s">
        <v>821</v>
      </c>
      <c r="BE51" s="129" t="s">
        <v>821</v>
      </c>
      <c r="BF51" s="130"/>
      <c r="BG51" s="130">
        <f t="shared" si="5"/>
        <v>11610</v>
      </c>
      <c r="BH51" s="131">
        <v>11610.0</v>
      </c>
      <c r="BI51" s="131"/>
      <c r="BJ51" s="132"/>
      <c r="BK51" s="132"/>
      <c r="BL51" s="133"/>
      <c r="BM51" s="133" t="s">
        <v>561</v>
      </c>
      <c r="BN51" s="133"/>
      <c r="BO51" s="133" t="s">
        <v>561</v>
      </c>
      <c r="BP51" s="133" t="s">
        <v>845</v>
      </c>
      <c r="BQ51" s="134"/>
      <c r="BR51" s="150" t="s">
        <v>1199</v>
      </c>
      <c r="BS51" s="181" t="s">
        <v>122</v>
      </c>
      <c r="BT51" s="134"/>
      <c r="BU51" s="137">
        <f t="shared" si="6"/>
        <v>0.355</v>
      </c>
      <c r="BV51" s="138">
        <v>0.67</v>
      </c>
      <c r="BW51" s="137">
        <v>0.315</v>
      </c>
      <c r="BX51" s="137"/>
      <c r="BY51" s="137">
        <f t="shared" si="7"/>
        <v>0.419</v>
      </c>
      <c r="BZ51" s="138">
        <v>0.68</v>
      </c>
      <c r="CA51" s="137">
        <v>0.261</v>
      </c>
      <c r="CB51" s="137"/>
      <c r="CC51" s="137">
        <v>0.13</v>
      </c>
      <c r="CD51" s="138">
        <v>0.8079999999999999</v>
      </c>
      <c r="CE51" s="137">
        <v>0.040999999999999995</v>
      </c>
      <c r="CF51" s="137">
        <v>0.021</v>
      </c>
      <c r="CG51" s="137">
        <v>0.024</v>
      </c>
      <c r="CH51" s="137">
        <v>0.003</v>
      </c>
      <c r="CI51" s="139"/>
      <c r="CJ51" s="137">
        <v>0.156</v>
      </c>
      <c r="CK51" s="138">
        <v>0.785</v>
      </c>
      <c r="CL51" s="137">
        <v>0.038</v>
      </c>
      <c r="CM51" s="137">
        <v>0.012</v>
      </c>
      <c r="CN51" s="137">
        <v>0.005</v>
      </c>
      <c r="CO51" s="137">
        <v>0.001</v>
      </c>
      <c r="CP51" s="137"/>
      <c r="CQ51" s="137">
        <v>0.252</v>
      </c>
      <c r="CR51" s="137">
        <v>0.419</v>
      </c>
      <c r="CS51" s="137">
        <v>0.091</v>
      </c>
    </row>
    <row r="52">
      <c r="A52" s="112">
        <f t="shared" si="1"/>
        <v>50</v>
      </c>
      <c r="B52" s="112" t="s">
        <v>1134</v>
      </c>
      <c r="C52" s="112" t="s">
        <v>1135</v>
      </c>
      <c r="D52" s="113" t="s">
        <v>1131</v>
      </c>
      <c r="E52" s="163"/>
      <c r="F52" s="115">
        <f t="shared" si="2"/>
        <v>0.1428571429</v>
      </c>
      <c r="G52" s="115">
        <f t="shared" si="3"/>
        <v>0.3974358974</v>
      </c>
      <c r="H52" s="116">
        <f t="shared" si="4"/>
        <v>0.3337912088</v>
      </c>
      <c r="I52" s="117" t="s">
        <v>594</v>
      </c>
      <c r="J52" s="117" t="s">
        <v>594</v>
      </c>
      <c r="K52" s="117" t="s">
        <v>487</v>
      </c>
      <c r="L52" s="117" t="s">
        <v>594</v>
      </c>
      <c r="M52" s="117" t="s">
        <v>594</v>
      </c>
      <c r="N52" s="117" t="s">
        <v>594</v>
      </c>
      <c r="O52" s="149" t="s">
        <v>1256</v>
      </c>
      <c r="P52" s="120" t="s">
        <v>53</v>
      </c>
      <c r="Q52" s="121" t="s">
        <v>53</v>
      </c>
      <c r="R52" s="121" t="s">
        <v>561</v>
      </c>
      <c r="S52" s="119" t="s">
        <v>53</v>
      </c>
      <c r="T52" s="119" t="s">
        <v>53</v>
      </c>
      <c r="U52" s="119" t="s">
        <v>53</v>
      </c>
      <c r="V52" s="119" t="s">
        <v>53</v>
      </c>
      <c r="W52" s="119" t="s">
        <v>53</v>
      </c>
      <c r="X52" s="119" t="s">
        <v>53</v>
      </c>
      <c r="Y52" s="149" t="s">
        <v>561</v>
      </c>
      <c r="Z52" s="149" t="s">
        <v>561</v>
      </c>
      <c r="AA52" s="149" t="s">
        <v>561</v>
      </c>
      <c r="AB52" s="119" t="s">
        <v>53</v>
      </c>
      <c r="AC52" s="125" t="s">
        <v>561</v>
      </c>
      <c r="AD52" s="149" t="s">
        <v>561</v>
      </c>
      <c r="AE52" s="128" t="s">
        <v>561</v>
      </c>
      <c r="AF52" s="125" t="s">
        <v>561</v>
      </c>
      <c r="AG52" s="121" t="s">
        <v>53</v>
      </c>
      <c r="AH52" s="128" t="s">
        <v>561</v>
      </c>
      <c r="AI52" s="125" t="s">
        <v>53</v>
      </c>
      <c r="AJ52" s="128" t="s">
        <v>561</v>
      </c>
      <c r="AK52" s="125" t="s">
        <v>799</v>
      </c>
      <c r="AL52" s="128" t="s">
        <v>561</v>
      </c>
      <c r="AM52" s="128" t="s">
        <v>561</v>
      </c>
      <c r="AN52" s="128" t="s">
        <v>53</v>
      </c>
      <c r="AO52" s="128" t="s">
        <v>53</v>
      </c>
      <c r="AP52" s="121" t="s">
        <v>561</v>
      </c>
      <c r="AQ52" s="128" t="s">
        <v>53</v>
      </c>
      <c r="AR52" s="128" t="s">
        <v>561</v>
      </c>
      <c r="AS52" s="117" t="s">
        <v>561</v>
      </c>
      <c r="AT52" s="117" t="s">
        <v>53</v>
      </c>
      <c r="AU52" s="117" t="s">
        <v>561</v>
      </c>
      <c r="AV52" s="117" t="s">
        <v>561</v>
      </c>
      <c r="AW52" s="117" t="s">
        <v>561</v>
      </c>
      <c r="AX52" s="117" t="s">
        <v>561</v>
      </c>
      <c r="AY52" s="117" t="s">
        <v>561</v>
      </c>
      <c r="AZ52" s="117" t="s">
        <v>561</v>
      </c>
      <c r="BA52" s="117" t="s">
        <v>561</v>
      </c>
      <c r="BB52" s="117" t="s">
        <v>561</v>
      </c>
      <c r="BC52" s="117" t="s">
        <v>600</v>
      </c>
      <c r="BD52" s="129" t="s">
        <v>821</v>
      </c>
      <c r="BE52" s="129" t="s">
        <v>821</v>
      </c>
      <c r="BF52" s="130"/>
      <c r="BG52" s="130">
        <f t="shared" si="5"/>
        <v>20250</v>
      </c>
      <c r="BH52" s="131">
        <v>20250.0</v>
      </c>
      <c r="BI52" s="131"/>
      <c r="BJ52" s="132"/>
      <c r="BK52" s="132"/>
      <c r="BL52" s="133"/>
      <c r="BM52" s="133" t="s">
        <v>561</v>
      </c>
      <c r="BN52" s="133"/>
      <c r="BO52" s="133"/>
      <c r="BP52" s="188" t="s">
        <v>2367</v>
      </c>
      <c r="BQ52" s="134"/>
      <c r="BR52" s="135" t="s">
        <v>850</v>
      </c>
      <c r="BS52" s="134"/>
      <c r="BT52" s="134"/>
      <c r="BU52" s="137">
        <f t="shared" si="6"/>
        <v>0.393</v>
      </c>
      <c r="BV52" s="138">
        <v>0.684</v>
      </c>
      <c r="BW52" s="137">
        <v>0.29100000000000004</v>
      </c>
      <c r="BX52" s="137"/>
      <c r="BY52" s="137">
        <f t="shared" si="7"/>
        <v>0.326</v>
      </c>
      <c r="BZ52" s="138">
        <v>0.607</v>
      </c>
      <c r="CA52" s="137">
        <v>0.281</v>
      </c>
      <c r="CB52" s="137"/>
      <c r="CC52" s="138">
        <v>0.69</v>
      </c>
      <c r="CD52" s="137">
        <v>0.127</v>
      </c>
      <c r="CE52" s="137">
        <v>0.03</v>
      </c>
      <c r="CF52" s="137">
        <v>0.115</v>
      </c>
      <c r="CG52" s="137">
        <v>0.032</v>
      </c>
      <c r="CH52" s="137">
        <v>0.008</v>
      </c>
      <c r="CI52" s="139"/>
      <c r="CJ52" s="138">
        <v>0.784</v>
      </c>
      <c r="CK52" s="137">
        <v>0.091</v>
      </c>
      <c r="CL52" s="137">
        <v>0.024</v>
      </c>
      <c r="CM52" s="137">
        <v>0.077</v>
      </c>
      <c r="CN52" s="137">
        <v>0.015</v>
      </c>
      <c r="CO52" s="137">
        <v>0.004</v>
      </c>
      <c r="CP52" s="137"/>
      <c r="CQ52" s="137">
        <v>0.469</v>
      </c>
      <c r="CR52" s="137">
        <v>0.48200000000000004</v>
      </c>
      <c r="CS52" s="137">
        <v>0.406</v>
      </c>
    </row>
    <row r="53">
      <c r="A53" s="112">
        <f t="shared" si="1"/>
        <v>51</v>
      </c>
      <c r="B53" s="189" t="s">
        <v>971</v>
      </c>
      <c r="C53" s="189" t="s">
        <v>2372</v>
      </c>
      <c r="D53" s="113" t="s">
        <v>1220</v>
      </c>
      <c r="E53" s="190" t="s">
        <v>2329</v>
      </c>
      <c r="F53" s="115">
        <f t="shared" si="2"/>
        <v>0</v>
      </c>
      <c r="G53" s="115">
        <f t="shared" si="3"/>
        <v>0.44</v>
      </c>
      <c r="H53" s="116">
        <f t="shared" si="4"/>
        <v>0.33</v>
      </c>
      <c r="I53" s="117" t="s">
        <v>594</v>
      </c>
      <c r="J53" s="117" t="s">
        <v>594</v>
      </c>
      <c r="K53" s="117" t="s">
        <v>594</v>
      </c>
      <c r="L53" s="117" t="s">
        <v>594</v>
      </c>
      <c r="M53" s="117" t="s">
        <v>594</v>
      </c>
      <c r="N53" s="117" t="s">
        <v>594</v>
      </c>
      <c r="O53" s="149" t="s">
        <v>1256</v>
      </c>
      <c r="P53" s="120" t="s">
        <v>53</v>
      </c>
      <c r="Q53" s="121" t="s">
        <v>53</v>
      </c>
      <c r="R53" s="121" t="s">
        <v>561</v>
      </c>
      <c r="S53" s="119" t="s">
        <v>53</v>
      </c>
      <c r="T53" s="119" t="s">
        <v>53</v>
      </c>
      <c r="U53" s="119" t="s">
        <v>53</v>
      </c>
      <c r="V53" s="119" t="s">
        <v>53</v>
      </c>
      <c r="W53" s="119" t="s">
        <v>53</v>
      </c>
      <c r="X53" s="119" t="s">
        <v>53</v>
      </c>
      <c r="Y53" s="149" t="s">
        <v>561</v>
      </c>
      <c r="Z53" s="149" t="s">
        <v>561</v>
      </c>
      <c r="AA53" s="149" t="s">
        <v>561</v>
      </c>
      <c r="AB53" s="149" t="s">
        <v>561</v>
      </c>
      <c r="AC53" s="125" t="s">
        <v>561</v>
      </c>
      <c r="AD53" s="149" t="s">
        <v>561</v>
      </c>
      <c r="AE53" s="128" t="s">
        <v>561</v>
      </c>
      <c r="AF53" s="125" t="s">
        <v>561</v>
      </c>
      <c r="AG53" s="121" t="s">
        <v>53</v>
      </c>
      <c r="AH53" s="128" t="s">
        <v>561</v>
      </c>
      <c r="AI53" s="125" t="s">
        <v>53</v>
      </c>
      <c r="AJ53" s="128" t="s">
        <v>561</v>
      </c>
      <c r="AK53" s="125" t="s">
        <v>561</v>
      </c>
      <c r="AL53" s="128" t="s">
        <v>561</v>
      </c>
      <c r="AM53" s="128" t="s">
        <v>561</v>
      </c>
      <c r="AN53" s="128" t="s">
        <v>53</v>
      </c>
      <c r="AO53" s="117" t="s">
        <v>600</v>
      </c>
      <c r="AP53" s="117" t="s">
        <v>600</v>
      </c>
      <c r="AQ53" s="117" t="s">
        <v>600</v>
      </c>
      <c r="AR53" s="117" t="s">
        <v>600</v>
      </c>
      <c r="AS53" s="117" t="s">
        <v>600</v>
      </c>
      <c r="AT53" s="117" t="s">
        <v>600</v>
      </c>
      <c r="AU53" s="117" t="s">
        <v>600</v>
      </c>
      <c r="AV53" s="117" t="s">
        <v>600</v>
      </c>
      <c r="AW53" s="117" t="s">
        <v>600</v>
      </c>
      <c r="AX53" s="117" t="s">
        <v>600</v>
      </c>
      <c r="AY53" s="117" t="s">
        <v>600</v>
      </c>
      <c r="AZ53" s="117" t="s">
        <v>600</v>
      </c>
      <c r="BA53" s="117" t="s">
        <v>600</v>
      </c>
      <c r="BB53" s="117" t="s">
        <v>600</v>
      </c>
      <c r="BC53" s="117" t="s">
        <v>600</v>
      </c>
      <c r="BD53" s="117" t="s">
        <v>600</v>
      </c>
      <c r="BE53" s="117" t="s">
        <v>600</v>
      </c>
      <c r="BF53" s="130"/>
      <c r="BG53" s="130"/>
      <c r="BH53" s="131"/>
      <c r="BI53" s="131"/>
      <c r="BJ53" s="132"/>
      <c r="BK53" s="132"/>
      <c r="BL53" s="133"/>
      <c r="BM53" s="133"/>
      <c r="BN53" s="191" t="s">
        <v>561</v>
      </c>
      <c r="BO53" s="133"/>
      <c r="BP53" s="133"/>
      <c r="BQ53" s="134"/>
      <c r="BR53" s="134"/>
      <c r="BS53" s="134"/>
      <c r="BT53" s="134"/>
      <c r="BU53" s="137">
        <f t="shared" si="6"/>
        <v>0.291</v>
      </c>
      <c r="BV53" s="138">
        <v>0.638</v>
      </c>
      <c r="BW53" s="137">
        <v>0.34700000000000003</v>
      </c>
      <c r="BX53" s="137"/>
      <c r="BY53" s="137">
        <f t="shared" si="7"/>
        <v>0.247</v>
      </c>
      <c r="BZ53" s="138">
        <v>0.591</v>
      </c>
      <c r="CA53" s="137">
        <v>0.344</v>
      </c>
      <c r="CB53" s="137"/>
      <c r="CC53" s="138">
        <v>0.679</v>
      </c>
      <c r="CD53" s="137">
        <v>0.159</v>
      </c>
      <c r="CE53" s="137">
        <v>0.102</v>
      </c>
      <c r="CF53" s="137">
        <v>0.045</v>
      </c>
      <c r="CG53" s="137">
        <v>0.018000000000000002</v>
      </c>
      <c r="CH53" s="137">
        <v>0.002</v>
      </c>
      <c r="CI53" s="139"/>
      <c r="CJ53" s="138">
        <v>0.757</v>
      </c>
      <c r="CK53" s="137">
        <v>0.126</v>
      </c>
      <c r="CL53" s="137">
        <v>0.076</v>
      </c>
      <c r="CM53" s="137">
        <v>0.03</v>
      </c>
      <c r="CN53" s="137">
        <v>0.009000000000000001</v>
      </c>
      <c r="CO53" s="137">
        <v>0.001</v>
      </c>
      <c r="CP53" s="137"/>
      <c r="CQ53" s="137">
        <v>0.355</v>
      </c>
      <c r="CR53" s="137">
        <v>0.39899999999999997</v>
      </c>
      <c r="CS53" s="137">
        <v>0.455</v>
      </c>
    </row>
    <row r="54">
      <c r="A54" s="112">
        <f t="shared" si="1"/>
        <v>52</v>
      </c>
      <c r="B54" s="112" t="s">
        <v>811</v>
      </c>
      <c r="C54" s="112" t="s">
        <v>812</v>
      </c>
      <c r="D54" s="113" t="s">
        <v>808</v>
      </c>
      <c r="E54" s="153" t="s">
        <v>2418</v>
      </c>
      <c r="F54" s="115">
        <f t="shared" si="2"/>
        <v>0.1428571429</v>
      </c>
      <c r="G54" s="115">
        <f t="shared" si="3"/>
        <v>0.3918918919</v>
      </c>
      <c r="H54" s="116">
        <f t="shared" si="4"/>
        <v>0.3296332046</v>
      </c>
      <c r="I54" s="117" t="s">
        <v>594</v>
      </c>
      <c r="J54" s="117" t="s">
        <v>594</v>
      </c>
      <c r="K54" s="117" t="s">
        <v>487</v>
      </c>
      <c r="L54" s="117" t="s">
        <v>594</v>
      </c>
      <c r="M54" s="117" t="s">
        <v>594</v>
      </c>
      <c r="N54" s="117" t="s">
        <v>594</v>
      </c>
      <c r="O54" s="149" t="s">
        <v>1256</v>
      </c>
      <c r="P54" s="120" t="s">
        <v>53</v>
      </c>
      <c r="Q54" s="121" t="s">
        <v>53</v>
      </c>
      <c r="R54" s="121" t="s">
        <v>561</v>
      </c>
      <c r="S54" s="119" t="s">
        <v>53</v>
      </c>
      <c r="T54" s="119" t="s">
        <v>53</v>
      </c>
      <c r="U54" s="119" t="s">
        <v>53</v>
      </c>
      <c r="V54" s="119" t="s">
        <v>53</v>
      </c>
      <c r="W54" s="119" t="s">
        <v>53</v>
      </c>
      <c r="X54" s="149" t="s">
        <v>561</v>
      </c>
      <c r="Y54" s="119" t="s">
        <v>53</v>
      </c>
      <c r="Z54" s="149" t="s">
        <v>561</v>
      </c>
      <c r="AA54" s="149" t="s">
        <v>561</v>
      </c>
      <c r="AB54" s="149" t="s">
        <v>561</v>
      </c>
      <c r="AC54" s="125" t="s">
        <v>561</v>
      </c>
      <c r="AD54" s="149" t="s">
        <v>561</v>
      </c>
      <c r="AE54" s="125" t="s">
        <v>801</v>
      </c>
      <c r="AF54" s="125" t="s">
        <v>561</v>
      </c>
      <c r="AG54" s="121" t="s">
        <v>53</v>
      </c>
      <c r="AH54" s="128" t="s">
        <v>561</v>
      </c>
      <c r="AI54" s="125" t="s">
        <v>53</v>
      </c>
      <c r="AJ54" s="128" t="s">
        <v>561</v>
      </c>
      <c r="AK54" s="125" t="s">
        <v>799</v>
      </c>
      <c r="AL54" s="128" t="s">
        <v>561</v>
      </c>
      <c r="AM54" s="128" t="s">
        <v>561</v>
      </c>
      <c r="AN54" s="128" t="s">
        <v>561</v>
      </c>
      <c r="AO54" s="128" t="s">
        <v>53</v>
      </c>
      <c r="AP54" s="121" t="s">
        <v>561</v>
      </c>
      <c r="AQ54" s="128" t="s">
        <v>53</v>
      </c>
      <c r="AR54" s="128" t="s">
        <v>561</v>
      </c>
      <c r="AS54" s="117" t="s">
        <v>561</v>
      </c>
      <c r="AT54" s="117" t="s">
        <v>53</v>
      </c>
      <c r="AU54" s="117" t="s">
        <v>561</v>
      </c>
      <c r="AV54" s="117" t="s">
        <v>561</v>
      </c>
      <c r="AW54" s="117" t="s">
        <v>801</v>
      </c>
      <c r="AX54" s="117" t="s">
        <v>561</v>
      </c>
      <c r="AY54" s="117" t="s">
        <v>561</v>
      </c>
      <c r="AZ54" s="117" t="s">
        <v>561</v>
      </c>
      <c r="BA54" s="117" t="s">
        <v>561</v>
      </c>
      <c r="BB54" s="117" t="s">
        <v>53</v>
      </c>
      <c r="BC54" s="117" t="s">
        <v>600</v>
      </c>
      <c r="BD54" s="129" t="s">
        <v>821</v>
      </c>
      <c r="BE54" s="129" t="s">
        <v>821</v>
      </c>
      <c r="BF54" s="130"/>
      <c r="BG54" s="130">
        <f t="shared" ref="BG54:BG203" si="8">SUM(BH54:BK54)</f>
        <v>0</v>
      </c>
      <c r="BH54" s="131"/>
      <c r="BI54" s="131"/>
      <c r="BJ54" s="132"/>
      <c r="BK54" s="132"/>
      <c r="BL54" s="133"/>
      <c r="BM54" s="133" t="s">
        <v>561</v>
      </c>
      <c r="BN54" s="133"/>
      <c r="BO54" s="133"/>
      <c r="BP54" s="133" t="s">
        <v>1311</v>
      </c>
      <c r="BQ54" s="134"/>
      <c r="BR54" s="134"/>
      <c r="BS54" s="134"/>
      <c r="BT54" s="134"/>
      <c r="BU54" s="137">
        <f t="shared" si="6"/>
        <v>0.021</v>
      </c>
      <c r="BV54" s="138">
        <v>0.503</v>
      </c>
      <c r="BW54" s="137">
        <v>0.48200000000000004</v>
      </c>
      <c r="BX54" s="137"/>
      <c r="BY54" s="137">
        <f t="shared" si="7"/>
        <v>0.011</v>
      </c>
      <c r="BZ54" s="138">
        <v>0.48</v>
      </c>
      <c r="CA54" s="137">
        <v>0.469</v>
      </c>
      <c r="CB54" s="137"/>
      <c r="CC54" s="138">
        <v>0.762</v>
      </c>
      <c r="CD54" s="137">
        <v>0.044000000000000004</v>
      </c>
      <c r="CE54" s="137">
        <v>0.152</v>
      </c>
      <c r="CF54" s="137">
        <v>0.015</v>
      </c>
      <c r="CG54" s="137">
        <v>0.023</v>
      </c>
      <c r="CH54" s="137">
        <v>0.001</v>
      </c>
      <c r="CI54" s="139"/>
      <c r="CJ54" s="138">
        <v>0.7859999999999999</v>
      </c>
      <c r="CK54" s="137">
        <v>0.040999999999999995</v>
      </c>
      <c r="CL54" s="137">
        <v>0.152</v>
      </c>
      <c r="CM54" s="137">
        <v>0.01</v>
      </c>
      <c r="CN54" s="137">
        <v>0.011000000000000001</v>
      </c>
      <c r="CO54" s="137">
        <v>0.0</v>
      </c>
      <c r="CP54" s="137"/>
      <c r="CQ54" s="137">
        <v>0.22899999999999998</v>
      </c>
      <c r="CR54" s="137">
        <v>0.244</v>
      </c>
      <c r="CS54" s="138">
        <v>0.595</v>
      </c>
    </row>
    <row r="55">
      <c r="A55" s="112">
        <f t="shared" si="1"/>
        <v>53</v>
      </c>
      <c r="B55" s="112" t="s">
        <v>523</v>
      </c>
      <c r="C55" s="112" t="s">
        <v>524</v>
      </c>
      <c r="D55" s="113" t="s">
        <v>519</v>
      </c>
      <c r="E55" s="154" t="s">
        <v>2463</v>
      </c>
      <c r="F55" s="115">
        <f t="shared" si="2"/>
        <v>0</v>
      </c>
      <c r="G55" s="115">
        <f t="shared" si="3"/>
        <v>0.4305555556</v>
      </c>
      <c r="H55" s="116">
        <f t="shared" si="4"/>
        <v>0.3229166667</v>
      </c>
      <c r="I55" s="117" t="s">
        <v>594</v>
      </c>
      <c r="J55" s="117" t="s">
        <v>594</v>
      </c>
      <c r="K55" s="117" t="s">
        <v>594</v>
      </c>
      <c r="L55" s="117" t="s">
        <v>594</v>
      </c>
      <c r="M55" s="117" t="s">
        <v>594</v>
      </c>
      <c r="N55" s="117" t="s">
        <v>594</v>
      </c>
      <c r="O55" s="149" t="s">
        <v>1256</v>
      </c>
      <c r="P55" s="120" t="s">
        <v>53</v>
      </c>
      <c r="Q55" s="121" t="s">
        <v>53</v>
      </c>
      <c r="R55" s="121" t="s">
        <v>561</v>
      </c>
      <c r="S55" s="119" t="s">
        <v>53</v>
      </c>
      <c r="T55" s="119" t="s">
        <v>53</v>
      </c>
      <c r="U55" s="119" t="s">
        <v>53</v>
      </c>
      <c r="V55" s="119" t="s">
        <v>53</v>
      </c>
      <c r="W55" s="119" t="s">
        <v>53</v>
      </c>
      <c r="X55" s="119" t="s">
        <v>53</v>
      </c>
      <c r="Y55" s="149" t="s">
        <v>561</v>
      </c>
      <c r="Z55" s="119" t="s">
        <v>53</v>
      </c>
      <c r="AA55" s="149" t="s">
        <v>561</v>
      </c>
      <c r="AB55" s="149" t="s">
        <v>561</v>
      </c>
      <c r="AC55" s="125" t="s">
        <v>561</v>
      </c>
      <c r="AD55" s="149" t="s">
        <v>561</v>
      </c>
      <c r="AE55" s="128" t="s">
        <v>561</v>
      </c>
      <c r="AF55" s="125" t="s">
        <v>561</v>
      </c>
      <c r="AG55" s="121" t="s">
        <v>53</v>
      </c>
      <c r="AH55" s="128" t="s">
        <v>561</v>
      </c>
      <c r="AI55" s="125" t="s">
        <v>53</v>
      </c>
      <c r="AJ55" s="121" t="s">
        <v>53</v>
      </c>
      <c r="AK55" s="125" t="s">
        <v>799</v>
      </c>
      <c r="AL55" s="128" t="s">
        <v>561</v>
      </c>
      <c r="AM55" s="128" t="s">
        <v>561</v>
      </c>
      <c r="AN55" s="128" t="s">
        <v>53</v>
      </c>
      <c r="AO55" s="128" t="s">
        <v>53</v>
      </c>
      <c r="AP55" s="121" t="s">
        <v>561</v>
      </c>
      <c r="AQ55" s="128" t="s">
        <v>53</v>
      </c>
      <c r="AR55" s="128" t="s">
        <v>561</v>
      </c>
      <c r="AS55" s="117" t="s">
        <v>561</v>
      </c>
      <c r="AT55" s="117" t="s">
        <v>561</v>
      </c>
      <c r="AU55" s="117" t="s">
        <v>561</v>
      </c>
      <c r="AV55" s="117" t="s">
        <v>561</v>
      </c>
      <c r="AW55" s="117" t="s">
        <v>561</v>
      </c>
      <c r="AX55" s="117" t="s">
        <v>561</v>
      </c>
      <c r="AY55" s="117" t="s">
        <v>561</v>
      </c>
      <c r="AZ55" s="117" t="s">
        <v>600</v>
      </c>
      <c r="BA55" s="117" t="s">
        <v>600</v>
      </c>
      <c r="BB55" s="117" t="s">
        <v>600</v>
      </c>
      <c r="BC55" s="117" t="s">
        <v>600</v>
      </c>
      <c r="BD55" s="129" t="s">
        <v>821</v>
      </c>
      <c r="BE55" s="129" t="s">
        <v>821</v>
      </c>
      <c r="BF55" s="130"/>
      <c r="BG55" s="130">
        <f t="shared" si="8"/>
        <v>27500</v>
      </c>
      <c r="BH55" s="131">
        <v>27500.0</v>
      </c>
      <c r="BI55" s="131"/>
      <c r="BJ55" s="132"/>
      <c r="BK55" s="132"/>
      <c r="BL55" s="133"/>
      <c r="BM55" s="133"/>
      <c r="BN55" s="133"/>
      <c r="BO55" s="133" t="s">
        <v>561</v>
      </c>
      <c r="BP55" s="133" t="s">
        <v>903</v>
      </c>
      <c r="BQ55" s="134"/>
      <c r="BR55" s="150" t="s">
        <v>1199</v>
      </c>
      <c r="BS55" s="181" t="s">
        <v>122</v>
      </c>
      <c r="BT55" s="134"/>
      <c r="BU55" s="137">
        <f t="shared" si="6"/>
        <v>0.664</v>
      </c>
      <c r="BV55" s="138">
        <v>0.826</v>
      </c>
      <c r="BW55" s="137">
        <v>0.162</v>
      </c>
      <c r="BX55" s="137"/>
      <c r="BY55" s="137">
        <f t="shared" si="7"/>
        <v>0.648</v>
      </c>
      <c r="BZ55" s="138">
        <v>0.807</v>
      </c>
      <c r="CA55" s="137">
        <v>0.159</v>
      </c>
      <c r="CB55" s="137"/>
      <c r="CC55" s="137">
        <v>0.379</v>
      </c>
      <c r="CD55" s="137">
        <v>0.067</v>
      </c>
      <c r="CE55" s="138">
        <v>0.496</v>
      </c>
      <c r="CF55" s="137">
        <v>0.054000000000000006</v>
      </c>
      <c r="CG55" s="137">
        <v>0.013000000000000001</v>
      </c>
      <c r="CH55" s="137">
        <v>0.001</v>
      </c>
      <c r="CI55" s="139"/>
      <c r="CJ55" s="137">
        <v>0.397</v>
      </c>
      <c r="CK55" s="137">
        <v>0.035</v>
      </c>
      <c r="CL55" s="138">
        <v>0.525</v>
      </c>
      <c r="CM55" s="137">
        <v>0.034</v>
      </c>
      <c r="CN55" s="137">
        <v>0.005</v>
      </c>
      <c r="CO55" s="137">
        <v>0.0</v>
      </c>
      <c r="CP55" s="137"/>
      <c r="CQ55" s="138">
        <v>0.503</v>
      </c>
      <c r="CR55" s="138">
        <v>0.77</v>
      </c>
      <c r="CS55" s="137">
        <v>0.091</v>
      </c>
    </row>
    <row r="56">
      <c r="A56" s="112">
        <f t="shared" si="1"/>
        <v>54</v>
      </c>
      <c r="B56" s="112" t="s">
        <v>1284</v>
      </c>
      <c r="C56" s="112" t="s">
        <v>1285</v>
      </c>
      <c r="D56" s="113" t="s">
        <v>1279</v>
      </c>
      <c r="E56" s="163"/>
      <c r="F56" s="115">
        <f t="shared" si="2"/>
        <v>0</v>
      </c>
      <c r="G56" s="115">
        <f t="shared" si="3"/>
        <v>0.421875</v>
      </c>
      <c r="H56" s="116">
        <f t="shared" si="4"/>
        <v>0.31640625</v>
      </c>
      <c r="I56" s="117" t="s">
        <v>594</v>
      </c>
      <c r="J56" s="117" t="s">
        <v>594</v>
      </c>
      <c r="K56" s="117" t="s">
        <v>594</v>
      </c>
      <c r="L56" s="117" t="s">
        <v>594</v>
      </c>
      <c r="M56" s="117" t="s">
        <v>594</v>
      </c>
      <c r="N56" s="117" t="s">
        <v>594</v>
      </c>
      <c r="O56" s="149" t="s">
        <v>1256</v>
      </c>
      <c r="P56" s="120" t="s">
        <v>53</v>
      </c>
      <c r="Q56" s="121" t="s">
        <v>53</v>
      </c>
      <c r="R56" s="121" t="s">
        <v>561</v>
      </c>
      <c r="S56" s="119" t="s">
        <v>53</v>
      </c>
      <c r="T56" s="119" t="s">
        <v>53</v>
      </c>
      <c r="U56" s="123" t="s">
        <v>801</v>
      </c>
      <c r="V56" s="119" t="s">
        <v>53</v>
      </c>
      <c r="W56" s="119" t="s">
        <v>53</v>
      </c>
      <c r="X56" s="119" t="s">
        <v>53</v>
      </c>
      <c r="Y56" s="149" t="s">
        <v>561</v>
      </c>
      <c r="Z56" s="119" t="s">
        <v>53</v>
      </c>
      <c r="AA56" s="149" t="s">
        <v>561</v>
      </c>
      <c r="AB56" s="149" t="s">
        <v>561</v>
      </c>
      <c r="AC56" s="125" t="s">
        <v>561</v>
      </c>
      <c r="AD56" s="149" t="s">
        <v>561</v>
      </c>
      <c r="AE56" s="128" t="s">
        <v>561</v>
      </c>
      <c r="AF56" s="125" t="s">
        <v>561</v>
      </c>
      <c r="AG56" s="121" t="s">
        <v>53</v>
      </c>
      <c r="AH56" s="128" t="s">
        <v>561</v>
      </c>
      <c r="AI56" s="125" t="s">
        <v>53</v>
      </c>
      <c r="AJ56" s="123" t="s">
        <v>801</v>
      </c>
      <c r="AK56" s="125" t="s">
        <v>799</v>
      </c>
      <c r="AL56" s="128" t="s">
        <v>561</v>
      </c>
      <c r="AM56" s="128" t="s">
        <v>561</v>
      </c>
      <c r="AN56" s="128" t="s">
        <v>53</v>
      </c>
      <c r="AO56" s="128" t="s">
        <v>53</v>
      </c>
      <c r="AP56" s="121" t="s">
        <v>561</v>
      </c>
      <c r="AQ56" s="128" t="s">
        <v>53</v>
      </c>
      <c r="AR56" s="128" t="s">
        <v>561</v>
      </c>
      <c r="AS56" s="117" t="s">
        <v>561</v>
      </c>
      <c r="AT56" s="117" t="s">
        <v>561</v>
      </c>
      <c r="AU56" s="117" t="s">
        <v>561</v>
      </c>
      <c r="AV56" s="117" t="s">
        <v>561</v>
      </c>
      <c r="AW56" s="117" t="s">
        <v>561</v>
      </c>
      <c r="AX56" s="117" t="s">
        <v>600</v>
      </c>
      <c r="AY56" s="117" t="s">
        <v>600</v>
      </c>
      <c r="AZ56" s="117" t="s">
        <v>600</v>
      </c>
      <c r="BA56" s="117" t="s">
        <v>600</v>
      </c>
      <c r="BB56" s="117" t="s">
        <v>600</v>
      </c>
      <c r="BC56" s="117" t="s">
        <v>600</v>
      </c>
      <c r="BD56" s="129" t="s">
        <v>821</v>
      </c>
      <c r="BE56" s="164" t="s">
        <v>1832</v>
      </c>
      <c r="BF56" s="130"/>
      <c r="BG56" s="130">
        <f t="shared" si="8"/>
        <v>0</v>
      </c>
      <c r="BH56" s="140"/>
      <c r="BI56" s="140"/>
      <c r="BJ56" s="132"/>
      <c r="BK56" s="132"/>
      <c r="BL56" s="133"/>
      <c r="BM56" s="133"/>
      <c r="BN56" s="133"/>
      <c r="BO56" s="133"/>
      <c r="BP56" s="133" t="s">
        <v>976</v>
      </c>
      <c r="BQ56" s="134"/>
      <c r="BR56" s="135" t="s">
        <v>850</v>
      </c>
      <c r="BS56" s="134"/>
      <c r="BT56" s="134"/>
      <c r="BU56" s="137">
        <f t="shared" si="6"/>
        <v>0.568</v>
      </c>
      <c r="BV56" s="138">
        <v>0.778</v>
      </c>
      <c r="BW56" s="137">
        <v>0.21</v>
      </c>
      <c r="BX56" s="137"/>
      <c r="BY56" s="137">
        <f t="shared" si="7"/>
        <v>0.563</v>
      </c>
      <c r="BZ56" s="138">
        <v>0.767</v>
      </c>
      <c r="CA56" s="137">
        <v>0.204</v>
      </c>
      <c r="CB56" s="137"/>
      <c r="CC56" s="137">
        <v>0.214</v>
      </c>
      <c r="CD56" s="137">
        <v>0.32</v>
      </c>
      <c r="CE56" s="138">
        <v>0.419</v>
      </c>
      <c r="CF56" s="137">
        <v>0.040999999999999995</v>
      </c>
      <c r="CG56" s="137">
        <v>0.026000000000000002</v>
      </c>
      <c r="CH56" s="137">
        <v>0.002</v>
      </c>
      <c r="CI56" s="139"/>
      <c r="CJ56" s="137">
        <v>0.256</v>
      </c>
      <c r="CK56" s="137">
        <v>0.21300000000000002</v>
      </c>
      <c r="CL56" s="138">
        <v>0.488</v>
      </c>
      <c r="CM56" s="137">
        <v>0.034</v>
      </c>
      <c r="CN56" s="137">
        <v>0.006</v>
      </c>
      <c r="CO56" s="137">
        <v>0.0</v>
      </c>
      <c r="CP56" s="137"/>
      <c r="CQ56" s="137">
        <v>0.272</v>
      </c>
      <c r="CR56" s="137">
        <v>0.49200000000000005</v>
      </c>
      <c r="CS56" s="137">
        <v>0.13</v>
      </c>
    </row>
    <row r="57">
      <c r="A57" s="112">
        <f t="shared" si="1"/>
        <v>54</v>
      </c>
      <c r="B57" s="112" t="s">
        <v>312</v>
      </c>
      <c r="C57" s="112" t="s">
        <v>313</v>
      </c>
      <c r="D57" s="113" t="s">
        <v>306</v>
      </c>
      <c r="E57" s="154" t="s">
        <v>2517</v>
      </c>
      <c r="F57" s="115">
        <f t="shared" si="2"/>
        <v>0</v>
      </c>
      <c r="G57" s="115">
        <f t="shared" si="3"/>
        <v>0.421875</v>
      </c>
      <c r="H57" s="116">
        <f t="shared" si="4"/>
        <v>0.31640625</v>
      </c>
      <c r="I57" s="117" t="s">
        <v>594</v>
      </c>
      <c r="J57" s="117" t="s">
        <v>594</v>
      </c>
      <c r="K57" s="117" t="s">
        <v>594</v>
      </c>
      <c r="L57" s="117" t="s">
        <v>594</v>
      </c>
      <c r="M57" s="117" t="s">
        <v>594</v>
      </c>
      <c r="N57" s="117" t="s">
        <v>594</v>
      </c>
      <c r="O57" s="149" t="s">
        <v>1256</v>
      </c>
      <c r="P57" s="120" t="s">
        <v>53</v>
      </c>
      <c r="Q57" s="121" t="s">
        <v>53</v>
      </c>
      <c r="R57" s="121" t="s">
        <v>561</v>
      </c>
      <c r="S57" s="119" t="s">
        <v>53</v>
      </c>
      <c r="T57" s="119" t="s">
        <v>53</v>
      </c>
      <c r="U57" s="123" t="s">
        <v>801</v>
      </c>
      <c r="V57" s="119" t="s">
        <v>53</v>
      </c>
      <c r="W57" s="119" t="s">
        <v>53</v>
      </c>
      <c r="X57" s="123" t="s">
        <v>801</v>
      </c>
      <c r="Y57" s="149" t="s">
        <v>561</v>
      </c>
      <c r="Z57" s="119" t="s">
        <v>53</v>
      </c>
      <c r="AA57" s="149" t="s">
        <v>561</v>
      </c>
      <c r="AB57" s="119" t="s">
        <v>53</v>
      </c>
      <c r="AC57" s="125" t="s">
        <v>561</v>
      </c>
      <c r="AD57" s="149" t="s">
        <v>561</v>
      </c>
      <c r="AE57" s="128" t="s">
        <v>561</v>
      </c>
      <c r="AF57" s="125" t="s">
        <v>561</v>
      </c>
      <c r="AG57" s="121" t="s">
        <v>53</v>
      </c>
      <c r="AH57" s="128" t="s">
        <v>561</v>
      </c>
      <c r="AI57" s="128" t="s">
        <v>561</v>
      </c>
      <c r="AJ57" s="128" t="s">
        <v>561</v>
      </c>
      <c r="AK57" s="125" t="s">
        <v>799</v>
      </c>
      <c r="AL57" s="128" t="s">
        <v>561</v>
      </c>
      <c r="AM57" s="128" t="s">
        <v>561</v>
      </c>
      <c r="AN57" s="128" t="s">
        <v>561</v>
      </c>
      <c r="AO57" s="128" t="s">
        <v>53</v>
      </c>
      <c r="AP57" s="121" t="s">
        <v>561</v>
      </c>
      <c r="AQ57" s="128" t="s">
        <v>53</v>
      </c>
      <c r="AR57" s="121" t="s">
        <v>53</v>
      </c>
      <c r="AS57" s="117" t="s">
        <v>561</v>
      </c>
      <c r="AT57" s="117" t="s">
        <v>53</v>
      </c>
      <c r="AU57" s="117" t="s">
        <v>561</v>
      </c>
      <c r="AV57" s="117" t="s">
        <v>561</v>
      </c>
      <c r="AW57" s="117" t="s">
        <v>561</v>
      </c>
      <c r="AX57" s="117" t="s">
        <v>600</v>
      </c>
      <c r="AY57" s="117" t="s">
        <v>600</v>
      </c>
      <c r="AZ57" s="117" t="s">
        <v>600</v>
      </c>
      <c r="BA57" s="117" t="s">
        <v>600</v>
      </c>
      <c r="BB57" s="117" t="s">
        <v>600</v>
      </c>
      <c r="BC57" s="117" t="s">
        <v>600</v>
      </c>
      <c r="BD57" s="129" t="s">
        <v>821</v>
      </c>
      <c r="BE57" s="129" t="s">
        <v>821</v>
      </c>
      <c r="BF57" s="130"/>
      <c r="BG57" s="130">
        <f t="shared" si="8"/>
        <v>585594</v>
      </c>
      <c r="BH57" s="131">
        <v>68506.0</v>
      </c>
      <c r="BI57" s="131">
        <v>515088.0</v>
      </c>
      <c r="BJ57" s="132">
        <f>2000</f>
        <v>2000</v>
      </c>
      <c r="BK57" s="132"/>
      <c r="BL57" s="133"/>
      <c r="BM57" s="133"/>
      <c r="BN57" s="133" t="s">
        <v>561</v>
      </c>
      <c r="BO57" s="133" t="s">
        <v>561</v>
      </c>
      <c r="BP57" s="133" t="s">
        <v>976</v>
      </c>
      <c r="BQ57" s="134"/>
      <c r="BR57" s="135" t="s">
        <v>850</v>
      </c>
      <c r="BS57" s="181" t="s">
        <v>2030</v>
      </c>
      <c r="BT57" s="134"/>
      <c r="BU57" s="137">
        <f t="shared" si="6"/>
        <v>0.458</v>
      </c>
      <c r="BV57" s="138">
        <v>0.7170000000000001</v>
      </c>
      <c r="BW57" s="137">
        <v>0.259</v>
      </c>
      <c r="BX57" s="137"/>
      <c r="BY57" s="137">
        <f t="shared" si="7"/>
        <v>0.507</v>
      </c>
      <c r="BZ57" s="138">
        <v>0.723</v>
      </c>
      <c r="CA57" s="137">
        <v>0.21600000000000003</v>
      </c>
      <c r="CB57" s="137"/>
      <c r="CC57" s="137">
        <v>0.207</v>
      </c>
      <c r="CD57" s="138">
        <v>0.611</v>
      </c>
      <c r="CE57" s="137">
        <v>0.079</v>
      </c>
      <c r="CF57" s="137">
        <v>0.098</v>
      </c>
      <c r="CG57" s="137">
        <v>0.04</v>
      </c>
      <c r="CH57" s="137">
        <v>0.006999999999999999</v>
      </c>
      <c r="CI57" s="139"/>
      <c r="CJ57" s="137">
        <v>0.277</v>
      </c>
      <c r="CK57" s="138">
        <v>0.532</v>
      </c>
      <c r="CL57" s="137">
        <v>0.084</v>
      </c>
      <c r="CM57" s="137">
        <v>0.094</v>
      </c>
      <c r="CN57" s="137">
        <v>0.006999999999999999</v>
      </c>
      <c r="CO57" s="137">
        <v>0.003</v>
      </c>
      <c r="CP57" s="137"/>
      <c r="CQ57" s="137">
        <v>0.239</v>
      </c>
      <c r="CR57" s="137">
        <v>0.442</v>
      </c>
      <c r="CS57" s="137">
        <v>0.154</v>
      </c>
    </row>
    <row r="58">
      <c r="A58" s="112">
        <f t="shared" si="1"/>
        <v>56</v>
      </c>
      <c r="B58" s="112" t="s">
        <v>1161</v>
      </c>
      <c r="C58" s="112" t="s">
        <v>1162</v>
      </c>
      <c r="D58" s="113" t="s">
        <v>1155</v>
      </c>
      <c r="E58" s="163"/>
      <c r="F58" s="115">
        <f t="shared" si="2"/>
        <v>0.4285714286</v>
      </c>
      <c r="G58" s="115">
        <f t="shared" si="3"/>
        <v>0.275862069</v>
      </c>
      <c r="H58" s="116">
        <f t="shared" si="4"/>
        <v>0.3140394089</v>
      </c>
      <c r="I58" s="117" t="s">
        <v>594</v>
      </c>
      <c r="J58" s="117" t="s">
        <v>487</v>
      </c>
      <c r="K58" s="117" t="s">
        <v>487</v>
      </c>
      <c r="L58" s="117" t="s">
        <v>487</v>
      </c>
      <c r="M58" s="117" t="s">
        <v>594</v>
      </c>
      <c r="N58" s="117" t="s">
        <v>594</v>
      </c>
      <c r="O58" s="149" t="s">
        <v>1256</v>
      </c>
      <c r="P58" s="156" t="s">
        <v>801</v>
      </c>
      <c r="Q58" s="121" t="s">
        <v>801</v>
      </c>
      <c r="R58" s="121" t="s">
        <v>801</v>
      </c>
      <c r="S58" s="121" t="s">
        <v>801</v>
      </c>
      <c r="T58" s="123" t="s">
        <v>801</v>
      </c>
      <c r="U58" s="123" t="s">
        <v>801</v>
      </c>
      <c r="V58" s="123" t="s">
        <v>801</v>
      </c>
      <c r="W58" s="123" t="s">
        <v>801</v>
      </c>
      <c r="X58" s="119" t="s">
        <v>53</v>
      </c>
      <c r="Y58" s="149" t="s">
        <v>561</v>
      </c>
      <c r="Z58" s="149" t="s">
        <v>561</v>
      </c>
      <c r="AA58" s="149" t="s">
        <v>561</v>
      </c>
      <c r="AB58" s="149" t="s">
        <v>561</v>
      </c>
      <c r="AC58" s="125" t="s">
        <v>561</v>
      </c>
      <c r="AD58" s="149" t="s">
        <v>561</v>
      </c>
      <c r="AE58" s="128" t="s">
        <v>561</v>
      </c>
      <c r="AF58" s="125" t="s">
        <v>561</v>
      </c>
      <c r="AG58" s="121" t="s">
        <v>53</v>
      </c>
      <c r="AH58" s="128" t="s">
        <v>561</v>
      </c>
      <c r="AI58" s="125" t="s">
        <v>53</v>
      </c>
      <c r="AJ58" s="121" t="s">
        <v>53</v>
      </c>
      <c r="AK58" s="125" t="s">
        <v>799</v>
      </c>
      <c r="AL58" s="128" t="s">
        <v>561</v>
      </c>
      <c r="AM58" s="128" t="s">
        <v>801</v>
      </c>
      <c r="AN58" s="128" t="s">
        <v>561</v>
      </c>
      <c r="AO58" s="128" t="s">
        <v>53</v>
      </c>
      <c r="AP58" s="121" t="s">
        <v>561</v>
      </c>
      <c r="AQ58" s="128" t="s">
        <v>53</v>
      </c>
      <c r="AR58" s="128" t="s">
        <v>801</v>
      </c>
      <c r="AS58" s="117" t="s">
        <v>561</v>
      </c>
      <c r="AT58" s="117" t="s">
        <v>53</v>
      </c>
      <c r="AU58" s="117" t="s">
        <v>561</v>
      </c>
      <c r="AV58" s="117" t="s">
        <v>561</v>
      </c>
      <c r="AW58" s="117" t="s">
        <v>561</v>
      </c>
      <c r="AX58" s="117" t="s">
        <v>561</v>
      </c>
      <c r="AY58" s="117" t="s">
        <v>561</v>
      </c>
      <c r="AZ58" s="117" t="s">
        <v>561</v>
      </c>
      <c r="BA58" s="117" t="s">
        <v>561</v>
      </c>
      <c r="BB58" s="117" t="s">
        <v>799</v>
      </c>
      <c r="BC58" s="117" t="s">
        <v>600</v>
      </c>
      <c r="BD58" s="129" t="s">
        <v>821</v>
      </c>
      <c r="BE58" s="129" t="s">
        <v>821</v>
      </c>
      <c r="BF58" s="130"/>
      <c r="BG58" s="130">
        <f t="shared" si="8"/>
        <v>0</v>
      </c>
      <c r="BH58" s="131"/>
      <c r="BI58" s="131"/>
      <c r="BJ58" s="132"/>
      <c r="BK58" s="132"/>
      <c r="BL58" s="133"/>
      <c r="BM58" s="133" t="s">
        <v>561</v>
      </c>
      <c r="BN58" s="133"/>
      <c r="BO58" s="133"/>
      <c r="BP58" s="133" t="s">
        <v>2524</v>
      </c>
      <c r="BQ58" s="134"/>
      <c r="BR58" s="135" t="s">
        <v>850</v>
      </c>
      <c r="BS58" s="134"/>
      <c r="BT58" s="134"/>
      <c r="BU58" s="137">
        <f t="shared" si="6"/>
        <v>0.809</v>
      </c>
      <c r="BV58" s="138">
        <v>0.902</v>
      </c>
      <c r="BW58" s="137">
        <v>0.09300000000000001</v>
      </c>
      <c r="BX58" s="137"/>
      <c r="BY58" s="137">
        <f t="shared" si="7"/>
        <v>0.819</v>
      </c>
      <c r="BZ58" s="138">
        <v>0.899</v>
      </c>
      <c r="CA58" s="137">
        <v>0.08</v>
      </c>
      <c r="CB58" s="137"/>
      <c r="CC58" s="137">
        <v>0.353</v>
      </c>
      <c r="CD58" s="137">
        <v>0.053</v>
      </c>
      <c r="CE58" s="138">
        <v>0.51</v>
      </c>
      <c r="CF58" s="137">
        <v>0.08199999999999999</v>
      </c>
      <c r="CG58" s="137">
        <v>0.013999999999999999</v>
      </c>
      <c r="CH58" s="137">
        <v>0.002</v>
      </c>
      <c r="CI58" s="139"/>
      <c r="CJ58" s="137">
        <v>0.353</v>
      </c>
      <c r="CK58" s="137">
        <v>0.04</v>
      </c>
      <c r="CL58" s="138">
        <v>0.552</v>
      </c>
      <c r="CM58" s="137">
        <v>0.046</v>
      </c>
      <c r="CN58" s="137">
        <v>0.006</v>
      </c>
      <c r="CO58" s="137">
        <v>0.0</v>
      </c>
      <c r="CP58" s="137"/>
      <c r="CQ58" s="137">
        <v>0.39</v>
      </c>
      <c r="CR58" s="138">
        <v>0.6579999999999999</v>
      </c>
      <c r="CS58" s="137">
        <v>0.121</v>
      </c>
    </row>
    <row r="59">
      <c r="A59" s="112">
        <f t="shared" si="1"/>
        <v>57</v>
      </c>
      <c r="B59" s="112" t="s">
        <v>860</v>
      </c>
      <c r="C59" s="112" t="s">
        <v>96</v>
      </c>
      <c r="D59" s="113" t="s">
        <v>858</v>
      </c>
      <c r="E59" s="153" t="s">
        <v>2525</v>
      </c>
      <c r="F59" s="115">
        <f t="shared" si="2"/>
        <v>0.1428571429</v>
      </c>
      <c r="G59" s="115">
        <f t="shared" si="3"/>
        <v>0.3684210526</v>
      </c>
      <c r="H59" s="116">
        <f t="shared" si="4"/>
        <v>0.3120300752</v>
      </c>
      <c r="I59" s="117" t="s">
        <v>594</v>
      </c>
      <c r="J59" s="117" t="s">
        <v>594</v>
      </c>
      <c r="K59" s="117" t="s">
        <v>487</v>
      </c>
      <c r="L59" s="117" t="s">
        <v>594</v>
      </c>
      <c r="M59" s="117" t="s">
        <v>594</v>
      </c>
      <c r="N59" s="117" t="s">
        <v>594</v>
      </c>
      <c r="O59" s="149" t="s">
        <v>1256</v>
      </c>
      <c r="P59" s="185" t="s">
        <v>561</v>
      </c>
      <c r="Q59" s="121" t="s">
        <v>53</v>
      </c>
      <c r="R59" s="121" t="s">
        <v>561</v>
      </c>
      <c r="S59" s="119" t="s">
        <v>53</v>
      </c>
      <c r="T59" s="119" t="s">
        <v>53</v>
      </c>
      <c r="U59" s="119" t="s">
        <v>53</v>
      </c>
      <c r="V59" s="119" t="s">
        <v>53</v>
      </c>
      <c r="W59" s="119" t="s">
        <v>53</v>
      </c>
      <c r="X59" s="119" t="s">
        <v>53</v>
      </c>
      <c r="Y59" s="119" t="s">
        <v>53</v>
      </c>
      <c r="Z59" s="119" t="s">
        <v>53</v>
      </c>
      <c r="AA59" s="149" t="s">
        <v>561</v>
      </c>
      <c r="AB59" s="149" t="s">
        <v>561</v>
      </c>
      <c r="AC59" s="125" t="s">
        <v>561</v>
      </c>
      <c r="AD59" s="123" t="s">
        <v>801</v>
      </c>
      <c r="AE59" s="128" t="s">
        <v>561</v>
      </c>
      <c r="AF59" s="125" t="s">
        <v>561</v>
      </c>
      <c r="AG59" s="121" t="s">
        <v>53</v>
      </c>
      <c r="AH59" s="128" t="s">
        <v>561</v>
      </c>
      <c r="AI59" s="125" t="s">
        <v>53</v>
      </c>
      <c r="AJ59" s="128" t="s">
        <v>561</v>
      </c>
      <c r="AK59" s="125" t="s">
        <v>801</v>
      </c>
      <c r="AL59" s="128" t="s">
        <v>561</v>
      </c>
      <c r="AM59" s="128" t="s">
        <v>561</v>
      </c>
      <c r="AN59" s="128" t="s">
        <v>561</v>
      </c>
      <c r="AO59" s="128" t="s">
        <v>53</v>
      </c>
      <c r="AP59" s="121" t="s">
        <v>561</v>
      </c>
      <c r="AQ59" s="128" t="s">
        <v>53</v>
      </c>
      <c r="AR59" s="128" t="s">
        <v>561</v>
      </c>
      <c r="AS59" s="117" t="s">
        <v>561</v>
      </c>
      <c r="AT59" s="117" t="s">
        <v>561</v>
      </c>
      <c r="AU59" s="117" t="s">
        <v>561</v>
      </c>
      <c r="AV59" s="117" t="s">
        <v>561</v>
      </c>
      <c r="AW59" s="117" t="s">
        <v>561</v>
      </c>
      <c r="AX59" s="117" t="s">
        <v>561</v>
      </c>
      <c r="AY59" s="117" t="s">
        <v>561</v>
      </c>
      <c r="AZ59" s="117" t="s">
        <v>561</v>
      </c>
      <c r="BA59" s="117" t="s">
        <v>561</v>
      </c>
      <c r="BB59" s="117" t="s">
        <v>53</v>
      </c>
      <c r="BC59" s="117" t="s">
        <v>561</v>
      </c>
      <c r="BD59" s="129" t="s">
        <v>821</v>
      </c>
      <c r="BE59" s="164" t="s">
        <v>1832</v>
      </c>
      <c r="BF59" s="130"/>
      <c r="BG59" s="130">
        <f t="shared" si="8"/>
        <v>0</v>
      </c>
      <c r="BH59" s="131"/>
      <c r="BI59" s="131"/>
      <c r="BJ59" s="132"/>
      <c r="BK59" s="132"/>
      <c r="BL59" s="133"/>
      <c r="BM59" s="133"/>
      <c r="BN59" s="133"/>
      <c r="BO59" s="133"/>
      <c r="BP59" s="133" t="s">
        <v>2526</v>
      </c>
      <c r="BQ59" s="134"/>
      <c r="BR59" s="134"/>
      <c r="BS59" s="134"/>
      <c r="BT59" s="134"/>
      <c r="BU59" s="137">
        <f t="shared" si="6"/>
        <v>0.261</v>
      </c>
      <c r="BV59" s="138">
        <v>0.625</v>
      </c>
      <c r="BW59" s="137">
        <v>0.364</v>
      </c>
      <c r="BX59" s="137"/>
      <c r="BY59" s="137">
        <f t="shared" si="7"/>
        <v>0.259</v>
      </c>
      <c r="BZ59" s="138">
        <v>0.623</v>
      </c>
      <c r="CA59" s="137">
        <v>0.364</v>
      </c>
      <c r="CB59" s="137"/>
      <c r="CC59" s="141">
        <v>0.343</v>
      </c>
      <c r="CD59" s="141">
        <v>0.021</v>
      </c>
      <c r="CE59" s="142">
        <v>0.621</v>
      </c>
      <c r="CF59" s="141">
        <v>0.008</v>
      </c>
      <c r="CG59" s="141">
        <v>0.011</v>
      </c>
      <c r="CH59" s="141">
        <v>0.001</v>
      </c>
      <c r="CI59" s="143"/>
      <c r="CJ59" s="141">
        <v>0.342</v>
      </c>
      <c r="CK59" s="141">
        <v>0.014</v>
      </c>
      <c r="CL59" s="142">
        <v>0.635</v>
      </c>
      <c r="CM59" s="141">
        <v>0.004</v>
      </c>
      <c r="CN59" s="141">
        <v>0.005</v>
      </c>
      <c r="CO59" s="141">
        <v>0.0</v>
      </c>
      <c r="CP59" s="137"/>
      <c r="CQ59" s="137">
        <v>0.198</v>
      </c>
      <c r="CR59" s="137">
        <v>0.255</v>
      </c>
      <c r="CS59" s="137">
        <v>0.255</v>
      </c>
    </row>
    <row r="60">
      <c r="A60" s="112">
        <f t="shared" si="1"/>
        <v>58</v>
      </c>
      <c r="B60" s="112" t="s">
        <v>1009</v>
      </c>
      <c r="C60" s="112" t="s">
        <v>1010</v>
      </c>
      <c r="D60" s="113" t="s">
        <v>1007</v>
      </c>
      <c r="E60" s="186"/>
      <c r="F60" s="115">
        <f t="shared" si="2"/>
        <v>0</v>
      </c>
      <c r="G60" s="115">
        <f t="shared" si="3"/>
        <v>0.4125</v>
      </c>
      <c r="H60" s="116">
        <f t="shared" si="4"/>
        <v>0.309375</v>
      </c>
      <c r="I60" s="117" t="s">
        <v>594</v>
      </c>
      <c r="J60" s="117" t="s">
        <v>594</v>
      </c>
      <c r="K60" s="117" t="s">
        <v>594</v>
      </c>
      <c r="L60" s="117" t="s">
        <v>594</v>
      </c>
      <c r="M60" s="117" t="s">
        <v>594</v>
      </c>
      <c r="N60" s="117" t="s">
        <v>594</v>
      </c>
      <c r="O60" s="149" t="s">
        <v>1256</v>
      </c>
      <c r="P60" s="120" t="s">
        <v>53</v>
      </c>
      <c r="Q60" s="121" t="s">
        <v>53</v>
      </c>
      <c r="R60" s="121" t="s">
        <v>561</v>
      </c>
      <c r="S60" s="119" t="s">
        <v>53</v>
      </c>
      <c r="T60" s="119" t="s">
        <v>53</v>
      </c>
      <c r="U60" s="119" t="s">
        <v>53</v>
      </c>
      <c r="V60" s="119" t="s">
        <v>53</v>
      </c>
      <c r="W60" s="119" t="s">
        <v>53</v>
      </c>
      <c r="X60" s="119" t="s">
        <v>53</v>
      </c>
      <c r="Y60" s="149" t="s">
        <v>561</v>
      </c>
      <c r="Z60" s="149" t="s">
        <v>561</v>
      </c>
      <c r="AA60" s="149" t="s">
        <v>561</v>
      </c>
      <c r="AB60" s="119" t="s">
        <v>53</v>
      </c>
      <c r="AC60" s="125" t="s">
        <v>561</v>
      </c>
      <c r="AD60" s="149" t="s">
        <v>561</v>
      </c>
      <c r="AE60" s="128" t="s">
        <v>561</v>
      </c>
      <c r="AF60" s="125" t="s">
        <v>561</v>
      </c>
      <c r="AG60" s="121" t="s">
        <v>53</v>
      </c>
      <c r="AH60" s="128" t="s">
        <v>561</v>
      </c>
      <c r="AI60" s="125" t="s">
        <v>53</v>
      </c>
      <c r="AJ60" s="121" t="s">
        <v>53</v>
      </c>
      <c r="AK60" s="125" t="s">
        <v>799</v>
      </c>
      <c r="AL60" s="128" t="s">
        <v>561</v>
      </c>
      <c r="AM60" s="128" t="s">
        <v>561</v>
      </c>
      <c r="AN60" s="128" t="s">
        <v>53</v>
      </c>
      <c r="AO60" s="128" t="s">
        <v>53</v>
      </c>
      <c r="AP60" s="121" t="s">
        <v>561</v>
      </c>
      <c r="AQ60" s="128" t="s">
        <v>53</v>
      </c>
      <c r="AR60" s="121" t="s">
        <v>53</v>
      </c>
      <c r="AS60" s="117" t="s">
        <v>561</v>
      </c>
      <c r="AT60" s="117" t="s">
        <v>561</v>
      </c>
      <c r="AU60" s="117" t="s">
        <v>561</v>
      </c>
      <c r="AV60" s="117" t="s">
        <v>561</v>
      </c>
      <c r="AW60" s="117" t="s">
        <v>561</v>
      </c>
      <c r="AX60" s="117" t="s">
        <v>561</v>
      </c>
      <c r="AY60" s="117" t="s">
        <v>561</v>
      </c>
      <c r="AZ60" s="117" t="s">
        <v>561</v>
      </c>
      <c r="BA60" s="117" t="s">
        <v>561</v>
      </c>
      <c r="BB60" s="117" t="s">
        <v>561</v>
      </c>
      <c r="BC60" s="117" t="s">
        <v>561</v>
      </c>
      <c r="BD60" s="129" t="s">
        <v>821</v>
      </c>
      <c r="BE60" s="129" t="s">
        <v>821</v>
      </c>
      <c r="BF60" s="130"/>
      <c r="BG60" s="130">
        <f t="shared" si="8"/>
        <v>22261</v>
      </c>
      <c r="BH60" s="131">
        <v>22261.0</v>
      </c>
      <c r="BI60" s="131"/>
      <c r="BJ60" s="132"/>
      <c r="BK60" s="132"/>
      <c r="BL60" s="133"/>
      <c r="BM60" s="133" t="s">
        <v>561</v>
      </c>
      <c r="BN60" s="133"/>
      <c r="BO60" s="133" t="s">
        <v>561</v>
      </c>
      <c r="BP60" s="133" t="s">
        <v>1495</v>
      </c>
      <c r="BQ60" s="134"/>
      <c r="BR60" s="135" t="s">
        <v>850</v>
      </c>
      <c r="BS60" s="181" t="s">
        <v>122</v>
      </c>
      <c r="BT60" s="134"/>
      <c r="BU60" s="137">
        <f t="shared" si="6"/>
        <v>0.515</v>
      </c>
      <c r="BV60" s="138">
        <v>0.754</v>
      </c>
      <c r="BW60" s="137">
        <v>0.239</v>
      </c>
      <c r="BX60" s="137"/>
      <c r="BY60" s="137">
        <f t="shared" si="7"/>
        <v>0.593</v>
      </c>
      <c r="BZ60" s="138">
        <v>0.7829999999999999</v>
      </c>
      <c r="CA60" s="137">
        <v>0.19</v>
      </c>
      <c r="CB60" s="137"/>
      <c r="CC60" s="137">
        <v>0.307</v>
      </c>
      <c r="CD60" s="137">
        <v>0.11199999999999999</v>
      </c>
      <c r="CE60" s="138">
        <v>0.48700000000000004</v>
      </c>
      <c r="CF60" s="137">
        <v>0.106</v>
      </c>
      <c r="CG60" s="137">
        <v>0.013000000000000001</v>
      </c>
      <c r="CH60" s="137">
        <v>0.002</v>
      </c>
      <c r="CI60" s="139"/>
      <c r="CJ60" s="137">
        <v>0.344</v>
      </c>
      <c r="CK60" s="137">
        <v>0.096</v>
      </c>
      <c r="CL60" s="138">
        <v>0.48200000000000004</v>
      </c>
      <c r="CM60" s="137">
        <v>0.071</v>
      </c>
      <c r="CN60" s="137">
        <v>0.004</v>
      </c>
      <c r="CO60" s="137">
        <v>0.0</v>
      </c>
      <c r="CP60" s="137"/>
      <c r="CQ60" s="137">
        <v>0.35200000000000004</v>
      </c>
      <c r="CR60" s="138">
        <v>0.529</v>
      </c>
      <c r="CS60" s="137">
        <v>0.162</v>
      </c>
    </row>
    <row r="61">
      <c r="A61" s="112">
        <f t="shared" si="1"/>
        <v>59</v>
      </c>
      <c r="B61" s="112" t="s">
        <v>371</v>
      </c>
      <c r="C61" s="112" t="s">
        <v>372</v>
      </c>
      <c r="D61" s="113" t="s">
        <v>367</v>
      </c>
      <c r="E61" s="186"/>
      <c r="F61" s="115">
        <f t="shared" si="2"/>
        <v>0.1428571429</v>
      </c>
      <c r="G61" s="115">
        <f t="shared" si="3"/>
        <v>0.3625</v>
      </c>
      <c r="H61" s="116">
        <f t="shared" si="4"/>
        <v>0.3075892857</v>
      </c>
      <c r="I61" s="117" t="s">
        <v>594</v>
      </c>
      <c r="J61" s="117" t="s">
        <v>594</v>
      </c>
      <c r="K61" s="117" t="s">
        <v>487</v>
      </c>
      <c r="L61" s="117" t="s">
        <v>594</v>
      </c>
      <c r="M61" s="117" t="s">
        <v>594</v>
      </c>
      <c r="N61" s="117" t="s">
        <v>594</v>
      </c>
      <c r="O61" s="149" t="s">
        <v>1256</v>
      </c>
      <c r="P61" s="120" t="s">
        <v>53</v>
      </c>
      <c r="Q61" s="121" t="s">
        <v>53</v>
      </c>
      <c r="R61" s="121" t="s">
        <v>561</v>
      </c>
      <c r="S61" s="119" t="s">
        <v>53</v>
      </c>
      <c r="T61" s="119" t="s">
        <v>53</v>
      </c>
      <c r="U61" s="119" t="s">
        <v>53</v>
      </c>
      <c r="V61" s="119" t="s">
        <v>53</v>
      </c>
      <c r="W61" s="119" t="s">
        <v>53</v>
      </c>
      <c r="X61" s="119" t="s">
        <v>53</v>
      </c>
      <c r="Y61" s="149" t="s">
        <v>561</v>
      </c>
      <c r="Z61" s="149" t="s">
        <v>561</v>
      </c>
      <c r="AA61" s="149" t="s">
        <v>561</v>
      </c>
      <c r="AB61" s="149" t="s">
        <v>561</v>
      </c>
      <c r="AC61" s="125" t="s">
        <v>561</v>
      </c>
      <c r="AD61" s="149" t="s">
        <v>561</v>
      </c>
      <c r="AE61" s="128" t="s">
        <v>561</v>
      </c>
      <c r="AF61" s="125" t="s">
        <v>561</v>
      </c>
      <c r="AG61" s="121" t="s">
        <v>53</v>
      </c>
      <c r="AH61" s="128" t="s">
        <v>561</v>
      </c>
      <c r="AI61" s="125" t="s">
        <v>53</v>
      </c>
      <c r="AJ61" s="128" t="s">
        <v>561</v>
      </c>
      <c r="AK61" s="125" t="s">
        <v>799</v>
      </c>
      <c r="AL61" s="128" t="s">
        <v>561</v>
      </c>
      <c r="AM61" s="128" t="s">
        <v>561</v>
      </c>
      <c r="AN61" s="128" t="s">
        <v>53</v>
      </c>
      <c r="AO61" s="128" t="s">
        <v>53</v>
      </c>
      <c r="AP61" s="121" t="s">
        <v>561</v>
      </c>
      <c r="AQ61" s="128" t="s">
        <v>53</v>
      </c>
      <c r="AR61" s="128" t="s">
        <v>561</v>
      </c>
      <c r="AS61" s="117" t="s">
        <v>561</v>
      </c>
      <c r="AT61" s="117" t="s">
        <v>561</v>
      </c>
      <c r="AU61" s="117" t="s">
        <v>561</v>
      </c>
      <c r="AV61" s="117" t="s">
        <v>561</v>
      </c>
      <c r="AW61" s="117" t="s">
        <v>561</v>
      </c>
      <c r="AX61" s="117" t="s">
        <v>561</v>
      </c>
      <c r="AY61" s="117" t="s">
        <v>561</v>
      </c>
      <c r="AZ61" s="117" t="s">
        <v>561</v>
      </c>
      <c r="BA61" s="117" t="s">
        <v>561</v>
      </c>
      <c r="BB61" s="117" t="s">
        <v>53</v>
      </c>
      <c r="BC61" s="117" t="s">
        <v>561</v>
      </c>
      <c r="BD61" s="129" t="s">
        <v>821</v>
      </c>
      <c r="BE61" s="129" t="s">
        <v>821</v>
      </c>
      <c r="BF61" s="130"/>
      <c r="BG61" s="130">
        <f t="shared" si="8"/>
        <v>8400</v>
      </c>
      <c r="BH61" s="131">
        <v>8400.0</v>
      </c>
      <c r="BI61" s="131"/>
      <c r="BJ61" s="132"/>
      <c r="BK61" s="132"/>
      <c r="BL61" s="133"/>
      <c r="BM61" s="133" t="s">
        <v>561</v>
      </c>
      <c r="BN61" s="133"/>
      <c r="BO61" s="133" t="s">
        <v>561</v>
      </c>
      <c r="BP61" s="133" t="s">
        <v>1711</v>
      </c>
      <c r="BQ61" s="134"/>
      <c r="BR61" s="135" t="s">
        <v>850</v>
      </c>
      <c r="BS61" s="181" t="s">
        <v>122</v>
      </c>
      <c r="BT61" s="134"/>
      <c r="BU61" s="137">
        <f t="shared" si="6"/>
        <v>0.613</v>
      </c>
      <c r="BV61" s="138">
        <v>0.795</v>
      </c>
      <c r="BW61" s="137">
        <v>0.182</v>
      </c>
      <c r="BX61" s="137"/>
      <c r="BY61" s="137">
        <f t="shared" si="7"/>
        <v>0.547</v>
      </c>
      <c r="BZ61" s="138">
        <v>0.736</v>
      </c>
      <c r="CA61" s="137">
        <v>0.18899999999999997</v>
      </c>
      <c r="CB61" s="137"/>
      <c r="CC61" s="138">
        <v>0.588</v>
      </c>
      <c r="CD61" s="137">
        <v>0.244</v>
      </c>
      <c r="CE61" s="137">
        <v>0.09699999999999999</v>
      </c>
      <c r="CF61" s="137">
        <v>0.052000000000000005</v>
      </c>
      <c r="CG61" s="137">
        <v>0.033</v>
      </c>
      <c r="CH61" s="137">
        <v>0.004</v>
      </c>
      <c r="CI61" s="139"/>
      <c r="CJ61" s="138">
        <v>0.645</v>
      </c>
      <c r="CK61" s="137">
        <v>0.209</v>
      </c>
      <c r="CL61" s="137">
        <v>0.096</v>
      </c>
      <c r="CM61" s="137">
        <v>0.035</v>
      </c>
      <c r="CN61" s="137">
        <v>0.011000000000000001</v>
      </c>
      <c r="CO61" s="137">
        <v>0.001</v>
      </c>
      <c r="CP61" s="137"/>
      <c r="CQ61" s="138">
        <v>0.504</v>
      </c>
      <c r="CR61" s="138">
        <v>0.6609999999999999</v>
      </c>
      <c r="CS61" s="137">
        <v>0.218</v>
      </c>
    </row>
    <row r="62">
      <c r="A62" s="112">
        <f t="shared" si="1"/>
        <v>59</v>
      </c>
      <c r="B62" s="112" t="s">
        <v>120</v>
      </c>
      <c r="C62" s="112" t="s">
        <v>121</v>
      </c>
      <c r="D62" s="113" t="s">
        <v>115</v>
      </c>
      <c r="E62" s="154" t="s">
        <v>2565</v>
      </c>
      <c r="F62" s="115">
        <f t="shared" si="2"/>
        <v>0.1428571429</v>
      </c>
      <c r="G62" s="115">
        <f t="shared" si="3"/>
        <v>0.3625</v>
      </c>
      <c r="H62" s="116">
        <f t="shared" si="4"/>
        <v>0.3075892857</v>
      </c>
      <c r="I62" s="117" t="s">
        <v>594</v>
      </c>
      <c r="J62" s="117" t="s">
        <v>594</v>
      </c>
      <c r="K62" s="117" t="s">
        <v>487</v>
      </c>
      <c r="L62" s="117" t="s">
        <v>594</v>
      </c>
      <c r="M62" s="117" t="s">
        <v>594</v>
      </c>
      <c r="N62" s="117" t="s">
        <v>594</v>
      </c>
      <c r="O62" s="149" t="s">
        <v>1256</v>
      </c>
      <c r="P62" s="120" t="s">
        <v>53</v>
      </c>
      <c r="Q62" s="121" t="s">
        <v>53</v>
      </c>
      <c r="R62" s="121" t="s">
        <v>561</v>
      </c>
      <c r="S62" s="119" t="s">
        <v>53</v>
      </c>
      <c r="T62" s="119" t="s">
        <v>53</v>
      </c>
      <c r="U62" s="119" t="s">
        <v>53</v>
      </c>
      <c r="V62" s="119" t="s">
        <v>53</v>
      </c>
      <c r="W62" s="119" t="s">
        <v>53</v>
      </c>
      <c r="X62" s="119" t="s">
        <v>53</v>
      </c>
      <c r="Y62" s="119" t="s">
        <v>53</v>
      </c>
      <c r="Z62" s="149" t="s">
        <v>561</v>
      </c>
      <c r="AA62" s="149" t="s">
        <v>561</v>
      </c>
      <c r="AB62" s="149" t="s">
        <v>561</v>
      </c>
      <c r="AC62" s="125" t="s">
        <v>561</v>
      </c>
      <c r="AD62" s="149" t="s">
        <v>561</v>
      </c>
      <c r="AE62" s="128" t="s">
        <v>561</v>
      </c>
      <c r="AF62" s="125" t="s">
        <v>561</v>
      </c>
      <c r="AG62" s="121" t="s">
        <v>53</v>
      </c>
      <c r="AH62" s="128" t="s">
        <v>561</v>
      </c>
      <c r="AI62" s="128" t="s">
        <v>561</v>
      </c>
      <c r="AJ62" s="128" t="s">
        <v>561</v>
      </c>
      <c r="AK62" s="125" t="s">
        <v>799</v>
      </c>
      <c r="AL62" s="128" t="s">
        <v>561</v>
      </c>
      <c r="AM62" s="128" t="s">
        <v>561</v>
      </c>
      <c r="AN62" s="128" t="s">
        <v>561</v>
      </c>
      <c r="AO62" s="128" t="s">
        <v>53</v>
      </c>
      <c r="AP62" s="121" t="s">
        <v>561</v>
      </c>
      <c r="AQ62" s="128" t="s">
        <v>53</v>
      </c>
      <c r="AR62" s="128" t="s">
        <v>561</v>
      </c>
      <c r="AS62" s="117" t="s">
        <v>561</v>
      </c>
      <c r="AT62" s="117" t="s">
        <v>53</v>
      </c>
      <c r="AU62" s="117" t="s">
        <v>561</v>
      </c>
      <c r="AV62" s="117" t="s">
        <v>561</v>
      </c>
      <c r="AW62" s="117" t="s">
        <v>561</v>
      </c>
      <c r="AX62" s="117" t="s">
        <v>561</v>
      </c>
      <c r="AY62" s="117" t="s">
        <v>561</v>
      </c>
      <c r="AZ62" s="117" t="s">
        <v>561</v>
      </c>
      <c r="BA62" s="117" t="s">
        <v>561</v>
      </c>
      <c r="BB62" s="117" t="s">
        <v>53</v>
      </c>
      <c r="BC62" s="117" t="s">
        <v>561</v>
      </c>
      <c r="BD62" s="129" t="s">
        <v>821</v>
      </c>
      <c r="BE62" s="129" t="s">
        <v>821</v>
      </c>
      <c r="BF62" s="130"/>
      <c r="BG62" s="130">
        <f t="shared" si="8"/>
        <v>0</v>
      </c>
      <c r="BH62" s="131"/>
      <c r="BI62" s="131"/>
      <c r="BJ62" s="132"/>
      <c r="BK62" s="132"/>
      <c r="BL62" s="133"/>
      <c r="BM62" s="133" t="s">
        <v>561</v>
      </c>
      <c r="BN62" s="133"/>
      <c r="BO62" s="133"/>
      <c r="BP62" s="133" t="s">
        <v>1808</v>
      </c>
      <c r="BQ62" s="134"/>
      <c r="BR62" s="135" t="s">
        <v>850</v>
      </c>
      <c r="BS62" s="134"/>
      <c r="BT62" s="134"/>
      <c r="BU62" s="137">
        <f t="shared" si="6"/>
        <v>0.54</v>
      </c>
      <c r="BV62" s="138">
        <v>0.76</v>
      </c>
      <c r="BW62" s="137">
        <v>0.22</v>
      </c>
      <c r="BX62" s="137"/>
      <c r="BY62" s="137">
        <f t="shared" si="7"/>
        <v>0.559</v>
      </c>
      <c r="BZ62" s="138">
        <v>0.753</v>
      </c>
      <c r="CA62" s="137">
        <v>0.19399999999999998</v>
      </c>
      <c r="CB62" s="137"/>
      <c r="CC62" s="137">
        <v>0.26899999999999996</v>
      </c>
      <c r="CD62" s="138">
        <v>0.315</v>
      </c>
      <c r="CE62" s="137">
        <v>0.177</v>
      </c>
      <c r="CF62" s="137">
        <v>0.22399999999999998</v>
      </c>
      <c r="CG62" s="137">
        <v>0.036000000000000004</v>
      </c>
      <c r="CH62" s="137">
        <v>0.016</v>
      </c>
      <c r="CI62" s="139"/>
      <c r="CJ62" s="138">
        <v>0.342</v>
      </c>
      <c r="CK62" s="137">
        <v>0.24100000000000002</v>
      </c>
      <c r="CL62" s="137">
        <v>0.19</v>
      </c>
      <c r="CM62" s="137">
        <v>0.197</v>
      </c>
      <c r="CN62" s="137">
        <v>0.012</v>
      </c>
      <c r="CO62" s="137">
        <v>0.006999999999999999</v>
      </c>
      <c r="CP62" s="137"/>
      <c r="CQ62" s="137">
        <v>0.28600000000000003</v>
      </c>
      <c r="CR62" s="137">
        <v>0.371</v>
      </c>
      <c r="CS62" s="137">
        <v>0.215</v>
      </c>
    </row>
    <row r="63">
      <c r="A63" s="112">
        <f t="shared" si="1"/>
        <v>61</v>
      </c>
      <c r="B63" s="112" t="s">
        <v>965</v>
      </c>
      <c r="C63" s="112" t="s">
        <v>966</v>
      </c>
      <c r="D63" s="113" t="s">
        <v>963</v>
      </c>
      <c r="E63" s="154" t="s">
        <v>2570</v>
      </c>
      <c r="F63" s="115">
        <f t="shared" si="2"/>
        <v>0.1428571429</v>
      </c>
      <c r="G63" s="115">
        <f t="shared" si="3"/>
        <v>0.3611111111</v>
      </c>
      <c r="H63" s="116">
        <f t="shared" si="4"/>
        <v>0.306547619</v>
      </c>
      <c r="I63" s="117" t="s">
        <v>594</v>
      </c>
      <c r="J63" s="117" t="s">
        <v>594</v>
      </c>
      <c r="K63" s="117" t="s">
        <v>487</v>
      </c>
      <c r="L63" s="117" t="s">
        <v>594</v>
      </c>
      <c r="M63" s="117" t="s">
        <v>594</v>
      </c>
      <c r="N63" s="117" t="s">
        <v>594</v>
      </c>
      <c r="O63" s="149" t="s">
        <v>1256</v>
      </c>
      <c r="P63" s="120" t="s">
        <v>53</v>
      </c>
      <c r="Q63" s="121" t="s">
        <v>53</v>
      </c>
      <c r="R63" s="121" t="s">
        <v>561</v>
      </c>
      <c r="S63" s="119" t="s">
        <v>53</v>
      </c>
      <c r="T63" s="119" t="s">
        <v>53</v>
      </c>
      <c r="U63" s="119" t="s">
        <v>53</v>
      </c>
      <c r="V63" s="119" t="s">
        <v>53</v>
      </c>
      <c r="W63" s="119" t="s">
        <v>53</v>
      </c>
      <c r="X63" s="119" t="s">
        <v>53</v>
      </c>
      <c r="Y63" s="149" t="s">
        <v>561</v>
      </c>
      <c r="Z63" s="149" t="s">
        <v>561</v>
      </c>
      <c r="AA63" s="149" t="s">
        <v>561</v>
      </c>
      <c r="AB63" s="149" t="s">
        <v>561</v>
      </c>
      <c r="AC63" s="125" t="s">
        <v>561</v>
      </c>
      <c r="AD63" s="149" t="s">
        <v>561</v>
      </c>
      <c r="AE63" s="128" t="s">
        <v>561</v>
      </c>
      <c r="AF63" s="125" t="s">
        <v>561</v>
      </c>
      <c r="AG63" s="121" t="s">
        <v>53</v>
      </c>
      <c r="AH63" s="128" t="s">
        <v>561</v>
      </c>
      <c r="AI63" s="128" t="s">
        <v>561</v>
      </c>
      <c r="AJ63" s="128" t="s">
        <v>561</v>
      </c>
      <c r="AK63" s="125" t="s">
        <v>561</v>
      </c>
      <c r="AL63" s="128" t="s">
        <v>561</v>
      </c>
      <c r="AM63" s="128" t="s">
        <v>561</v>
      </c>
      <c r="AN63" s="128" t="s">
        <v>53</v>
      </c>
      <c r="AO63" s="128" t="s">
        <v>53</v>
      </c>
      <c r="AP63" s="121" t="s">
        <v>561</v>
      </c>
      <c r="AQ63" s="128" t="s">
        <v>53</v>
      </c>
      <c r="AR63" s="128" t="s">
        <v>561</v>
      </c>
      <c r="AS63" s="117" t="s">
        <v>561</v>
      </c>
      <c r="AT63" s="117" t="s">
        <v>53</v>
      </c>
      <c r="AU63" s="117" t="s">
        <v>561</v>
      </c>
      <c r="AV63" s="117" t="s">
        <v>561</v>
      </c>
      <c r="AW63" s="117" t="s">
        <v>561</v>
      </c>
      <c r="AX63" s="117" t="s">
        <v>561</v>
      </c>
      <c r="AY63" s="117" t="s">
        <v>561</v>
      </c>
      <c r="AZ63" s="117" t="s">
        <v>600</v>
      </c>
      <c r="BA63" s="117" t="s">
        <v>600</v>
      </c>
      <c r="BB63" s="117" t="s">
        <v>600</v>
      </c>
      <c r="BC63" s="117" t="s">
        <v>600</v>
      </c>
      <c r="BD63" s="129" t="s">
        <v>821</v>
      </c>
      <c r="BE63" s="129" t="s">
        <v>821</v>
      </c>
      <c r="BF63" s="130"/>
      <c r="BG63" s="130">
        <f t="shared" si="8"/>
        <v>0</v>
      </c>
      <c r="BH63" s="131"/>
      <c r="BI63" s="131"/>
      <c r="BJ63" s="132"/>
      <c r="BK63" s="132"/>
      <c r="BL63" s="133"/>
      <c r="BM63" s="133" t="s">
        <v>561</v>
      </c>
      <c r="BN63" s="133"/>
      <c r="BO63" s="133"/>
      <c r="BP63" s="133" t="s">
        <v>2572</v>
      </c>
      <c r="BQ63" s="134"/>
      <c r="BR63" s="135" t="s">
        <v>850</v>
      </c>
      <c r="BS63" s="134"/>
      <c r="BT63" s="134"/>
      <c r="BU63" s="137">
        <f t="shared" si="6"/>
        <v>0.144</v>
      </c>
      <c r="BV63" s="138">
        <v>0.5589999999999999</v>
      </c>
      <c r="BW63" s="137">
        <v>0.415</v>
      </c>
      <c r="BX63" s="137"/>
      <c r="BY63" s="137">
        <f t="shared" si="7"/>
        <v>0.079</v>
      </c>
      <c r="BZ63" s="138">
        <v>0.474</v>
      </c>
      <c r="CA63" s="137">
        <v>0.395</v>
      </c>
      <c r="CB63" s="137"/>
      <c r="CC63" s="138">
        <v>0.494</v>
      </c>
      <c r="CD63" s="137">
        <v>0.376</v>
      </c>
      <c r="CE63" s="137">
        <v>0.037000000000000005</v>
      </c>
      <c r="CF63" s="137">
        <v>0.039</v>
      </c>
      <c r="CG63" s="137">
        <v>0.07200000000000001</v>
      </c>
      <c r="CH63" s="137">
        <v>0.003</v>
      </c>
      <c r="CI63" s="139"/>
      <c r="CJ63" s="138">
        <v>0.523</v>
      </c>
      <c r="CK63" s="137">
        <v>0.378</v>
      </c>
      <c r="CL63" s="137">
        <v>0.027999999999999997</v>
      </c>
      <c r="CM63" s="137">
        <v>0.025</v>
      </c>
      <c r="CN63" s="137">
        <v>0.045</v>
      </c>
      <c r="CO63" s="137">
        <v>0.001</v>
      </c>
      <c r="CP63" s="137"/>
      <c r="CQ63" s="137">
        <v>0.37</v>
      </c>
      <c r="CR63" s="137">
        <v>0.45799999999999996</v>
      </c>
      <c r="CS63" s="137">
        <v>0.28300000000000003</v>
      </c>
    </row>
    <row r="64">
      <c r="A64" s="112">
        <f t="shared" si="1"/>
        <v>62</v>
      </c>
      <c r="B64" s="112" t="s">
        <v>781</v>
      </c>
      <c r="C64" s="112" t="s">
        <v>782</v>
      </c>
      <c r="D64" s="144" t="s">
        <v>779</v>
      </c>
      <c r="E64" s="154" t="s">
        <v>2575</v>
      </c>
      <c r="F64" s="115">
        <f t="shared" si="2"/>
        <v>0.2857142857</v>
      </c>
      <c r="G64" s="115">
        <f t="shared" si="3"/>
        <v>0.3076923077</v>
      </c>
      <c r="H64" s="116">
        <f t="shared" si="4"/>
        <v>0.3021978022</v>
      </c>
      <c r="I64" s="117" t="s">
        <v>594</v>
      </c>
      <c r="J64" s="117" t="s">
        <v>487</v>
      </c>
      <c r="K64" s="117" t="s">
        <v>487</v>
      </c>
      <c r="L64" s="117" t="s">
        <v>594</v>
      </c>
      <c r="M64" s="117" t="s">
        <v>594</v>
      </c>
      <c r="N64" s="117" t="s">
        <v>594</v>
      </c>
      <c r="O64" s="149" t="s">
        <v>1256</v>
      </c>
      <c r="P64" s="120" t="s">
        <v>53</v>
      </c>
      <c r="Q64" s="121" t="s">
        <v>53</v>
      </c>
      <c r="R64" s="121" t="s">
        <v>801</v>
      </c>
      <c r="S64" s="119" t="s">
        <v>53</v>
      </c>
      <c r="T64" s="119" t="s">
        <v>53</v>
      </c>
      <c r="U64" s="119" t="s">
        <v>53</v>
      </c>
      <c r="V64" s="119" t="s">
        <v>53</v>
      </c>
      <c r="W64" s="119" t="s">
        <v>53</v>
      </c>
      <c r="X64" s="149" t="s">
        <v>561</v>
      </c>
      <c r="Y64" s="149" t="s">
        <v>561</v>
      </c>
      <c r="Z64" s="149" t="s">
        <v>561</v>
      </c>
      <c r="AA64" s="149" t="s">
        <v>561</v>
      </c>
      <c r="AB64" s="149" t="s">
        <v>561</v>
      </c>
      <c r="AC64" s="125" t="s">
        <v>561</v>
      </c>
      <c r="AD64" s="149" t="s">
        <v>561</v>
      </c>
      <c r="AE64" s="128" t="s">
        <v>561</v>
      </c>
      <c r="AF64" s="125" t="s">
        <v>561</v>
      </c>
      <c r="AG64" s="121" t="s">
        <v>53</v>
      </c>
      <c r="AH64" s="128" t="s">
        <v>561</v>
      </c>
      <c r="AI64" s="128" t="s">
        <v>561</v>
      </c>
      <c r="AJ64" s="128" t="s">
        <v>561</v>
      </c>
      <c r="AK64" s="125" t="s">
        <v>561</v>
      </c>
      <c r="AL64" s="128" t="s">
        <v>561</v>
      </c>
      <c r="AM64" s="128" t="s">
        <v>561</v>
      </c>
      <c r="AN64" s="128" t="s">
        <v>561</v>
      </c>
      <c r="AO64" s="128" t="s">
        <v>53</v>
      </c>
      <c r="AP64" s="121" t="s">
        <v>561</v>
      </c>
      <c r="AQ64" s="128" t="s">
        <v>53</v>
      </c>
      <c r="AR64" s="128" t="s">
        <v>561</v>
      </c>
      <c r="AS64" s="117" t="s">
        <v>561</v>
      </c>
      <c r="AT64" s="117" t="s">
        <v>53</v>
      </c>
      <c r="AU64" s="117" t="s">
        <v>561</v>
      </c>
      <c r="AV64" s="117" t="s">
        <v>561</v>
      </c>
      <c r="AW64" s="117" t="s">
        <v>561</v>
      </c>
      <c r="AX64" s="117" t="s">
        <v>561</v>
      </c>
      <c r="AY64" s="117" t="s">
        <v>561</v>
      </c>
      <c r="AZ64" s="117" t="s">
        <v>561</v>
      </c>
      <c r="BA64" s="117" t="s">
        <v>561</v>
      </c>
      <c r="BB64" s="117" t="s">
        <v>53</v>
      </c>
      <c r="BC64" s="117" t="s">
        <v>561</v>
      </c>
      <c r="BD64" s="129" t="s">
        <v>821</v>
      </c>
      <c r="BE64" s="129" t="s">
        <v>821</v>
      </c>
      <c r="BF64" s="130"/>
      <c r="BG64" s="130">
        <f t="shared" si="8"/>
        <v>0</v>
      </c>
      <c r="BH64" s="131"/>
      <c r="BI64" s="131"/>
      <c r="BJ64" s="132"/>
      <c r="BK64" s="132"/>
      <c r="BL64" s="133"/>
      <c r="BM64" s="133"/>
      <c r="BN64" s="133"/>
      <c r="BO64" s="133"/>
      <c r="BP64" s="133" t="s">
        <v>2576</v>
      </c>
      <c r="BQ64" s="134"/>
      <c r="BR64" s="134"/>
      <c r="BS64" s="134"/>
      <c r="BT64" s="134"/>
      <c r="BU64" s="137">
        <f t="shared" si="6"/>
        <v>0.355</v>
      </c>
      <c r="BV64" s="138">
        <v>0.669</v>
      </c>
      <c r="BW64" s="137">
        <v>0.314</v>
      </c>
      <c r="BX64" s="137"/>
      <c r="BY64" s="137">
        <f t="shared" si="7"/>
        <v>0.276</v>
      </c>
      <c r="BZ64" s="138">
        <v>0.605</v>
      </c>
      <c r="CA64" s="137">
        <v>0.32899999999999996</v>
      </c>
      <c r="CB64" s="137"/>
      <c r="CC64" s="138">
        <v>0.691</v>
      </c>
      <c r="CD64" s="137">
        <v>0.06</v>
      </c>
      <c r="CE64" s="137">
        <v>0.12300000000000001</v>
      </c>
      <c r="CF64" s="137">
        <v>0.102</v>
      </c>
      <c r="CG64" s="137">
        <v>0.009000000000000001</v>
      </c>
      <c r="CH64" s="137">
        <v>0.001</v>
      </c>
      <c r="CI64" s="139"/>
      <c r="CJ64" s="142">
        <v>0.774</v>
      </c>
      <c r="CK64" s="141">
        <v>0.051</v>
      </c>
      <c r="CL64" s="141">
        <v>0.1</v>
      </c>
      <c r="CM64" s="141">
        <v>0.067</v>
      </c>
      <c r="CN64" s="141">
        <v>0.005</v>
      </c>
      <c r="CO64" s="141">
        <v>0.0</v>
      </c>
      <c r="CP64" s="137"/>
      <c r="CQ64" s="137">
        <v>0.493</v>
      </c>
      <c r="CR64" s="138">
        <v>0.53</v>
      </c>
      <c r="CS64" s="137">
        <v>0.364</v>
      </c>
    </row>
    <row r="65">
      <c r="A65" s="112">
        <f t="shared" si="1"/>
        <v>63</v>
      </c>
      <c r="B65" s="112" t="s">
        <v>570</v>
      </c>
      <c r="C65" s="112" t="s">
        <v>571</v>
      </c>
      <c r="D65" s="113" t="s">
        <v>565</v>
      </c>
      <c r="E65" s="186"/>
      <c r="F65" s="115">
        <f t="shared" si="2"/>
        <v>0</v>
      </c>
      <c r="G65" s="115">
        <f t="shared" si="3"/>
        <v>0.3974358974</v>
      </c>
      <c r="H65" s="116">
        <f t="shared" si="4"/>
        <v>0.2980769231</v>
      </c>
      <c r="I65" s="117" t="s">
        <v>594</v>
      </c>
      <c r="J65" s="117" t="s">
        <v>594</v>
      </c>
      <c r="K65" s="117" t="s">
        <v>594</v>
      </c>
      <c r="L65" s="117" t="s">
        <v>594</v>
      </c>
      <c r="M65" s="117" t="s">
        <v>594</v>
      </c>
      <c r="N65" s="117" t="s">
        <v>594</v>
      </c>
      <c r="O65" s="149" t="s">
        <v>1256</v>
      </c>
      <c r="P65" s="120" t="s">
        <v>53</v>
      </c>
      <c r="Q65" s="121" t="s">
        <v>53</v>
      </c>
      <c r="R65" s="121" t="s">
        <v>561</v>
      </c>
      <c r="S65" s="119" t="s">
        <v>53</v>
      </c>
      <c r="T65" s="119" t="s">
        <v>53</v>
      </c>
      <c r="U65" s="119" t="s">
        <v>53</v>
      </c>
      <c r="V65" s="119" t="s">
        <v>53</v>
      </c>
      <c r="W65" s="119" t="s">
        <v>53</v>
      </c>
      <c r="X65" s="119" t="s">
        <v>53</v>
      </c>
      <c r="Y65" s="149" t="s">
        <v>561</v>
      </c>
      <c r="Z65" s="149" t="s">
        <v>561</v>
      </c>
      <c r="AA65" s="149" t="s">
        <v>561</v>
      </c>
      <c r="AB65" s="149" t="s">
        <v>561</v>
      </c>
      <c r="AC65" s="125" t="s">
        <v>561</v>
      </c>
      <c r="AD65" s="149" t="s">
        <v>561</v>
      </c>
      <c r="AE65" s="128" t="s">
        <v>561</v>
      </c>
      <c r="AF65" s="125" t="s">
        <v>561</v>
      </c>
      <c r="AG65" s="121" t="s">
        <v>53</v>
      </c>
      <c r="AH65" s="128" t="s">
        <v>561</v>
      </c>
      <c r="AI65" s="125" t="s">
        <v>53</v>
      </c>
      <c r="AJ65" s="128" t="s">
        <v>561</v>
      </c>
      <c r="AK65" s="125" t="s">
        <v>799</v>
      </c>
      <c r="AL65" s="128" t="s">
        <v>561</v>
      </c>
      <c r="AM65" s="128" t="s">
        <v>561</v>
      </c>
      <c r="AN65" s="128" t="s">
        <v>561</v>
      </c>
      <c r="AO65" s="128" t="s">
        <v>53</v>
      </c>
      <c r="AP65" s="121" t="s">
        <v>561</v>
      </c>
      <c r="AQ65" s="128" t="s">
        <v>53</v>
      </c>
      <c r="AR65" s="121" t="s">
        <v>53</v>
      </c>
      <c r="AS65" s="117" t="s">
        <v>561</v>
      </c>
      <c r="AT65" s="117" t="s">
        <v>53</v>
      </c>
      <c r="AU65" s="117" t="s">
        <v>561</v>
      </c>
      <c r="AV65" s="117" t="s">
        <v>561</v>
      </c>
      <c r="AW65" s="117" t="s">
        <v>561</v>
      </c>
      <c r="AX65" s="117" t="s">
        <v>561</v>
      </c>
      <c r="AY65" s="117" t="s">
        <v>561</v>
      </c>
      <c r="AZ65" s="117" t="s">
        <v>561</v>
      </c>
      <c r="BA65" s="117" t="s">
        <v>561</v>
      </c>
      <c r="BB65" s="117" t="s">
        <v>53</v>
      </c>
      <c r="BC65" s="117" t="s">
        <v>600</v>
      </c>
      <c r="BD65" s="129" t="s">
        <v>821</v>
      </c>
      <c r="BE65" s="129" t="s">
        <v>821</v>
      </c>
      <c r="BF65" s="130"/>
      <c r="BG65" s="130">
        <f t="shared" si="8"/>
        <v>0</v>
      </c>
      <c r="BH65" s="131"/>
      <c r="BI65" s="131"/>
      <c r="BJ65" s="132"/>
      <c r="BK65" s="132"/>
      <c r="BL65" s="133"/>
      <c r="BM65" s="133" t="s">
        <v>561</v>
      </c>
      <c r="BN65" s="133"/>
      <c r="BO65" s="133"/>
      <c r="BP65" s="133" t="s">
        <v>743</v>
      </c>
      <c r="BQ65" s="134"/>
      <c r="BR65" s="134"/>
      <c r="BS65" s="134"/>
      <c r="BT65" s="134"/>
      <c r="BU65" s="137">
        <f t="shared" si="6"/>
        <v>0.4</v>
      </c>
      <c r="BV65" s="138">
        <v>0.693</v>
      </c>
      <c r="BW65" s="137">
        <v>0.293</v>
      </c>
      <c r="BX65" s="137"/>
      <c r="BY65" s="137">
        <f t="shared" si="7"/>
        <v>0.423</v>
      </c>
      <c r="BZ65" s="138">
        <v>0.691</v>
      </c>
      <c r="CA65" s="137">
        <v>0.268</v>
      </c>
      <c r="CB65" s="137"/>
      <c r="CC65" s="137">
        <v>0.363</v>
      </c>
      <c r="CD65" s="137">
        <v>0.134</v>
      </c>
      <c r="CE65" s="138">
        <v>0.484</v>
      </c>
      <c r="CF65" s="137">
        <v>0.013000000000000001</v>
      </c>
      <c r="CG65" s="137">
        <v>0.018000000000000002</v>
      </c>
      <c r="CH65" s="137">
        <v>0.001</v>
      </c>
      <c r="CI65" s="139"/>
      <c r="CJ65" s="137">
        <v>0.406</v>
      </c>
      <c r="CK65" s="137">
        <v>0.095</v>
      </c>
      <c r="CL65" s="138">
        <v>0.48200000000000004</v>
      </c>
      <c r="CM65" s="137">
        <v>0.01</v>
      </c>
      <c r="CN65" s="137">
        <v>0.005</v>
      </c>
      <c r="CO65" s="137">
        <v>0.0</v>
      </c>
      <c r="CP65" s="137"/>
      <c r="CQ65" s="137">
        <v>0.23</v>
      </c>
      <c r="CR65" s="137">
        <v>0.226</v>
      </c>
      <c r="CS65" s="137">
        <v>0.314</v>
      </c>
    </row>
    <row r="66">
      <c r="A66" s="112">
        <f t="shared" si="1"/>
        <v>64</v>
      </c>
      <c r="B66" s="112" t="s">
        <v>1082</v>
      </c>
      <c r="C66" s="112" t="s">
        <v>1146</v>
      </c>
      <c r="D66" s="113" t="s">
        <v>1143</v>
      </c>
      <c r="E66" s="163"/>
      <c r="F66" s="115">
        <f t="shared" si="2"/>
        <v>0</v>
      </c>
      <c r="G66" s="115">
        <f t="shared" si="3"/>
        <v>0.3970588235</v>
      </c>
      <c r="H66" s="116">
        <f t="shared" si="4"/>
        <v>0.2977941176</v>
      </c>
      <c r="I66" s="117" t="s">
        <v>594</v>
      </c>
      <c r="J66" s="117" t="s">
        <v>594</v>
      </c>
      <c r="K66" s="117" t="s">
        <v>594</v>
      </c>
      <c r="L66" s="117" t="s">
        <v>594</v>
      </c>
      <c r="M66" s="117" t="s">
        <v>594</v>
      </c>
      <c r="N66" s="117" t="s">
        <v>594</v>
      </c>
      <c r="O66" s="149" t="s">
        <v>1256</v>
      </c>
      <c r="P66" s="120" t="s">
        <v>53</v>
      </c>
      <c r="Q66" s="121" t="s">
        <v>53</v>
      </c>
      <c r="R66" s="121" t="s">
        <v>561</v>
      </c>
      <c r="S66" s="119" t="s">
        <v>53</v>
      </c>
      <c r="T66" s="119" t="s">
        <v>53</v>
      </c>
      <c r="U66" s="119" t="s">
        <v>53</v>
      </c>
      <c r="V66" s="119" t="s">
        <v>53</v>
      </c>
      <c r="W66" s="119" t="s">
        <v>53</v>
      </c>
      <c r="X66" s="119" t="s">
        <v>53</v>
      </c>
      <c r="Y66" s="149" t="s">
        <v>561</v>
      </c>
      <c r="Z66" s="149" t="s">
        <v>561</v>
      </c>
      <c r="AA66" s="149" t="s">
        <v>561</v>
      </c>
      <c r="AB66" s="149" t="s">
        <v>561</v>
      </c>
      <c r="AC66" s="125" t="s">
        <v>561</v>
      </c>
      <c r="AD66" s="149" t="s">
        <v>561</v>
      </c>
      <c r="AE66" s="128" t="s">
        <v>561</v>
      </c>
      <c r="AF66" s="125" t="s">
        <v>561</v>
      </c>
      <c r="AG66" s="121" t="s">
        <v>53</v>
      </c>
      <c r="AH66" s="128" t="s">
        <v>561</v>
      </c>
      <c r="AI66" s="125" t="s">
        <v>53</v>
      </c>
      <c r="AJ66" s="128" t="s">
        <v>561</v>
      </c>
      <c r="AK66" s="125" t="s">
        <v>799</v>
      </c>
      <c r="AL66" s="128" t="s">
        <v>561</v>
      </c>
      <c r="AM66" s="128" t="s">
        <v>561</v>
      </c>
      <c r="AN66" s="128" t="s">
        <v>53</v>
      </c>
      <c r="AO66" s="128" t="s">
        <v>53</v>
      </c>
      <c r="AP66" s="121" t="s">
        <v>561</v>
      </c>
      <c r="AQ66" s="128" t="s">
        <v>53</v>
      </c>
      <c r="AR66" s="128" t="s">
        <v>561</v>
      </c>
      <c r="AS66" s="117" t="s">
        <v>561</v>
      </c>
      <c r="AT66" s="117" t="s">
        <v>561</v>
      </c>
      <c r="AU66" s="117" t="s">
        <v>561</v>
      </c>
      <c r="AV66" s="117" t="s">
        <v>561</v>
      </c>
      <c r="AW66" s="117" t="s">
        <v>561</v>
      </c>
      <c r="AX66" s="117" t="s">
        <v>600</v>
      </c>
      <c r="AY66" s="117" t="s">
        <v>600</v>
      </c>
      <c r="AZ66" s="117" t="s">
        <v>600</v>
      </c>
      <c r="BA66" s="117" t="s">
        <v>600</v>
      </c>
      <c r="BB66" s="117" t="s">
        <v>600</v>
      </c>
      <c r="BC66" s="117" t="s">
        <v>600</v>
      </c>
      <c r="BD66" s="129" t="s">
        <v>821</v>
      </c>
      <c r="BE66" s="164" t="s">
        <v>1832</v>
      </c>
      <c r="BF66" s="130"/>
      <c r="BG66" s="130">
        <f t="shared" si="8"/>
        <v>17170</v>
      </c>
      <c r="BH66" s="131">
        <v>15170.0</v>
      </c>
      <c r="BI66" s="131"/>
      <c r="BJ66" s="132">
        <f t="shared" ref="BJ66:BJ68" si="9">2000</f>
        <v>2000</v>
      </c>
      <c r="BK66" s="132"/>
      <c r="BL66" s="133"/>
      <c r="BM66" s="133"/>
      <c r="BN66" s="133" t="s">
        <v>561</v>
      </c>
      <c r="BO66" s="133"/>
      <c r="BP66" s="133" t="s">
        <v>976</v>
      </c>
      <c r="BQ66" s="134"/>
      <c r="BR66" s="150" t="s">
        <v>1199</v>
      </c>
      <c r="BS66" s="150" t="s">
        <v>135</v>
      </c>
      <c r="BT66" s="134"/>
      <c r="BU66" s="137">
        <f t="shared" si="6"/>
        <v>0.128</v>
      </c>
      <c r="BV66" s="138">
        <v>0.551</v>
      </c>
      <c r="BW66" s="137">
        <v>0.423</v>
      </c>
      <c r="BX66" s="137"/>
      <c r="BY66" s="137">
        <f t="shared" si="7"/>
        <v>0.08</v>
      </c>
      <c r="BZ66" s="138">
        <v>0.485</v>
      </c>
      <c r="CA66" s="137">
        <v>0.405</v>
      </c>
      <c r="CB66" s="137"/>
      <c r="CC66" s="138">
        <v>0.8140000000000001</v>
      </c>
      <c r="CD66" s="137">
        <v>0.073</v>
      </c>
      <c r="CE66" s="137">
        <v>0.016</v>
      </c>
      <c r="CF66" s="137">
        <v>0.040999999999999995</v>
      </c>
      <c r="CG66" s="137">
        <v>0.046</v>
      </c>
      <c r="CH66" s="137">
        <v>0.006</v>
      </c>
      <c r="CI66" s="139"/>
      <c r="CJ66" s="138">
        <v>0.872</v>
      </c>
      <c r="CK66" s="137">
        <v>0.055</v>
      </c>
      <c r="CL66" s="137">
        <v>0.012</v>
      </c>
      <c r="CM66" s="137">
        <v>0.026000000000000002</v>
      </c>
      <c r="CN66" s="137">
        <v>0.03</v>
      </c>
      <c r="CO66" s="137">
        <v>0.002</v>
      </c>
      <c r="CP66" s="137"/>
      <c r="CQ66" s="137">
        <v>0.309</v>
      </c>
      <c r="CR66" s="137">
        <v>0.312</v>
      </c>
      <c r="CS66" s="138">
        <v>0.599</v>
      </c>
    </row>
    <row r="67">
      <c r="A67" s="112">
        <f t="shared" si="1"/>
        <v>64</v>
      </c>
      <c r="B67" s="112" t="s">
        <v>670</v>
      </c>
      <c r="C67" s="112" t="s">
        <v>671</v>
      </c>
      <c r="D67" s="113" t="s">
        <v>668</v>
      </c>
      <c r="E67" s="159" t="s">
        <v>1791</v>
      </c>
      <c r="F67" s="115">
        <f t="shared" si="2"/>
        <v>0</v>
      </c>
      <c r="G67" s="115">
        <f t="shared" si="3"/>
        <v>0.3970588235</v>
      </c>
      <c r="H67" s="116">
        <f t="shared" si="4"/>
        <v>0.2977941176</v>
      </c>
      <c r="I67" s="117" t="s">
        <v>594</v>
      </c>
      <c r="J67" s="117" t="s">
        <v>594</v>
      </c>
      <c r="K67" s="117" t="s">
        <v>594</v>
      </c>
      <c r="L67" s="117" t="s">
        <v>594</v>
      </c>
      <c r="M67" s="117" t="s">
        <v>594</v>
      </c>
      <c r="N67" s="117" t="s">
        <v>594</v>
      </c>
      <c r="O67" s="149" t="s">
        <v>1256</v>
      </c>
      <c r="P67" s="120" t="s">
        <v>53</v>
      </c>
      <c r="Q67" s="121" t="s">
        <v>53</v>
      </c>
      <c r="R67" s="121" t="s">
        <v>561</v>
      </c>
      <c r="S67" s="119" t="s">
        <v>53</v>
      </c>
      <c r="T67" s="119" t="s">
        <v>53</v>
      </c>
      <c r="U67" s="119" t="s">
        <v>53</v>
      </c>
      <c r="V67" s="119" t="s">
        <v>53</v>
      </c>
      <c r="W67" s="119" t="s">
        <v>53</v>
      </c>
      <c r="X67" s="119" t="s">
        <v>53</v>
      </c>
      <c r="Y67" s="149" t="s">
        <v>561</v>
      </c>
      <c r="Z67" s="119" t="s">
        <v>53</v>
      </c>
      <c r="AA67" s="149" t="s">
        <v>561</v>
      </c>
      <c r="AB67" s="149" t="s">
        <v>561</v>
      </c>
      <c r="AC67" s="125" t="s">
        <v>561</v>
      </c>
      <c r="AD67" s="149" t="s">
        <v>561</v>
      </c>
      <c r="AE67" s="128" t="s">
        <v>561</v>
      </c>
      <c r="AF67" s="125" t="s">
        <v>561</v>
      </c>
      <c r="AG67" s="121" t="s">
        <v>53</v>
      </c>
      <c r="AH67" s="128" t="s">
        <v>561</v>
      </c>
      <c r="AI67" s="125" t="s">
        <v>53</v>
      </c>
      <c r="AJ67" s="128" t="s">
        <v>561</v>
      </c>
      <c r="AK67" s="125" t="s">
        <v>799</v>
      </c>
      <c r="AL67" s="128" t="s">
        <v>561</v>
      </c>
      <c r="AM67" s="128" t="s">
        <v>561</v>
      </c>
      <c r="AN67" s="128" t="s">
        <v>561</v>
      </c>
      <c r="AO67" s="128" t="s">
        <v>53</v>
      </c>
      <c r="AP67" s="121" t="s">
        <v>561</v>
      </c>
      <c r="AQ67" s="128" t="s">
        <v>53</v>
      </c>
      <c r="AR67" s="128" t="s">
        <v>561</v>
      </c>
      <c r="AS67" s="117" t="s">
        <v>561</v>
      </c>
      <c r="AT67" s="117" t="s">
        <v>561</v>
      </c>
      <c r="AU67" s="117" t="s">
        <v>561</v>
      </c>
      <c r="AV67" s="117" t="s">
        <v>561</v>
      </c>
      <c r="AW67" s="117" t="s">
        <v>561</v>
      </c>
      <c r="AX67" s="117" t="s">
        <v>600</v>
      </c>
      <c r="AY67" s="117" t="s">
        <v>600</v>
      </c>
      <c r="AZ67" s="117" t="s">
        <v>600</v>
      </c>
      <c r="BA67" s="117" t="s">
        <v>600</v>
      </c>
      <c r="BB67" s="117" t="s">
        <v>600</v>
      </c>
      <c r="BC67" s="117" t="s">
        <v>600</v>
      </c>
      <c r="BD67" s="129" t="s">
        <v>821</v>
      </c>
      <c r="BE67" s="129" t="s">
        <v>821</v>
      </c>
      <c r="BF67" s="130"/>
      <c r="BG67" s="130">
        <f t="shared" si="8"/>
        <v>90591</v>
      </c>
      <c r="BH67" s="131">
        <v>36450.0</v>
      </c>
      <c r="BI67" s="131"/>
      <c r="BJ67" s="132">
        <f t="shared" si="9"/>
        <v>2000</v>
      </c>
      <c r="BK67" s="132">
        <v>52141.0</v>
      </c>
      <c r="BL67" s="133"/>
      <c r="BM67" s="133"/>
      <c r="BN67" s="133" t="s">
        <v>561</v>
      </c>
      <c r="BO67" s="133" t="s">
        <v>561</v>
      </c>
      <c r="BP67" s="133" t="s">
        <v>976</v>
      </c>
      <c r="BQ67" s="134"/>
      <c r="BR67" s="150" t="s">
        <v>1199</v>
      </c>
      <c r="BS67" s="181" t="s">
        <v>2030</v>
      </c>
      <c r="BT67" s="134"/>
      <c r="BU67" s="137">
        <f t="shared" si="6"/>
        <v>0.223</v>
      </c>
      <c r="BV67" s="138">
        <v>0.602</v>
      </c>
      <c r="BW67" s="137">
        <v>0.379</v>
      </c>
      <c r="BX67" s="137"/>
      <c r="BY67" s="137">
        <f t="shared" si="7"/>
        <v>0.154</v>
      </c>
      <c r="BZ67" s="138">
        <v>0.551</v>
      </c>
      <c r="CA67" s="137">
        <v>0.397</v>
      </c>
      <c r="CB67" s="137"/>
      <c r="CC67" s="138">
        <v>0.6559999999999999</v>
      </c>
      <c r="CD67" s="137">
        <v>0.069</v>
      </c>
      <c r="CE67" s="137">
        <v>0.22</v>
      </c>
      <c r="CF67" s="137">
        <v>0.037000000000000005</v>
      </c>
      <c r="CG67" s="137">
        <v>0.019</v>
      </c>
      <c r="CH67" s="137">
        <v>0.002</v>
      </c>
      <c r="CI67" s="139"/>
      <c r="CJ67" s="138">
        <v>0.7270000000000001</v>
      </c>
      <c r="CK67" s="137">
        <v>0.027000000000000003</v>
      </c>
      <c r="CL67" s="137">
        <v>0.218</v>
      </c>
      <c r="CM67" s="137">
        <v>0.02</v>
      </c>
      <c r="CN67" s="137">
        <v>0.006</v>
      </c>
      <c r="CO67" s="137">
        <v>0.0</v>
      </c>
      <c r="CP67" s="137"/>
      <c r="CQ67" s="137">
        <v>0.32799999999999996</v>
      </c>
      <c r="CR67" s="137">
        <v>0.369</v>
      </c>
      <c r="CS67" s="137">
        <v>0.45899999999999996</v>
      </c>
    </row>
    <row r="68">
      <c r="A68" s="112">
        <f t="shared" si="1"/>
        <v>66</v>
      </c>
      <c r="B68" s="112" t="s">
        <v>160</v>
      </c>
      <c r="C68" s="112" t="s">
        <v>162</v>
      </c>
      <c r="D68" s="113" t="s">
        <v>157</v>
      </c>
      <c r="E68" s="186"/>
      <c r="F68" s="115">
        <f t="shared" si="2"/>
        <v>0</v>
      </c>
      <c r="G68" s="115">
        <f t="shared" si="3"/>
        <v>0.3939393939</v>
      </c>
      <c r="H68" s="116">
        <f t="shared" si="4"/>
        <v>0.2954545455</v>
      </c>
      <c r="I68" s="117" t="s">
        <v>594</v>
      </c>
      <c r="J68" s="117" t="s">
        <v>594</v>
      </c>
      <c r="K68" s="117" t="s">
        <v>594</v>
      </c>
      <c r="L68" s="117" t="s">
        <v>594</v>
      </c>
      <c r="M68" s="117" t="s">
        <v>594</v>
      </c>
      <c r="N68" s="117" t="s">
        <v>594</v>
      </c>
      <c r="O68" s="149" t="s">
        <v>1256</v>
      </c>
      <c r="P68" s="120" t="s">
        <v>53</v>
      </c>
      <c r="Q68" s="121" t="s">
        <v>53</v>
      </c>
      <c r="R68" s="121" t="s">
        <v>561</v>
      </c>
      <c r="S68" s="119" t="s">
        <v>53</v>
      </c>
      <c r="T68" s="119" t="s">
        <v>53</v>
      </c>
      <c r="U68" s="119" t="s">
        <v>53</v>
      </c>
      <c r="V68" s="119" t="s">
        <v>53</v>
      </c>
      <c r="W68" s="119" t="s">
        <v>53</v>
      </c>
      <c r="X68" s="149" t="s">
        <v>561</v>
      </c>
      <c r="Y68" s="149" t="s">
        <v>561</v>
      </c>
      <c r="Z68" s="119" t="s">
        <v>53</v>
      </c>
      <c r="AA68" s="149" t="s">
        <v>561</v>
      </c>
      <c r="AB68" s="149" t="s">
        <v>561</v>
      </c>
      <c r="AC68" s="125" t="s">
        <v>561</v>
      </c>
      <c r="AD68" s="149" t="s">
        <v>561</v>
      </c>
      <c r="AE68" s="128" t="s">
        <v>561</v>
      </c>
      <c r="AF68" s="125" t="s">
        <v>561</v>
      </c>
      <c r="AG68" s="121" t="s">
        <v>53</v>
      </c>
      <c r="AH68" s="128" t="s">
        <v>561</v>
      </c>
      <c r="AI68" s="125" t="s">
        <v>53</v>
      </c>
      <c r="AJ68" s="128" t="s">
        <v>561</v>
      </c>
      <c r="AK68" s="125" t="s">
        <v>801</v>
      </c>
      <c r="AL68" s="128" t="s">
        <v>561</v>
      </c>
      <c r="AM68" s="128" t="s">
        <v>561</v>
      </c>
      <c r="AN68" s="128" t="s">
        <v>561</v>
      </c>
      <c r="AO68" s="128" t="s">
        <v>53</v>
      </c>
      <c r="AP68" s="121" t="s">
        <v>561</v>
      </c>
      <c r="AQ68" s="128" t="s">
        <v>53</v>
      </c>
      <c r="AR68" s="128" t="s">
        <v>561</v>
      </c>
      <c r="AS68" s="117" t="s">
        <v>561</v>
      </c>
      <c r="AT68" s="117" t="s">
        <v>53</v>
      </c>
      <c r="AU68" s="117" t="s">
        <v>561</v>
      </c>
      <c r="AV68" s="117" t="s">
        <v>561</v>
      </c>
      <c r="AW68" s="117" t="s">
        <v>561</v>
      </c>
      <c r="AX68" s="117" t="s">
        <v>600</v>
      </c>
      <c r="AY68" s="117" t="s">
        <v>600</v>
      </c>
      <c r="AZ68" s="117" t="s">
        <v>600</v>
      </c>
      <c r="BA68" s="117" t="s">
        <v>600</v>
      </c>
      <c r="BB68" s="117" t="s">
        <v>600</v>
      </c>
      <c r="BC68" s="117" t="s">
        <v>600</v>
      </c>
      <c r="BD68" s="129" t="s">
        <v>821</v>
      </c>
      <c r="BE68" s="129" t="s">
        <v>821</v>
      </c>
      <c r="BF68" s="130"/>
      <c r="BG68" s="130">
        <f t="shared" si="8"/>
        <v>703663</v>
      </c>
      <c r="BH68" s="131">
        <v>87895.0</v>
      </c>
      <c r="BI68" s="131">
        <v>588768.0</v>
      </c>
      <c r="BJ68" s="132">
        <f t="shared" si="9"/>
        <v>2000</v>
      </c>
      <c r="BK68" s="132">
        <v>25000.0</v>
      </c>
      <c r="BL68" s="133"/>
      <c r="BM68" s="133"/>
      <c r="BN68" s="133" t="s">
        <v>561</v>
      </c>
      <c r="BO68" s="133" t="s">
        <v>561</v>
      </c>
      <c r="BP68" s="133" t="s">
        <v>976</v>
      </c>
      <c r="BQ68" s="134"/>
      <c r="BR68" s="134"/>
      <c r="BS68" s="181" t="s">
        <v>2030</v>
      </c>
      <c r="BT68" s="134"/>
      <c r="BU68" s="137">
        <f t="shared" si="6"/>
        <v>0.573</v>
      </c>
      <c r="BV68" s="138">
        <v>0.777</v>
      </c>
      <c r="BW68" s="137">
        <v>0.204</v>
      </c>
      <c r="BX68" s="137"/>
      <c r="BY68" s="137">
        <f t="shared" si="7"/>
        <v>0.594</v>
      </c>
      <c r="BZ68" s="138">
        <v>0.773</v>
      </c>
      <c r="CA68" s="137">
        <v>0.179</v>
      </c>
      <c r="CB68" s="137"/>
      <c r="CC68" s="137">
        <v>0.302</v>
      </c>
      <c r="CD68" s="137">
        <v>0.24600000000000002</v>
      </c>
      <c r="CE68" s="137">
        <v>0.037000000000000005</v>
      </c>
      <c r="CF68" s="138">
        <v>0.396</v>
      </c>
      <c r="CG68" s="137">
        <v>0.022000000000000002</v>
      </c>
      <c r="CH68" s="137">
        <v>0.018000000000000002</v>
      </c>
      <c r="CI68" s="139"/>
      <c r="CJ68" s="137">
        <v>0.365</v>
      </c>
      <c r="CK68" s="137">
        <v>0.201</v>
      </c>
      <c r="CL68" s="137">
        <v>0.038</v>
      </c>
      <c r="CM68" s="138">
        <v>0.373</v>
      </c>
      <c r="CN68" s="137">
        <v>0.004</v>
      </c>
      <c r="CO68" s="137">
        <v>0.012</v>
      </c>
      <c r="CP68" s="137"/>
      <c r="CQ68" s="137">
        <v>0.467</v>
      </c>
      <c r="CR68" s="138">
        <v>0.593</v>
      </c>
      <c r="CS68" s="137">
        <v>0.149</v>
      </c>
    </row>
    <row r="69">
      <c r="A69" s="112">
        <f t="shared" si="1"/>
        <v>67</v>
      </c>
      <c r="B69" s="112" t="s">
        <v>725</v>
      </c>
      <c r="C69" s="112" t="s">
        <v>726</v>
      </c>
      <c r="D69" s="113" t="s">
        <v>722</v>
      </c>
      <c r="E69" s="154" t="s">
        <v>2578</v>
      </c>
      <c r="F69" s="115">
        <f t="shared" si="2"/>
        <v>0.1428571429</v>
      </c>
      <c r="G69" s="115">
        <f t="shared" si="3"/>
        <v>0.3461538462</v>
      </c>
      <c r="H69" s="116">
        <f t="shared" si="4"/>
        <v>0.2953296703</v>
      </c>
      <c r="I69" s="117" t="s">
        <v>594</v>
      </c>
      <c r="J69" s="117" t="s">
        <v>594</v>
      </c>
      <c r="K69" s="117" t="s">
        <v>487</v>
      </c>
      <c r="L69" s="117" t="s">
        <v>594</v>
      </c>
      <c r="M69" s="117" t="s">
        <v>594</v>
      </c>
      <c r="N69" s="117" t="s">
        <v>594</v>
      </c>
      <c r="O69" s="149" t="s">
        <v>1256</v>
      </c>
      <c r="P69" s="120" t="s">
        <v>53</v>
      </c>
      <c r="Q69" s="121" t="s">
        <v>53</v>
      </c>
      <c r="R69" s="121" t="s">
        <v>561</v>
      </c>
      <c r="S69" s="119" t="s">
        <v>53</v>
      </c>
      <c r="T69" s="119" t="s">
        <v>53</v>
      </c>
      <c r="U69" s="119" t="s">
        <v>53</v>
      </c>
      <c r="V69" s="119" t="s">
        <v>53</v>
      </c>
      <c r="W69" s="119" t="s">
        <v>53</v>
      </c>
      <c r="X69" s="149" t="s">
        <v>561</v>
      </c>
      <c r="Y69" s="119" t="s">
        <v>53</v>
      </c>
      <c r="Z69" s="119" t="s">
        <v>53</v>
      </c>
      <c r="AA69" s="149" t="s">
        <v>561</v>
      </c>
      <c r="AB69" s="149" t="s">
        <v>561</v>
      </c>
      <c r="AC69" s="125" t="s">
        <v>561</v>
      </c>
      <c r="AD69" s="149" t="s">
        <v>561</v>
      </c>
      <c r="AE69" s="128" t="s">
        <v>561</v>
      </c>
      <c r="AF69" s="125" t="s">
        <v>561</v>
      </c>
      <c r="AG69" s="121" t="s">
        <v>53</v>
      </c>
      <c r="AH69" s="128" t="s">
        <v>561</v>
      </c>
      <c r="AI69" s="125" t="s">
        <v>53</v>
      </c>
      <c r="AJ69" s="128" t="s">
        <v>561</v>
      </c>
      <c r="AK69" s="125" t="s">
        <v>799</v>
      </c>
      <c r="AL69" s="128" t="s">
        <v>561</v>
      </c>
      <c r="AM69" s="128" t="s">
        <v>561</v>
      </c>
      <c r="AN69" s="128" t="s">
        <v>561</v>
      </c>
      <c r="AO69" s="128" t="s">
        <v>53</v>
      </c>
      <c r="AP69" s="121" t="s">
        <v>561</v>
      </c>
      <c r="AQ69" s="128" t="s">
        <v>53</v>
      </c>
      <c r="AR69" s="128" t="s">
        <v>561</v>
      </c>
      <c r="AS69" s="117" t="s">
        <v>561</v>
      </c>
      <c r="AT69" s="117" t="s">
        <v>561</v>
      </c>
      <c r="AU69" s="117" t="s">
        <v>561</v>
      </c>
      <c r="AV69" s="117" t="s">
        <v>561</v>
      </c>
      <c r="AW69" s="117" t="s">
        <v>561</v>
      </c>
      <c r="AX69" s="117" t="s">
        <v>561</v>
      </c>
      <c r="AY69" s="117" t="s">
        <v>561</v>
      </c>
      <c r="AZ69" s="117" t="s">
        <v>561</v>
      </c>
      <c r="BA69" s="117" t="s">
        <v>561</v>
      </c>
      <c r="BB69" s="117" t="s">
        <v>561</v>
      </c>
      <c r="BC69" s="117" t="s">
        <v>600</v>
      </c>
      <c r="BD69" s="129" t="s">
        <v>821</v>
      </c>
      <c r="BE69" s="129" t="s">
        <v>821</v>
      </c>
      <c r="BF69" s="130"/>
      <c r="BG69" s="130">
        <f t="shared" si="8"/>
        <v>0</v>
      </c>
      <c r="BH69" s="131"/>
      <c r="BI69" s="131"/>
      <c r="BJ69" s="132"/>
      <c r="BK69" s="132"/>
      <c r="BL69" s="133"/>
      <c r="BM69" s="133" t="s">
        <v>561</v>
      </c>
      <c r="BN69" s="133"/>
      <c r="BO69" s="133"/>
      <c r="BP69" s="133" t="s">
        <v>1207</v>
      </c>
      <c r="BQ69" s="134"/>
      <c r="BR69" s="135" t="s">
        <v>850</v>
      </c>
      <c r="BS69" s="134"/>
      <c r="BT69" s="134"/>
      <c r="BU69" s="137">
        <f t="shared" si="6"/>
        <v>0.626</v>
      </c>
      <c r="BV69" s="138">
        <v>0.805</v>
      </c>
      <c r="BW69" s="137">
        <v>0.179</v>
      </c>
      <c r="BX69" s="137"/>
      <c r="BY69" s="137">
        <f t="shared" si="7"/>
        <v>0.573</v>
      </c>
      <c r="BZ69" s="138">
        <v>0.757</v>
      </c>
      <c r="CA69" s="137">
        <v>0.184</v>
      </c>
      <c r="CB69" s="137"/>
      <c r="CC69" s="138">
        <v>0.469</v>
      </c>
      <c r="CD69" s="137">
        <v>0.179</v>
      </c>
      <c r="CE69" s="137">
        <v>0.182</v>
      </c>
      <c r="CF69" s="137">
        <v>0.16</v>
      </c>
      <c r="CG69" s="137">
        <v>0.017</v>
      </c>
      <c r="CH69" s="137">
        <v>0.002</v>
      </c>
      <c r="CI69" s="139"/>
      <c r="CJ69" s="138">
        <v>0.5650000000000001</v>
      </c>
      <c r="CK69" s="137">
        <v>0.11800000000000001</v>
      </c>
      <c r="CL69" s="137">
        <v>0.171</v>
      </c>
      <c r="CM69" s="137">
        <v>0.138</v>
      </c>
      <c r="CN69" s="137">
        <v>0.005</v>
      </c>
      <c r="CO69" s="137">
        <v>0.0</v>
      </c>
      <c r="CP69" s="137"/>
      <c r="CQ69" s="138">
        <v>0.5329999999999999</v>
      </c>
      <c r="CR69" s="138">
        <v>0.575</v>
      </c>
      <c r="CS69" s="137">
        <v>0.24</v>
      </c>
    </row>
    <row r="70">
      <c r="A70" s="112">
        <f t="shared" si="1"/>
        <v>68</v>
      </c>
      <c r="B70" s="112" t="s">
        <v>2493</v>
      </c>
      <c r="C70" s="112" t="s">
        <v>2494</v>
      </c>
      <c r="D70" s="117" t="s">
        <v>2492</v>
      </c>
      <c r="E70" s="159" t="s">
        <v>1791</v>
      </c>
      <c r="F70" s="115">
        <f t="shared" si="2"/>
        <v>0</v>
      </c>
      <c r="G70" s="115">
        <f t="shared" si="3"/>
        <v>0.3928571429</v>
      </c>
      <c r="H70" s="116">
        <f t="shared" si="4"/>
        <v>0.2946428571</v>
      </c>
      <c r="I70" s="117" t="s">
        <v>594</v>
      </c>
      <c r="J70" s="117" t="s">
        <v>594</v>
      </c>
      <c r="K70" s="117" t="s">
        <v>594</v>
      </c>
      <c r="L70" s="117" t="s">
        <v>594</v>
      </c>
      <c r="M70" s="117" t="s">
        <v>594</v>
      </c>
      <c r="N70" s="117" t="s">
        <v>594</v>
      </c>
      <c r="O70" s="149" t="s">
        <v>1256</v>
      </c>
      <c r="P70" s="120" t="s">
        <v>53</v>
      </c>
      <c r="Q70" s="121" t="s">
        <v>801</v>
      </c>
      <c r="R70" s="121" t="s">
        <v>801</v>
      </c>
      <c r="S70" s="119" t="s">
        <v>53</v>
      </c>
      <c r="T70" s="119" t="s">
        <v>53</v>
      </c>
      <c r="U70" s="119" t="s">
        <v>53</v>
      </c>
      <c r="V70" s="123" t="s">
        <v>801</v>
      </c>
      <c r="W70" s="119" t="s">
        <v>53</v>
      </c>
      <c r="X70" s="119" t="s">
        <v>53</v>
      </c>
      <c r="Y70" s="149" t="s">
        <v>561</v>
      </c>
      <c r="Z70" s="128" t="s">
        <v>801</v>
      </c>
      <c r="AA70" s="123" t="s">
        <v>801</v>
      </c>
      <c r="AB70" s="119" t="s">
        <v>53</v>
      </c>
      <c r="AC70" s="125" t="s">
        <v>561</v>
      </c>
      <c r="AD70" s="123" t="s">
        <v>801</v>
      </c>
      <c r="AE70" s="128" t="s">
        <v>561</v>
      </c>
      <c r="AF70" s="125" t="s">
        <v>561</v>
      </c>
      <c r="AG70" s="121" t="s">
        <v>53</v>
      </c>
      <c r="AH70" s="128" t="s">
        <v>561</v>
      </c>
      <c r="AI70" s="125" t="s">
        <v>53</v>
      </c>
      <c r="AJ70" s="123" t="s">
        <v>801</v>
      </c>
      <c r="AK70" s="125" t="s">
        <v>801</v>
      </c>
      <c r="AL70" s="128" t="s">
        <v>561</v>
      </c>
      <c r="AM70" s="128" t="s">
        <v>561</v>
      </c>
      <c r="AN70" s="128" t="s">
        <v>561</v>
      </c>
      <c r="AO70" s="128" t="s">
        <v>53</v>
      </c>
      <c r="AP70" s="121" t="s">
        <v>561</v>
      </c>
      <c r="AQ70" s="128" t="s">
        <v>53</v>
      </c>
      <c r="AR70" s="128" t="s">
        <v>561</v>
      </c>
      <c r="AS70" s="117" t="s">
        <v>561</v>
      </c>
      <c r="AT70" s="117" t="s">
        <v>561</v>
      </c>
      <c r="AU70" s="117" t="s">
        <v>561</v>
      </c>
      <c r="AV70" s="117" t="s">
        <v>561</v>
      </c>
      <c r="AW70" s="117" t="s">
        <v>801</v>
      </c>
      <c r="AX70" s="117" t="s">
        <v>561</v>
      </c>
      <c r="AY70" s="117" t="s">
        <v>561</v>
      </c>
      <c r="AZ70" s="117" t="s">
        <v>801</v>
      </c>
      <c r="BA70" s="117" t="s">
        <v>561</v>
      </c>
      <c r="BB70" s="117" t="s">
        <v>600</v>
      </c>
      <c r="BC70" s="117" t="s">
        <v>600</v>
      </c>
      <c r="BD70" s="164" t="s">
        <v>1832</v>
      </c>
      <c r="BE70" s="129" t="s">
        <v>821</v>
      </c>
      <c r="BF70" s="130"/>
      <c r="BG70" s="130">
        <f t="shared" si="8"/>
        <v>2000</v>
      </c>
      <c r="BH70" s="131"/>
      <c r="BI70" s="131"/>
      <c r="BJ70" s="132">
        <f t="shared" ref="BJ70:BJ71" si="10">2000</f>
        <v>2000</v>
      </c>
      <c r="BK70" s="132"/>
      <c r="BL70" s="133"/>
      <c r="BM70" s="133" t="s">
        <v>561</v>
      </c>
      <c r="BN70" s="133"/>
      <c r="BO70" s="133"/>
      <c r="BP70" s="133" t="s">
        <v>845</v>
      </c>
      <c r="BQ70" s="134"/>
      <c r="BR70" s="135" t="s">
        <v>850</v>
      </c>
      <c r="BS70" s="134"/>
      <c r="BT70" s="134"/>
      <c r="BU70" s="137">
        <f t="shared" si="6"/>
        <v>0.111</v>
      </c>
      <c r="BV70" s="142">
        <v>0.545</v>
      </c>
      <c r="BW70" s="141">
        <v>0.434</v>
      </c>
      <c r="BX70" s="141"/>
      <c r="BY70" s="137">
        <f t="shared" si="7"/>
        <v>0.074</v>
      </c>
      <c r="BZ70" s="142">
        <v>0.507</v>
      </c>
      <c r="CA70" s="141">
        <v>0.433</v>
      </c>
      <c r="CB70" s="141"/>
      <c r="CC70" s="142">
        <v>0.53</v>
      </c>
      <c r="CD70" s="141">
        <v>0.16</v>
      </c>
      <c r="CE70" s="141">
        <v>0.024</v>
      </c>
      <c r="CF70" s="141">
        <v>0.26899999999999996</v>
      </c>
      <c r="CG70" s="141">
        <v>0.018000000000000002</v>
      </c>
      <c r="CH70" s="141">
        <v>0.006</v>
      </c>
      <c r="CI70" s="139"/>
      <c r="CJ70" s="142">
        <v>0.625</v>
      </c>
      <c r="CK70" s="141">
        <v>0.141</v>
      </c>
      <c r="CL70" s="141">
        <v>0.02</v>
      </c>
      <c r="CM70" s="141">
        <v>0.197</v>
      </c>
      <c r="CN70" s="141">
        <v>0.008</v>
      </c>
      <c r="CO70" s="141">
        <v>0.004</v>
      </c>
      <c r="CP70" s="141"/>
      <c r="CQ70" s="142">
        <v>0.565</v>
      </c>
      <c r="CR70" s="142">
        <v>0.5720000000000001</v>
      </c>
      <c r="CS70" s="141">
        <v>0.267</v>
      </c>
    </row>
    <row r="71">
      <c r="A71" s="112">
        <f t="shared" si="1"/>
        <v>69</v>
      </c>
      <c r="B71" s="112" t="s">
        <v>601</v>
      </c>
      <c r="C71" s="112" t="s">
        <v>602</v>
      </c>
      <c r="D71" s="113" t="s">
        <v>598</v>
      </c>
      <c r="E71" s="163"/>
      <c r="F71" s="115">
        <f t="shared" si="2"/>
        <v>0</v>
      </c>
      <c r="G71" s="115">
        <f t="shared" si="3"/>
        <v>0.3918918919</v>
      </c>
      <c r="H71" s="116">
        <f t="shared" si="4"/>
        <v>0.2939189189</v>
      </c>
      <c r="I71" s="117" t="s">
        <v>594</v>
      </c>
      <c r="J71" s="117" t="s">
        <v>594</v>
      </c>
      <c r="K71" s="117" t="s">
        <v>594</v>
      </c>
      <c r="L71" s="117" t="s">
        <v>594</v>
      </c>
      <c r="M71" s="117" t="s">
        <v>594</v>
      </c>
      <c r="N71" s="117" t="s">
        <v>594</v>
      </c>
      <c r="O71" s="149" t="s">
        <v>1256</v>
      </c>
      <c r="P71" s="120" t="s">
        <v>53</v>
      </c>
      <c r="Q71" s="121" t="s">
        <v>53</v>
      </c>
      <c r="R71" s="121" t="s">
        <v>561</v>
      </c>
      <c r="S71" s="119" t="s">
        <v>53</v>
      </c>
      <c r="T71" s="119" t="s">
        <v>53</v>
      </c>
      <c r="U71" s="119" t="s">
        <v>53</v>
      </c>
      <c r="V71" s="119" t="s">
        <v>53</v>
      </c>
      <c r="W71" s="119" t="s">
        <v>53</v>
      </c>
      <c r="X71" s="119" t="s">
        <v>53</v>
      </c>
      <c r="Y71" s="149" t="s">
        <v>561</v>
      </c>
      <c r="Z71" s="149" t="s">
        <v>561</v>
      </c>
      <c r="AA71" s="149" t="s">
        <v>561</v>
      </c>
      <c r="AB71" s="149" t="s">
        <v>561</v>
      </c>
      <c r="AC71" s="125" t="s">
        <v>561</v>
      </c>
      <c r="AD71" s="149" t="s">
        <v>561</v>
      </c>
      <c r="AE71" s="128" t="s">
        <v>561</v>
      </c>
      <c r="AF71" s="125" t="s">
        <v>561</v>
      </c>
      <c r="AG71" s="121" t="s">
        <v>53</v>
      </c>
      <c r="AH71" s="128" t="s">
        <v>561</v>
      </c>
      <c r="AI71" s="125" t="s">
        <v>53</v>
      </c>
      <c r="AJ71" s="128" t="s">
        <v>561</v>
      </c>
      <c r="AK71" s="125" t="s">
        <v>799</v>
      </c>
      <c r="AL71" s="128" t="s">
        <v>561</v>
      </c>
      <c r="AM71" s="128" t="s">
        <v>561</v>
      </c>
      <c r="AN71" s="128" t="s">
        <v>53</v>
      </c>
      <c r="AO71" s="128" t="s">
        <v>53</v>
      </c>
      <c r="AP71" s="121" t="s">
        <v>561</v>
      </c>
      <c r="AQ71" s="128" t="s">
        <v>53</v>
      </c>
      <c r="AR71" s="128" t="s">
        <v>561</v>
      </c>
      <c r="AS71" s="117" t="s">
        <v>561</v>
      </c>
      <c r="AT71" s="117" t="s">
        <v>53</v>
      </c>
      <c r="AU71" s="117" t="s">
        <v>561</v>
      </c>
      <c r="AV71" s="117" t="s">
        <v>801</v>
      </c>
      <c r="AW71" s="117" t="s">
        <v>561</v>
      </c>
      <c r="AX71" s="117" t="s">
        <v>561</v>
      </c>
      <c r="AY71" s="117" t="s">
        <v>561</v>
      </c>
      <c r="AZ71" s="117" t="s">
        <v>561</v>
      </c>
      <c r="BA71" s="117" t="s">
        <v>561</v>
      </c>
      <c r="BB71" s="117" t="s">
        <v>600</v>
      </c>
      <c r="BC71" s="117" t="s">
        <v>600</v>
      </c>
      <c r="BD71" s="164" t="s">
        <v>1832</v>
      </c>
      <c r="BE71" s="129" t="s">
        <v>821</v>
      </c>
      <c r="BF71" s="130"/>
      <c r="BG71" s="130">
        <f t="shared" si="8"/>
        <v>554377</v>
      </c>
      <c r="BH71" s="140"/>
      <c r="BI71" s="140"/>
      <c r="BJ71" s="132">
        <f t="shared" si="10"/>
        <v>2000</v>
      </c>
      <c r="BK71" s="132">
        <v>552377.0</v>
      </c>
      <c r="BL71" s="133"/>
      <c r="BM71" s="133" t="s">
        <v>561</v>
      </c>
      <c r="BN71" s="133" t="s">
        <v>561</v>
      </c>
      <c r="BO71" s="133"/>
      <c r="BP71" s="133" t="s">
        <v>845</v>
      </c>
      <c r="BQ71" s="134"/>
      <c r="BR71" s="150" t="s">
        <v>1569</v>
      </c>
      <c r="BS71" s="150" t="s">
        <v>135</v>
      </c>
      <c r="BT71" s="134"/>
      <c r="BU71" s="137">
        <f t="shared" si="6"/>
        <v>0.109</v>
      </c>
      <c r="BV71" s="138">
        <v>0.545</v>
      </c>
      <c r="BW71" s="137">
        <v>0.436</v>
      </c>
      <c r="BX71" s="137"/>
      <c r="BY71" s="137">
        <f t="shared" si="7"/>
        <v>0.083</v>
      </c>
      <c r="BZ71" s="138">
        <v>0.507</v>
      </c>
      <c r="CA71" s="137">
        <v>0.424</v>
      </c>
      <c r="CB71" s="137"/>
      <c r="CC71" s="138">
        <v>0.746</v>
      </c>
      <c r="CD71" s="137">
        <v>0.11800000000000001</v>
      </c>
      <c r="CE71" s="137">
        <v>0.059000000000000004</v>
      </c>
      <c r="CF71" s="137">
        <v>0.065</v>
      </c>
      <c r="CG71" s="137">
        <v>0.013000000000000001</v>
      </c>
      <c r="CH71" s="137">
        <v>0.001</v>
      </c>
      <c r="CI71" s="139"/>
      <c r="CJ71" s="138">
        <v>0.788</v>
      </c>
      <c r="CK71" s="137">
        <v>0.1</v>
      </c>
      <c r="CL71" s="137">
        <v>0.057999999999999996</v>
      </c>
      <c r="CM71" s="137">
        <v>0.051</v>
      </c>
      <c r="CN71" s="137">
        <v>0.002</v>
      </c>
      <c r="CO71" s="137">
        <v>0.0</v>
      </c>
      <c r="CP71" s="137"/>
      <c r="CQ71" s="137">
        <v>0.428</v>
      </c>
      <c r="CR71" s="137">
        <v>0.433</v>
      </c>
      <c r="CS71" s="137">
        <v>0.447</v>
      </c>
    </row>
    <row r="72">
      <c r="A72" s="112">
        <f t="shared" si="1"/>
        <v>70</v>
      </c>
      <c r="B72" s="112" t="s">
        <v>295</v>
      </c>
      <c r="C72" s="112" t="s">
        <v>296</v>
      </c>
      <c r="D72" s="113" t="s">
        <v>290</v>
      </c>
      <c r="E72" s="163"/>
      <c r="F72" s="115">
        <f t="shared" si="2"/>
        <v>0.1428571429</v>
      </c>
      <c r="G72" s="115">
        <f t="shared" si="3"/>
        <v>0.3375</v>
      </c>
      <c r="H72" s="116">
        <f t="shared" si="4"/>
        <v>0.2888392857</v>
      </c>
      <c r="I72" s="117" t="s">
        <v>594</v>
      </c>
      <c r="J72" s="117" t="s">
        <v>594</v>
      </c>
      <c r="K72" s="117" t="s">
        <v>487</v>
      </c>
      <c r="L72" s="117" t="s">
        <v>594</v>
      </c>
      <c r="M72" s="117" t="s">
        <v>594</v>
      </c>
      <c r="N72" s="117" t="s">
        <v>594</v>
      </c>
      <c r="O72" s="149" t="s">
        <v>1256</v>
      </c>
      <c r="P72" s="120" t="s">
        <v>53</v>
      </c>
      <c r="Q72" s="121" t="s">
        <v>53</v>
      </c>
      <c r="R72" s="121" t="s">
        <v>561</v>
      </c>
      <c r="S72" s="119" t="s">
        <v>53</v>
      </c>
      <c r="T72" s="119" t="s">
        <v>53</v>
      </c>
      <c r="U72" s="119" t="s">
        <v>53</v>
      </c>
      <c r="V72" s="119" t="s">
        <v>53</v>
      </c>
      <c r="W72" s="119" t="s">
        <v>53</v>
      </c>
      <c r="X72" s="119" t="s">
        <v>53</v>
      </c>
      <c r="Y72" s="149" t="s">
        <v>561</v>
      </c>
      <c r="Z72" s="149" t="s">
        <v>561</v>
      </c>
      <c r="AA72" s="149" t="s">
        <v>561</v>
      </c>
      <c r="AB72" s="149" t="s">
        <v>561</v>
      </c>
      <c r="AC72" s="125" t="s">
        <v>561</v>
      </c>
      <c r="AD72" s="149" t="s">
        <v>561</v>
      </c>
      <c r="AE72" s="128" t="s">
        <v>561</v>
      </c>
      <c r="AF72" s="125" t="s">
        <v>561</v>
      </c>
      <c r="AG72" s="121" t="s">
        <v>53</v>
      </c>
      <c r="AH72" s="128" t="s">
        <v>561</v>
      </c>
      <c r="AI72" s="125" t="s">
        <v>53</v>
      </c>
      <c r="AJ72" s="128" t="s">
        <v>561</v>
      </c>
      <c r="AK72" s="125" t="s">
        <v>799</v>
      </c>
      <c r="AL72" s="128" t="s">
        <v>561</v>
      </c>
      <c r="AM72" s="128" t="s">
        <v>561</v>
      </c>
      <c r="AN72" s="128" t="s">
        <v>561</v>
      </c>
      <c r="AO72" s="128" t="s">
        <v>53</v>
      </c>
      <c r="AP72" s="121" t="s">
        <v>561</v>
      </c>
      <c r="AQ72" s="128" t="s">
        <v>53</v>
      </c>
      <c r="AR72" s="128" t="s">
        <v>561</v>
      </c>
      <c r="AS72" s="117" t="s">
        <v>561</v>
      </c>
      <c r="AT72" s="117" t="s">
        <v>53</v>
      </c>
      <c r="AU72" s="117" t="s">
        <v>561</v>
      </c>
      <c r="AV72" s="117" t="s">
        <v>561</v>
      </c>
      <c r="AW72" s="117" t="s">
        <v>561</v>
      </c>
      <c r="AX72" s="117" t="s">
        <v>561</v>
      </c>
      <c r="AY72" s="117" t="s">
        <v>561</v>
      </c>
      <c r="AZ72" s="117" t="s">
        <v>561</v>
      </c>
      <c r="BA72" s="117" t="s">
        <v>561</v>
      </c>
      <c r="BB72" s="117" t="s">
        <v>561</v>
      </c>
      <c r="BC72" s="117" t="s">
        <v>561</v>
      </c>
      <c r="BD72" s="129" t="s">
        <v>821</v>
      </c>
      <c r="BE72" s="129" t="s">
        <v>821</v>
      </c>
      <c r="BF72" s="130"/>
      <c r="BG72" s="130">
        <f t="shared" si="8"/>
        <v>26300</v>
      </c>
      <c r="BH72" s="131">
        <v>26300.0</v>
      </c>
      <c r="BI72" s="131"/>
      <c r="BJ72" s="132"/>
      <c r="BK72" s="132"/>
      <c r="BL72" s="133"/>
      <c r="BM72" s="133" t="s">
        <v>561</v>
      </c>
      <c r="BN72" s="133"/>
      <c r="BO72" s="133" t="s">
        <v>561</v>
      </c>
      <c r="BP72" s="133" t="s">
        <v>1400</v>
      </c>
      <c r="BQ72" s="134"/>
      <c r="BR72" s="135" t="s">
        <v>850</v>
      </c>
      <c r="BS72" s="181" t="s">
        <v>122</v>
      </c>
      <c r="BT72" s="134"/>
      <c r="BU72" s="137">
        <f t="shared" si="6"/>
        <v>0.302</v>
      </c>
      <c r="BV72" s="138">
        <v>0.6409999999999999</v>
      </c>
      <c r="BW72" s="137">
        <v>0.33899999999999997</v>
      </c>
      <c r="BX72" s="137"/>
      <c r="BY72" s="137">
        <f t="shared" si="7"/>
        <v>0.359</v>
      </c>
      <c r="BZ72" s="138">
        <v>0.652</v>
      </c>
      <c r="CA72" s="137">
        <v>0.293</v>
      </c>
      <c r="CB72" s="137"/>
      <c r="CC72" s="137">
        <v>0.151</v>
      </c>
      <c r="CD72" s="138">
        <v>0.583</v>
      </c>
      <c r="CE72" s="137">
        <v>0.027000000000000003</v>
      </c>
      <c r="CF72" s="137">
        <v>0.23800000000000002</v>
      </c>
      <c r="CG72" s="137">
        <v>0.036000000000000004</v>
      </c>
      <c r="CH72" s="137">
        <v>0.005</v>
      </c>
      <c r="CI72" s="139"/>
      <c r="CJ72" s="137">
        <v>0.196</v>
      </c>
      <c r="CK72" s="138">
        <v>0.5529999999999999</v>
      </c>
      <c r="CL72" s="137">
        <v>0.026000000000000002</v>
      </c>
      <c r="CM72" s="137">
        <v>0.21300000000000002</v>
      </c>
      <c r="CN72" s="137">
        <v>0.006</v>
      </c>
      <c r="CO72" s="137">
        <v>0.002</v>
      </c>
      <c r="CP72" s="137"/>
      <c r="CQ72" s="137">
        <v>0.28600000000000003</v>
      </c>
      <c r="CR72" s="137">
        <v>0.317</v>
      </c>
      <c r="CS72" s="137">
        <v>0.134</v>
      </c>
    </row>
    <row r="73">
      <c r="A73" s="112">
        <f t="shared" si="1"/>
        <v>71</v>
      </c>
      <c r="B73" s="112" t="s">
        <v>1345</v>
      </c>
      <c r="C73" s="112" t="s">
        <v>2579</v>
      </c>
      <c r="D73" s="113" t="s">
        <v>1328</v>
      </c>
      <c r="E73" s="186"/>
      <c r="F73" s="115">
        <f t="shared" si="2"/>
        <v>0</v>
      </c>
      <c r="G73" s="115">
        <f t="shared" si="3"/>
        <v>0.3787878788</v>
      </c>
      <c r="H73" s="116">
        <f t="shared" si="4"/>
        <v>0.2840909091</v>
      </c>
      <c r="I73" s="117" t="s">
        <v>594</v>
      </c>
      <c r="J73" s="117" t="s">
        <v>594</v>
      </c>
      <c r="K73" s="117" t="s">
        <v>594</v>
      </c>
      <c r="L73" s="117" t="s">
        <v>594</v>
      </c>
      <c r="M73" s="117" t="s">
        <v>594</v>
      </c>
      <c r="N73" s="117" t="s">
        <v>594</v>
      </c>
      <c r="O73" s="149" t="s">
        <v>1256</v>
      </c>
      <c r="P73" s="185" t="s">
        <v>561</v>
      </c>
      <c r="Q73" s="121" t="s">
        <v>53</v>
      </c>
      <c r="R73" s="121" t="s">
        <v>561</v>
      </c>
      <c r="S73" s="119" t="s">
        <v>53</v>
      </c>
      <c r="T73" s="119" t="s">
        <v>53</v>
      </c>
      <c r="U73" s="119" t="s">
        <v>53</v>
      </c>
      <c r="V73" s="123" t="s">
        <v>801</v>
      </c>
      <c r="W73" s="119" t="s">
        <v>53</v>
      </c>
      <c r="X73" s="119" t="s">
        <v>53</v>
      </c>
      <c r="Y73" s="149" t="s">
        <v>561</v>
      </c>
      <c r="Z73" s="149" t="s">
        <v>561</v>
      </c>
      <c r="AA73" s="149" t="s">
        <v>561</v>
      </c>
      <c r="AB73" s="149" t="s">
        <v>561</v>
      </c>
      <c r="AC73" s="125" t="s">
        <v>561</v>
      </c>
      <c r="AD73" s="149" t="s">
        <v>561</v>
      </c>
      <c r="AE73" s="128" t="s">
        <v>561</v>
      </c>
      <c r="AF73" s="125" t="s">
        <v>561</v>
      </c>
      <c r="AG73" s="121" t="s">
        <v>53</v>
      </c>
      <c r="AH73" s="128" t="s">
        <v>561</v>
      </c>
      <c r="AI73" s="125" t="s">
        <v>53</v>
      </c>
      <c r="AJ73" s="128" t="s">
        <v>561</v>
      </c>
      <c r="AK73" s="125" t="s">
        <v>799</v>
      </c>
      <c r="AL73" s="128" t="s">
        <v>561</v>
      </c>
      <c r="AM73" s="128" t="s">
        <v>561</v>
      </c>
      <c r="AN73" s="128" t="s">
        <v>53</v>
      </c>
      <c r="AO73" s="128" t="s">
        <v>53</v>
      </c>
      <c r="AP73" s="121" t="s">
        <v>561</v>
      </c>
      <c r="AQ73" s="128" t="s">
        <v>53</v>
      </c>
      <c r="AR73" s="128" t="s">
        <v>561</v>
      </c>
      <c r="AS73" s="117" t="s">
        <v>561</v>
      </c>
      <c r="AT73" s="117" t="s">
        <v>53</v>
      </c>
      <c r="AU73" s="117" t="s">
        <v>561</v>
      </c>
      <c r="AV73" s="117" t="s">
        <v>561</v>
      </c>
      <c r="AW73" s="117" t="s">
        <v>561</v>
      </c>
      <c r="AX73" s="117" t="s">
        <v>600</v>
      </c>
      <c r="AY73" s="117" t="s">
        <v>600</v>
      </c>
      <c r="AZ73" s="117" t="s">
        <v>600</v>
      </c>
      <c r="BA73" s="117" t="s">
        <v>600</v>
      </c>
      <c r="BB73" s="117" t="s">
        <v>600</v>
      </c>
      <c r="BC73" s="117" t="s">
        <v>600</v>
      </c>
      <c r="BD73" s="129" t="s">
        <v>821</v>
      </c>
      <c r="BE73" s="129" t="s">
        <v>821</v>
      </c>
      <c r="BF73" s="130"/>
      <c r="BG73" s="130">
        <f t="shared" si="8"/>
        <v>29350</v>
      </c>
      <c r="BH73" s="131">
        <v>26850.0</v>
      </c>
      <c r="BI73" s="131"/>
      <c r="BJ73" s="132">
        <f>2500</f>
        <v>2500</v>
      </c>
      <c r="BK73" s="132"/>
      <c r="BL73" s="133"/>
      <c r="BM73" s="133" t="s">
        <v>561</v>
      </c>
      <c r="BN73" s="133"/>
      <c r="BO73" s="133"/>
      <c r="BP73" s="133" t="s">
        <v>2580</v>
      </c>
      <c r="BQ73" s="134"/>
      <c r="BR73" s="150" t="s">
        <v>1199</v>
      </c>
      <c r="BS73" s="210" t="s">
        <v>2521</v>
      </c>
      <c r="BT73" s="134"/>
      <c r="BU73" s="137">
        <f t="shared" si="6"/>
        <v>0.357</v>
      </c>
      <c r="BV73" s="138">
        <v>0.672</v>
      </c>
      <c r="BW73" s="137">
        <v>0.315</v>
      </c>
      <c r="BX73" s="137"/>
      <c r="BY73" s="137">
        <f t="shared" si="7"/>
        <v>0.313</v>
      </c>
      <c r="BZ73" s="138">
        <v>0.633</v>
      </c>
      <c r="CA73" s="137">
        <v>0.32</v>
      </c>
      <c r="CB73" s="137"/>
      <c r="CC73" s="138">
        <v>0.452</v>
      </c>
      <c r="CD73" s="137">
        <v>0.083</v>
      </c>
      <c r="CE73" s="137">
        <v>0.421</v>
      </c>
      <c r="CF73" s="137">
        <v>0.033</v>
      </c>
      <c r="CG73" s="137">
        <v>0.02</v>
      </c>
      <c r="CH73" s="137">
        <v>0.002</v>
      </c>
      <c r="CI73" s="139"/>
      <c r="CJ73" s="138">
        <v>0.47700000000000004</v>
      </c>
      <c r="CK73" s="137">
        <v>0.038</v>
      </c>
      <c r="CL73" s="137">
        <v>0.45299999999999996</v>
      </c>
      <c r="CM73" s="137">
        <v>0.02</v>
      </c>
      <c r="CN73" s="137">
        <v>0.01</v>
      </c>
      <c r="CO73" s="137">
        <v>0.001</v>
      </c>
      <c r="CP73" s="137"/>
      <c r="CQ73" s="137">
        <v>0.292</v>
      </c>
      <c r="CR73" s="137">
        <v>0.388</v>
      </c>
      <c r="CS73" s="137">
        <v>0.292</v>
      </c>
    </row>
    <row r="74">
      <c r="A74" s="112">
        <f t="shared" si="1"/>
        <v>72</v>
      </c>
      <c r="B74" s="112" t="s">
        <v>1093</v>
      </c>
      <c r="C74" s="112" t="s">
        <v>1094</v>
      </c>
      <c r="D74" s="113" t="s">
        <v>1091</v>
      </c>
      <c r="E74" s="114" t="s">
        <v>2581</v>
      </c>
      <c r="F74" s="115">
        <f t="shared" si="2"/>
        <v>0.2857142857</v>
      </c>
      <c r="G74" s="115">
        <f t="shared" si="3"/>
        <v>0.2820512821</v>
      </c>
      <c r="H74" s="116">
        <f t="shared" si="4"/>
        <v>0.282967033</v>
      </c>
      <c r="I74" s="117" t="s">
        <v>487</v>
      </c>
      <c r="J74" s="117" t="s">
        <v>594</v>
      </c>
      <c r="K74" s="117" t="s">
        <v>487</v>
      </c>
      <c r="L74" s="117" t="s">
        <v>594</v>
      </c>
      <c r="M74" s="117" t="s">
        <v>594</v>
      </c>
      <c r="N74" s="117" t="s">
        <v>594</v>
      </c>
      <c r="O74" s="149" t="s">
        <v>1256</v>
      </c>
      <c r="P74" s="120" t="s">
        <v>53</v>
      </c>
      <c r="Q74" s="121" t="s">
        <v>53</v>
      </c>
      <c r="R74" s="121" t="s">
        <v>561</v>
      </c>
      <c r="S74" s="119" t="s">
        <v>53</v>
      </c>
      <c r="T74" s="119" t="s">
        <v>53</v>
      </c>
      <c r="U74" s="119" t="s">
        <v>53</v>
      </c>
      <c r="V74" s="119" t="s">
        <v>53</v>
      </c>
      <c r="W74" s="119" t="s">
        <v>53</v>
      </c>
      <c r="X74" s="149" t="s">
        <v>561</v>
      </c>
      <c r="Y74" s="149" t="s">
        <v>561</v>
      </c>
      <c r="Z74" s="149" t="s">
        <v>561</v>
      </c>
      <c r="AA74" s="149" t="s">
        <v>561</v>
      </c>
      <c r="AB74" s="149" t="s">
        <v>561</v>
      </c>
      <c r="AC74" s="125" t="s">
        <v>561</v>
      </c>
      <c r="AD74" s="149" t="s">
        <v>561</v>
      </c>
      <c r="AE74" s="128" t="s">
        <v>561</v>
      </c>
      <c r="AF74" s="125" t="s">
        <v>561</v>
      </c>
      <c r="AG74" s="121" t="s">
        <v>53</v>
      </c>
      <c r="AH74" s="128" t="s">
        <v>561</v>
      </c>
      <c r="AI74" s="125" t="s">
        <v>53</v>
      </c>
      <c r="AJ74" s="128" t="s">
        <v>561</v>
      </c>
      <c r="AK74" s="125" t="s">
        <v>561</v>
      </c>
      <c r="AL74" s="128" t="s">
        <v>561</v>
      </c>
      <c r="AM74" s="128" t="s">
        <v>561</v>
      </c>
      <c r="AN74" s="128" t="s">
        <v>561</v>
      </c>
      <c r="AO74" s="128" t="s">
        <v>53</v>
      </c>
      <c r="AP74" s="121" t="s">
        <v>561</v>
      </c>
      <c r="AQ74" s="128" t="s">
        <v>53</v>
      </c>
      <c r="AR74" s="128" t="s">
        <v>561</v>
      </c>
      <c r="AS74" s="117" t="s">
        <v>561</v>
      </c>
      <c r="AT74" s="117" t="s">
        <v>561</v>
      </c>
      <c r="AU74" s="117" t="s">
        <v>561</v>
      </c>
      <c r="AV74" s="117" t="s">
        <v>561</v>
      </c>
      <c r="AW74" s="117" t="s">
        <v>561</v>
      </c>
      <c r="AX74" s="117" t="s">
        <v>561</v>
      </c>
      <c r="AY74" s="117" t="s">
        <v>561</v>
      </c>
      <c r="AZ74" s="117" t="s">
        <v>561</v>
      </c>
      <c r="BA74" s="117" t="s">
        <v>561</v>
      </c>
      <c r="BB74" s="117" t="s">
        <v>561</v>
      </c>
      <c r="BC74" s="117" t="s">
        <v>600</v>
      </c>
      <c r="BD74" s="129" t="s">
        <v>821</v>
      </c>
      <c r="BE74" s="129" t="s">
        <v>821</v>
      </c>
      <c r="BF74" s="130"/>
      <c r="BG74" s="130">
        <f t="shared" si="8"/>
        <v>13308</v>
      </c>
      <c r="BH74" s="131">
        <v>13308.0</v>
      </c>
      <c r="BI74" s="131"/>
      <c r="BJ74" s="132"/>
      <c r="BK74" s="132"/>
      <c r="BL74" s="133"/>
      <c r="BM74" s="133" t="s">
        <v>561</v>
      </c>
      <c r="BN74" s="133"/>
      <c r="BO74" s="133" t="s">
        <v>561</v>
      </c>
      <c r="BP74" s="133" t="s">
        <v>2582</v>
      </c>
      <c r="BQ74" s="134"/>
      <c r="BR74" s="135" t="s">
        <v>850</v>
      </c>
      <c r="BS74" s="181" t="s">
        <v>122</v>
      </c>
      <c r="BT74" s="134"/>
      <c r="BU74" s="137">
        <f t="shared" si="6"/>
        <v>0.302</v>
      </c>
      <c r="BV74" s="138">
        <v>0.644</v>
      </c>
      <c r="BW74" s="137">
        <v>0.342</v>
      </c>
      <c r="BX74" s="137"/>
      <c r="BY74" s="137">
        <f t="shared" si="7"/>
        <v>0.246</v>
      </c>
      <c r="BZ74" s="138">
        <v>0.602</v>
      </c>
      <c r="CA74" s="137">
        <v>0.35600000000000004</v>
      </c>
      <c r="CB74" s="137"/>
      <c r="CC74" s="138">
        <v>0.43700000000000006</v>
      </c>
      <c r="CD74" s="137">
        <v>0.133</v>
      </c>
      <c r="CE74" s="137">
        <v>0.36</v>
      </c>
      <c r="CF74" s="137">
        <v>0.061</v>
      </c>
      <c r="CG74" s="137">
        <v>0.02</v>
      </c>
      <c r="CH74" s="137">
        <v>0.001</v>
      </c>
      <c r="CI74" s="139"/>
      <c r="CJ74" s="138">
        <v>0.507</v>
      </c>
      <c r="CK74" s="137">
        <v>0.06</v>
      </c>
      <c r="CL74" s="137">
        <v>0.39</v>
      </c>
      <c r="CM74" s="137">
        <v>0.034</v>
      </c>
      <c r="CN74" s="137">
        <v>0.008</v>
      </c>
      <c r="CO74" s="137">
        <v>0.0</v>
      </c>
      <c r="CP74" s="137"/>
      <c r="CQ74" s="137">
        <v>0.371</v>
      </c>
      <c r="CR74" s="137">
        <v>0.43700000000000006</v>
      </c>
      <c r="CS74" s="137">
        <v>0.285</v>
      </c>
    </row>
    <row r="75">
      <c r="A75" s="112">
        <f t="shared" si="1"/>
        <v>73</v>
      </c>
      <c r="B75" s="112" t="s">
        <v>977</v>
      </c>
      <c r="C75" s="112" t="s">
        <v>978</v>
      </c>
      <c r="D75" s="113" t="s">
        <v>974</v>
      </c>
      <c r="E75" s="159" t="s">
        <v>2583</v>
      </c>
      <c r="F75" s="115">
        <f t="shared" si="2"/>
        <v>0.1428571429</v>
      </c>
      <c r="G75" s="115">
        <f t="shared" si="3"/>
        <v>0.3285714286</v>
      </c>
      <c r="H75" s="116">
        <f t="shared" si="4"/>
        <v>0.2821428571</v>
      </c>
      <c r="I75" s="117" t="s">
        <v>594</v>
      </c>
      <c r="J75" s="117" t="s">
        <v>594</v>
      </c>
      <c r="K75" s="117" t="s">
        <v>487</v>
      </c>
      <c r="L75" s="117" t="s">
        <v>594</v>
      </c>
      <c r="M75" s="117" t="s">
        <v>594</v>
      </c>
      <c r="N75" s="117" t="s">
        <v>594</v>
      </c>
      <c r="O75" s="149" t="s">
        <v>1256</v>
      </c>
      <c r="P75" s="120" t="s">
        <v>53</v>
      </c>
      <c r="Q75" s="121" t="s">
        <v>53</v>
      </c>
      <c r="R75" s="121" t="s">
        <v>561</v>
      </c>
      <c r="S75" s="121" t="s">
        <v>801</v>
      </c>
      <c r="T75" s="119" t="s">
        <v>53</v>
      </c>
      <c r="U75" s="119" t="s">
        <v>53</v>
      </c>
      <c r="V75" s="119" t="s">
        <v>53</v>
      </c>
      <c r="W75" s="119" t="s">
        <v>53</v>
      </c>
      <c r="X75" s="119" t="s">
        <v>53</v>
      </c>
      <c r="Y75" s="149" t="s">
        <v>561</v>
      </c>
      <c r="Z75" s="149" t="s">
        <v>561</v>
      </c>
      <c r="AA75" s="149" t="s">
        <v>561</v>
      </c>
      <c r="AB75" s="149" t="s">
        <v>561</v>
      </c>
      <c r="AC75" s="125" t="s">
        <v>561</v>
      </c>
      <c r="AD75" s="149" t="s">
        <v>561</v>
      </c>
      <c r="AE75" s="128" t="s">
        <v>561</v>
      </c>
      <c r="AF75" s="125" t="s">
        <v>561</v>
      </c>
      <c r="AG75" s="121" t="s">
        <v>53</v>
      </c>
      <c r="AH75" s="128" t="s">
        <v>561</v>
      </c>
      <c r="AI75" s="128" t="s">
        <v>561</v>
      </c>
      <c r="AJ75" s="128" t="s">
        <v>561</v>
      </c>
      <c r="AK75" s="125" t="s">
        <v>799</v>
      </c>
      <c r="AL75" s="128" t="s">
        <v>561</v>
      </c>
      <c r="AM75" s="128" t="s">
        <v>561</v>
      </c>
      <c r="AN75" s="128" t="s">
        <v>53</v>
      </c>
      <c r="AO75" s="128" t="s">
        <v>53</v>
      </c>
      <c r="AP75" s="121" t="s">
        <v>561</v>
      </c>
      <c r="AQ75" s="128" t="s">
        <v>53</v>
      </c>
      <c r="AR75" s="128" t="s">
        <v>561</v>
      </c>
      <c r="AS75" s="117" t="s">
        <v>561</v>
      </c>
      <c r="AT75" s="117" t="s">
        <v>561</v>
      </c>
      <c r="AU75" s="117" t="s">
        <v>561</v>
      </c>
      <c r="AV75" s="117" t="s">
        <v>561</v>
      </c>
      <c r="AW75" s="117" t="s">
        <v>561</v>
      </c>
      <c r="AX75" s="117" t="s">
        <v>561</v>
      </c>
      <c r="AY75" s="117" t="s">
        <v>561</v>
      </c>
      <c r="AZ75" s="117" t="s">
        <v>600</v>
      </c>
      <c r="BA75" s="117" t="s">
        <v>600</v>
      </c>
      <c r="BB75" s="117" t="s">
        <v>600</v>
      </c>
      <c r="BC75" s="117" t="s">
        <v>600</v>
      </c>
      <c r="BD75" s="129" t="s">
        <v>821</v>
      </c>
      <c r="BE75" s="129" t="s">
        <v>821</v>
      </c>
      <c r="BF75" s="130"/>
      <c r="BG75" s="130">
        <f t="shared" si="8"/>
        <v>15705</v>
      </c>
      <c r="BH75" s="131">
        <v>13705.0</v>
      </c>
      <c r="BI75" s="131"/>
      <c r="BJ75" s="132">
        <f>2000</f>
        <v>2000</v>
      </c>
      <c r="BK75" s="132"/>
      <c r="BL75" s="133"/>
      <c r="BM75" s="133" t="s">
        <v>561</v>
      </c>
      <c r="BN75" s="133"/>
      <c r="BO75" s="133" t="s">
        <v>561</v>
      </c>
      <c r="BP75" s="133" t="s">
        <v>903</v>
      </c>
      <c r="BQ75" s="134"/>
      <c r="BR75" s="135" t="s">
        <v>850</v>
      </c>
      <c r="BS75" s="181" t="s">
        <v>122</v>
      </c>
      <c r="BT75" s="134"/>
      <c r="BU75" s="137">
        <f t="shared" si="6"/>
        <v>0.108</v>
      </c>
      <c r="BV75" s="138">
        <v>0.544</v>
      </c>
      <c r="BW75" s="137">
        <v>0.436</v>
      </c>
      <c r="BX75" s="137"/>
      <c r="BY75" s="137">
        <f t="shared" si="7"/>
        <v>0.104</v>
      </c>
      <c r="BZ75" s="138">
        <v>0.499</v>
      </c>
      <c r="CA75" s="137">
        <v>0.395</v>
      </c>
      <c r="CB75" s="137"/>
      <c r="CC75" s="137">
        <v>0.384</v>
      </c>
      <c r="CD75" s="138">
        <v>0.397</v>
      </c>
      <c r="CE75" s="137">
        <v>0.02</v>
      </c>
      <c r="CF75" s="137">
        <v>0.017</v>
      </c>
      <c r="CG75" s="137">
        <v>0.195</v>
      </c>
      <c r="CH75" s="137">
        <v>0.002</v>
      </c>
      <c r="CI75" s="139"/>
      <c r="CJ75" s="138">
        <v>0.41000000000000003</v>
      </c>
      <c r="CK75" s="137">
        <v>0.38200000000000006</v>
      </c>
      <c r="CL75" s="137">
        <v>0.016</v>
      </c>
      <c r="CM75" s="137">
        <v>0.009000000000000001</v>
      </c>
      <c r="CN75" s="137">
        <v>0.18300000000000002</v>
      </c>
      <c r="CO75" s="137">
        <v>0.001</v>
      </c>
      <c r="CP75" s="137"/>
      <c r="CQ75" s="137">
        <v>0.247</v>
      </c>
      <c r="CR75" s="137">
        <v>0.402</v>
      </c>
      <c r="CS75" s="137">
        <v>0.245</v>
      </c>
    </row>
    <row r="76" ht="19.5" customHeight="1">
      <c r="A76" s="112">
        <f t="shared" si="1"/>
        <v>74</v>
      </c>
      <c r="B76" s="112" t="s">
        <v>1170</v>
      </c>
      <c r="C76" s="112" t="s">
        <v>1171</v>
      </c>
      <c r="D76" s="113" t="s">
        <v>1168</v>
      </c>
      <c r="E76" s="153" t="s">
        <v>2584</v>
      </c>
      <c r="F76" s="115">
        <f t="shared" si="2"/>
        <v>0</v>
      </c>
      <c r="G76" s="115">
        <f t="shared" si="3"/>
        <v>0.375</v>
      </c>
      <c r="H76" s="116">
        <f t="shared" si="4"/>
        <v>0.28125</v>
      </c>
      <c r="I76" s="117" t="s">
        <v>594</v>
      </c>
      <c r="J76" s="117" t="s">
        <v>594</v>
      </c>
      <c r="K76" s="117" t="s">
        <v>594</v>
      </c>
      <c r="L76" s="117" t="s">
        <v>594</v>
      </c>
      <c r="M76" s="117" t="s">
        <v>594</v>
      </c>
      <c r="N76" s="117" t="s">
        <v>594</v>
      </c>
      <c r="O76" s="149" t="s">
        <v>1256</v>
      </c>
      <c r="P76" s="120" t="s">
        <v>53</v>
      </c>
      <c r="Q76" s="121" t="s">
        <v>53</v>
      </c>
      <c r="R76" s="121" t="s">
        <v>561</v>
      </c>
      <c r="S76" s="119" t="s">
        <v>53</v>
      </c>
      <c r="T76" s="119" t="s">
        <v>53</v>
      </c>
      <c r="U76" s="119" t="s">
        <v>53</v>
      </c>
      <c r="V76" s="119" t="s">
        <v>53</v>
      </c>
      <c r="W76" s="119" t="s">
        <v>53</v>
      </c>
      <c r="X76" s="119" t="s">
        <v>53</v>
      </c>
      <c r="Y76" s="149" t="s">
        <v>561</v>
      </c>
      <c r="Z76" s="149" t="s">
        <v>561</v>
      </c>
      <c r="AA76" s="149" t="s">
        <v>561</v>
      </c>
      <c r="AB76" s="149" t="s">
        <v>561</v>
      </c>
      <c r="AC76" s="125" t="s">
        <v>561</v>
      </c>
      <c r="AD76" s="149" t="s">
        <v>561</v>
      </c>
      <c r="AE76" s="128" t="s">
        <v>561</v>
      </c>
      <c r="AF76" s="125" t="s">
        <v>561</v>
      </c>
      <c r="AG76" s="121" t="s">
        <v>53</v>
      </c>
      <c r="AH76" s="128" t="s">
        <v>561</v>
      </c>
      <c r="AI76" s="125" t="s">
        <v>53</v>
      </c>
      <c r="AJ76" s="128" t="s">
        <v>561</v>
      </c>
      <c r="AK76" s="125" t="s">
        <v>799</v>
      </c>
      <c r="AL76" s="128" t="s">
        <v>561</v>
      </c>
      <c r="AM76" s="128" t="s">
        <v>561</v>
      </c>
      <c r="AN76" s="128" t="s">
        <v>561</v>
      </c>
      <c r="AO76" s="128" t="s">
        <v>53</v>
      </c>
      <c r="AP76" s="121" t="s">
        <v>801</v>
      </c>
      <c r="AQ76" s="121" t="s">
        <v>801</v>
      </c>
      <c r="AR76" s="121" t="s">
        <v>53</v>
      </c>
      <c r="AS76" s="117" t="s">
        <v>561</v>
      </c>
      <c r="AT76" s="117" t="s">
        <v>53</v>
      </c>
      <c r="AU76" s="117" t="s">
        <v>561</v>
      </c>
      <c r="AV76" s="117" t="s">
        <v>561</v>
      </c>
      <c r="AW76" s="117" t="s">
        <v>561</v>
      </c>
      <c r="AX76" s="117" t="s">
        <v>561</v>
      </c>
      <c r="AY76" s="117" t="s">
        <v>561</v>
      </c>
      <c r="AZ76" s="117" t="s">
        <v>561</v>
      </c>
      <c r="BA76" s="117" t="s">
        <v>561</v>
      </c>
      <c r="BB76" s="117" t="s">
        <v>600</v>
      </c>
      <c r="BC76" s="117" t="s">
        <v>600</v>
      </c>
      <c r="BD76" s="129" t="s">
        <v>821</v>
      </c>
      <c r="BE76" s="129" t="s">
        <v>821</v>
      </c>
      <c r="BF76" s="130"/>
      <c r="BG76" s="130">
        <f t="shared" si="8"/>
        <v>0</v>
      </c>
      <c r="BH76" s="131"/>
      <c r="BI76" s="131"/>
      <c r="BJ76" s="132"/>
      <c r="BK76" s="132"/>
      <c r="BL76" s="133"/>
      <c r="BM76" s="133" t="s">
        <v>561</v>
      </c>
      <c r="BN76" s="133"/>
      <c r="BO76" s="133"/>
      <c r="BP76" s="133" t="s">
        <v>2585</v>
      </c>
      <c r="BQ76" s="134"/>
      <c r="BR76" s="150" t="s">
        <v>1199</v>
      </c>
      <c r="BS76" s="134"/>
      <c r="BT76" s="134"/>
      <c r="BU76" s="137">
        <f t="shared" si="6"/>
        <v>0.323</v>
      </c>
      <c r="BV76" s="138">
        <v>0.657</v>
      </c>
      <c r="BW76" s="137">
        <v>0.33399999999999996</v>
      </c>
      <c r="BX76" s="137"/>
      <c r="BY76" s="137">
        <f t="shared" si="7"/>
        <v>0.29</v>
      </c>
      <c r="BZ76" s="138">
        <v>0.63</v>
      </c>
      <c r="CA76" s="137">
        <v>0.34</v>
      </c>
      <c r="CB76" s="137"/>
      <c r="CC76" s="138">
        <v>0.616</v>
      </c>
      <c r="CD76" s="137">
        <v>0.053</v>
      </c>
      <c r="CE76" s="137">
        <v>0.247</v>
      </c>
      <c r="CF76" s="137">
        <v>0.076</v>
      </c>
      <c r="CG76" s="137">
        <v>0.012</v>
      </c>
      <c r="CH76" s="137">
        <v>0.001</v>
      </c>
      <c r="CI76" s="139"/>
      <c r="CJ76" s="138">
        <v>0.677</v>
      </c>
      <c r="CK76" s="137">
        <v>0.034</v>
      </c>
      <c r="CL76" s="137">
        <v>0.23399999999999999</v>
      </c>
      <c r="CM76" s="137">
        <v>0.048</v>
      </c>
      <c r="CN76" s="137">
        <v>0.005</v>
      </c>
      <c r="CO76" s="137">
        <v>0.0</v>
      </c>
      <c r="CP76" s="137"/>
      <c r="CQ76" s="137">
        <v>0.396</v>
      </c>
      <c r="CR76" s="137">
        <v>0.45</v>
      </c>
      <c r="CS76" s="137">
        <v>0.37200000000000005</v>
      </c>
    </row>
    <row r="77">
      <c r="A77" s="112">
        <f t="shared" si="1"/>
        <v>75</v>
      </c>
      <c r="B77" s="112" t="s">
        <v>347</v>
      </c>
      <c r="C77" s="112" t="s">
        <v>628</v>
      </c>
      <c r="D77" s="113" t="s">
        <v>626</v>
      </c>
      <c r="E77" s="186"/>
      <c r="F77" s="115">
        <f t="shared" si="2"/>
        <v>0</v>
      </c>
      <c r="G77" s="115">
        <f t="shared" si="3"/>
        <v>0.3717948718</v>
      </c>
      <c r="H77" s="116">
        <f t="shared" si="4"/>
        <v>0.2788461538</v>
      </c>
      <c r="I77" s="117" t="s">
        <v>594</v>
      </c>
      <c r="J77" s="117" t="s">
        <v>594</v>
      </c>
      <c r="K77" s="117" t="s">
        <v>594</v>
      </c>
      <c r="L77" s="117" t="s">
        <v>594</v>
      </c>
      <c r="M77" s="117" t="s">
        <v>594</v>
      </c>
      <c r="N77" s="117" t="s">
        <v>594</v>
      </c>
      <c r="O77" s="149" t="s">
        <v>1256</v>
      </c>
      <c r="P77" s="120" t="s">
        <v>53</v>
      </c>
      <c r="Q77" s="121" t="s">
        <v>53</v>
      </c>
      <c r="R77" s="121" t="s">
        <v>561</v>
      </c>
      <c r="S77" s="119" t="s">
        <v>53</v>
      </c>
      <c r="T77" s="119" t="s">
        <v>53</v>
      </c>
      <c r="U77" s="119" t="s">
        <v>53</v>
      </c>
      <c r="V77" s="119" t="s">
        <v>53</v>
      </c>
      <c r="W77" s="119" t="s">
        <v>53</v>
      </c>
      <c r="X77" s="119" t="s">
        <v>53</v>
      </c>
      <c r="Y77" s="149" t="s">
        <v>561</v>
      </c>
      <c r="Z77" s="149" t="s">
        <v>561</v>
      </c>
      <c r="AA77" s="149" t="s">
        <v>561</v>
      </c>
      <c r="AB77" s="149" t="s">
        <v>561</v>
      </c>
      <c r="AC77" s="125" t="s">
        <v>561</v>
      </c>
      <c r="AD77" s="149" t="s">
        <v>561</v>
      </c>
      <c r="AE77" s="128" t="s">
        <v>561</v>
      </c>
      <c r="AF77" s="125" t="s">
        <v>561</v>
      </c>
      <c r="AG77" s="121" t="s">
        <v>53</v>
      </c>
      <c r="AH77" s="128" t="s">
        <v>561</v>
      </c>
      <c r="AI77" s="125" t="s">
        <v>53</v>
      </c>
      <c r="AJ77" s="128" t="s">
        <v>561</v>
      </c>
      <c r="AK77" s="125" t="s">
        <v>799</v>
      </c>
      <c r="AL77" s="128" t="s">
        <v>561</v>
      </c>
      <c r="AM77" s="128" t="s">
        <v>561</v>
      </c>
      <c r="AN77" s="128" t="s">
        <v>53</v>
      </c>
      <c r="AO77" s="128" t="s">
        <v>53</v>
      </c>
      <c r="AP77" s="121" t="s">
        <v>561</v>
      </c>
      <c r="AQ77" s="128" t="s">
        <v>53</v>
      </c>
      <c r="AR77" s="128" t="s">
        <v>561</v>
      </c>
      <c r="AS77" s="117" t="s">
        <v>561</v>
      </c>
      <c r="AT77" s="117" t="s">
        <v>561</v>
      </c>
      <c r="AU77" s="117" t="s">
        <v>561</v>
      </c>
      <c r="AV77" s="117" t="s">
        <v>561</v>
      </c>
      <c r="AW77" s="117" t="s">
        <v>561</v>
      </c>
      <c r="AX77" s="117" t="s">
        <v>561</v>
      </c>
      <c r="AY77" s="117" t="s">
        <v>561</v>
      </c>
      <c r="AZ77" s="117" t="s">
        <v>561</v>
      </c>
      <c r="BA77" s="117" t="s">
        <v>561</v>
      </c>
      <c r="BB77" s="117" t="s">
        <v>53</v>
      </c>
      <c r="BC77" s="117" t="s">
        <v>600</v>
      </c>
      <c r="BD77" s="129" t="s">
        <v>821</v>
      </c>
      <c r="BE77" s="129" t="s">
        <v>821</v>
      </c>
      <c r="BF77" s="130"/>
      <c r="BG77" s="130">
        <f t="shared" si="8"/>
        <v>0</v>
      </c>
      <c r="BH77" s="131"/>
      <c r="BI77" s="131"/>
      <c r="BJ77" s="132"/>
      <c r="BK77" s="132"/>
      <c r="BL77" s="133"/>
      <c r="BM77" s="133" t="s">
        <v>561</v>
      </c>
      <c r="BN77" s="133"/>
      <c r="BO77" s="133"/>
      <c r="BP77" s="133" t="s">
        <v>2586</v>
      </c>
      <c r="BQ77" s="134"/>
      <c r="BR77" s="150" t="s">
        <v>1569</v>
      </c>
      <c r="BS77" s="134"/>
      <c r="BT77" s="134"/>
      <c r="BU77" s="137">
        <f t="shared" si="6"/>
        <v>0.153</v>
      </c>
      <c r="BV77" s="138">
        <v>0.5660000000000001</v>
      </c>
      <c r="BW77" s="137">
        <v>0.413</v>
      </c>
      <c r="BX77" s="137"/>
      <c r="BY77" s="137">
        <f t="shared" si="7"/>
        <v>0.106</v>
      </c>
      <c r="BZ77" s="138">
        <v>0.517</v>
      </c>
      <c r="CA77" s="137">
        <v>0.41100000000000003</v>
      </c>
      <c r="CB77" s="137"/>
      <c r="CC77" s="138">
        <v>0.6659999999999999</v>
      </c>
      <c r="CD77" s="137">
        <v>0.16399999999999998</v>
      </c>
      <c r="CE77" s="137">
        <v>0.066</v>
      </c>
      <c r="CF77" s="137">
        <v>0.09</v>
      </c>
      <c r="CG77" s="137">
        <v>0.018000000000000002</v>
      </c>
      <c r="CH77" s="137">
        <v>0.001</v>
      </c>
      <c r="CI77" s="139"/>
      <c r="CJ77" s="138">
        <v>0.743</v>
      </c>
      <c r="CK77" s="137">
        <v>0.12300000000000001</v>
      </c>
      <c r="CL77" s="137">
        <v>0.065</v>
      </c>
      <c r="CM77" s="137">
        <v>0.063</v>
      </c>
      <c r="CN77" s="137">
        <v>0.004</v>
      </c>
      <c r="CO77" s="137">
        <v>0.0</v>
      </c>
      <c r="CP77" s="137"/>
      <c r="CQ77" s="137">
        <v>0.435</v>
      </c>
      <c r="CR77" s="137">
        <v>0.46799999999999997</v>
      </c>
      <c r="CS77" s="137">
        <v>0.395</v>
      </c>
    </row>
    <row r="78">
      <c r="A78" s="112">
        <f t="shared" si="1"/>
        <v>76</v>
      </c>
      <c r="B78" s="112" t="s">
        <v>136</v>
      </c>
      <c r="C78" s="112" t="s">
        <v>137</v>
      </c>
      <c r="D78" s="113" t="s">
        <v>132</v>
      </c>
      <c r="E78" s="163"/>
      <c r="F78" s="115">
        <f t="shared" si="2"/>
        <v>0</v>
      </c>
      <c r="G78" s="115">
        <f t="shared" si="3"/>
        <v>0.3714285714</v>
      </c>
      <c r="H78" s="116">
        <f t="shared" si="4"/>
        <v>0.2785714286</v>
      </c>
      <c r="I78" s="117" t="s">
        <v>594</v>
      </c>
      <c r="J78" s="117" t="s">
        <v>594</v>
      </c>
      <c r="K78" s="117" t="s">
        <v>594</v>
      </c>
      <c r="L78" s="117" t="s">
        <v>594</v>
      </c>
      <c r="M78" s="117" t="s">
        <v>594</v>
      </c>
      <c r="N78" s="117" t="s">
        <v>594</v>
      </c>
      <c r="O78" s="149" t="s">
        <v>1256</v>
      </c>
      <c r="P78" s="120" t="s">
        <v>53</v>
      </c>
      <c r="Q78" s="121" t="s">
        <v>53</v>
      </c>
      <c r="R78" s="121" t="s">
        <v>561</v>
      </c>
      <c r="S78" s="119" t="s">
        <v>53</v>
      </c>
      <c r="T78" s="119" t="s">
        <v>53</v>
      </c>
      <c r="U78" s="119" t="s">
        <v>53</v>
      </c>
      <c r="V78" s="119" t="s">
        <v>53</v>
      </c>
      <c r="W78" s="119" t="s">
        <v>53</v>
      </c>
      <c r="X78" s="149" t="s">
        <v>561</v>
      </c>
      <c r="Y78" s="149" t="s">
        <v>561</v>
      </c>
      <c r="Z78" s="149" t="s">
        <v>561</v>
      </c>
      <c r="AA78" s="149" t="s">
        <v>561</v>
      </c>
      <c r="AB78" s="149" t="s">
        <v>561</v>
      </c>
      <c r="AC78" s="125" t="s">
        <v>561</v>
      </c>
      <c r="AD78" s="149" t="s">
        <v>561</v>
      </c>
      <c r="AE78" s="128" t="s">
        <v>561</v>
      </c>
      <c r="AF78" s="125" t="s">
        <v>561</v>
      </c>
      <c r="AG78" s="121" t="s">
        <v>53</v>
      </c>
      <c r="AH78" s="128" t="s">
        <v>561</v>
      </c>
      <c r="AI78" s="125" t="s">
        <v>53</v>
      </c>
      <c r="AJ78" s="128" t="s">
        <v>561</v>
      </c>
      <c r="AK78" s="125" t="s">
        <v>801</v>
      </c>
      <c r="AL78" s="123" t="s">
        <v>801</v>
      </c>
      <c r="AM78" s="128" t="s">
        <v>801</v>
      </c>
      <c r="AN78" s="128" t="s">
        <v>801</v>
      </c>
      <c r="AO78" s="128" t="s">
        <v>53</v>
      </c>
      <c r="AP78" s="121" t="s">
        <v>561</v>
      </c>
      <c r="AQ78" s="128" t="s">
        <v>53</v>
      </c>
      <c r="AR78" s="128" t="s">
        <v>561</v>
      </c>
      <c r="AS78" s="117" t="s">
        <v>561</v>
      </c>
      <c r="AT78" s="117" t="s">
        <v>53</v>
      </c>
      <c r="AU78" s="117" t="s">
        <v>561</v>
      </c>
      <c r="AV78" s="117" t="s">
        <v>561</v>
      </c>
      <c r="AW78" s="117" t="s">
        <v>561</v>
      </c>
      <c r="AX78" s="117" t="s">
        <v>561</v>
      </c>
      <c r="AY78" s="117" t="s">
        <v>561</v>
      </c>
      <c r="AZ78" s="117" t="s">
        <v>561</v>
      </c>
      <c r="BA78" s="117" t="s">
        <v>801</v>
      </c>
      <c r="BB78" s="117" t="s">
        <v>53</v>
      </c>
      <c r="BC78" s="117" t="s">
        <v>561</v>
      </c>
      <c r="BD78" s="129" t="s">
        <v>821</v>
      </c>
      <c r="BE78" s="129" t="s">
        <v>821</v>
      </c>
      <c r="BF78" s="130"/>
      <c r="BG78" s="130">
        <f t="shared" si="8"/>
        <v>7900</v>
      </c>
      <c r="BH78" s="131">
        <v>7900.0</v>
      </c>
      <c r="BI78" s="131"/>
      <c r="BJ78" s="132"/>
      <c r="BK78" s="132"/>
      <c r="BL78" s="133"/>
      <c r="BM78" s="133" t="s">
        <v>561</v>
      </c>
      <c r="BN78" s="133" t="s">
        <v>561</v>
      </c>
      <c r="BO78" s="133" t="s">
        <v>561</v>
      </c>
      <c r="BP78" s="133" t="s">
        <v>2587</v>
      </c>
      <c r="BQ78" s="134"/>
      <c r="BR78" s="134"/>
      <c r="BS78" s="181" t="s">
        <v>2030</v>
      </c>
      <c r="BT78" s="134"/>
      <c r="BU78" s="137">
        <f t="shared" si="6"/>
        <v>0.746</v>
      </c>
      <c r="BV78" s="138">
        <v>0.863</v>
      </c>
      <c r="BW78" s="137">
        <v>0.11699999999999999</v>
      </c>
      <c r="BX78" s="137"/>
      <c r="BY78" s="137">
        <f t="shared" si="7"/>
        <v>0.771</v>
      </c>
      <c r="BZ78" s="138">
        <v>0.86</v>
      </c>
      <c r="CA78" s="137">
        <v>0.08900000000000001</v>
      </c>
      <c r="CB78" s="137"/>
      <c r="CC78" s="138">
        <v>0.446</v>
      </c>
      <c r="CD78" s="137">
        <v>0.132</v>
      </c>
      <c r="CE78" s="137">
        <v>0.066</v>
      </c>
      <c r="CF78" s="137">
        <v>0.342</v>
      </c>
      <c r="CG78" s="137">
        <v>0.019</v>
      </c>
      <c r="CH78" s="137">
        <v>0.006999999999999999</v>
      </c>
      <c r="CI78" s="139"/>
      <c r="CJ78" s="138">
        <v>0.49600000000000005</v>
      </c>
      <c r="CK78" s="137">
        <v>0.10800000000000001</v>
      </c>
      <c r="CL78" s="137">
        <v>0.061</v>
      </c>
      <c r="CM78" s="137">
        <v>0.319</v>
      </c>
      <c r="CN78" s="137">
        <v>0.006</v>
      </c>
      <c r="CO78" s="137">
        <v>0.003</v>
      </c>
      <c r="CP78" s="137"/>
      <c r="CQ78" s="138">
        <v>0.634</v>
      </c>
      <c r="CR78" s="138">
        <v>0.7829999999999999</v>
      </c>
      <c r="CS78" s="137">
        <v>0.10800000000000001</v>
      </c>
    </row>
    <row r="79">
      <c r="A79" s="112">
        <f t="shared" si="1"/>
        <v>77</v>
      </c>
      <c r="B79" s="112" t="s">
        <v>191</v>
      </c>
      <c r="C79" s="112" t="s">
        <v>2475</v>
      </c>
      <c r="D79" s="117" t="s">
        <v>2474</v>
      </c>
      <c r="E79" s="154" t="s">
        <v>2588</v>
      </c>
      <c r="F79" s="115">
        <f t="shared" si="2"/>
        <v>0</v>
      </c>
      <c r="G79" s="115">
        <f t="shared" si="3"/>
        <v>0.3676470588</v>
      </c>
      <c r="H79" s="116">
        <f t="shared" si="4"/>
        <v>0.2757352941</v>
      </c>
      <c r="I79" s="117" t="s">
        <v>594</v>
      </c>
      <c r="J79" s="117" t="s">
        <v>594</v>
      </c>
      <c r="K79" s="117" t="s">
        <v>594</v>
      </c>
      <c r="L79" s="117" t="s">
        <v>594</v>
      </c>
      <c r="M79" s="117" t="s">
        <v>594</v>
      </c>
      <c r="N79" s="117" t="s">
        <v>594</v>
      </c>
      <c r="O79" s="149" t="s">
        <v>1256</v>
      </c>
      <c r="P79" s="120" t="s">
        <v>53</v>
      </c>
      <c r="Q79" s="121" t="s">
        <v>53</v>
      </c>
      <c r="R79" s="121" t="s">
        <v>561</v>
      </c>
      <c r="S79" s="121" t="s">
        <v>801</v>
      </c>
      <c r="T79" s="119" t="s">
        <v>53</v>
      </c>
      <c r="U79" s="119" t="s">
        <v>53</v>
      </c>
      <c r="V79" s="119" t="s">
        <v>53</v>
      </c>
      <c r="W79" s="119" t="s">
        <v>53</v>
      </c>
      <c r="X79" s="123" t="s">
        <v>801</v>
      </c>
      <c r="Y79" s="149" t="s">
        <v>561</v>
      </c>
      <c r="Z79" s="149" t="s">
        <v>561</v>
      </c>
      <c r="AA79" s="149" t="s">
        <v>561</v>
      </c>
      <c r="AB79" s="123" t="s">
        <v>801</v>
      </c>
      <c r="AC79" s="125" t="s">
        <v>561</v>
      </c>
      <c r="AD79" s="149" t="s">
        <v>561</v>
      </c>
      <c r="AE79" s="121" t="s">
        <v>53</v>
      </c>
      <c r="AF79" s="125" t="s">
        <v>561</v>
      </c>
      <c r="AG79" s="121" t="s">
        <v>53</v>
      </c>
      <c r="AH79" s="128" t="s">
        <v>561</v>
      </c>
      <c r="AI79" s="125" t="s">
        <v>799</v>
      </c>
      <c r="AJ79" s="121" t="s">
        <v>53</v>
      </c>
      <c r="AK79" s="125" t="s">
        <v>801</v>
      </c>
      <c r="AL79" s="128" t="s">
        <v>561</v>
      </c>
      <c r="AM79" s="128" t="s">
        <v>561</v>
      </c>
      <c r="AN79" s="128" t="s">
        <v>561</v>
      </c>
      <c r="AO79" s="128" t="s">
        <v>53</v>
      </c>
      <c r="AP79" s="121" t="s">
        <v>561</v>
      </c>
      <c r="AQ79" s="128" t="s">
        <v>53</v>
      </c>
      <c r="AR79" s="128" t="s">
        <v>561</v>
      </c>
      <c r="AS79" s="117" t="s">
        <v>561</v>
      </c>
      <c r="AT79" s="117" t="s">
        <v>53</v>
      </c>
      <c r="AU79" s="117" t="s">
        <v>561</v>
      </c>
      <c r="AV79" s="117" t="s">
        <v>561</v>
      </c>
      <c r="AW79" s="117" t="s">
        <v>561</v>
      </c>
      <c r="AX79" s="117" t="s">
        <v>561</v>
      </c>
      <c r="AY79" s="117" t="s">
        <v>561</v>
      </c>
      <c r="AZ79" s="117" t="s">
        <v>561</v>
      </c>
      <c r="BA79" s="117" t="s">
        <v>561</v>
      </c>
      <c r="BB79" s="117" t="s">
        <v>600</v>
      </c>
      <c r="BC79" s="117" t="s">
        <v>600</v>
      </c>
      <c r="BD79" s="129" t="s">
        <v>821</v>
      </c>
      <c r="BE79" s="129" t="s">
        <v>821</v>
      </c>
      <c r="BF79" s="130"/>
      <c r="BG79" s="130">
        <f t="shared" si="8"/>
        <v>41070</v>
      </c>
      <c r="BH79" s="131">
        <v>41070.0</v>
      </c>
      <c r="BI79" s="131"/>
      <c r="BJ79" s="132"/>
      <c r="BK79" s="132"/>
      <c r="BL79" s="133"/>
      <c r="BM79" s="133"/>
      <c r="BN79" s="133"/>
      <c r="BO79" s="133" t="s">
        <v>561</v>
      </c>
      <c r="BP79" s="133" t="s">
        <v>2589</v>
      </c>
      <c r="BQ79" s="134"/>
      <c r="BR79" s="135" t="s">
        <v>850</v>
      </c>
      <c r="BS79" s="181" t="s">
        <v>122</v>
      </c>
      <c r="BT79" s="134"/>
      <c r="BU79" s="137">
        <f t="shared" si="6"/>
        <v>0.643</v>
      </c>
      <c r="BV79" s="142">
        <v>0.81</v>
      </c>
      <c r="BW79" s="141">
        <v>0.16699999999999998</v>
      </c>
      <c r="BX79" s="141"/>
      <c r="BY79" s="137">
        <f t="shared" si="7"/>
        <v>0.737</v>
      </c>
      <c r="BZ79" s="142">
        <v>0.84</v>
      </c>
      <c r="CA79" s="141">
        <v>0.10300000000000001</v>
      </c>
      <c r="CB79" s="141"/>
      <c r="CC79" s="141">
        <v>0.124</v>
      </c>
      <c r="CD79" s="142">
        <v>0.616</v>
      </c>
      <c r="CE79" s="141">
        <v>0.057</v>
      </c>
      <c r="CF79" s="141">
        <v>0.204</v>
      </c>
      <c r="CG79" s="141">
        <v>0.044000000000000004</v>
      </c>
      <c r="CH79" s="141">
        <v>0.003</v>
      </c>
      <c r="CI79" s="139"/>
      <c r="CJ79" s="141">
        <v>0.161</v>
      </c>
      <c r="CK79" s="142">
        <v>0.559</v>
      </c>
      <c r="CL79" s="141">
        <v>0.07200000000000001</v>
      </c>
      <c r="CM79" s="141">
        <v>0.197</v>
      </c>
      <c r="CN79" s="141">
        <v>0.006999999999999999</v>
      </c>
      <c r="CO79" s="141">
        <v>0.002</v>
      </c>
      <c r="CP79" s="141"/>
      <c r="CQ79" s="141">
        <v>0.262</v>
      </c>
      <c r="CR79" s="142">
        <v>0.603</v>
      </c>
      <c r="CS79" s="141">
        <v>0.064</v>
      </c>
    </row>
    <row r="80">
      <c r="A80" s="112">
        <f t="shared" si="1"/>
        <v>78</v>
      </c>
      <c r="B80" s="112" t="s">
        <v>2590</v>
      </c>
      <c r="C80" s="112" t="s">
        <v>348</v>
      </c>
      <c r="D80" s="113" t="s">
        <v>1321</v>
      </c>
      <c r="E80" s="186"/>
      <c r="F80" s="115">
        <f t="shared" si="2"/>
        <v>0</v>
      </c>
      <c r="G80" s="115">
        <f t="shared" si="3"/>
        <v>0.3625</v>
      </c>
      <c r="H80" s="116">
        <f t="shared" si="4"/>
        <v>0.271875</v>
      </c>
      <c r="I80" s="117" t="s">
        <v>594</v>
      </c>
      <c r="J80" s="117" t="s">
        <v>594</v>
      </c>
      <c r="K80" s="117" t="s">
        <v>594</v>
      </c>
      <c r="L80" s="117" t="s">
        <v>594</v>
      </c>
      <c r="M80" s="117" t="s">
        <v>594</v>
      </c>
      <c r="N80" s="117" t="s">
        <v>594</v>
      </c>
      <c r="O80" s="149" t="s">
        <v>1256</v>
      </c>
      <c r="P80" s="185" t="s">
        <v>561</v>
      </c>
      <c r="Q80" s="121" t="s">
        <v>53</v>
      </c>
      <c r="R80" s="121" t="s">
        <v>561</v>
      </c>
      <c r="S80" s="119" t="s">
        <v>53</v>
      </c>
      <c r="T80" s="119" t="s">
        <v>53</v>
      </c>
      <c r="U80" s="119" t="s">
        <v>53</v>
      </c>
      <c r="V80" s="119" t="s">
        <v>53</v>
      </c>
      <c r="W80" s="119" t="s">
        <v>53</v>
      </c>
      <c r="X80" s="119" t="s">
        <v>53</v>
      </c>
      <c r="Y80" s="149" t="s">
        <v>561</v>
      </c>
      <c r="Z80" s="149" t="s">
        <v>561</v>
      </c>
      <c r="AA80" s="149" t="s">
        <v>561</v>
      </c>
      <c r="AB80" s="149" t="s">
        <v>561</v>
      </c>
      <c r="AC80" s="125" t="s">
        <v>561</v>
      </c>
      <c r="AD80" s="149" t="s">
        <v>561</v>
      </c>
      <c r="AE80" s="128" t="s">
        <v>561</v>
      </c>
      <c r="AF80" s="125" t="s">
        <v>561</v>
      </c>
      <c r="AG80" s="121" t="s">
        <v>53</v>
      </c>
      <c r="AH80" s="128" t="s">
        <v>561</v>
      </c>
      <c r="AI80" s="125" t="s">
        <v>53</v>
      </c>
      <c r="AJ80" s="121" t="s">
        <v>53</v>
      </c>
      <c r="AK80" s="125" t="s">
        <v>799</v>
      </c>
      <c r="AL80" s="128" t="s">
        <v>561</v>
      </c>
      <c r="AM80" s="128" t="s">
        <v>561</v>
      </c>
      <c r="AN80" s="128" t="s">
        <v>53</v>
      </c>
      <c r="AO80" s="128" t="s">
        <v>53</v>
      </c>
      <c r="AP80" s="121" t="s">
        <v>561</v>
      </c>
      <c r="AQ80" s="128" t="s">
        <v>53</v>
      </c>
      <c r="AR80" s="128" t="s">
        <v>561</v>
      </c>
      <c r="AS80" s="117" t="s">
        <v>561</v>
      </c>
      <c r="AT80" s="117" t="s">
        <v>561</v>
      </c>
      <c r="AU80" s="117" t="s">
        <v>561</v>
      </c>
      <c r="AV80" s="117" t="s">
        <v>561</v>
      </c>
      <c r="AW80" s="117" t="s">
        <v>561</v>
      </c>
      <c r="AX80" s="117" t="s">
        <v>561</v>
      </c>
      <c r="AY80" s="117" t="s">
        <v>561</v>
      </c>
      <c r="AZ80" s="117" t="s">
        <v>561</v>
      </c>
      <c r="BA80" s="117" t="s">
        <v>561</v>
      </c>
      <c r="BB80" s="117" t="s">
        <v>53</v>
      </c>
      <c r="BC80" s="117" t="s">
        <v>561</v>
      </c>
      <c r="BD80" s="129" t="s">
        <v>821</v>
      </c>
      <c r="BE80" s="129" t="s">
        <v>821</v>
      </c>
      <c r="BF80" s="130"/>
      <c r="BG80" s="130">
        <f t="shared" si="8"/>
        <v>0</v>
      </c>
      <c r="BH80" s="131"/>
      <c r="BI80" s="131"/>
      <c r="BJ80" s="132"/>
      <c r="BK80" s="132"/>
      <c r="BL80" s="133"/>
      <c r="BM80" s="133"/>
      <c r="BN80" s="133"/>
      <c r="BO80" s="133"/>
      <c r="BP80" s="133" t="s">
        <v>1457</v>
      </c>
      <c r="BQ80" s="134"/>
      <c r="BR80" s="134"/>
      <c r="BS80" s="134"/>
      <c r="BT80" s="134"/>
      <c r="BU80" s="137">
        <f t="shared" si="6"/>
        <v>0.383</v>
      </c>
      <c r="BV80" s="138">
        <v>0.6829999999999999</v>
      </c>
      <c r="BW80" s="137">
        <v>0.3</v>
      </c>
      <c r="BX80" s="137"/>
      <c r="BY80" s="137">
        <f t="shared" si="7"/>
        <v>0.332</v>
      </c>
      <c r="BZ80" s="138">
        <v>0.639</v>
      </c>
      <c r="CA80" s="137">
        <v>0.307</v>
      </c>
      <c r="CB80" s="137"/>
      <c r="CC80" s="137">
        <v>0.42</v>
      </c>
      <c r="CD80" s="137">
        <v>0.07400000000000001</v>
      </c>
      <c r="CE80" s="138">
        <v>0.45399999999999996</v>
      </c>
      <c r="CF80" s="137">
        <v>0.044000000000000004</v>
      </c>
      <c r="CG80" s="137">
        <v>0.024</v>
      </c>
      <c r="CH80" s="137">
        <v>0.004</v>
      </c>
      <c r="CI80" s="139"/>
      <c r="CJ80" s="138">
        <v>0.455</v>
      </c>
      <c r="CK80" s="137">
        <v>0.055</v>
      </c>
      <c r="CL80" s="137">
        <v>0.446</v>
      </c>
      <c r="CM80" s="137">
        <v>0.03</v>
      </c>
      <c r="CN80" s="137">
        <v>0.01</v>
      </c>
      <c r="CO80" s="137">
        <v>0.001</v>
      </c>
      <c r="CP80" s="137"/>
      <c r="CQ80" s="137">
        <v>0.272</v>
      </c>
      <c r="CR80" s="137">
        <v>0.32899999999999996</v>
      </c>
      <c r="CS80" s="137">
        <v>0.305</v>
      </c>
    </row>
    <row r="81">
      <c r="A81" s="112">
        <f t="shared" si="1"/>
        <v>79</v>
      </c>
      <c r="B81" s="112" t="s">
        <v>183</v>
      </c>
      <c r="C81" s="112" t="s">
        <v>184</v>
      </c>
      <c r="D81" s="113" t="s">
        <v>181</v>
      </c>
      <c r="E81" s="154" t="s">
        <v>2591</v>
      </c>
      <c r="F81" s="115">
        <f t="shared" si="2"/>
        <v>0.1428571429</v>
      </c>
      <c r="G81" s="115">
        <f t="shared" si="3"/>
        <v>0.3108108108</v>
      </c>
      <c r="H81" s="116">
        <f t="shared" si="4"/>
        <v>0.2688223938</v>
      </c>
      <c r="I81" s="117" t="s">
        <v>594</v>
      </c>
      <c r="J81" s="117" t="s">
        <v>594</v>
      </c>
      <c r="K81" s="117" t="s">
        <v>487</v>
      </c>
      <c r="L81" s="117" t="s">
        <v>594</v>
      </c>
      <c r="M81" s="117" t="s">
        <v>594</v>
      </c>
      <c r="N81" s="117" t="s">
        <v>594</v>
      </c>
      <c r="O81" s="149" t="s">
        <v>1256</v>
      </c>
      <c r="P81" s="185" t="s">
        <v>561</v>
      </c>
      <c r="Q81" s="121" t="s">
        <v>53</v>
      </c>
      <c r="R81" s="121" t="s">
        <v>561</v>
      </c>
      <c r="S81" s="119" t="s">
        <v>53</v>
      </c>
      <c r="T81" s="119" t="s">
        <v>53</v>
      </c>
      <c r="U81" s="119" t="s">
        <v>53</v>
      </c>
      <c r="V81" s="123" t="s">
        <v>801</v>
      </c>
      <c r="W81" s="119" t="s">
        <v>53</v>
      </c>
      <c r="X81" s="119" t="s">
        <v>53</v>
      </c>
      <c r="Y81" s="149" t="s">
        <v>561</v>
      </c>
      <c r="Z81" s="149" t="s">
        <v>561</v>
      </c>
      <c r="AA81" s="149" t="s">
        <v>561</v>
      </c>
      <c r="AB81" s="149" t="s">
        <v>561</v>
      </c>
      <c r="AC81" s="125" t="s">
        <v>561</v>
      </c>
      <c r="AD81" s="149" t="s">
        <v>561</v>
      </c>
      <c r="AE81" s="128" t="s">
        <v>561</v>
      </c>
      <c r="AF81" s="125" t="s">
        <v>561</v>
      </c>
      <c r="AG81" s="121" t="s">
        <v>53</v>
      </c>
      <c r="AH81" s="128" t="s">
        <v>561</v>
      </c>
      <c r="AI81" s="125" t="s">
        <v>53</v>
      </c>
      <c r="AJ81" s="123" t="s">
        <v>801</v>
      </c>
      <c r="AK81" s="125" t="s">
        <v>801</v>
      </c>
      <c r="AL81" s="128" t="s">
        <v>561</v>
      </c>
      <c r="AM81" s="128" t="s">
        <v>561</v>
      </c>
      <c r="AN81" s="128" t="s">
        <v>561</v>
      </c>
      <c r="AO81" s="128" t="s">
        <v>53</v>
      </c>
      <c r="AP81" s="121" t="s">
        <v>561</v>
      </c>
      <c r="AQ81" s="128" t="s">
        <v>53</v>
      </c>
      <c r="AR81" s="121" t="s">
        <v>53</v>
      </c>
      <c r="AS81" s="117" t="s">
        <v>561</v>
      </c>
      <c r="AT81" s="117" t="s">
        <v>561</v>
      </c>
      <c r="AU81" s="117" t="s">
        <v>561</v>
      </c>
      <c r="AV81" s="117" t="s">
        <v>561</v>
      </c>
      <c r="AW81" s="117" t="s">
        <v>561</v>
      </c>
      <c r="AX81" s="117" t="s">
        <v>561</v>
      </c>
      <c r="AY81" s="117" t="s">
        <v>561</v>
      </c>
      <c r="AZ81" s="117" t="s">
        <v>561</v>
      </c>
      <c r="BA81" s="117" t="s">
        <v>561</v>
      </c>
      <c r="BB81" s="117" t="s">
        <v>799</v>
      </c>
      <c r="BC81" s="117" t="s">
        <v>561</v>
      </c>
      <c r="BD81" s="129" t="s">
        <v>821</v>
      </c>
      <c r="BE81" s="129" t="s">
        <v>821</v>
      </c>
      <c r="BF81" s="130"/>
      <c r="BG81" s="130">
        <f t="shared" si="8"/>
        <v>0</v>
      </c>
      <c r="BH81" s="131"/>
      <c r="BI81" s="131"/>
      <c r="BJ81" s="132"/>
      <c r="BK81" s="132"/>
      <c r="BL81" s="133"/>
      <c r="BM81" s="133" t="s">
        <v>561</v>
      </c>
      <c r="BN81" s="133"/>
      <c r="BO81" s="133"/>
      <c r="BP81" s="133" t="s">
        <v>2084</v>
      </c>
      <c r="BQ81" s="134"/>
      <c r="BR81" s="135" t="s">
        <v>850</v>
      </c>
      <c r="BS81" s="134"/>
      <c r="BT81" s="134"/>
      <c r="BU81" s="137">
        <f t="shared" si="6"/>
        <v>0.441</v>
      </c>
      <c r="BV81" s="138">
        <v>0.71</v>
      </c>
      <c r="BW81" s="137">
        <v>0.26899999999999996</v>
      </c>
      <c r="BX81" s="137"/>
      <c r="BY81" s="137">
        <f t="shared" si="7"/>
        <v>0.488</v>
      </c>
      <c r="BZ81" s="138">
        <v>0.715</v>
      </c>
      <c r="CA81" s="137">
        <v>0.22699999999999998</v>
      </c>
      <c r="CB81" s="137"/>
      <c r="CC81" s="137">
        <v>0.213</v>
      </c>
      <c r="CD81" s="138">
        <v>0.608</v>
      </c>
      <c r="CE81" s="137">
        <v>0.03</v>
      </c>
      <c r="CF81" s="137">
        <v>0.14300000000000002</v>
      </c>
      <c r="CG81" s="137">
        <v>0.049</v>
      </c>
      <c r="CH81" s="137">
        <v>0.006999999999999999</v>
      </c>
      <c r="CI81" s="139"/>
      <c r="CJ81" s="137">
        <v>0.302</v>
      </c>
      <c r="CK81" s="138">
        <v>0.507</v>
      </c>
      <c r="CL81" s="137">
        <v>0.032</v>
      </c>
      <c r="CM81" s="137">
        <v>0.142</v>
      </c>
      <c r="CN81" s="137">
        <v>0.008</v>
      </c>
      <c r="CO81" s="137">
        <v>0.003</v>
      </c>
      <c r="CP81" s="137"/>
      <c r="CQ81" s="137">
        <v>0.231</v>
      </c>
      <c r="CR81" s="137">
        <v>0.395</v>
      </c>
      <c r="CS81" s="137">
        <v>0.183</v>
      </c>
    </row>
    <row r="82">
      <c r="A82" s="112">
        <f t="shared" si="1"/>
        <v>80</v>
      </c>
      <c r="B82" s="112" t="s">
        <v>419</v>
      </c>
      <c r="C82" s="112" t="s">
        <v>420</v>
      </c>
      <c r="D82" s="113" t="s">
        <v>417</v>
      </c>
      <c r="E82" s="186"/>
      <c r="F82" s="115">
        <f t="shared" si="2"/>
        <v>0.1428571429</v>
      </c>
      <c r="G82" s="115">
        <f t="shared" si="3"/>
        <v>0.3</v>
      </c>
      <c r="H82" s="116">
        <f t="shared" si="4"/>
        <v>0.2607142857</v>
      </c>
      <c r="I82" s="117" t="s">
        <v>594</v>
      </c>
      <c r="J82" s="117" t="s">
        <v>594</v>
      </c>
      <c r="K82" s="117" t="s">
        <v>487</v>
      </c>
      <c r="L82" s="117" t="s">
        <v>594</v>
      </c>
      <c r="M82" s="117" t="s">
        <v>594</v>
      </c>
      <c r="N82" s="117" t="s">
        <v>594</v>
      </c>
      <c r="O82" s="149" t="s">
        <v>1256</v>
      </c>
      <c r="P82" s="185" t="s">
        <v>561</v>
      </c>
      <c r="Q82" s="121" t="s">
        <v>53</v>
      </c>
      <c r="R82" s="121" t="s">
        <v>561</v>
      </c>
      <c r="S82" s="119" t="s">
        <v>53</v>
      </c>
      <c r="T82" s="119" t="s">
        <v>53</v>
      </c>
      <c r="U82" s="119" t="s">
        <v>53</v>
      </c>
      <c r="V82" s="119" t="s">
        <v>53</v>
      </c>
      <c r="W82" s="119" t="s">
        <v>53</v>
      </c>
      <c r="X82" s="149" t="s">
        <v>561</v>
      </c>
      <c r="Y82" s="149" t="s">
        <v>561</v>
      </c>
      <c r="Z82" s="149" t="s">
        <v>561</v>
      </c>
      <c r="AA82" s="149" t="s">
        <v>561</v>
      </c>
      <c r="AB82" s="149" t="s">
        <v>561</v>
      </c>
      <c r="AC82" s="125" t="s">
        <v>561</v>
      </c>
      <c r="AD82" s="149" t="s">
        <v>561</v>
      </c>
      <c r="AE82" s="128" t="s">
        <v>561</v>
      </c>
      <c r="AF82" s="125" t="s">
        <v>561</v>
      </c>
      <c r="AG82" s="121" t="s">
        <v>53</v>
      </c>
      <c r="AH82" s="128" t="s">
        <v>561</v>
      </c>
      <c r="AI82" s="125" t="s">
        <v>53</v>
      </c>
      <c r="AJ82" s="128" t="s">
        <v>561</v>
      </c>
      <c r="AK82" s="125" t="s">
        <v>561</v>
      </c>
      <c r="AL82" s="128" t="s">
        <v>561</v>
      </c>
      <c r="AM82" s="128" t="s">
        <v>561</v>
      </c>
      <c r="AN82" s="128" t="s">
        <v>561</v>
      </c>
      <c r="AO82" s="128" t="s">
        <v>53</v>
      </c>
      <c r="AP82" s="121" t="s">
        <v>561</v>
      </c>
      <c r="AQ82" s="128" t="s">
        <v>53</v>
      </c>
      <c r="AR82" s="128" t="s">
        <v>561</v>
      </c>
      <c r="AS82" s="117" t="s">
        <v>561</v>
      </c>
      <c r="AT82" s="117" t="s">
        <v>53</v>
      </c>
      <c r="AU82" s="117" t="s">
        <v>561</v>
      </c>
      <c r="AV82" s="117" t="s">
        <v>561</v>
      </c>
      <c r="AW82" s="117" t="s">
        <v>561</v>
      </c>
      <c r="AX82" s="117" t="s">
        <v>561</v>
      </c>
      <c r="AY82" s="117" t="s">
        <v>561</v>
      </c>
      <c r="AZ82" s="117" t="s">
        <v>561</v>
      </c>
      <c r="BA82" s="117" t="s">
        <v>561</v>
      </c>
      <c r="BB82" s="117" t="s">
        <v>53</v>
      </c>
      <c r="BC82" s="117" t="s">
        <v>561</v>
      </c>
      <c r="BD82" s="129" t="s">
        <v>821</v>
      </c>
      <c r="BE82" s="129" t="s">
        <v>821</v>
      </c>
      <c r="BF82" s="130"/>
      <c r="BG82" s="130">
        <f t="shared" si="8"/>
        <v>42200</v>
      </c>
      <c r="BH82" s="131">
        <v>42200.0</v>
      </c>
      <c r="BI82" s="131"/>
      <c r="BJ82" s="132"/>
      <c r="BK82" s="132"/>
      <c r="BL82" s="133"/>
      <c r="BM82" s="133" t="s">
        <v>561</v>
      </c>
      <c r="BN82" s="133"/>
      <c r="BO82" s="133" t="s">
        <v>561</v>
      </c>
      <c r="BP82" s="133" t="s">
        <v>1531</v>
      </c>
      <c r="BQ82" s="134"/>
      <c r="BR82" s="135" t="s">
        <v>850</v>
      </c>
      <c r="BS82" s="181" t="s">
        <v>122</v>
      </c>
      <c r="BT82" s="134"/>
      <c r="BU82" s="137">
        <f t="shared" si="6"/>
        <v>0.197</v>
      </c>
      <c r="BV82" s="138">
        <v>0.5920000000000001</v>
      </c>
      <c r="BW82" s="137">
        <v>0.395</v>
      </c>
      <c r="BX82" s="137"/>
      <c r="BY82" s="137">
        <f t="shared" si="7"/>
        <v>0.139</v>
      </c>
      <c r="BZ82" s="138">
        <v>0.55</v>
      </c>
      <c r="CA82" s="137">
        <v>0.41100000000000003</v>
      </c>
      <c r="CB82" s="137"/>
      <c r="CC82" s="138">
        <v>0.647</v>
      </c>
      <c r="CD82" s="137">
        <v>0.14300000000000002</v>
      </c>
      <c r="CE82" s="137">
        <v>0.149</v>
      </c>
      <c r="CF82" s="137">
        <v>0.053</v>
      </c>
      <c r="CG82" s="137">
        <v>0.015</v>
      </c>
      <c r="CH82" s="137">
        <v>0.001</v>
      </c>
      <c r="CI82" s="139"/>
      <c r="CJ82" s="138">
        <v>0.703</v>
      </c>
      <c r="CK82" s="137">
        <v>0.11900000000000001</v>
      </c>
      <c r="CL82" s="137">
        <v>0.13699999999999998</v>
      </c>
      <c r="CM82" s="137">
        <v>0.034</v>
      </c>
      <c r="CN82" s="137">
        <v>0.005</v>
      </c>
      <c r="CO82" s="137">
        <v>0.0</v>
      </c>
      <c r="CP82" s="137"/>
      <c r="CQ82" s="137">
        <v>0.374</v>
      </c>
      <c r="CR82" s="137">
        <v>0.41700000000000004</v>
      </c>
      <c r="CS82" s="137">
        <v>0.409</v>
      </c>
    </row>
    <row r="83">
      <c r="A83" s="112">
        <f t="shared" si="1"/>
        <v>81</v>
      </c>
      <c r="B83" s="112" t="s">
        <v>678</v>
      </c>
      <c r="C83" s="112" t="s">
        <v>679</v>
      </c>
      <c r="D83" s="113" t="s">
        <v>673</v>
      </c>
      <c r="E83" s="154" t="s">
        <v>2595</v>
      </c>
      <c r="F83" s="115">
        <f t="shared" si="2"/>
        <v>0</v>
      </c>
      <c r="G83" s="115">
        <f t="shared" si="3"/>
        <v>0.3472222222</v>
      </c>
      <c r="H83" s="116">
        <f t="shared" si="4"/>
        <v>0.2604166667</v>
      </c>
      <c r="I83" s="117" t="s">
        <v>594</v>
      </c>
      <c r="J83" s="117" t="s">
        <v>594</v>
      </c>
      <c r="K83" s="117" t="s">
        <v>594</v>
      </c>
      <c r="L83" s="117" t="s">
        <v>594</v>
      </c>
      <c r="M83" s="117" t="s">
        <v>594</v>
      </c>
      <c r="N83" s="117" t="s">
        <v>594</v>
      </c>
      <c r="O83" s="149" t="s">
        <v>1256</v>
      </c>
      <c r="P83" s="120" t="s">
        <v>53</v>
      </c>
      <c r="Q83" s="121" t="s">
        <v>53</v>
      </c>
      <c r="R83" s="121" t="s">
        <v>561</v>
      </c>
      <c r="S83" s="119" t="s">
        <v>53</v>
      </c>
      <c r="T83" s="119" t="s">
        <v>53</v>
      </c>
      <c r="U83" s="119" t="s">
        <v>53</v>
      </c>
      <c r="V83" s="119" t="s">
        <v>53</v>
      </c>
      <c r="W83" s="119" t="s">
        <v>53</v>
      </c>
      <c r="X83" s="119" t="s">
        <v>53</v>
      </c>
      <c r="Y83" s="149" t="s">
        <v>561</v>
      </c>
      <c r="Z83" s="149" t="s">
        <v>561</v>
      </c>
      <c r="AA83" s="149" t="s">
        <v>561</v>
      </c>
      <c r="AB83" s="149" t="s">
        <v>561</v>
      </c>
      <c r="AC83" s="125" t="s">
        <v>561</v>
      </c>
      <c r="AD83" s="149" t="s">
        <v>561</v>
      </c>
      <c r="AE83" s="128" t="s">
        <v>561</v>
      </c>
      <c r="AF83" s="125" t="s">
        <v>561</v>
      </c>
      <c r="AG83" s="121" t="s">
        <v>53</v>
      </c>
      <c r="AH83" s="128" t="s">
        <v>561</v>
      </c>
      <c r="AI83" s="125" t="s">
        <v>53</v>
      </c>
      <c r="AJ83" s="128" t="s">
        <v>561</v>
      </c>
      <c r="AK83" s="125" t="s">
        <v>799</v>
      </c>
      <c r="AL83" s="128" t="s">
        <v>561</v>
      </c>
      <c r="AM83" s="128" t="s">
        <v>561</v>
      </c>
      <c r="AN83" s="128" t="s">
        <v>561</v>
      </c>
      <c r="AO83" s="128" t="s">
        <v>53</v>
      </c>
      <c r="AP83" s="121" t="s">
        <v>561</v>
      </c>
      <c r="AQ83" s="128" t="s">
        <v>53</v>
      </c>
      <c r="AR83" s="128" t="s">
        <v>561</v>
      </c>
      <c r="AS83" s="117" t="s">
        <v>561</v>
      </c>
      <c r="AT83" s="117" t="s">
        <v>561</v>
      </c>
      <c r="AU83" s="117" t="s">
        <v>561</v>
      </c>
      <c r="AV83" s="117" t="s">
        <v>561</v>
      </c>
      <c r="AW83" s="117" t="s">
        <v>561</v>
      </c>
      <c r="AX83" s="117" t="s">
        <v>561</v>
      </c>
      <c r="AY83" s="117" t="s">
        <v>561</v>
      </c>
      <c r="AZ83" s="117" t="s">
        <v>600</v>
      </c>
      <c r="BA83" s="117" t="s">
        <v>600</v>
      </c>
      <c r="BB83" s="117" t="s">
        <v>600</v>
      </c>
      <c r="BC83" s="117" t="s">
        <v>600</v>
      </c>
      <c r="BD83" s="164" t="s">
        <v>1832</v>
      </c>
      <c r="BE83" s="164" t="s">
        <v>1832</v>
      </c>
      <c r="BF83" s="130"/>
      <c r="BG83" s="130">
        <f t="shared" si="8"/>
        <v>30060</v>
      </c>
      <c r="BH83" s="131">
        <v>30060.0</v>
      </c>
      <c r="BI83" s="131"/>
      <c r="BJ83" s="132"/>
      <c r="BK83" s="132"/>
      <c r="BL83" s="133"/>
      <c r="BM83" s="133"/>
      <c r="BN83" s="133"/>
      <c r="BO83" s="133" t="s">
        <v>561</v>
      </c>
      <c r="BP83" s="133" t="s">
        <v>2572</v>
      </c>
      <c r="BQ83" s="134"/>
      <c r="BR83" s="150" t="s">
        <v>1199</v>
      </c>
      <c r="BS83" s="181" t="s">
        <v>122</v>
      </c>
      <c r="BT83" s="134"/>
      <c r="BU83" s="137">
        <f t="shared" si="6"/>
        <v>0.525</v>
      </c>
      <c r="BV83" s="138">
        <v>0.754</v>
      </c>
      <c r="BW83" s="137">
        <v>0.22899999999999998</v>
      </c>
      <c r="BX83" s="137"/>
      <c r="BY83" s="137">
        <f t="shared" si="7"/>
        <v>0.524</v>
      </c>
      <c r="BZ83" s="138">
        <v>0.746</v>
      </c>
      <c r="CA83" s="137">
        <v>0.222</v>
      </c>
      <c r="CB83" s="137"/>
      <c r="CC83" s="137">
        <v>0.298</v>
      </c>
      <c r="CD83" s="137">
        <v>0.078</v>
      </c>
      <c r="CE83" s="138">
        <v>0.586</v>
      </c>
      <c r="CF83" s="137">
        <v>0.033</v>
      </c>
      <c r="CG83" s="137">
        <v>0.015</v>
      </c>
      <c r="CH83" s="137">
        <v>0.001</v>
      </c>
      <c r="CI83" s="139"/>
      <c r="CJ83" s="137">
        <v>0.315</v>
      </c>
      <c r="CK83" s="137">
        <v>0.039</v>
      </c>
      <c r="CL83" s="138">
        <v>0.618</v>
      </c>
      <c r="CM83" s="137">
        <v>0.022000000000000002</v>
      </c>
      <c r="CN83" s="137">
        <v>0.005</v>
      </c>
      <c r="CO83" s="137">
        <v>0.0</v>
      </c>
      <c r="CP83" s="137"/>
      <c r="CQ83" s="137">
        <v>0.248</v>
      </c>
      <c r="CR83" s="137">
        <v>0.379</v>
      </c>
      <c r="CS83" s="137">
        <v>0.195</v>
      </c>
    </row>
    <row r="84">
      <c r="A84" s="112">
        <f t="shared" si="1"/>
        <v>82</v>
      </c>
      <c r="B84" s="112" t="s">
        <v>761</v>
      </c>
      <c r="C84" s="112" t="s">
        <v>762</v>
      </c>
      <c r="D84" s="144" t="s">
        <v>758</v>
      </c>
      <c r="E84" s="186"/>
      <c r="F84" s="115">
        <f t="shared" si="2"/>
        <v>0</v>
      </c>
      <c r="G84" s="115">
        <f t="shared" si="3"/>
        <v>0.3461538462</v>
      </c>
      <c r="H84" s="116">
        <f t="shared" si="4"/>
        <v>0.2596153846</v>
      </c>
      <c r="I84" s="117" t="s">
        <v>594</v>
      </c>
      <c r="J84" s="117" t="s">
        <v>594</v>
      </c>
      <c r="K84" s="117" t="s">
        <v>594</v>
      </c>
      <c r="L84" s="117" t="s">
        <v>594</v>
      </c>
      <c r="M84" s="117" t="s">
        <v>594</v>
      </c>
      <c r="N84" s="117" t="s">
        <v>594</v>
      </c>
      <c r="O84" s="149" t="s">
        <v>1256</v>
      </c>
      <c r="P84" s="120" t="s">
        <v>53</v>
      </c>
      <c r="Q84" s="121" t="s">
        <v>53</v>
      </c>
      <c r="R84" s="121" t="s">
        <v>561</v>
      </c>
      <c r="S84" s="119" t="s">
        <v>53</v>
      </c>
      <c r="T84" s="119" t="s">
        <v>53</v>
      </c>
      <c r="U84" s="119" t="s">
        <v>53</v>
      </c>
      <c r="V84" s="119" t="s">
        <v>53</v>
      </c>
      <c r="W84" s="119" t="s">
        <v>53</v>
      </c>
      <c r="X84" s="149" t="s">
        <v>561</v>
      </c>
      <c r="Y84" s="149" t="s">
        <v>561</v>
      </c>
      <c r="Z84" s="149" t="s">
        <v>561</v>
      </c>
      <c r="AA84" s="149" t="s">
        <v>561</v>
      </c>
      <c r="AB84" s="149" t="s">
        <v>561</v>
      </c>
      <c r="AC84" s="125" t="s">
        <v>561</v>
      </c>
      <c r="AD84" s="149" t="s">
        <v>561</v>
      </c>
      <c r="AE84" s="128" t="s">
        <v>561</v>
      </c>
      <c r="AF84" s="125" t="s">
        <v>561</v>
      </c>
      <c r="AG84" s="121" t="s">
        <v>53</v>
      </c>
      <c r="AH84" s="128" t="s">
        <v>561</v>
      </c>
      <c r="AI84" s="125" t="s">
        <v>53</v>
      </c>
      <c r="AJ84" s="128" t="s">
        <v>561</v>
      </c>
      <c r="AK84" s="125" t="s">
        <v>799</v>
      </c>
      <c r="AL84" s="128" t="s">
        <v>561</v>
      </c>
      <c r="AM84" s="128" t="s">
        <v>561</v>
      </c>
      <c r="AN84" s="128" t="s">
        <v>561</v>
      </c>
      <c r="AO84" s="128" t="s">
        <v>53</v>
      </c>
      <c r="AP84" s="121" t="s">
        <v>561</v>
      </c>
      <c r="AQ84" s="128" t="s">
        <v>53</v>
      </c>
      <c r="AR84" s="128" t="s">
        <v>561</v>
      </c>
      <c r="AS84" s="117" t="s">
        <v>561</v>
      </c>
      <c r="AT84" s="117" t="s">
        <v>53</v>
      </c>
      <c r="AU84" s="117" t="s">
        <v>561</v>
      </c>
      <c r="AV84" s="117" t="s">
        <v>561</v>
      </c>
      <c r="AW84" s="117" t="s">
        <v>561</v>
      </c>
      <c r="AX84" s="117" t="s">
        <v>561</v>
      </c>
      <c r="AY84" s="117" t="s">
        <v>561</v>
      </c>
      <c r="AZ84" s="117" t="s">
        <v>561</v>
      </c>
      <c r="BA84" s="117" t="s">
        <v>561</v>
      </c>
      <c r="BB84" s="117" t="s">
        <v>53</v>
      </c>
      <c r="BC84" s="117" t="s">
        <v>600</v>
      </c>
      <c r="BD84" s="129" t="s">
        <v>821</v>
      </c>
      <c r="BE84" s="129" t="s">
        <v>821</v>
      </c>
      <c r="BF84" s="130"/>
      <c r="BG84" s="130">
        <f t="shared" si="8"/>
        <v>100108</v>
      </c>
      <c r="BH84" s="131">
        <v>100108.0</v>
      </c>
      <c r="BI84" s="131"/>
      <c r="BJ84" s="132"/>
      <c r="BK84" s="132"/>
      <c r="BL84" s="133"/>
      <c r="BM84" s="133" t="s">
        <v>561</v>
      </c>
      <c r="BN84" s="133"/>
      <c r="BO84" s="133" t="s">
        <v>561</v>
      </c>
      <c r="BP84" s="133" t="s">
        <v>743</v>
      </c>
      <c r="BQ84" s="134"/>
      <c r="BR84" s="134"/>
      <c r="BS84" s="181" t="s">
        <v>122</v>
      </c>
      <c r="BT84" s="134"/>
      <c r="BU84" s="137">
        <f t="shared" si="6"/>
        <v>0.512</v>
      </c>
      <c r="BV84" s="138">
        <v>0.748</v>
      </c>
      <c r="BW84" s="137">
        <v>0.23600000000000002</v>
      </c>
      <c r="BX84" s="137"/>
      <c r="BY84" s="137">
        <f t="shared" si="7"/>
        <v>0.437</v>
      </c>
      <c r="BZ84" s="138">
        <v>0.6859999999999999</v>
      </c>
      <c r="CA84" s="137">
        <v>0.249</v>
      </c>
      <c r="CB84" s="137"/>
      <c r="CC84" s="138">
        <v>0.669</v>
      </c>
      <c r="CD84" s="137">
        <v>0.094</v>
      </c>
      <c r="CE84" s="137">
        <v>0.063</v>
      </c>
      <c r="CF84" s="137">
        <v>0.138</v>
      </c>
      <c r="CG84" s="137">
        <v>0.009000000000000001</v>
      </c>
      <c r="CH84" s="137">
        <v>0.001</v>
      </c>
      <c r="CI84" s="139"/>
      <c r="CJ84" s="142">
        <v>0.7859999999999999</v>
      </c>
      <c r="CK84" s="141">
        <v>0.067</v>
      </c>
      <c r="CL84" s="141">
        <v>0.05</v>
      </c>
      <c r="CM84" s="141">
        <v>0.09300000000000001</v>
      </c>
      <c r="CN84" s="141">
        <v>0.003</v>
      </c>
      <c r="CO84" s="141">
        <v>0.0</v>
      </c>
      <c r="CP84" s="137"/>
      <c r="CQ84" s="138">
        <v>0.591</v>
      </c>
      <c r="CR84" s="138">
        <v>0.612</v>
      </c>
      <c r="CS84" s="137">
        <v>0.305</v>
      </c>
    </row>
    <row r="85">
      <c r="A85" s="112">
        <f t="shared" si="1"/>
        <v>83</v>
      </c>
      <c r="B85" s="112" t="s">
        <v>1122</v>
      </c>
      <c r="C85" s="112" t="s">
        <v>1123</v>
      </c>
      <c r="D85" s="113" t="s">
        <v>1120</v>
      </c>
      <c r="E85" s="163"/>
      <c r="F85" s="115">
        <f t="shared" si="2"/>
        <v>0</v>
      </c>
      <c r="G85" s="115">
        <f t="shared" si="3"/>
        <v>0.3382352941</v>
      </c>
      <c r="H85" s="116">
        <f t="shared" si="4"/>
        <v>0.2536764706</v>
      </c>
      <c r="I85" s="117" t="s">
        <v>594</v>
      </c>
      <c r="J85" s="117" t="s">
        <v>594</v>
      </c>
      <c r="K85" s="117" t="s">
        <v>594</v>
      </c>
      <c r="L85" s="117" t="s">
        <v>594</v>
      </c>
      <c r="M85" s="117" t="s">
        <v>594</v>
      </c>
      <c r="N85" s="117" t="s">
        <v>594</v>
      </c>
      <c r="O85" s="149" t="s">
        <v>1256</v>
      </c>
      <c r="P85" s="120" t="s">
        <v>53</v>
      </c>
      <c r="Q85" s="121" t="s">
        <v>53</v>
      </c>
      <c r="R85" s="121" t="s">
        <v>561</v>
      </c>
      <c r="S85" s="119" t="s">
        <v>53</v>
      </c>
      <c r="T85" s="119" t="s">
        <v>53</v>
      </c>
      <c r="U85" s="119" t="s">
        <v>53</v>
      </c>
      <c r="V85" s="119" t="s">
        <v>53</v>
      </c>
      <c r="W85" s="119" t="s">
        <v>53</v>
      </c>
      <c r="X85" s="149" t="s">
        <v>561</v>
      </c>
      <c r="Y85" s="149" t="s">
        <v>561</v>
      </c>
      <c r="Z85" s="149" t="s">
        <v>561</v>
      </c>
      <c r="AA85" s="149" t="s">
        <v>561</v>
      </c>
      <c r="AB85" s="149" t="s">
        <v>561</v>
      </c>
      <c r="AC85" s="125" t="s">
        <v>561</v>
      </c>
      <c r="AD85" s="149" t="s">
        <v>561</v>
      </c>
      <c r="AE85" s="128" t="s">
        <v>561</v>
      </c>
      <c r="AF85" s="125" t="s">
        <v>561</v>
      </c>
      <c r="AG85" s="121" t="s">
        <v>53</v>
      </c>
      <c r="AH85" s="128" t="s">
        <v>561</v>
      </c>
      <c r="AI85" s="125" t="s">
        <v>53</v>
      </c>
      <c r="AJ85" s="128" t="s">
        <v>561</v>
      </c>
      <c r="AK85" s="125" t="s">
        <v>799</v>
      </c>
      <c r="AL85" s="128" t="s">
        <v>561</v>
      </c>
      <c r="AM85" s="128" t="s">
        <v>561</v>
      </c>
      <c r="AN85" s="128" t="s">
        <v>561</v>
      </c>
      <c r="AO85" s="128" t="s">
        <v>53</v>
      </c>
      <c r="AP85" s="121" t="s">
        <v>561</v>
      </c>
      <c r="AQ85" s="128" t="s">
        <v>53</v>
      </c>
      <c r="AR85" s="128" t="s">
        <v>561</v>
      </c>
      <c r="AS85" s="117" t="s">
        <v>561</v>
      </c>
      <c r="AT85" s="117" t="s">
        <v>561</v>
      </c>
      <c r="AU85" s="117" t="s">
        <v>561</v>
      </c>
      <c r="AV85" s="117" t="s">
        <v>561</v>
      </c>
      <c r="AW85" s="117" t="s">
        <v>561</v>
      </c>
      <c r="AX85" s="117" t="s">
        <v>600</v>
      </c>
      <c r="AY85" s="117" t="s">
        <v>600</v>
      </c>
      <c r="AZ85" s="117" t="s">
        <v>600</v>
      </c>
      <c r="BA85" s="117" t="s">
        <v>600</v>
      </c>
      <c r="BB85" s="117" t="s">
        <v>600</v>
      </c>
      <c r="BC85" s="117" t="s">
        <v>600</v>
      </c>
      <c r="BD85" s="164" t="s">
        <v>1832</v>
      </c>
      <c r="BE85" s="164" t="s">
        <v>1832</v>
      </c>
      <c r="BF85" s="130"/>
      <c r="BG85" s="130">
        <f t="shared" si="8"/>
        <v>3769555</v>
      </c>
      <c r="BH85" s="131">
        <v>351861.0</v>
      </c>
      <c r="BI85" s="131">
        <v>282051.0</v>
      </c>
      <c r="BJ85" s="132">
        <f>2000</f>
        <v>2000</v>
      </c>
      <c r="BK85" s="132">
        <v>3133643.0</v>
      </c>
      <c r="BL85" s="133"/>
      <c r="BM85" s="133"/>
      <c r="BN85" s="133" t="s">
        <v>561</v>
      </c>
      <c r="BO85" s="133" t="s">
        <v>561</v>
      </c>
      <c r="BP85" s="133" t="s">
        <v>903</v>
      </c>
      <c r="BQ85" s="134"/>
      <c r="BR85" s="150" t="s">
        <v>1199</v>
      </c>
      <c r="BS85" s="181" t="s">
        <v>2030</v>
      </c>
      <c r="BT85" s="134"/>
      <c r="BU85" s="137">
        <f t="shared" si="6"/>
        <v>0.576</v>
      </c>
      <c r="BV85" s="138">
        <v>0.7829999999999999</v>
      </c>
      <c r="BW85" s="137">
        <v>0.207</v>
      </c>
      <c r="BX85" s="137"/>
      <c r="BY85" s="137">
        <f t="shared" si="7"/>
        <v>0.606</v>
      </c>
      <c r="BZ85" s="138">
        <v>0.789</v>
      </c>
      <c r="CA85" s="137">
        <v>0.183</v>
      </c>
      <c r="CB85" s="137"/>
      <c r="CC85" s="138">
        <v>0.445</v>
      </c>
      <c r="CD85" s="137">
        <v>0.069</v>
      </c>
      <c r="CE85" s="137">
        <v>0.44299999999999995</v>
      </c>
      <c r="CF85" s="137">
        <v>0.036000000000000004</v>
      </c>
      <c r="CG85" s="137">
        <v>0.015</v>
      </c>
      <c r="CH85" s="137">
        <v>0.001</v>
      </c>
      <c r="CI85" s="139"/>
      <c r="CJ85" s="138">
        <v>0.47600000000000003</v>
      </c>
      <c r="CK85" s="137">
        <v>0.059000000000000004</v>
      </c>
      <c r="CL85" s="137">
        <v>0.441</v>
      </c>
      <c r="CM85" s="137">
        <v>0.018000000000000002</v>
      </c>
      <c r="CN85" s="137">
        <v>0.006</v>
      </c>
      <c r="CO85" s="137">
        <v>0.0</v>
      </c>
      <c r="CP85" s="137"/>
      <c r="CQ85" s="137">
        <v>0.297</v>
      </c>
      <c r="CR85" s="137">
        <v>0.42200000000000004</v>
      </c>
      <c r="CS85" s="137">
        <v>0.275</v>
      </c>
    </row>
    <row r="86">
      <c r="A86" s="112">
        <f t="shared" si="1"/>
        <v>84</v>
      </c>
      <c r="B86" s="112" t="s">
        <v>426</v>
      </c>
      <c r="C86" s="112" t="s">
        <v>1233</v>
      </c>
      <c r="D86" s="113" t="s">
        <v>1229</v>
      </c>
      <c r="E86" s="186"/>
      <c r="F86" s="115">
        <f t="shared" si="2"/>
        <v>0</v>
      </c>
      <c r="G86" s="115">
        <f t="shared" si="3"/>
        <v>0.3375</v>
      </c>
      <c r="H86" s="116">
        <f t="shared" si="4"/>
        <v>0.253125</v>
      </c>
      <c r="I86" s="117" t="s">
        <v>594</v>
      </c>
      <c r="J86" s="117" t="s">
        <v>594</v>
      </c>
      <c r="K86" s="117" t="s">
        <v>594</v>
      </c>
      <c r="L86" s="117" t="s">
        <v>594</v>
      </c>
      <c r="M86" s="117" t="s">
        <v>594</v>
      </c>
      <c r="N86" s="117" t="s">
        <v>594</v>
      </c>
      <c r="O86" s="149" t="s">
        <v>1256</v>
      </c>
      <c r="P86" s="185" t="s">
        <v>561</v>
      </c>
      <c r="Q86" s="121" t="s">
        <v>53</v>
      </c>
      <c r="R86" s="121" t="s">
        <v>561</v>
      </c>
      <c r="S86" s="119" t="s">
        <v>53</v>
      </c>
      <c r="T86" s="119" t="s">
        <v>53</v>
      </c>
      <c r="U86" s="119" t="s">
        <v>53</v>
      </c>
      <c r="V86" s="119" t="s">
        <v>53</v>
      </c>
      <c r="W86" s="119" t="s">
        <v>53</v>
      </c>
      <c r="X86" s="119" t="s">
        <v>53</v>
      </c>
      <c r="Y86" s="149" t="s">
        <v>561</v>
      </c>
      <c r="Z86" s="119" t="s">
        <v>53</v>
      </c>
      <c r="AA86" s="149" t="s">
        <v>561</v>
      </c>
      <c r="AB86" s="149" t="s">
        <v>561</v>
      </c>
      <c r="AC86" s="125" t="s">
        <v>561</v>
      </c>
      <c r="AD86" s="149" t="s">
        <v>561</v>
      </c>
      <c r="AE86" s="128" t="s">
        <v>561</v>
      </c>
      <c r="AF86" s="125" t="s">
        <v>561</v>
      </c>
      <c r="AG86" s="121" t="s">
        <v>53</v>
      </c>
      <c r="AH86" s="128" t="s">
        <v>561</v>
      </c>
      <c r="AI86" s="125" t="s">
        <v>53</v>
      </c>
      <c r="AJ86" s="128" t="s">
        <v>561</v>
      </c>
      <c r="AK86" s="125" t="s">
        <v>799</v>
      </c>
      <c r="AL86" s="128" t="s">
        <v>561</v>
      </c>
      <c r="AM86" s="128" t="s">
        <v>561</v>
      </c>
      <c r="AN86" s="128" t="s">
        <v>561</v>
      </c>
      <c r="AO86" s="128" t="s">
        <v>53</v>
      </c>
      <c r="AP86" s="121" t="s">
        <v>561</v>
      </c>
      <c r="AQ86" s="128" t="s">
        <v>53</v>
      </c>
      <c r="AR86" s="128" t="s">
        <v>561</v>
      </c>
      <c r="AS86" s="117" t="s">
        <v>561</v>
      </c>
      <c r="AT86" s="117" t="s">
        <v>561</v>
      </c>
      <c r="AU86" s="117" t="s">
        <v>561</v>
      </c>
      <c r="AV86" s="117" t="s">
        <v>561</v>
      </c>
      <c r="AW86" s="117" t="s">
        <v>561</v>
      </c>
      <c r="AX86" s="117" t="s">
        <v>561</v>
      </c>
      <c r="AY86" s="117" t="s">
        <v>561</v>
      </c>
      <c r="AZ86" s="117" t="s">
        <v>561</v>
      </c>
      <c r="BA86" s="117" t="s">
        <v>561</v>
      </c>
      <c r="BB86" s="117" t="s">
        <v>53</v>
      </c>
      <c r="BC86" s="117" t="s">
        <v>561</v>
      </c>
      <c r="BD86" s="129" t="s">
        <v>821</v>
      </c>
      <c r="BE86" s="129" t="s">
        <v>821</v>
      </c>
      <c r="BF86" s="130"/>
      <c r="BG86" s="130">
        <f t="shared" si="8"/>
        <v>89385</v>
      </c>
      <c r="BH86" s="131">
        <v>89385.0</v>
      </c>
      <c r="BI86" s="131"/>
      <c r="BJ86" s="132"/>
      <c r="BK86" s="132"/>
      <c r="BL86" s="133"/>
      <c r="BM86" s="133" t="s">
        <v>561</v>
      </c>
      <c r="BN86" s="133"/>
      <c r="BO86" s="133" t="s">
        <v>561</v>
      </c>
      <c r="BP86" s="133" t="s">
        <v>1457</v>
      </c>
      <c r="BQ86" s="134"/>
      <c r="BR86" s="134"/>
      <c r="BS86" s="181" t="s">
        <v>122</v>
      </c>
      <c r="BT86" s="134"/>
      <c r="BU86" s="137">
        <f t="shared" si="6"/>
        <v>0.321</v>
      </c>
      <c r="BV86" s="138">
        <v>0.653</v>
      </c>
      <c r="BW86" s="137">
        <v>0.332</v>
      </c>
      <c r="BX86" s="137"/>
      <c r="BY86" s="137">
        <f t="shared" si="7"/>
        <v>0.316</v>
      </c>
      <c r="BZ86" s="138">
        <v>0.639</v>
      </c>
      <c r="CA86" s="137">
        <v>0.32299999999999995</v>
      </c>
      <c r="CB86" s="137"/>
      <c r="CC86" s="137">
        <v>0.446</v>
      </c>
      <c r="CD86" s="137">
        <v>0.053</v>
      </c>
      <c r="CE86" s="138">
        <v>0.469</v>
      </c>
      <c r="CF86" s="137">
        <v>0.021</v>
      </c>
      <c r="CG86" s="137">
        <v>0.016</v>
      </c>
      <c r="CH86" s="137">
        <v>0.002</v>
      </c>
      <c r="CI86" s="139"/>
      <c r="CJ86" s="137">
        <v>0.454</v>
      </c>
      <c r="CK86" s="137">
        <v>0.022000000000000002</v>
      </c>
      <c r="CL86" s="138">
        <v>0.504</v>
      </c>
      <c r="CM86" s="137">
        <v>0.01</v>
      </c>
      <c r="CN86" s="137">
        <v>0.008</v>
      </c>
      <c r="CO86" s="137">
        <v>0.0</v>
      </c>
      <c r="CP86" s="137"/>
      <c r="CQ86" s="137">
        <v>0.258</v>
      </c>
      <c r="CR86" s="137">
        <v>0.364</v>
      </c>
      <c r="CS86" s="137">
        <v>0.289</v>
      </c>
    </row>
    <row r="87">
      <c r="A87" s="112">
        <f t="shared" si="1"/>
        <v>84</v>
      </c>
      <c r="B87" s="112" t="s">
        <v>1019</v>
      </c>
      <c r="C87" s="112" t="s">
        <v>1020</v>
      </c>
      <c r="D87" s="113" t="s">
        <v>1017</v>
      </c>
      <c r="E87" s="190" t="s">
        <v>2329</v>
      </c>
      <c r="F87" s="115">
        <f t="shared" si="2"/>
        <v>0</v>
      </c>
      <c r="G87" s="115">
        <f t="shared" si="3"/>
        <v>0.3375</v>
      </c>
      <c r="H87" s="116">
        <f t="shared" si="4"/>
        <v>0.253125</v>
      </c>
      <c r="I87" s="117" t="s">
        <v>594</v>
      </c>
      <c r="J87" s="117" t="s">
        <v>594</v>
      </c>
      <c r="K87" s="117" t="s">
        <v>594</v>
      </c>
      <c r="L87" s="117" t="s">
        <v>594</v>
      </c>
      <c r="M87" s="117" t="s">
        <v>594</v>
      </c>
      <c r="N87" s="117" t="s">
        <v>594</v>
      </c>
      <c r="O87" s="149" t="s">
        <v>1256</v>
      </c>
      <c r="P87" s="120" t="s">
        <v>53</v>
      </c>
      <c r="Q87" s="121" t="s">
        <v>53</v>
      </c>
      <c r="R87" s="121" t="s">
        <v>561</v>
      </c>
      <c r="S87" s="119" t="s">
        <v>53</v>
      </c>
      <c r="T87" s="119" t="s">
        <v>53</v>
      </c>
      <c r="U87" s="119" t="s">
        <v>53</v>
      </c>
      <c r="V87" s="119" t="s">
        <v>53</v>
      </c>
      <c r="W87" s="119" t="s">
        <v>53</v>
      </c>
      <c r="X87" s="119" t="s">
        <v>53</v>
      </c>
      <c r="Y87" s="149" t="s">
        <v>561</v>
      </c>
      <c r="Z87" s="149" t="s">
        <v>561</v>
      </c>
      <c r="AA87" s="149" t="s">
        <v>561</v>
      </c>
      <c r="AB87" s="149" t="s">
        <v>561</v>
      </c>
      <c r="AC87" s="125" t="s">
        <v>561</v>
      </c>
      <c r="AD87" s="149" t="s">
        <v>561</v>
      </c>
      <c r="AE87" s="128" t="s">
        <v>561</v>
      </c>
      <c r="AF87" s="125" t="s">
        <v>561</v>
      </c>
      <c r="AG87" s="121" t="s">
        <v>53</v>
      </c>
      <c r="AH87" s="128" t="s">
        <v>561</v>
      </c>
      <c r="AI87" s="125" t="s">
        <v>53</v>
      </c>
      <c r="AJ87" s="128" t="s">
        <v>561</v>
      </c>
      <c r="AK87" s="125" t="s">
        <v>799</v>
      </c>
      <c r="AL87" s="128" t="s">
        <v>561</v>
      </c>
      <c r="AM87" s="128" t="s">
        <v>561</v>
      </c>
      <c r="AN87" s="128" t="s">
        <v>53</v>
      </c>
      <c r="AO87" s="128" t="s">
        <v>53</v>
      </c>
      <c r="AP87" s="121" t="s">
        <v>561</v>
      </c>
      <c r="AQ87" s="128" t="s">
        <v>53</v>
      </c>
      <c r="AR87" s="128" t="s">
        <v>561</v>
      </c>
      <c r="AS87" s="117" t="s">
        <v>561</v>
      </c>
      <c r="AT87" s="117" t="s">
        <v>561</v>
      </c>
      <c r="AU87" s="117" t="s">
        <v>561</v>
      </c>
      <c r="AV87" s="117" t="s">
        <v>561</v>
      </c>
      <c r="AW87" s="117" t="s">
        <v>561</v>
      </c>
      <c r="AX87" s="117" t="s">
        <v>561</v>
      </c>
      <c r="AY87" s="117" t="s">
        <v>561</v>
      </c>
      <c r="AZ87" s="117" t="s">
        <v>561</v>
      </c>
      <c r="BA87" s="117" t="s">
        <v>561</v>
      </c>
      <c r="BB87" s="117" t="s">
        <v>561</v>
      </c>
      <c r="BC87" s="117" t="s">
        <v>561</v>
      </c>
      <c r="BD87" s="164" t="s">
        <v>1832</v>
      </c>
      <c r="BE87" s="129" t="s">
        <v>821</v>
      </c>
      <c r="BF87" s="130"/>
      <c r="BG87" s="130">
        <f t="shared" si="8"/>
        <v>10150</v>
      </c>
      <c r="BH87" s="131">
        <v>8150.0</v>
      </c>
      <c r="BI87" s="131"/>
      <c r="BJ87" s="132">
        <f>4000-2000</f>
        <v>2000</v>
      </c>
      <c r="BK87" s="132"/>
      <c r="BL87" s="133"/>
      <c r="BM87" s="133" t="s">
        <v>561</v>
      </c>
      <c r="BN87" s="133"/>
      <c r="BO87" s="133" t="s">
        <v>561</v>
      </c>
      <c r="BP87" s="133" t="s">
        <v>2596</v>
      </c>
      <c r="BQ87" s="134"/>
      <c r="BR87" s="135" t="s">
        <v>850</v>
      </c>
      <c r="BS87" s="181" t="s">
        <v>122</v>
      </c>
      <c r="BT87" s="134"/>
      <c r="BU87" s="137">
        <f t="shared" si="6"/>
        <v>0.714</v>
      </c>
      <c r="BV87" s="138">
        <v>0.852</v>
      </c>
      <c r="BW87" s="137">
        <v>0.138</v>
      </c>
      <c r="BX87" s="137"/>
      <c r="BY87" s="137">
        <f t="shared" si="7"/>
        <v>0.703</v>
      </c>
      <c r="BZ87" s="138">
        <v>0.831</v>
      </c>
      <c r="CA87" s="137">
        <v>0.128</v>
      </c>
      <c r="CB87" s="137"/>
      <c r="CC87" s="138">
        <v>0.6609999999999999</v>
      </c>
      <c r="CD87" s="137">
        <v>0.109</v>
      </c>
      <c r="CE87" s="137">
        <v>0.066</v>
      </c>
      <c r="CF87" s="137">
        <v>0.158</v>
      </c>
      <c r="CG87" s="137">
        <v>0.009000000000000001</v>
      </c>
      <c r="CH87" s="137">
        <v>0.003</v>
      </c>
      <c r="CI87" s="139"/>
      <c r="CJ87" s="138">
        <v>0.7320000000000001</v>
      </c>
      <c r="CK87" s="137">
        <v>0.11</v>
      </c>
      <c r="CL87" s="137">
        <v>0.048</v>
      </c>
      <c r="CM87" s="137">
        <v>0.105</v>
      </c>
      <c r="CN87" s="137">
        <v>0.003</v>
      </c>
      <c r="CO87" s="137">
        <v>0.0</v>
      </c>
      <c r="CP87" s="137"/>
      <c r="CQ87" s="138">
        <v>0.79</v>
      </c>
      <c r="CR87" s="138">
        <v>0.85</v>
      </c>
      <c r="CS87" s="137">
        <v>0.11</v>
      </c>
    </row>
    <row r="88">
      <c r="A88" s="112">
        <f t="shared" si="1"/>
        <v>86</v>
      </c>
      <c r="B88" s="112" t="s">
        <v>1166</v>
      </c>
      <c r="C88" s="112" t="s">
        <v>841</v>
      </c>
      <c r="D88" s="113" t="s">
        <v>1164</v>
      </c>
      <c r="E88" s="163"/>
      <c r="F88" s="115">
        <f t="shared" si="2"/>
        <v>0.1428571429</v>
      </c>
      <c r="G88" s="115">
        <f t="shared" si="3"/>
        <v>0.2894736842</v>
      </c>
      <c r="H88" s="116">
        <f t="shared" si="4"/>
        <v>0.2528195489</v>
      </c>
      <c r="I88" s="117" t="s">
        <v>594</v>
      </c>
      <c r="J88" s="117" t="s">
        <v>594</v>
      </c>
      <c r="K88" s="117" t="s">
        <v>487</v>
      </c>
      <c r="L88" s="117" t="s">
        <v>594</v>
      </c>
      <c r="M88" s="117" t="s">
        <v>594</v>
      </c>
      <c r="N88" s="117" t="s">
        <v>594</v>
      </c>
      <c r="O88" s="149" t="s">
        <v>1256</v>
      </c>
      <c r="P88" s="185" t="s">
        <v>561</v>
      </c>
      <c r="Q88" s="121" t="s">
        <v>53</v>
      </c>
      <c r="R88" s="121" t="s">
        <v>561</v>
      </c>
      <c r="S88" s="119" t="s">
        <v>53</v>
      </c>
      <c r="T88" s="119" t="s">
        <v>53</v>
      </c>
      <c r="U88" s="119" t="s">
        <v>53</v>
      </c>
      <c r="V88" s="119" t="s">
        <v>53</v>
      </c>
      <c r="W88" s="119" t="s">
        <v>53</v>
      </c>
      <c r="X88" s="149" t="s">
        <v>561</v>
      </c>
      <c r="Y88" s="149" t="s">
        <v>561</v>
      </c>
      <c r="Z88" s="149" t="s">
        <v>561</v>
      </c>
      <c r="AA88" s="149" t="s">
        <v>561</v>
      </c>
      <c r="AB88" s="146" t="s">
        <v>799</v>
      </c>
      <c r="AC88" s="125" t="s">
        <v>561</v>
      </c>
      <c r="AD88" s="149" t="s">
        <v>561</v>
      </c>
      <c r="AE88" s="128" t="s">
        <v>561</v>
      </c>
      <c r="AF88" s="125" t="s">
        <v>561</v>
      </c>
      <c r="AG88" s="121" t="s">
        <v>53</v>
      </c>
      <c r="AH88" s="128" t="s">
        <v>561</v>
      </c>
      <c r="AI88" s="125" t="s">
        <v>53</v>
      </c>
      <c r="AJ88" s="128" t="s">
        <v>561</v>
      </c>
      <c r="AK88" s="125" t="s">
        <v>799</v>
      </c>
      <c r="AL88" s="128" t="s">
        <v>561</v>
      </c>
      <c r="AM88" s="128" t="s">
        <v>561</v>
      </c>
      <c r="AN88" s="128" t="s">
        <v>561</v>
      </c>
      <c r="AO88" s="128" t="s">
        <v>53</v>
      </c>
      <c r="AP88" s="121" t="s">
        <v>561</v>
      </c>
      <c r="AQ88" s="128" t="s">
        <v>53</v>
      </c>
      <c r="AR88" s="128" t="s">
        <v>561</v>
      </c>
      <c r="AS88" s="117" t="s">
        <v>561</v>
      </c>
      <c r="AT88" s="117" t="s">
        <v>561</v>
      </c>
      <c r="AU88" s="117" t="s">
        <v>561</v>
      </c>
      <c r="AV88" s="117" t="s">
        <v>561</v>
      </c>
      <c r="AW88" s="117" t="s">
        <v>561</v>
      </c>
      <c r="AX88" s="117" t="s">
        <v>561</v>
      </c>
      <c r="AY88" s="117" t="s">
        <v>561</v>
      </c>
      <c r="AZ88" s="117" t="s">
        <v>561</v>
      </c>
      <c r="BA88" s="117" t="s">
        <v>561</v>
      </c>
      <c r="BB88" s="117" t="s">
        <v>600</v>
      </c>
      <c r="BC88" s="117" t="s">
        <v>600</v>
      </c>
      <c r="BD88" s="129" t="s">
        <v>821</v>
      </c>
      <c r="BE88" s="129" t="s">
        <v>821</v>
      </c>
      <c r="BF88" s="130"/>
      <c r="BG88" s="130">
        <f t="shared" si="8"/>
        <v>6336</v>
      </c>
      <c r="BH88" s="131">
        <v>6336.0</v>
      </c>
      <c r="BI88" s="131"/>
      <c r="BJ88" s="132"/>
      <c r="BK88" s="132"/>
      <c r="BL88" s="133"/>
      <c r="BM88" s="133" t="s">
        <v>561</v>
      </c>
      <c r="BN88" s="133"/>
      <c r="BO88" s="133" t="s">
        <v>561</v>
      </c>
      <c r="BP88" s="133" t="s">
        <v>845</v>
      </c>
      <c r="BQ88" s="134"/>
      <c r="BR88" s="150" t="s">
        <v>1199</v>
      </c>
      <c r="BS88" s="181" t="s">
        <v>122</v>
      </c>
      <c r="BT88" s="134"/>
      <c r="BU88" s="137">
        <f t="shared" si="6"/>
        <v>0.189</v>
      </c>
      <c r="BV88" s="138">
        <v>0.589</v>
      </c>
      <c r="BW88" s="137">
        <v>0.4</v>
      </c>
      <c r="BX88" s="137"/>
      <c r="BY88" s="137">
        <f t="shared" si="7"/>
        <v>0.139</v>
      </c>
      <c r="BZ88" s="138">
        <v>0.55</v>
      </c>
      <c r="CA88" s="137">
        <v>0.41100000000000003</v>
      </c>
      <c r="CB88" s="137"/>
      <c r="CC88" s="138">
        <v>0.7859999999999999</v>
      </c>
      <c r="CD88" s="137">
        <v>0.048</v>
      </c>
      <c r="CE88" s="137">
        <v>0.09</v>
      </c>
      <c r="CF88" s="137">
        <v>0.064</v>
      </c>
      <c r="CG88" s="137">
        <v>0.01</v>
      </c>
      <c r="CH88" s="137">
        <v>0.001</v>
      </c>
      <c r="CI88" s="139"/>
      <c r="CJ88" s="138">
        <v>0.836</v>
      </c>
      <c r="CK88" s="137">
        <v>0.038</v>
      </c>
      <c r="CL88" s="137">
        <v>0.081</v>
      </c>
      <c r="CM88" s="137">
        <v>0.040999999999999995</v>
      </c>
      <c r="CN88" s="137">
        <v>0.003</v>
      </c>
      <c r="CO88" s="137">
        <v>0.0</v>
      </c>
      <c r="CP88" s="137"/>
      <c r="CQ88" s="137">
        <v>0.46</v>
      </c>
      <c r="CR88" s="137">
        <v>0.46399999999999997</v>
      </c>
      <c r="CS88" s="137">
        <v>0.44799999999999995</v>
      </c>
    </row>
    <row r="89">
      <c r="A89" s="112">
        <f t="shared" si="1"/>
        <v>87</v>
      </c>
      <c r="B89" s="112" t="s">
        <v>438</v>
      </c>
      <c r="C89" s="112" t="s">
        <v>439</v>
      </c>
      <c r="D89" s="113" t="s">
        <v>435</v>
      </c>
      <c r="E89" s="186"/>
      <c r="F89" s="115">
        <f t="shared" si="2"/>
        <v>0</v>
      </c>
      <c r="G89" s="115">
        <f t="shared" si="3"/>
        <v>0.3333333333</v>
      </c>
      <c r="H89" s="116">
        <f t="shared" si="4"/>
        <v>0.25</v>
      </c>
      <c r="I89" s="117" t="s">
        <v>594</v>
      </c>
      <c r="J89" s="117" t="s">
        <v>594</v>
      </c>
      <c r="K89" s="117" t="s">
        <v>594</v>
      </c>
      <c r="L89" s="117" t="s">
        <v>594</v>
      </c>
      <c r="M89" s="117" t="s">
        <v>594</v>
      </c>
      <c r="N89" s="117" t="s">
        <v>594</v>
      </c>
      <c r="O89" s="149" t="s">
        <v>1256</v>
      </c>
      <c r="P89" s="120" t="s">
        <v>53</v>
      </c>
      <c r="Q89" s="121" t="s">
        <v>53</v>
      </c>
      <c r="R89" s="121" t="s">
        <v>561</v>
      </c>
      <c r="S89" s="119" t="s">
        <v>53</v>
      </c>
      <c r="T89" s="119" t="s">
        <v>53</v>
      </c>
      <c r="U89" s="119" t="s">
        <v>53</v>
      </c>
      <c r="V89" s="119" t="s">
        <v>53</v>
      </c>
      <c r="W89" s="119" t="s">
        <v>53</v>
      </c>
      <c r="X89" s="149" t="s">
        <v>561</v>
      </c>
      <c r="Y89" s="149" t="s">
        <v>561</v>
      </c>
      <c r="Z89" s="149" t="s">
        <v>561</v>
      </c>
      <c r="AA89" s="149" t="s">
        <v>561</v>
      </c>
      <c r="AB89" s="149" t="s">
        <v>561</v>
      </c>
      <c r="AC89" s="125" t="s">
        <v>561</v>
      </c>
      <c r="AD89" s="149" t="s">
        <v>561</v>
      </c>
      <c r="AE89" s="128" t="s">
        <v>561</v>
      </c>
      <c r="AF89" s="125" t="s">
        <v>561</v>
      </c>
      <c r="AG89" s="121" t="s">
        <v>53</v>
      </c>
      <c r="AH89" s="128" t="s">
        <v>561</v>
      </c>
      <c r="AI89" s="125" t="s">
        <v>53</v>
      </c>
      <c r="AJ89" s="128" t="s">
        <v>561</v>
      </c>
      <c r="AK89" s="125" t="s">
        <v>561</v>
      </c>
      <c r="AL89" s="128" t="s">
        <v>561</v>
      </c>
      <c r="AM89" s="128" t="s">
        <v>561</v>
      </c>
      <c r="AN89" s="128" t="s">
        <v>53</v>
      </c>
      <c r="AO89" s="128" t="s">
        <v>53</v>
      </c>
      <c r="AP89" s="121" t="s">
        <v>561</v>
      </c>
      <c r="AQ89" s="128" t="s">
        <v>53</v>
      </c>
      <c r="AR89" s="128" t="s">
        <v>561</v>
      </c>
      <c r="AS89" s="117" t="s">
        <v>561</v>
      </c>
      <c r="AT89" s="117" t="s">
        <v>561</v>
      </c>
      <c r="AU89" s="117" t="s">
        <v>561</v>
      </c>
      <c r="AV89" s="117" t="s">
        <v>561</v>
      </c>
      <c r="AW89" s="117" t="s">
        <v>561</v>
      </c>
      <c r="AX89" s="117" t="s">
        <v>561</v>
      </c>
      <c r="AY89" s="117" t="s">
        <v>561</v>
      </c>
      <c r="AZ89" s="117" t="s">
        <v>561</v>
      </c>
      <c r="BA89" s="117" t="s">
        <v>561</v>
      </c>
      <c r="BB89" s="117" t="s">
        <v>53</v>
      </c>
      <c r="BC89" s="117" t="s">
        <v>600</v>
      </c>
      <c r="BD89" s="129" t="s">
        <v>821</v>
      </c>
      <c r="BE89" s="129" t="s">
        <v>821</v>
      </c>
      <c r="BF89" s="130"/>
      <c r="BG89" s="130">
        <f t="shared" si="8"/>
        <v>0</v>
      </c>
      <c r="BH89" s="140"/>
      <c r="BI89" s="140"/>
      <c r="BJ89" s="132"/>
      <c r="BK89" s="132"/>
      <c r="BL89" s="133"/>
      <c r="BM89" s="133" t="s">
        <v>561</v>
      </c>
      <c r="BN89" s="133"/>
      <c r="BO89" s="133"/>
      <c r="BP89" s="133" t="s">
        <v>1207</v>
      </c>
      <c r="BQ89" s="134"/>
      <c r="BR89" s="150" t="s">
        <v>1199</v>
      </c>
      <c r="BS89" s="134"/>
      <c r="BT89" s="134"/>
      <c r="BU89" s="137">
        <f t="shared" si="6"/>
        <v>0.19</v>
      </c>
      <c r="BV89" s="138">
        <v>0.588</v>
      </c>
      <c r="BW89" s="137">
        <v>0.39799999999999996</v>
      </c>
      <c r="BX89" s="137"/>
      <c r="BY89" s="137">
        <f t="shared" si="7"/>
        <v>0.115</v>
      </c>
      <c r="BZ89" s="138">
        <v>0.534</v>
      </c>
      <c r="CA89" s="137">
        <v>0.419</v>
      </c>
      <c r="CB89" s="137"/>
      <c r="CC89" s="138">
        <v>0.624</v>
      </c>
      <c r="CD89" s="137">
        <v>0.087</v>
      </c>
      <c r="CE89" s="137">
        <v>0.228</v>
      </c>
      <c r="CF89" s="137">
        <v>0.048</v>
      </c>
      <c r="CG89" s="137">
        <v>0.02</v>
      </c>
      <c r="CH89" s="137">
        <v>0.001</v>
      </c>
      <c r="CI89" s="139"/>
      <c r="CJ89" s="138">
        <v>0.687</v>
      </c>
      <c r="CK89" s="137">
        <v>0.055999999999999994</v>
      </c>
      <c r="CL89" s="137">
        <v>0.22100000000000003</v>
      </c>
      <c r="CM89" s="137">
        <v>0.027999999999999997</v>
      </c>
      <c r="CN89" s="137">
        <v>0.008</v>
      </c>
      <c r="CO89" s="137">
        <v>0.0</v>
      </c>
      <c r="CP89" s="137"/>
      <c r="CQ89" s="137">
        <v>0.327</v>
      </c>
      <c r="CR89" s="137">
        <v>0.35200000000000004</v>
      </c>
      <c r="CS89" s="137">
        <v>0.445</v>
      </c>
    </row>
    <row r="90">
      <c r="A90" s="112">
        <f t="shared" si="1"/>
        <v>88</v>
      </c>
      <c r="B90" s="112" t="s">
        <v>871</v>
      </c>
      <c r="C90" s="112" t="s">
        <v>872</v>
      </c>
      <c r="D90" s="113" t="s">
        <v>869</v>
      </c>
      <c r="E90" s="154" t="s">
        <v>2597</v>
      </c>
      <c r="F90" s="115">
        <f t="shared" si="2"/>
        <v>0.1428571429</v>
      </c>
      <c r="G90" s="115">
        <f t="shared" si="3"/>
        <v>0.2837837838</v>
      </c>
      <c r="H90" s="116">
        <f t="shared" si="4"/>
        <v>0.2485521236</v>
      </c>
      <c r="I90" s="117" t="s">
        <v>594</v>
      </c>
      <c r="J90" s="117" t="s">
        <v>594</v>
      </c>
      <c r="K90" s="117" t="s">
        <v>487</v>
      </c>
      <c r="L90" s="117" t="s">
        <v>594</v>
      </c>
      <c r="M90" s="117" t="s">
        <v>594</v>
      </c>
      <c r="N90" s="117" t="s">
        <v>594</v>
      </c>
      <c r="O90" s="149" t="s">
        <v>1256</v>
      </c>
      <c r="P90" s="120" t="s">
        <v>53</v>
      </c>
      <c r="Q90" s="121" t="s">
        <v>53</v>
      </c>
      <c r="R90" s="121" t="s">
        <v>561</v>
      </c>
      <c r="S90" s="119" t="s">
        <v>53</v>
      </c>
      <c r="T90" s="119" t="s">
        <v>53</v>
      </c>
      <c r="U90" s="119" t="s">
        <v>53</v>
      </c>
      <c r="V90" s="119" t="s">
        <v>53</v>
      </c>
      <c r="W90" s="123" t="s">
        <v>801</v>
      </c>
      <c r="X90" s="123" t="s">
        <v>801</v>
      </c>
      <c r="Y90" s="149" t="s">
        <v>561</v>
      </c>
      <c r="Z90" s="149" t="s">
        <v>561</v>
      </c>
      <c r="AA90" s="149" t="s">
        <v>561</v>
      </c>
      <c r="AB90" s="149" t="s">
        <v>561</v>
      </c>
      <c r="AC90" s="125" t="s">
        <v>561</v>
      </c>
      <c r="AD90" s="149" t="s">
        <v>561</v>
      </c>
      <c r="AE90" s="128" t="s">
        <v>561</v>
      </c>
      <c r="AF90" s="125" t="s">
        <v>561</v>
      </c>
      <c r="AG90" s="121" t="s">
        <v>53</v>
      </c>
      <c r="AH90" s="128" t="s">
        <v>561</v>
      </c>
      <c r="AI90" s="128" t="s">
        <v>561</v>
      </c>
      <c r="AJ90" s="123" t="s">
        <v>801</v>
      </c>
      <c r="AK90" s="125" t="s">
        <v>799</v>
      </c>
      <c r="AL90" s="128" t="s">
        <v>561</v>
      </c>
      <c r="AM90" s="128" t="s">
        <v>561</v>
      </c>
      <c r="AN90" s="128" t="s">
        <v>53</v>
      </c>
      <c r="AO90" s="128" t="s">
        <v>53</v>
      </c>
      <c r="AP90" s="121" t="s">
        <v>561</v>
      </c>
      <c r="AQ90" s="128" t="s">
        <v>53</v>
      </c>
      <c r="AR90" s="128" t="s">
        <v>561</v>
      </c>
      <c r="AS90" s="117" t="s">
        <v>561</v>
      </c>
      <c r="AT90" s="117" t="s">
        <v>561</v>
      </c>
      <c r="AU90" s="117" t="s">
        <v>561</v>
      </c>
      <c r="AV90" s="117" t="s">
        <v>561</v>
      </c>
      <c r="AW90" s="117" t="s">
        <v>561</v>
      </c>
      <c r="AX90" s="117" t="s">
        <v>561</v>
      </c>
      <c r="AY90" s="117" t="s">
        <v>561</v>
      </c>
      <c r="AZ90" s="117" t="s">
        <v>561</v>
      </c>
      <c r="BA90" s="117" t="s">
        <v>561</v>
      </c>
      <c r="BB90" s="117" t="s">
        <v>561</v>
      </c>
      <c r="BC90" s="117" t="s">
        <v>561</v>
      </c>
      <c r="BD90" s="129" t="s">
        <v>821</v>
      </c>
      <c r="BE90" s="129" t="s">
        <v>821</v>
      </c>
      <c r="BF90" s="130"/>
      <c r="BG90" s="130">
        <f t="shared" si="8"/>
        <v>35422</v>
      </c>
      <c r="BH90" s="131">
        <v>35422.0</v>
      </c>
      <c r="BI90" s="131"/>
      <c r="BJ90" s="132"/>
      <c r="BK90" s="132"/>
      <c r="BL90" s="133"/>
      <c r="BM90" s="133"/>
      <c r="BN90" s="133"/>
      <c r="BO90" s="133" t="s">
        <v>561</v>
      </c>
      <c r="BP90" s="133" t="s">
        <v>1867</v>
      </c>
      <c r="BQ90" s="134"/>
      <c r="BR90" s="134"/>
      <c r="BS90" s="181" t="s">
        <v>122</v>
      </c>
      <c r="BT90" s="134"/>
      <c r="BU90" s="137">
        <f t="shared" si="6"/>
        <v>0.263</v>
      </c>
      <c r="BV90" s="138">
        <v>0.622</v>
      </c>
      <c r="BW90" s="137">
        <v>0.359</v>
      </c>
      <c r="BX90" s="137"/>
      <c r="BY90" s="137">
        <f t="shared" si="7"/>
        <v>0.204</v>
      </c>
      <c r="BZ90" s="138">
        <v>0.575</v>
      </c>
      <c r="CA90" s="137">
        <v>0.371</v>
      </c>
      <c r="CB90" s="137"/>
      <c r="CC90" s="142">
        <v>0.619</v>
      </c>
      <c r="CD90" s="141">
        <v>0.095</v>
      </c>
      <c r="CE90" s="141">
        <v>0.224</v>
      </c>
      <c r="CF90" s="141">
        <v>0.032</v>
      </c>
      <c r="CG90" s="141">
        <v>0.031</v>
      </c>
      <c r="CH90" s="141">
        <v>0.004</v>
      </c>
      <c r="CI90" s="143"/>
      <c r="CJ90" s="142">
        <v>0.681</v>
      </c>
      <c r="CK90" s="141">
        <v>0.057</v>
      </c>
      <c r="CL90" s="141">
        <v>0.228</v>
      </c>
      <c r="CM90" s="141">
        <v>0.018</v>
      </c>
      <c r="CN90" s="141">
        <v>0.012</v>
      </c>
      <c r="CO90" s="141">
        <v>0.002</v>
      </c>
      <c r="CP90" s="137"/>
      <c r="CQ90" s="137">
        <v>0.322</v>
      </c>
      <c r="CR90" s="137">
        <v>0.379</v>
      </c>
      <c r="CS90" s="137">
        <v>0.423</v>
      </c>
    </row>
    <row r="91">
      <c r="A91" s="112">
        <f t="shared" si="1"/>
        <v>89</v>
      </c>
      <c r="B91" s="112" t="s">
        <v>745</v>
      </c>
      <c r="C91" s="112" t="s">
        <v>746</v>
      </c>
      <c r="D91" s="144" t="s">
        <v>739</v>
      </c>
      <c r="E91" s="186"/>
      <c r="F91" s="115">
        <f t="shared" si="2"/>
        <v>0</v>
      </c>
      <c r="G91" s="115">
        <f t="shared" si="3"/>
        <v>0.3289473684</v>
      </c>
      <c r="H91" s="116">
        <f t="shared" si="4"/>
        <v>0.2467105263</v>
      </c>
      <c r="I91" s="117" t="s">
        <v>594</v>
      </c>
      <c r="J91" s="117" t="s">
        <v>594</v>
      </c>
      <c r="K91" s="117" t="s">
        <v>594</v>
      </c>
      <c r="L91" s="117" t="s">
        <v>594</v>
      </c>
      <c r="M91" s="117" t="s">
        <v>594</v>
      </c>
      <c r="N91" s="117" t="s">
        <v>594</v>
      </c>
      <c r="O91" s="149" t="s">
        <v>1256</v>
      </c>
      <c r="P91" s="120" t="s">
        <v>53</v>
      </c>
      <c r="Q91" s="121" t="s">
        <v>53</v>
      </c>
      <c r="R91" s="121" t="s">
        <v>561</v>
      </c>
      <c r="S91" s="119" t="s">
        <v>53</v>
      </c>
      <c r="T91" s="119" t="s">
        <v>53</v>
      </c>
      <c r="U91" s="119" t="s">
        <v>53</v>
      </c>
      <c r="V91" s="119" t="s">
        <v>53</v>
      </c>
      <c r="W91" s="119" t="s">
        <v>53</v>
      </c>
      <c r="X91" s="149" t="s">
        <v>561</v>
      </c>
      <c r="Y91" s="149" t="s">
        <v>561</v>
      </c>
      <c r="Z91" s="149" t="s">
        <v>561</v>
      </c>
      <c r="AA91" s="149" t="s">
        <v>561</v>
      </c>
      <c r="AB91" s="149" t="s">
        <v>561</v>
      </c>
      <c r="AC91" s="125" t="s">
        <v>561</v>
      </c>
      <c r="AD91" s="149" t="s">
        <v>561</v>
      </c>
      <c r="AE91" s="128" t="s">
        <v>561</v>
      </c>
      <c r="AF91" s="125" t="s">
        <v>561</v>
      </c>
      <c r="AG91" s="121" t="s">
        <v>53</v>
      </c>
      <c r="AH91" s="128" t="s">
        <v>561</v>
      </c>
      <c r="AI91" s="125" t="s">
        <v>53</v>
      </c>
      <c r="AJ91" s="128" t="s">
        <v>561</v>
      </c>
      <c r="AK91" s="125" t="s">
        <v>799</v>
      </c>
      <c r="AL91" s="128" t="s">
        <v>561</v>
      </c>
      <c r="AM91" s="128" t="s">
        <v>561</v>
      </c>
      <c r="AN91" s="128" t="s">
        <v>561</v>
      </c>
      <c r="AO91" s="128" t="s">
        <v>53</v>
      </c>
      <c r="AP91" s="121" t="s">
        <v>561</v>
      </c>
      <c r="AQ91" s="128" t="s">
        <v>53</v>
      </c>
      <c r="AR91" s="128" t="s">
        <v>561</v>
      </c>
      <c r="AS91" s="117" t="s">
        <v>561</v>
      </c>
      <c r="AT91" s="117" t="s">
        <v>53</v>
      </c>
      <c r="AU91" s="117" t="s">
        <v>561</v>
      </c>
      <c r="AV91" s="117" t="s">
        <v>561</v>
      </c>
      <c r="AW91" s="117" t="s">
        <v>561</v>
      </c>
      <c r="AX91" s="117" t="s">
        <v>561</v>
      </c>
      <c r="AY91" s="117" t="s">
        <v>561</v>
      </c>
      <c r="AZ91" s="117" t="s">
        <v>561</v>
      </c>
      <c r="BA91" s="117" t="s">
        <v>561</v>
      </c>
      <c r="BB91" s="117" t="s">
        <v>600</v>
      </c>
      <c r="BC91" s="117" t="s">
        <v>600</v>
      </c>
      <c r="BD91" s="129" t="s">
        <v>821</v>
      </c>
      <c r="BE91" s="129" t="s">
        <v>821</v>
      </c>
      <c r="BF91" s="130"/>
      <c r="BG91" s="130">
        <f t="shared" si="8"/>
        <v>10000</v>
      </c>
      <c r="BH91" s="131">
        <v>10000.0</v>
      </c>
      <c r="BI91" s="131"/>
      <c r="BJ91" s="132"/>
      <c r="BK91" s="132"/>
      <c r="BL91" s="133"/>
      <c r="BM91" s="133" t="s">
        <v>561</v>
      </c>
      <c r="BN91" s="133"/>
      <c r="BO91" s="133" t="s">
        <v>561</v>
      </c>
      <c r="BP91" s="133" t="s">
        <v>845</v>
      </c>
      <c r="BQ91" s="134"/>
      <c r="BR91" s="150" t="s">
        <v>1199</v>
      </c>
      <c r="BS91" s="181" t="s">
        <v>122</v>
      </c>
      <c r="BT91" s="134"/>
      <c r="BU91" s="137">
        <f t="shared" si="6"/>
        <v>0.274</v>
      </c>
      <c r="BV91" s="138">
        <v>0.627</v>
      </c>
      <c r="BW91" s="137">
        <v>0.353</v>
      </c>
      <c r="BX91" s="137"/>
      <c r="BY91" s="137">
        <f t="shared" si="7"/>
        <v>0.213</v>
      </c>
      <c r="BZ91" s="138">
        <v>0.5670000000000001</v>
      </c>
      <c r="CA91" s="137">
        <v>0.354</v>
      </c>
      <c r="CB91" s="137"/>
      <c r="CC91" s="138">
        <v>0.643</v>
      </c>
      <c r="CD91" s="137">
        <v>0.195</v>
      </c>
      <c r="CE91" s="137">
        <v>0.063</v>
      </c>
      <c r="CF91" s="137">
        <v>0.085</v>
      </c>
      <c r="CG91" s="137">
        <v>0.013999999999999999</v>
      </c>
      <c r="CH91" s="137">
        <v>0.002</v>
      </c>
      <c r="CI91" s="139"/>
      <c r="CJ91" s="142">
        <v>0.7440000000000001</v>
      </c>
      <c r="CK91" s="141">
        <v>0.153</v>
      </c>
      <c r="CL91" s="141">
        <v>0.035</v>
      </c>
      <c r="CM91" s="141">
        <v>0.063</v>
      </c>
      <c r="CN91" s="141">
        <v>0.004</v>
      </c>
      <c r="CO91" s="141">
        <v>0.0</v>
      </c>
      <c r="CP91" s="137"/>
      <c r="CQ91" s="137">
        <v>0.373</v>
      </c>
      <c r="CR91" s="137">
        <v>0.41700000000000004</v>
      </c>
      <c r="CS91" s="137">
        <v>0.434</v>
      </c>
    </row>
    <row r="92">
      <c r="A92" s="112">
        <f t="shared" si="1"/>
        <v>90</v>
      </c>
      <c r="B92" s="112" t="s">
        <v>1076</v>
      </c>
      <c r="C92" s="112" t="s">
        <v>1077</v>
      </c>
      <c r="D92" s="113" t="s">
        <v>1074</v>
      </c>
      <c r="E92" s="163"/>
      <c r="F92" s="115">
        <f t="shared" si="2"/>
        <v>0</v>
      </c>
      <c r="G92" s="115">
        <f t="shared" si="3"/>
        <v>0.3285714286</v>
      </c>
      <c r="H92" s="116">
        <f t="shared" si="4"/>
        <v>0.2464285714</v>
      </c>
      <c r="I92" s="117" t="s">
        <v>594</v>
      </c>
      <c r="J92" s="117" t="s">
        <v>594</v>
      </c>
      <c r="K92" s="117" t="s">
        <v>594</v>
      </c>
      <c r="L92" s="117" t="s">
        <v>594</v>
      </c>
      <c r="M92" s="117" t="s">
        <v>594</v>
      </c>
      <c r="N92" s="117" t="s">
        <v>594</v>
      </c>
      <c r="O92" s="149" t="s">
        <v>1256</v>
      </c>
      <c r="P92" s="120" t="s">
        <v>53</v>
      </c>
      <c r="Q92" s="121" t="s">
        <v>53</v>
      </c>
      <c r="R92" s="121" t="s">
        <v>561</v>
      </c>
      <c r="S92" s="119" t="s">
        <v>53</v>
      </c>
      <c r="T92" s="119" t="s">
        <v>53</v>
      </c>
      <c r="U92" s="119" t="s">
        <v>53</v>
      </c>
      <c r="V92" s="119" t="s">
        <v>53</v>
      </c>
      <c r="W92" s="119" t="s">
        <v>53</v>
      </c>
      <c r="X92" s="149" t="s">
        <v>561</v>
      </c>
      <c r="Y92" s="149" t="s">
        <v>561</v>
      </c>
      <c r="Z92" s="149" t="s">
        <v>561</v>
      </c>
      <c r="AA92" s="149" t="s">
        <v>561</v>
      </c>
      <c r="AB92" s="149" t="s">
        <v>561</v>
      </c>
      <c r="AC92" s="125" t="s">
        <v>561</v>
      </c>
      <c r="AD92" s="149" t="s">
        <v>561</v>
      </c>
      <c r="AE92" s="128" t="s">
        <v>561</v>
      </c>
      <c r="AF92" s="125" t="s">
        <v>561</v>
      </c>
      <c r="AG92" s="121" t="s">
        <v>53</v>
      </c>
      <c r="AH92" s="128" t="s">
        <v>561</v>
      </c>
      <c r="AI92" s="125" t="s">
        <v>53</v>
      </c>
      <c r="AJ92" s="128" t="s">
        <v>561</v>
      </c>
      <c r="AK92" s="125" t="s">
        <v>799</v>
      </c>
      <c r="AL92" s="128" t="s">
        <v>561</v>
      </c>
      <c r="AM92" s="128" t="s">
        <v>561</v>
      </c>
      <c r="AN92" s="128" t="s">
        <v>561</v>
      </c>
      <c r="AO92" s="128" t="s">
        <v>53</v>
      </c>
      <c r="AP92" s="121" t="s">
        <v>561</v>
      </c>
      <c r="AQ92" s="128" t="s">
        <v>53</v>
      </c>
      <c r="AR92" s="128" t="s">
        <v>561</v>
      </c>
      <c r="AS92" s="117" t="s">
        <v>561</v>
      </c>
      <c r="AT92" s="117" t="s">
        <v>561</v>
      </c>
      <c r="AU92" s="117" t="s">
        <v>561</v>
      </c>
      <c r="AV92" s="117" t="s">
        <v>561</v>
      </c>
      <c r="AW92" s="117" t="s">
        <v>801</v>
      </c>
      <c r="AX92" s="117" t="s">
        <v>561</v>
      </c>
      <c r="AY92" s="117" t="s">
        <v>561</v>
      </c>
      <c r="AZ92" s="117" t="s">
        <v>600</v>
      </c>
      <c r="BA92" s="117" t="s">
        <v>600</v>
      </c>
      <c r="BB92" s="117" t="s">
        <v>600</v>
      </c>
      <c r="BC92" s="117" t="s">
        <v>600</v>
      </c>
      <c r="BD92" s="129" t="s">
        <v>821</v>
      </c>
      <c r="BE92" s="164" t="s">
        <v>1832</v>
      </c>
      <c r="BF92" s="130"/>
      <c r="BG92" s="130">
        <f t="shared" si="8"/>
        <v>30750</v>
      </c>
      <c r="BH92" s="131">
        <v>28750.0</v>
      </c>
      <c r="BI92" s="131"/>
      <c r="BJ92" s="132">
        <f>2000</f>
        <v>2000</v>
      </c>
      <c r="BK92" s="132"/>
      <c r="BL92" s="133"/>
      <c r="BM92" s="133"/>
      <c r="BN92" s="133" t="s">
        <v>561</v>
      </c>
      <c r="BO92" s="133" t="s">
        <v>561</v>
      </c>
      <c r="BP92" s="133" t="s">
        <v>903</v>
      </c>
      <c r="BQ92" s="134"/>
      <c r="BR92" s="150" t="s">
        <v>1569</v>
      </c>
      <c r="BS92" s="181" t="s">
        <v>2030</v>
      </c>
      <c r="BT92" s="134"/>
      <c r="BU92" s="137">
        <f t="shared" si="6"/>
        <v>0.288</v>
      </c>
      <c r="BV92" s="138">
        <v>0.636</v>
      </c>
      <c r="BW92" s="137">
        <v>0.348</v>
      </c>
      <c r="BX92" s="137"/>
      <c r="BY92" s="137">
        <f t="shared" si="7"/>
        <v>0.22</v>
      </c>
      <c r="BZ92" s="138">
        <v>0.5820000000000001</v>
      </c>
      <c r="CA92" s="137">
        <v>0.36200000000000004</v>
      </c>
      <c r="CB92" s="137"/>
      <c r="CC92" s="138">
        <v>0.601</v>
      </c>
      <c r="CD92" s="137">
        <v>0.09300000000000001</v>
      </c>
      <c r="CE92" s="137">
        <v>0.182</v>
      </c>
      <c r="CF92" s="137">
        <v>0.111</v>
      </c>
      <c r="CG92" s="137">
        <v>0.017</v>
      </c>
      <c r="CH92" s="137">
        <v>0.002</v>
      </c>
      <c r="CI92" s="139"/>
      <c r="CJ92" s="138">
        <v>0.687</v>
      </c>
      <c r="CK92" s="137">
        <v>0.053</v>
      </c>
      <c r="CL92" s="137">
        <v>0.187</v>
      </c>
      <c r="CM92" s="137">
        <v>0.064</v>
      </c>
      <c r="CN92" s="137">
        <v>0.006</v>
      </c>
      <c r="CO92" s="137">
        <v>0.001</v>
      </c>
      <c r="CP92" s="137"/>
      <c r="CQ92" s="138">
        <v>0.574</v>
      </c>
      <c r="CR92" s="138">
        <v>0.631</v>
      </c>
      <c r="CS92" s="137">
        <v>0.253</v>
      </c>
    </row>
    <row r="93">
      <c r="A93" s="112">
        <f t="shared" si="1"/>
        <v>91</v>
      </c>
      <c r="B93" s="112" t="s">
        <v>95</v>
      </c>
      <c r="C93" s="112" t="s">
        <v>595</v>
      </c>
      <c r="D93" s="113" t="s">
        <v>591</v>
      </c>
      <c r="E93" s="186"/>
      <c r="F93" s="115">
        <f t="shared" si="2"/>
        <v>0.1428571429</v>
      </c>
      <c r="G93" s="115">
        <f t="shared" si="3"/>
        <v>0.275</v>
      </c>
      <c r="H93" s="116">
        <f t="shared" si="4"/>
        <v>0.2419642857</v>
      </c>
      <c r="I93" s="117" t="s">
        <v>594</v>
      </c>
      <c r="J93" s="117" t="s">
        <v>594</v>
      </c>
      <c r="K93" s="117" t="s">
        <v>487</v>
      </c>
      <c r="L93" s="117" t="s">
        <v>594</v>
      </c>
      <c r="M93" s="117" t="s">
        <v>594</v>
      </c>
      <c r="N93" s="117" t="s">
        <v>594</v>
      </c>
      <c r="O93" s="149" t="s">
        <v>1256</v>
      </c>
      <c r="P93" s="120" t="s">
        <v>53</v>
      </c>
      <c r="Q93" s="121" t="s">
        <v>53</v>
      </c>
      <c r="R93" s="121" t="s">
        <v>561</v>
      </c>
      <c r="S93" s="119" t="s">
        <v>53</v>
      </c>
      <c r="T93" s="119" t="s">
        <v>53</v>
      </c>
      <c r="U93" s="119" t="s">
        <v>53</v>
      </c>
      <c r="V93" s="119" t="s">
        <v>53</v>
      </c>
      <c r="W93" s="119" t="s">
        <v>53</v>
      </c>
      <c r="X93" s="149" t="s">
        <v>561</v>
      </c>
      <c r="Y93" s="149" t="s">
        <v>561</v>
      </c>
      <c r="Z93" s="149" t="s">
        <v>561</v>
      </c>
      <c r="AA93" s="149" t="s">
        <v>561</v>
      </c>
      <c r="AB93" s="149" t="s">
        <v>561</v>
      </c>
      <c r="AC93" s="125" t="s">
        <v>561</v>
      </c>
      <c r="AD93" s="149" t="s">
        <v>561</v>
      </c>
      <c r="AE93" s="128" t="s">
        <v>561</v>
      </c>
      <c r="AF93" s="125" t="s">
        <v>561</v>
      </c>
      <c r="AG93" s="121" t="s">
        <v>53</v>
      </c>
      <c r="AH93" s="128" t="s">
        <v>561</v>
      </c>
      <c r="AI93" s="125" t="s">
        <v>53</v>
      </c>
      <c r="AJ93" s="128" t="s">
        <v>561</v>
      </c>
      <c r="AK93" s="125" t="s">
        <v>561</v>
      </c>
      <c r="AL93" s="128" t="s">
        <v>561</v>
      </c>
      <c r="AM93" s="128" t="s">
        <v>561</v>
      </c>
      <c r="AN93" s="128" t="s">
        <v>561</v>
      </c>
      <c r="AO93" s="128" t="s">
        <v>53</v>
      </c>
      <c r="AP93" s="121" t="s">
        <v>561</v>
      </c>
      <c r="AQ93" s="128" t="s">
        <v>53</v>
      </c>
      <c r="AR93" s="128" t="s">
        <v>561</v>
      </c>
      <c r="AS93" s="117" t="s">
        <v>561</v>
      </c>
      <c r="AT93" s="117" t="s">
        <v>561</v>
      </c>
      <c r="AU93" s="117" t="s">
        <v>561</v>
      </c>
      <c r="AV93" s="117" t="s">
        <v>561</v>
      </c>
      <c r="AW93" s="117" t="s">
        <v>561</v>
      </c>
      <c r="AX93" s="117" t="s">
        <v>561</v>
      </c>
      <c r="AY93" s="117" t="s">
        <v>561</v>
      </c>
      <c r="AZ93" s="117" t="s">
        <v>561</v>
      </c>
      <c r="BA93" s="117" t="s">
        <v>561</v>
      </c>
      <c r="BB93" s="117" t="s">
        <v>561</v>
      </c>
      <c r="BC93" s="117" t="s">
        <v>561</v>
      </c>
      <c r="BD93" s="129" t="s">
        <v>821</v>
      </c>
      <c r="BE93" s="129" t="s">
        <v>821</v>
      </c>
      <c r="BF93" s="130"/>
      <c r="BG93" s="130">
        <f t="shared" si="8"/>
        <v>25025</v>
      </c>
      <c r="BH93" s="131">
        <v>25025.0</v>
      </c>
      <c r="BI93" s="131"/>
      <c r="BJ93" s="132"/>
      <c r="BK93" s="132"/>
      <c r="BL93" s="133"/>
      <c r="BM93" s="133"/>
      <c r="BN93" s="133"/>
      <c r="BO93" s="133" t="s">
        <v>561</v>
      </c>
      <c r="BP93" s="133" t="s">
        <v>1808</v>
      </c>
      <c r="BQ93" s="134"/>
      <c r="BR93" s="150" t="s">
        <v>1569</v>
      </c>
      <c r="BS93" s="181" t="s">
        <v>122</v>
      </c>
      <c r="BT93" s="134"/>
      <c r="BU93" s="137">
        <f t="shared" si="6"/>
        <v>0.396</v>
      </c>
      <c r="BV93" s="138">
        <v>0.6890000000000001</v>
      </c>
      <c r="BW93" s="137">
        <v>0.293</v>
      </c>
      <c r="BX93" s="137"/>
      <c r="BY93" s="137">
        <f t="shared" si="7"/>
        <v>0.382</v>
      </c>
      <c r="BZ93" s="138">
        <v>0.655</v>
      </c>
      <c r="CA93" s="137">
        <v>0.273</v>
      </c>
      <c r="CB93" s="137"/>
      <c r="CC93" s="138">
        <v>0.733</v>
      </c>
      <c r="CD93" s="137">
        <v>0.107</v>
      </c>
      <c r="CE93" s="137">
        <v>0.033</v>
      </c>
      <c r="CF93" s="137">
        <v>0.11800000000000001</v>
      </c>
      <c r="CG93" s="137">
        <v>0.012</v>
      </c>
      <c r="CH93" s="137">
        <v>0.001</v>
      </c>
      <c r="CI93" s="139"/>
      <c r="CJ93" s="138">
        <v>0.787</v>
      </c>
      <c r="CK93" s="137">
        <v>0.091</v>
      </c>
      <c r="CL93" s="137">
        <v>0.031000000000000003</v>
      </c>
      <c r="CM93" s="137">
        <v>0.084</v>
      </c>
      <c r="CN93" s="137">
        <v>0.004</v>
      </c>
      <c r="CO93" s="137">
        <v>0.001</v>
      </c>
      <c r="CP93" s="137"/>
      <c r="CQ93" s="138">
        <v>0.629</v>
      </c>
      <c r="CR93" s="138">
        <v>0.6579999999999999</v>
      </c>
      <c r="CS93" s="137">
        <v>0.26899999999999996</v>
      </c>
    </row>
    <row r="94">
      <c r="A94" s="112">
        <f t="shared" si="1"/>
        <v>92</v>
      </c>
      <c r="B94" s="112" t="s">
        <v>248</v>
      </c>
      <c r="C94" s="112" t="s">
        <v>249</v>
      </c>
      <c r="D94" s="113" t="s">
        <v>244</v>
      </c>
      <c r="E94" s="163"/>
      <c r="F94" s="115">
        <f t="shared" si="2"/>
        <v>0</v>
      </c>
      <c r="G94" s="115">
        <f t="shared" si="3"/>
        <v>0.3194444444</v>
      </c>
      <c r="H94" s="116">
        <f t="shared" si="4"/>
        <v>0.2395833333</v>
      </c>
      <c r="I94" s="117" t="s">
        <v>594</v>
      </c>
      <c r="J94" s="117" t="s">
        <v>594</v>
      </c>
      <c r="K94" s="117" t="s">
        <v>594</v>
      </c>
      <c r="L94" s="117" t="s">
        <v>594</v>
      </c>
      <c r="M94" s="117" t="s">
        <v>594</v>
      </c>
      <c r="N94" s="117" t="s">
        <v>594</v>
      </c>
      <c r="O94" s="149" t="s">
        <v>1256</v>
      </c>
      <c r="P94" s="120" t="s">
        <v>53</v>
      </c>
      <c r="Q94" s="121" t="s">
        <v>53</v>
      </c>
      <c r="R94" s="121" t="s">
        <v>561</v>
      </c>
      <c r="S94" s="119" t="s">
        <v>53</v>
      </c>
      <c r="T94" s="119" t="s">
        <v>53</v>
      </c>
      <c r="U94" s="119" t="s">
        <v>53</v>
      </c>
      <c r="V94" s="119" t="s">
        <v>53</v>
      </c>
      <c r="W94" s="119" t="s">
        <v>53</v>
      </c>
      <c r="X94" s="149" t="s">
        <v>561</v>
      </c>
      <c r="Y94" s="149" t="s">
        <v>561</v>
      </c>
      <c r="Z94" s="149" t="s">
        <v>561</v>
      </c>
      <c r="AA94" s="149" t="s">
        <v>561</v>
      </c>
      <c r="AB94" s="149" t="s">
        <v>561</v>
      </c>
      <c r="AC94" s="125" t="s">
        <v>561</v>
      </c>
      <c r="AD94" s="123" t="s">
        <v>801</v>
      </c>
      <c r="AE94" s="128" t="s">
        <v>561</v>
      </c>
      <c r="AF94" s="125" t="s">
        <v>561</v>
      </c>
      <c r="AG94" s="121" t="s">
        <v>53</v>
      </c>
      <c r="AH94" s="128" t="s">
        <v>561</v>
      </c>
      <c r="AI94" s="125" t="s">
        <v>53</v>
      </c>
      <c r="AJ94" s="128" t="s">
        <v>561</v>
      </c>
      <c r="AK94" s="125" t="s">
        <v>799</v>
      </c>
      <c r="AL94" s="128" t="s">
        <v>561</v>
      </c>
      <c r="AM94" s="128" t="s">
        <v>561</v>
      </c>
      <c r="AN94" s="128" t="s">
        <v>53</v>
      </c>
      <c r="AO94" s="128" t="s">
        <v>53</v>
      </c>
      <c r="AP94" s="121" t="s">
        <v>801</v>
      </c>
      <c r="AQ94" s="121" t="s">
        <v>801</v>
      </c>
      <c r="AR94" s="128" t="s">
        <v>801</v>
      </c>
      <c r="AS94" s="117" t="s">
        <v>561</v>
      </c>
      <c r="AT94" s="117" t="s">
        <v>561</v>
      </c>
      <c r="AU94" s="117" t="s">
        <v>561</v>
      </c>
      <c r="AV94" s="117" t="s">
        <v>561</v>
      </c>
      <c r="AW94" s="117" t="s">
        <v>561</v>
      </c>
      <c r="AX94" s="117" t="s">
        <v>561</v>
      </c>
      <c r="AY94" s="117" t="s">
        <v>561</v>
      </c>
      <c r="AZ94" s="117" t="s">
        <v>561</v>
      </c>
      <c r="BA94" s="117" t="s">
        <v>561</v>
      </c>
      <c r="BB94" s="117" t="s">
        <v>561</v>
      </c>
      <c r="BC94" s="117" t="s">
        <v>561</v>
      </c>
      <c r="BD94" s="129" t="s">
        <v>821</v>
      </c>
      <c r="BE94" s="164" t="s">
        <v>1832</v>
      </c>
      <c r="BF94" s="130"/>
      <c r="BG94" s="130">
        <f t="shared" si="8"/>
        <v>37200</v>
      </c>
      <c r="BH94" s="131">
        <v>37200.0</v>
      </c>
      <c r="BI94" s="131"/>
      <c r="BJ94" s="132"/>
      <c r="BK94" s="132"/>
      <c r="BL94" s="133"/>
      <c r="BM94" s="133"/>
      <c r="BN94" s="133"/>
      <c r="BO94" s="133" t="s">
        <v>561</v>
      </c>
      <c r="BP94" s="133" t="s">
        <v>2061</v>
      </c>
      <c r="BQ94" s="134"/>
      <c r="BR94" s="135" t="s">
        <v>850</v>
      </c>
      <c r="BS94" s="181" t="s">
        <v>122</v>
      </c>
      <c r="BT94" s="134"/>
      <c r="BU94" s="137">
        <f t="shared" si="6"/>
        <v>0.311</v>
      </c>
      <c r="BV94" s="138">
        <v>0.645</v>
      </c>
      <c r="BW94" s="137">
        <v>0.33399999999999996</v>
      </c>
      <c r="BX94" s="137"/>
      <c r="BY94" s="137">
        <f t="shared" si="7"/>
        <v>0.372</v>
      </c>
      <c r="BZ94" s="138">
        <v>0.657</v>
      </c>
      <c r="CA94" s="137">
        <v>0.285</v>
      </c>
      <c r="CB94" s="137"/>
      <c r="CC94" s="137">
        <v>0.16699999999999998</v>
      </c>
      <c r="CD94" s="138">
        <v>0.574</v>
      </c>
      <c r="CE94" s="137">
        <v>0.033</v>
      </c>
      <c r="CF94" s="137">
        <v>0.225</v>
      </c>
      <c r="CG94" s="137">
        <v>0.037000000000000005</v>
      </c>
      <c r="CH94" s="137">
        <v>0.004</v>
      </c>
      <c r="CI94" s="139"/>
      <c r="CJ94" s="137">
        <v>0.20600000000000002</v>
      </c>
      <c r="CK94" s="138">
        <v>0.545</v>
      </c>
      <c r="CL94" s="137">
        <v>0.038</v>
      </c>
      <c r="CM94" s="137">
        <v>0.197</v>
      </c>
      <c r="CN94" s="137">
        <v>0.006</v>
      </c>
      <c r="CO94" s="137">
        <v>0.004</v>
      </c>
      <c r="CP94" s="137"/>
      <c r="CQ94" s="137">
        <v>0.23600000000000002</v>
      </c>
      <c r="CR94" s="137">
        <v>0.33899999999999997</v>
      </c>
      <c r="CS94" s="137">
        <v>0.136</v>
      </c>
    </row>
    <row r="95">
      <c r="A95" s="112">
        <f t="shared" si="1"/>
        <v>93</v>
      </c>
      <c r="B95" s="112" t="s">
        <v>2518</v>
      </c>
      <c r="C95" s="112" t="s">
        <v>2519</v>
      </c>
      <c r="D95" s="117" t="s">
        <v>2516</v>
      </c>
      <c r="E95" s="186"/>
      <c r="F95" s="115">
        <f t="shared" si="2"/>
        <v>0</v>
      </c>
      <c r="G95" s="115">
        <f t="shared" si="3"/>
        <v>0.3181818182</v>
      </c>
      <c r="H95" s="116">
        <f t="shared" si="4"/>
        <v>0.2386363636</v>
      </c>
      <c r="I95" s="117" t="s">
        <v>594</v>
      </c>
      <c r="J95" s="117" t="s">
        <v>594</v>
      </c>
      <c r="K95" s="117" t="s">
        <v>594</v>
      </c>
      <c r="L95" s="117" t="s">
        <v>594</v>
      </c>
      <c r="M95" s="117" t="s">
        <v>594</v>
      </c>
      <c r="N95" s="117" t="s">
        <v>594</v>
      </c>
      <c r="O95" s="149" t="s">
        <v>1256</v>
      </c>
      <c r="P95" s="120" t="s">
        <v>53</v>
      </c>
      <c r="Q95" s="121" t="s">
        <v>53</v>
      </c>
      <c r="R95" s="121" t="s">
        <v>561</v>
      </c>
      <c r="S95" s="119" t="s">
        <v>53</v>
      </c>
      <c r="T95" s="119" t="s">
        <v>53</v>
      </c>
      <c r="U95" s="119" t="s">
        <v>53</v>
      </c>
      <c r="V95" s="119" t="s">
        <v>53</v>
      </c>
      <c r="W95" s="119" t="s">
        <v>53</v>
      </c>
      <c r="X95" s="149" t="s">
        <v>561</v>
      </c>
      <c r="Y95" s="149" t="s">
        <v>561</v>
      </c>
      <c r="Z95" s="149" t="s">
        <v>561</v>
      </c>
      <c r="AA95" s="149" t="s">
        <v>561</v>
      </c>
      <c r="AB95" s="149" t="s">
        <v>561</v>
      </c>
      <c r="AC95" s="125" t="s">
        <v>561</v>
      </c>
      <c r="AD95" s="149" t="s">
        <v>561</v>
      </c>
      <c r="AE95" s="128" t="s">
        <v>561</v>
      </c>
      <c r="AF95" s="125" t="s">
        <v>561</v>
      </c>
      <c r="AG95" s="121" t="s">
        <v>53</v>
      </c>
      <c r="AH95" s="128" t="s">
        <v>561</v>
      </c>
      <c r="AI95" s="128" t="s">
        <v>561</v>
      </c>
      <c r="AJ95" s="128" t="s">
        <v>561</v>
      </c>
      <c r="AK95" s="125" t="s">
        <v>799</v>
      </c>
      <c r="AL95" s="128" t="s">
        <v>561</v>
      </c>
      <c r="AM95" s="128" t="s">
        <v>561</v>
      </c>
      <c r="AN95" s="128" t="s">
        <v>561</v>
      </c>
      <c r="AO95" s="128" t="s">
        <v>53</v>
      </c>
      <c r="AP95" s="121" t="s">
        <v>561</v>
      </c>
      <c r="AQ95" s="128" t="s">
        <v>53</v>
      </c>
      <c r="AR95" s="128" t="s">
        <v>801</v>
      </c>
      <c r="AS95" s="117" t="s">
        <v>561</v>
      </c>
      <c r="AT95" s="117" t="s">
        <v>561</v>
      </c>
      <c r="AU95" s="117" t="s">
        <v>561</v>
      </c>
      <c r="AV95" s="117" t="s">
        <v>561</v>
      </c>
      <c r="AW95" s="117" t="s">
        <v>561</v>
      </c>
      <c r="AX95" s="117" t="s">
        <v>600</v>
      </c>
      <c r="AY95" s="117" t="s">
        <v>600</v>
      </c>
      <c r="AZ95" s="117" t="s">
        <v>600</v>
      </c>
      <c r="BA95" s="117" t="s">
        <v>600</v>
      </c>
      <c r="BB95" s="117" t="s">
        <v>600</v>
      </c>
      <c r="BC95" s="117" t="s">
        <v>600</v>
      </c>
      <c r="BD95" s="164" t="s">
        <v>1832</v>
      </c>
      <c r="BE95" s="129" t="s">
        <v>821</v>
      </c>
      <c r="BF95" s="130"/>
      <c r="BG95" s="130">
        <f t="shared" si="8"/>
        <v>0</v>
      </c>
      <c r="BH95" s="131"/>
      <c r="BI95" s="131"/>
      <c r="BJ95" s="132"/>
      <c r="BK95" s="132"/>
      <c r="BL95" s="133"/>
      <c r="BM95" s="133" t="s">
        <v>561</v>
      </c>
      <c r="BN95" s="133"/>
      <c r="BO95" s="133"/>
      <c r="BP95" s="133" t="s">
        <v>976</v>
      </c>
      <c r="BQ95" s="134"/>
      <c r="BR95" s="150" t="s">
        <v>1199</v>
      </c>
      <c r="BS95" s="134"/>
      <c r="BT95" s="211"/>
      <c r="BU95" s="137">
        <f t="shared" si="6"/>
        <v>0.131</v>
      </c>
      <c r="BV95" s="142">
        <v>0.552</v>
      </c>
      <c r="BW95" s="141">
        <v>0.42100000000000004</v>
      </c>
      <c r="BX95" s="141"/>
      <c r="BY95" s="137">
        <f t="shared" si="7"/>
        <v>0.067</v>
      </c>
      <c r="BZ95" s="142">
        <v>0.474</v>
      </c>
      <c r="CA95" s="141">
        <v>0.40700000000000003</v>
      </c>
      <c r="CB95" s="141"/>
      <c r="CC95" s="142">
        <v>0.7090000000000001</v>
      </c>
      <c r="CD95" s="141">
        <v>0.174</v>
      </c>
      <c r="CE95" s="141">
        <v>0.02</v>
      </c>
      <c r="CF95" s="141">
        <v>0.051</v>
      </c>
      <c r="CG95" s="141">
        <v>0.040999999999999995</v>
      </c>
      <c r="CH95" s="141">
        <v>0.011000000000000001</v>
      </c>
      <c r="CI95" s="139"/>
      <c r="CJ95" s="142">
        <v>0.797</v>
      </c>
      <c r="CK95" s="141">
        <v>0.11900000000000001</v>
      </c>
      <c r="CL95" s="141">
        <v>0.016</v>
      </c>
      <c r="CM95" s="141">
        <v>0.039</v>
      </c>
      <c r="CN95" s="141">
        <v>0.02</v>
      </c>
      <c r="CO95" s="141">
        <v>0.004</v>
      </c>
      <c r="CP95" s="141"/>
      <c r="CQ95" s="141">
        <v>0.332</v>
      </c>
      <c r="CR95" s="141">
        <v>0.365</v>
      </c>
      <c r="CS95" s="141">
        <v>0.507</v>
      </c>
    </row>
    <row r="96">
      <c r="A96" s="112">
        <f t="shared" si="1"/>
        <v>94</v>
      </c>
      <c r="B96" s="112" t="s">
        <v>767</v>
      </c>
      <c r="C96" s="112" t="s">
        <v>1226</v>
      </c>
      <c r="D96" s="113" t="s">
        <v>1224</v>
      </c>
      <c r="E96" s="163"/>
      <c r="F96" s="115">
        <f t="shared" si="2"/>
        <v>0</v>
      </c>
      <c r="G96" s="115">
        <f t="shared" si="3"/>
        <v>0.3166666667</v>
      </c>
      <c r="H96" s="116">
        <f t="shared" si="4"/>
        <v>0.2375</v>
      </c>
      <c r="I96" s="117" t="s">
        <v>594</v>
      </c>
      <c r="J96" s="117" t="s">
        <v>594</v>
      </c>
      <c r="K96" s="117" t="s">
        <v>594</v>
      </c>
      <c r="L96" s="117" t="s">
        <v>594</v>
      </c>
      <c r="M96" s="117" t="s">
        <v>594</v>
      </c>
      <c r="N96" s="117" t="s">
        <v>594</v>
      </c>
      <c r="O96" s="149" t="s">
        <v>1256</v>
      </c>
      <c r="P96" s="185" t="s">
        <v>561</v>
      </c>
      <c r="Q96" s="121" t="s">
        <v>53</v>
      </c>
      <c r="R96" s="121" t="s">
        <v>561</v>
      </c>
      <c r="S96" s="119" t="s">
        <v>53</v>
      </c>
      <c r="T96" s="119" t="s">
        <v>53</v>
      </c>
      <c r="U96" s="119" t="s">
        <v>53</v>
      </c>
      <c r="V96" s="119" t="s">
        <v>53</v>
      </c>
      <c r="W96" s="123" t="s">
        <v>801</v>
      </c>
      <c r="X96" s="123" t="s">
        <v>801</v>
      </c>
      <c r="Y96" s="149" t="s">
        <v>561</v>
      </c>
      <c r="Z96" s="128" t="s">
        <v>801</v>
      </c>
      <c r="AA96" s="123" t="s">
        <v>801</v>
      </c>
      <c r="AB96" s="149" t="s">
        <v>561</v>
      </c>
      <c r="AC96" s="125" t="s">
        <v>561</v>
      </c>
      <c r="AD96" s="149" t="s">
        <v>561</v>
      </c>
      <c r="AE96" s="128" t="s">
        <v>561</v>
      </c>
      <c r="AF96" s="125" t="s">
        <v>561</v>
      </c>
      <c r="AG96" s="121" t="s">
        <v>53</v>
      </c>
      <c r="AH96" s="128" t="s">
        <v>561</v>
      </c>
      <c r="AI96" s="125" t="s">
        <v>53</v>
      </c>
      <c r="AJ96" s="128" t="s">
        <v>561</v>
      </c>
      <c r="AK96" s="125" t="s">
        <v>799</v>
      </c>
      <c r="AL96" s="128" t="s">
        <v>561</v>
      </c>
      <c r="AM96" s="128" t="s">
        <v>561</v>
      </c>
      <c r="AN96" s="128" t="s">
        <v>561</v>
      </c>
      <c r="AO96" s="128" t="s">
        <v>53</v>
      </c>
      <c r="AP96" s="121" t="s">
        <v>561</v>
      </c>
      <c r="AQ96" s="128" t="s">
        <v>53</v>
      </c>
      <c r="AR96" s="128" t="s">
        <v>561</v>
      </c>
      <c r="AS96" s="117" t="s">
        <v>561</v>
      </c>
      <c r="AT96" s="117" t="s">
        <v>561</v>
      </c>
      <c r="AU96" s="117" t="s">
        <v>561</v>
      </c>
      <c r="AV96" s="117" t="s">
        <v>561</v>
      </c>
      <c r="AW96" s="117" t="s">
        <v>561</v>
      </c>
      <c r="AX96" s="117" t="s">
        <v>600</v>
      </c>
      <c r="AY96" s="117" t="s">
        <v>600</v>
      </c>
      <c r="AZ96" s="117" t="s">
        <v>600</v>
      </c>
      <c r="BA96" s="117" t="s">
        <v>600</v>
      </c>
      <c r="BB96" s="117" t="s">
        <v>600</v>
      </c>
      <c r="BC96" s="117" t="s">
        <v>600</v>
      </c>
      <c r="BD96" s="129" t="s">
        <v>821</v>
      </c>
      <c r="BE96" s="129" t="s">
        <v>821</v>
      </c>
      <c r="BF96" s="130"/>
      <c r="BG96" s="130">
        <f t="shared" si="8"/>
        <v>7000</v>
      </c>
      <c r="BH96" s="131">
        <v>5000.0</v>
      </c>
      <c r="BI96" s="131"/>
      <c r="BJ96" s="132">
        <f>2000</f>
        <v>2000</v>
      </c>
      <c r="BK96" s="132"/>
      <c r="BL96" s="133"/>
      <c r="BM96" s="133" t="s">
        <v>561</v>
      </c>
      <c r="BN96" s="133" t="s">
        <v>561</v>
      </c>
      <c r="BO96" s="133"/>
      <c r="BP96" s="133" t="s">
        <v>976</v>
      </c>
      <c r="BQ96" s="134"/>
      <c r="BR96" s="134"/>
      <c r="BS96" s="150" t="s">
        <v>135</v>
      </c>
      <c r="BT96" s="134"/>
      <c r="BU96" s="137">
        <f t="shared" si="6"/>
        <v>0.137</v>
      </c>
      <c r="BV96" s="138">
        <v>0.561</v>
      </c>
      <c r="BW96" s="137">
        <v>0.424</v>
      </c>
      <c r="BX96" s="137"/>
      <c r="BY96" s="137">
        <f t="shared" si="7"/>
        <v>0.073</v>
      </c>
      <c r="BZ96" s="138">
        <v>0.502</v>
      </c>
      <c r="CA96" s="137">
        <v>0.429</v>
      </c>
      <c r="CB96" s="137"/>
      <c r="CC96" s="138">
        <v>0.768</v>
      </c>
      <c r="CD96" s="137">
        <v>0.125</v>
      </c>
      <c r="CE96" s="137">
        <v>0.057</v>
      </c>
      <c r="CF96" s="137">
        <v>0.038</v>
      </c>
      <c r="CG96" s="137">
        <v>0.019</v>
      </c>
      <c r="CH96" s="137">
        <v>0.002</v>
      </c>
      <c r="CI96" s="139"/>
      <c r="CJ96" s="138">
        <v>0.8300000000000001</v>
      </c>
      <c r="CK96" s="137">
        <v>0.09300000000000001</v>
      </c>
      <c r="CL96" s="137">
        <v>0.042</v>
      </c>
      <c r="CM96" s="137">
        <v>0.026000000000000002</v>
      </c>
      <c r="CN96" s="137">
        <v>0.008</v>
      </c>
      <c r="CO96" s="137">
        <v>0.001</v>
      </c>
      <c r="CP96" s="137"/>
      <c r="CQ96" s="137">
        <v>0.345</v>
      </c>
      <c r="CR96" s="137">
        <v>0.369</v>
      </c>
      <c r="CS96" s="138">
        <v>0.523</v>
      </c>
    </row>
    <row r="97">
      <c r="A97" s="112">
        <f t="shared" si="1"/>
        <v>95</v>
      </c>
      <c r="B97" s="112" t="s">
        <v>753</v>
      </c>
      <c r="C97" s="112" t="s">
        <v>754</v>
      </c>
      <c r="D97" s="144" t="s">
        <v>749</v>
      </c>
      <c r="E97" s="163"/>
      <c r="F97" s="115">
        <f t="shared" si="2"/>
        <v>0</v>
      </c>
      <c r="G97" s="115">
        <f t="shared" si="3"/>
        <v>0.3142857143</v>
      </c>
      <c r="H97" s="116">
        <f t="shared" si="4"/>
        <v>0.2357142857</v>
      </c>
      <c r="I97" s="117" t="s">
        <v>594</v>
      </c>
      <c r="J97" s="117" t="s">
        <v>594</v>
      </c>
      <c r="K97" s="117" t="s">
        <v>594</v>
      </c>
      <c r="L97" s="117" t="s">
        <v>594</v>
      </c>
      <c r="M97" s="117" t="s">
        <v>594</v>
      </c>
      <c r="N97" s="117" t="s">
        <v>594</v>
      </c>
      <c r="O97" s="149" t="s">
        <v>1256</v>
      </c>
      <c r="P97" s="120" t="s">
        <v>53</v>
      </c>
      <c r="Q97" s="121" t="s">
        <v>53</v>
      </c>
      <c r="R97" s="121" t="s">
        <v>561</v>
      </c>
      <c r="S97" s="119" t="s">
        <v>53</v>
      </c>
      <c r="T97" s="119" t="s">
        <v>53</v>
      </c>
      <c r="U97" s="149" t="s">
        <v>561</v>
      </c>
      <c r="V97" s="119" t="s">
        <v>53</v>
      </c>
      <c r="W97" s="119" t="s">
        <v>53</v>
      </c>
      <c r="X97" s="119" t="s">
        <v>53</v>
      </c>
      <c r="Y97" s="149" t="s">
        <v>561</v>
      </c>
      <c r="Z97" s="149" t="s">
        <v>561</v>
      </c>
      <c r="AA97" s="149" t="s">
        <v>561</v>
      </c>
      <c r="AB97" s="149" t="s">
        <v>561</v>
      </c>
      <c r="AC97" s="125" t="s">
        <v>561</v>
      </c>
      <c r="AD97" s="149" t="s">
        <v>561</v>
      </c>
      <c r="AE97" s="128" t="s">
        <v>561</v>
      </c>
      <c r="AF97" s="125" t="s">
        <v>561</v>
      </c>
      <c r="AG97" s="121" t="s">
        <v>561</v>
      </c>
      <c r="AH97" s="128" t="s">
        <v>561</v>
      </c>
      <c r="AI97" s="125" t="s">
        <v>53</v>
      </c>
      <c r="AJ97" s="121" t="s">
        <v>53</v>
      </c>
      <c r="AK97" s="125" t="s">
        <v>561</v>
      </c>
      <c r="AL97" s="128" t="s">
        <v>561</v>
      </c>
      <c r="AM97" s="128" t="s">
        <v>561</v>
      </c>
      <c r="AN97" s="128" t="s">
        <v>561</v>
      </c>
      <c r="AO97" s="128" t="s">
        <v>53</v>
      </c>
      <c r="AP97" s="121" t="s">
        <v>561</v>
      </c>
      <c r="AQ97" s="128" t="s">
        <v>53</v>
      </c>
      <c r="AR97" s="128" t="s">
        <v>801</v>
      </c>
      <c r="AS97" s="117" t="s">
        <v>561</v>
      </c>
      <c r="AT97" s="117" t="s">
        <v>561</v>
      </c>
      <c r="AU97" s="117" t="s">
        <v>561</v>
      </c>
      <c r="AV97" s="117" t="s">
        <v>561</v>
      </c>
      <c r="AW97" s="117" t="s">
        <v>561</v>
      </c>
      <c r="AX97" s="117" t="s">
        <v>561</v>
      </c>
      <c r="AY97" s="117" t="s">
        <v>561</v>
      </c>
      <c r="AZ97" s="117" t="s">
        <v>600</v>
      </c>
      <c r="BA97" s="117" t="s">
        <v>600</v>
      </c>
      <c r="BB97" s="117" t="s">
        <v>600</v>
      </c>
      <c r="BC97" s="117" t="s">
        <v>600</v>
      </c>
      <c r="BD97" s="129" t="s">
        <v>821</v>
      </c>
      <c r="BE97" s="164" t="s">
        <v>1832</v>
      </c>
      <c r="BF97" s="130"/>
      <c r="BG97" s="130">
        <f t="shared" si="8"/>
        <v>173316</v>
      </c>
      <c r="BH97" s="131">
        <v>166316.0</v>
      </c>
      <c r="BI97" s="131"/>
      <c r="BJ97" s="132">
        <f>5000+2000</f>
        <v>7000</v>
      </c>
      <c r="BK97" s="132"/>
      <c r="BL97" s="133"/>
      <c r="BM97" s="133"/>
      <c r="BN97" s="133" t="s">
        <v>561</v>
      </c>
      <c r="BO97" s="133" t="s">
        <v>561</v>
      </c>
      <c r="BP97" s="133" t="s">
        <v>903</v>
      </c>
      <c r="BQ97" s="134"/>
      <c r="BR97" s="134"/>
      <c r="BS97" s="181" t="s">
        <v>2030</v>
      </c>
      <c r="BT97" s="134"/>
      <c r="BU97" s="137">
        <f t="shared" si="6"/>
        <v>0.285</v>
      </c>
      <c r="BV97" s="138">
        <v>0.633</v>
      </c>
      <c r="BW97" s="137">
        <v>0.348</v>
      </c>
      <c r="BX97" s="137"/>
      <c r="BY97" s="137">
        <f t="shared" si="7"/>
        <v>0.226</v>
      </c>
      <c r="BZ97" s="138">
        <v>0.5760000000000001</v>
      </c>
      <c r="CA97" s="137">
        <v>0.35</v>
      </c>
      <c r="CB97" s="137"/>
      <c r="CC97" s="138">
        <v>0.8059999999999999</v>
      </c>
      <c r="CD97" s="137">
        <v>0.051</v>
      </c>
      <c r="CE97" s="137">
        <v>0.046</v>
      </c>
      <c r="CF97" s="137">
        <v>0.071</v>
      </c>
      <c r="CG97" s="137">
        <v>0.01</v>
      </c>
      <c r="CH97" s="137">
        <v>0.001</v>
      </c>
      <c r="CI97" s="139"/>
      <c r="CJ97" s="142">
        <v>0.871</v>
      </c>
      <c r="CK97" s="141">
        <v>0.040999999999999995</v>
      </c>
      <c r="CL97" s="141">
        <v>0.033</v>
      </c>
      <c r="CM97" s="141">
        <v>0.048</v>
      </c>
      <c r="CN97" s="141">
        <v>0.006</v>
      </c>
      <c r="CO97" s="141">
        <v>0.0</v>
      </c>
      <c r="CP97" s="137"/>
      <c r="CQ97" s="137">
        <v>0.478</v>
      </c>
      <c r="CR97" s="137">
        <v>0.47600000000000003</v>
      </c>
      <c r="CS97" s="137">
        <v>0.457</v>
      </c>
    </row>
    <row r="98">
      <c r="A98" s="112">
        <f t="shared" si="1"/>
        <v>96</v>
      </c>
      <c r="B98" s="112" t="s">
        <v>983</v>
      </c>
      <c r="C98" s="112" t="s">
        <v>984</v>
      </c>
      <c r="D98" s="113" t="s">
        <v>981</v>
      </c>
      <c r="E98" s="186"/>
      <c r="F98" s="115">
        <f t="shared" si="2"/>
        <v>0</v>
      </c>
      <c r="G98" s="115">
        <f t="shared" si="3"/>
        <v>0.3125</v>
      </c>
      <c r="H98" s="116">
        <f t="shared" si="4"/>
        <v>0.234375</v>
      </c>
      <c r="I98" s="117" t="s">
        <v>594</v>
      </c>
      <c r="J98" s="117" t="s">
        <v>594</v>
      </c>
      <c r="K98" s="117" t="s">
        <v>594</v>
      </c>
      <c r="L98" s="117" t="s">
        <v>594</v>
      </c>
      <c r="M98" s="117" t="s">
        <v>594</v>
      </c>
      <c r="N98" s="117" t="s">
        <v>594</v>
      </c>
      <c r="O98" s="149" t="s">
        <v>1256</v>
      </c>
      <c r="P98" s="185" t="s">
        <v>561</v>
      </c>
      <c r="Q98" s="121" t="s">
        <v>53</v>
      </c>
      <c r="R98" s="121" t="s">
        <v>561</v>
      </c>
      <c r="S98" s="119" t="s">
        <v>53</v>
      </c>
      <c r="T98" s="119" t="s">
        <v>53</v>
      </c>
      <c r="U98" s="119" t="s">
        <v>53</v>
      </c>
      <c r="V98" s="119" t="s">
        <v>53</v>
      </c>
      <c r="W98" s="119" t="s">
        <v>53</v>
      </c>
      <c r="X98" s="149" t="s">
        <v>561</v>
      </c>
      <c r="Y98" s="149" t="s">
        <v>561</v>
      </c>
      <c r="Z98" s="149" t="s">
        <v>561</v>
      </c>
      <c r="AA98" s="149" t="s">
        <v>561</v>
      </c>
      <c r="AB98" s="149" t="s">
        <v>561</v>
      </c>
      <c r="AC98" s="125" t="s">
        <v>561</v>
      </c>
      <c r="AD98" s="149" t="s">
        <v>561</v>
      </c>
      <c r="AE98" s="128" t="s">
        <v>561</v>
      </c>
      <c r="AF98" s="125" t="s">
        <v>561</v>
      </c>
      <c r="AG98" s="121" t="s">
        <v>53</v>
      </c>
      <c r="AH98" s="128" t="s">
        <v>561</v>
      </c>
      <c r="AI98" s="125" t="s">
        <v>53</v>
      </c>
      <c r="AJ98" s="128" t="s">
        <v>561</v>
      </c>
      <c r="AK98" s="125" t="s">
        <v>799</v>
      </c>
      <c r="AL98" s="128" t="s">
        <v>561</v>
      </c>
      <c r="AM98" s="128" t="s">
        <v>561</v>
      </c>
      <c r="AN98" s="128" t="s">
        <v>561</v>
      </c>
      <c r="AO98" s="128" t="s">
        <v>53</v>
      </c>
      <c r="AP98" s="121" t="s">
        <v>561</v>
      </c>
      <c r="AQ98" s="128" t="s">
        <v>53</v>
      </c>
      <c r="AR98" s="128" t="s">
        <v>561</v>
      </c>
      <c r="AS98" s="117" t="s">
        <v>561</v>
      </c>
      <c r="AT98" s="117" t="s">
        <v>53</v>
      </c>
      <c r="AU98" s="117" t="s">
        <v>561</v>
      </c>
      <c r="AV98" s="117" t="s">
        <v>561</v>
      </c>
      <c r="AW98" s="117" t="s">
        <v>561</v>
      </c>
      <c r="AX98" s="117" t="s">
        <v>561</v>
      </c>
      <c r="AY98" s="117" t="s">
        <v>561</v>
      </c>
      <c r="AZ98" s="117" t="s">
        <v>561</v>
      </c>
      <c r="BA98" s="117" t="s">
        <v>561</v>
      </c>
      <c r="BB98" s="117" t="s">
        <v>53</v>
      </c>
      <c r="BC98" s="117" t="s">
        <v>561</v>
      </c>
      <c r="BD98" s="129" t="s">
        <v>821</v>
      </c>
      <c r="BE98" s="129" t="s">
        <v>821</v>
      </c>
      <c r="BF98" s="130"/>
      <c r="BG98" s="130">
        <f t="shared" si="8"/>
        <v>149240</v>
      </c>
      <c r="BH98" s="131">
        <v>147240.0</v>
      </c>
      <c r="BI98" s="131"/>
      <c r="BJ98" s="132">
        <f>2000</f>
        <v>2000</v>
      </c>
      <c r="BK98" s="132"/>
      <c r="BL98" s="133"/>
      <c r="BM98" s="133" t="s">
        <v>561</v>
      </c>
      <c r="BN98" s="133" t="s">
        <v>561</v>
      </c>
      <c r="BO98" s="133" t="s">
        <v>561</v>
      </c>
      <c r="BP98" s="133" t="s">
        <v>1234</v>
      </c>
      <c r="BQ98" s="134"/>
      <c r="BR98" s="150" t="s">
        <v>1569</v>
      </c>
      <c r="BS98" s="181" t="s">
        <v>2030</v>
      </c>
      <c r="BT98" s="134"/>
      <c r="BU98" s="137">
        <f t="shared" si="6"/>
        <v>0.624</v>
      </c>
      <c r="BV98" s="138">
        <v>0.809</v>
      </c>
      <c r="BW98" s="137">
        <v>0.185</v>
      </c>
      <c r="BX98" s="137"/>
      <c r="BY98" s="137">
        <f t="shared" si="7"/>
        <v>0.692</v>
      </c>
      <c r="BZ98" s="138">
        <v>0.836</v>
      </c>
      <c r="CA98" s="137">
        <v>0.14400000000000002</v>
      </c>
      <c r="CB98" s="137"/>
      <c r="CC98" s="137">
        <v>0.132</v>
      </c>
      <c r="CD98" s="137">
        <v>0.196</v>
      </c>
      <c r="CE98" s="138">
        <v>0.47200000000000003</v>
      </c>
      <c r="CF98" s="137">
        <v>0.175</v>
      </c>
      <c r="CG98" s="137">
        <v>0.027999999999999997</v>
      </c>
      <c r="CH98" s="137">
        <v>0.005</v>
      </c>
      <c r="CI98" s="139"/>
      <c r="CJ98" s="137">
        <v>0.172</v>
      </c>
      <c r="CK98" s="137">
        <v>0.172</v>
      </c>
      <c r="CL98" s="138">
        <v>0.484</v>
      </c>
      <c r="CM98" s="137">
        <v>0.153</v>
      </c>
      <c r="CN98" s="137">
        <v>0.009000000000000001</v>
      </c>
      <c r="CO98" s="137">
        <v>0.003</v>
      </c>
      <c r="CP98" s="137"/>
      <c r="CQ98" s="137">
        <v>0.273</v>
      </c>
      <c r="CR98" s="137">
        <v>0.405</v>
      </c>
      <c r="CS98" s="137">
        <v>0.102</v>
      </c>
    </row>
    <row r="99">
      <c r="A99" s="112">
        <f t="shared" si="1"/>
        <v>96</v>
      </c>
      <c r="B99" s="112" t="s">
        <v>120</v>
      </c>
      <c r="C99" s="112" t="s">
        <v>694</v>
      </c>
      <c r="D99" s="113" t="s">
        <v>692</v>
      </c>
      <c r="E99" s="186"/>
      <c r="F99" s="115">
        <f t="shared" si="2"/>
        <v>0</v>
      </c>
      <c r="G99" s="115">
        <f t="shared" si="3"/>
        <v>0.3125</v>
      </c>
      <c r="H99" s="116">
        <f t="shared" si="4"/>
        <v>0.234375</v>
      </c>
      <c r="I99" s="117" t="s">
        <v>594</v>
      </c>
      <c r="J99" s="117" t="s">
        <v>594</v>
      </c>
      <c r="K99" s="117" t="s">
        <v>594</v>
      </c>
      <c r="L99" s="117" t="s">
        <v>594</v>
      </c>
      <c r="M99" s="117" t="s">
        <v>594</v>
      </c>
      <c r="N99" s="117" t="s">
        <v>594</v>
      </c>
      <c r="O99" s="149" t="s">
        <v>1256</v>
      </c>
      <c r="P99" s="120" t="s">
        <v>53</v>
      </c>
      <c r="Q99" s="121" t="s">
        <v>53</v>
      </c>
      <c r="R99" s="121" t="s">
        <v>561</v>
      </c>
      <c r="S99" s="119" t="s">
        <v>53</v>
      </c>
      <c r="T99" s="119" t="s">
        <v>53</v>
      </c>
      <c r="U99" s="119" t="s">
        <v>53</v>
      </c>
      <c r="V99" s="119" t="s">
        <v>53</v>
      </c>
      <c r="W99" s="119" t="s">
        <v>53</v>
      </c>
      <c r="X99" s="149" t="s">
        <v>561</v>
      </c>
      <c r="Y99" s="149" t="s">
        <v>561</v>
      </c>
      <c r="Z99" s="119" t="s">
        <v>53</v>
      </c>
      <c r="AA99" s="149" t="s">
        <v>561</v>
      </c>
      <c r="AB99" s="149" t="s">
        <v>561</v>
      </c>
      <c r="AC99" s="125" t="s">
        <v>561</v>
      </c>
      <c r="AD99" s="149" t="s">
        <v>561</v>
      </c>
      <c r="AE99" s="128" t="s">
        <v>561</v>
      </c>
      <c r="AF99" s="125" t="s">
        <v>561</v>
      </c>
      <c r="AG99" s="121" t="s">
        <v>53</v>
      </c>
      <c r="AH99" s="128" t="s">
        <v>561</v>
      </c>
      <c r="AI99" s="128" t="s">
        <v>561</v>
      </c>
      <c r="AJ99" s="128" t="s">
        <v>561</v>
      </c>
      <c r="AK99" s="125" t="s">
        <v>799</v>
      </c>
      <c r="AL99" s="128" t="s">
        <v>561</v>
      </c>
      <c r="AM99" s="128" t="s">
        <v>561</v>
      </c>
      <c r="AN99" s="128" t="s">
        <v>561</v>
      </c>
      <c r="AO99" s="128" t="s">
        <v>53</v>
      </c>
      <c r="AP99" s="121" t="s">
        <v>561</v>
      </c>
      <c r="AQ99" s="128" t="s">
        <v>53</v>
      </c>
      <c r="AR99" s="128" t="s">
        <v>561</v>
      </c>
      <c r="AS99" s="117" t="s">
        <v>561</v>
      </c>
      <c r="AT99" s="117" t="s">
        <v>53</v>
      </c>
      <c r="AU99" s="117" t="s">
        <v>561</v>
      </c>
      <c r="AV99" s="117" t="s">
        <v>561</v>
      </c>
      <c r="AW99" s="117" t="s">
        <v>561</v>
      </c>
      <c r="AX99" s="117" t="s">
        <v>561</v>
      </c>
      <c r="AY99" s="117" t="s">
        <v>561</v>
      </c>
      <c r="AZ99" s="117" t="s">
        <v>561</v>
      </c>
      <c r="BA99" s="117" t="s">
        <v>561</v>
      </c>
      <c r="BB99" s="117" t="s">
        <v>561</v>
      </c>
      <c r="BC99" s="117" t="s">
        <v>561</v>
      </c>
      <c r="BD99" s="129" t="s">
        <v>821</v>
      </c>
      <c r="BE99" s="129" t="s">
        <v>821</v>
      </c>
      <c r="BF99" s="130"/>
      <c r="BG99" s="130">
        <f t="shared" si="8"/>
        <v>0</v>
      </c>
      <c r="BH99" s="131"/>
      <c r="BI99" s="131"/>
      <c r="BJ99" s="132"/>
      <c r="BK99" s="132"/>
      <c r="BL99" s="133"/>
      <c r="BM99" s="133"/>
      <c r="BN99" s="133"/>
      <c r="BO99" s="133"/>
      <c r="BP99" s="133" t="s">
        <v>1495</v>
      </c>
      <c r="BQ99" s="134"/>
      <c r="BR99" s="134"/>
      <c r="BS99" s="134"/>
      <c r="BT99" s="134"/>
      <c r="BU99" s="137">
        <f t="shared" si="6"/>
        <v>0.255</v>
      </c>
      <c r="BV99" s="138">
        <v>0.617</v>
      </c>
      <c r="BW99" s="137">
        <v>0.36200000000000004</v>
      </c>
      <c r="BX99" s="137"/>
      <c r="BY99" s="137">
        <f t="shared" si="7"/>
        <v>0.137</v>
      </c>
      <c r="BZ99" s="138">
        <v>0.532</v>
      </c>
      <c r="CA99" s="137">
        <v>0.395</v>
      </c>
      <c r="CB99" s="137"/>
      <c r="CC99" s="138">
        <v>0.606</v>
      </c>
      <c r="CD99" s="137">
        <v>0.076</v>
      </c>
      <c r="CE99" s="137">
        <v>0.184</v>
      </c>
      <c r="CF99" s="137">
        <v>0.11900000000000001</v>
      </c>
      <c r="CG99" s="137">
        <v>0.018000000000000002</v>
      </c>
      <c r="CH99" s="137">
        <v>0.002</v>
      </c>
      <c r="CI99" s="139"/>
      <c r="CJ99" s="138">
        <v>0.685</v>
      </c>
      <c r="CK99" s="137">
        <v>0.048</v>
      </c>
      <c r="CL99" s="137">
        <v>0.17300000000000001</v>
      </c>
      <c r="CM99" s="137">
        <v>0.085</v>
      </c>
      <c r="CN99" s="137">
        <v>0.006999999999999999</v>
      </c>
      <c r="CO99" s="137">
        <v>0.001</v>
      </c>
      <c r="CP99" s="137"/>
      <c r="CQ99" s="138">
        <v>0.534</v>
      </c>
      <c r="CR99" s="138">
        <v>0.563</v>
      </c>
      <c r="CS99" s="137">
        <v>0.299</v>
      </c>
    </row>
    <row r="100">
      <c r="A100" s="112">
        <f t="shared" si="1"/>
        <v>98</v>
      </c>
      <c r="B100" s="112" t="s">
        <v>701</v>
      </c>
      <c r="C100" s="112" t="s">
        <v>702</v>
      </c>
      <c r="D100" s="113" t="s">
        <v>696</v>
      </c>
      <c r="E100" s="163"/>
      <c r="F100" s="115">
        <f t="shared" si="2"/>
        <v>0</v>
      </c>
      <c r="G100" s="115">
        <f t="shared" si="3"/>
        <v>0.3088235294</v>
      </c>
      <c r="H100" s="116">
        <f t="shared" si="4"/>
        <v>0.2316176471</v>
      </c>
      <c r="I100" s="117" t="s">
        <v>594</v>
      </c>
      <c r="J100" s="117" t="s">
        <v>594</v>
      </c>
      <c r="K100" s="117" t="s">
        <v>594</v>
      </c>
      <c r="L100" s="117" t="s">
        <v>594</v>
      </c>
      <c r="M100" s="117" t="s">
        <v>594</v>
      </c>
      <c r="N100" s="117" t="s">
        <v>594</v>
      </c>
      <c r="O100" s="149" t="s">
        <v>1256</v>
      </c>
      <c r="P100" s="185" t="s">
        <v>561</v>
      </c>
      <c r="Q100" s="121" t="s">
        <v>53</v>
      </c>
      <c r="R100" s="121" t="s">
        <v>561</v>
      </c>
      <c r="S100" s="119" t="s">
        <v>53</v>
      </c>
      <c r="T100" s="119" t="s">
        <v>53</v>
      </c>
      <c r="U100" s="119" t="s">
        <v>53</v>
      </c>
      <c r="V100" s="119" t="s">
        <v>53</v>
      </c>
      <c r="W100" s="119" t="s">
        <v>53</v>
      </c>
      <c r="X100" s="149" t="s">
        <v>561</v>
      </c>
      <c r="Y100" s="149" t="s">
        <v>561</v>
      </c>
      <c r="Z100" s="149" t="s">
        <v>561</v>
      </c>
      <c r="AA100" s="149" t="s">
        <v>561</v>
      </c>
      <c r="AB100" s="149" t="s">
        <v>561</v>
      </c>
      <c r="AC100" s="125" t="s">
        <v>561</v>
      </c>
      <c r="AD100" s="149" t="s">
        <v>561</v>
      </c>
      <c r="AE100" s="128" t="s">
        <v>561</v>
      </c>
      <c r="AF100" s="125" t="s">
        <v>561</v>
      </c>
      <c r="AG100" s="121" t="s">
        <v>53</v>
      </c>
      <c r="AH100" s="128" t="s">
        <v>561</v>
      </c>
      <c r="AI100" s="128" t="s">
        <v>561</v>
      </c>
      <c r="AJ100" s="128" t="s">
        <v>561</v>
      </c>
      <c r="AK100" s="125" t="s">
        <v>799</v>
      </c>
      <c r="AL100" s="128" t="s">
        <v>561</v>
      </c>
      <c r="AM100" s="128" t="s">
        <v>561</v>
      </c>
      <c r="AN100" s="128" t="s">
        <v>561</v>
      </c>
      <c r="AO100" s="128" t="s">
        <v>53</v>
      </c>
      <c r="AP100" s="121" t="s">
        <v>561</v>
      </c>
      <c r="AQ100" s="128" t="s">
        <v>53</v>
      </c>
      <c r="AR100" s="121" t="s">
        <v>53</v>
      </c>
      <c r="AS100" s="117" t="s">
        <v>561</v>
      </c>
      <c r="AT100" s="117" t="s">
        <v>561</v>
      </c>
      <c r="AU100" s="117" t="s">
        <v>561</v>
      </c>
      <c r="AV100" s="117" t="s">
        <v>561</v>
      </c>
      <c r="AW100" s="117" t="s">
        <v>561</v>
      </c>
      <c r="AX100" s="117" t="s">
        <v>600</v>
      </c>
      <c r="AY100" s="117" t="s">
        <v>600</v>
      </c>
      <c r="AZ100" s="117" t="s">
        <v>600</v>
      </c>
      <c r="BA100" s="117" t="s">
        <v>600</v>
      </c>
      <c r="BB100" s="117" t="s">
        <v>600</v>
      </c>
      <c r="BC100" s="117" t="s">
        <v>600</v>
      </c>
      <c r="BD100" s="164" t="s">
        <v>1832</v>
      </c>
      <c r="BE100" s="164" t="s">
        <v>1832</v>
      </c>
      <c r="BF100" s="130"/>
      <c r="BG100" s="130">
        <f t="shared" si="8"/>
        <v>7196574</v>
      </c>
      <c r="BH100" s="131">
        <v>771657.0</v>
      </c>
      <c r="BI100" s="131">
        <v>5992920.0</v>
      </c>
      <c r="BJ100" s="132">
        <f>2000</f>
        <v>2000</v>
      </c>
      <c r="BK100" s="132">
        <v>429997.0</v>
      </c>
      <c r="BL100" s="133"/>
      <c r="BM100" s="133"/>
      <c r="BN100" s="133" t="s">
        <v>561</v>
      </c>
      <c r="BO100" s="133" t="s">
        <v>561</v>
      </c>
      <c r="BP100" s="133" t="s">
        <v>976</v>
      </c>
      <c r="BQ100" s="134"/>
      <c r="BR100" s="150" t="s">
        <v>1569</v>
      </c>
      <c r="BS100" s="181" t="s">
        <v>2030</v>
      </c>
      <c r="BT100" s="134"/>
      <c r="BU100" s="137">
        <f t="shared" si="6"/>
        <v>0.809</v>
      </c>
      <c r="BV100" s="138">
        <v>0.8959999999999999</v>
      </c>
      <c r="BW100" s="137">
        <v>0.087</v>
      </c>
      <c r="BX100" s="137"/>
      <c r="BY100" s="137">
        <f t="shared" si="7"/>
        <v>0.818</v>
      </c>
      <c r="BZ100" s="138">
        <v>0.892</v>
      </c>
      <c r="CA100" s="137">
        <v>0.07400000000000001</v>
      </c>
      <c r="CB100" s="137"/>
      <c r="CC100" s="137">
        <v>0.12300000000000001</v>
      </c>
      <c r="CD100" s="137">
        <v>0.22</v>
      </c>
      <c r="CE100" s="138">
        <v>0.598</v>
      </c>
      <c r="CF100" s="137">
        <v>0.064</v>
      </c>
      <c r="CG100" s="137">
        <v>0.025</v>
      </c>
      <c r="CH100" s="137">
        <v>0.002</v>
      </c>
      <c r="CI100" s="139"/>
      <c r="CJ100" s="137">
        <v>0.155</v>
      </c>
      <c r="CK100" s="137">
        <v>0.09699999999999999</v>
      </c>
      <c r="CL100" s="138">
        <v>0.684</v>
      </c>
      <c r="CM100" s="137">
        <v>0.053</v>
      </c>
      <c r="CN100" s="137">
        <v>0.008</v>
      </c>
      <c r="CO100" s="137">
        <v>0.0</v>
      </c>
      <c r="CP100" s="137"/>
      <c r="CQ100" s="137">
        <v>0.36</v>
      </c>
      <c r="CR100" s="138">
        <v>0.5489999999999999</v>
      </c>
      <c r="CS100" s="137">
        <v>0.07</v>
      </c>
    </row>
    <row r="101">
      <c r="A101" s="112">
        <f t="shared" si="1"/>
        <v>99</v>
      </c>
      <c r="B101" s="112" t="s">
        <v>103</v>
      </c>
      <c r="C101" s="112" t="s">
        <v>104</v>
      </c>
      <c r="D101" s="113" t="s">
        <v>98</v>
      </c>
      <c r="E101" s="186"/>
      <c r="F101" s="115">
        <f t="shared" si="2"/>
        <v>0</v>
      </c>
      <c r="G101" s="115">
        <f t="shared" si="3"/>
        <v>0.3076923077</v>
      </c>
      <c r="H101" s="116">
        <f t="shared" si="4"/>
        <v>0.2307692308</v>
      </c>
      <c r="I101" s="117" t="s">
        <v>594</v>
      </c>
      <c r="J101" s="117" t="s">
        <v>594</v>
      </c>
      <c r="K101" s="117" t="s">
        <v>594</v>
      </c>
      <c r="L101" s="117" t="s">
        <v>594</v>
      </c>
      <c r="M101" s="117" t="s">
        <v>594</v>
      </c>
      <c r="N101" s="117" t="s">
        <v>594</v>
      </c>
      <c r="O101" s="149" t="s">
        <v>1256</v>
      </c>
      <c r="P101" s="120" t="s">
        <v>53</v>
      </c>
      <c r="Q101" s="121" t="s">
        <v>53</v>
      </c>
      <c r="R101" s="121" t="s">
        <v>561</v>
      </c>
      <c r="S101" s="119" t="s">
        <v>53</v>
      </c>
      <c r="T101" s="119" t="s">
        <v>53</v>
      </c>
      <c r="U101" s="119" t="s">
        <v>53</v>
      </c>
      <c r="V101" s="119" t="s">
        <v>53</v>
      </c>
      <c r="W101" s="119" t="s">
        <v>53</v>
      </c>
      <c r="X101" s="149" t="s">
        <v>561</v>
      </c>
      <c r="Y101" s="149" t="s">
        <v>561</v>
      </c>
      <c r="Z101" s="149" t="s">
        <v>561</v>
      </c>
      <c r="AA101" s="149" t="s">
        <v>561</v>
      </c>
      <c r="AB101" s="149" t="s">
        <v>561</v>
      </c>
      <c r="AC101" s="125" t="s">
        <v>561</v>
      </c>
      <c r="AD101" s="149" t="s">
        <v>561</v>
      </c>
      <c r="AE101" s="128" t="s">
        <v>561</v>
      </c>
      <c r="AF101" s="125" t="s">
        <v>561</v>
      </c>
      <c r="AG101" s="121" t="s">
        <v>53</v>
      </c>
      <c r="AH101" s="128" t="s">
        <v>561</v>
      </c>
      <c r="AI101" s="125" t="s">
        <v>53</v>
      </c>
      <c r="AJ101" s="128" t="s">
        <v>561</v>
      </c>
      <c r="AK101" s="125" t="s">
        <v>561</v>
      </c>
      <c r="AL101" s="128" t="s">
        <v>561</v>
      </c>
      <c r="AM101" s="128" t="s">
        <v>561</v>
      </c>
      <c r="AN101" s="128" t="s">
        <v>561</v>
      </c>
      <c r="AO101" s="128" t="s">
        <v>53</v>
      </c>
      <c r="AP101" s="121" t="s">
        <v>561</v>
      </c>
      <c r="AQ101" s="128" t="s">
        <v>53</v>
      </c>
      <c r="AR101" s="128" t="s">
        <v>561</v>
      </c>
      <c r="AS101" s="117" t="s">
        <v>561</v>
      </c>
      <c r="AT101" s="117" t="s">
        <v>53</v>
      </c>
      <c r="AU101" s="117" t="s">
        <v>561</v>
      </c>
      <c r="AV101" s="117" t="s">
        <v>561</v>
      </c>
      <c r="AW101" s="117" t="s">
        <v>561</v>
      </c>
      <c r="AX101" s="117" t="s">
        <v>561</v>
      </c>
      <c r="AY101" s="117" t="s">
        <v>561</v>
      </c>
      <c r="AZ101" s="117" t="s">
        <v>561</v>
      </c>
      <c r="BA101" s="117" t="s">
        <v>561</v>
      </c>
      <c r="BB101" s="117" t="s">
        <v>561</v>
      </c>
      <c r="BC101" s="117" t="s">
        <v>600</v>
      </c>
      <c r="BD101" s="164" t="s">
        <v>1832</v>
      </c>
      <c r="BE101" s="129" t="s">
        <v>821</v>
      </c>
      <c r="BF101" s="130"/>
      <c r="BG101" s="130">
        <f t="shared" si="8"/>
        <v>52091</v>
      </c>
      <c r="BH101" s="131">
        <v>52091.0</v>
      </c>
      <c r="BI101" s="131"/>
      <c r="BJ101" s="132"/>
      <c r="BK101" s="132"/>
      <c r="BL101" s="133"/>
      <c r="BM101" s="133" t="s">
        <v>561</v>
      </c>
      <c r="BN101" s="133"/>
      <c r="BO101" s="133" t="s">
        <v>561</v>
      </c>
      <c r="BP101" s="133" t="s">
        <v>1311</v>
      </c>
      <c r="BQ101" s="134"/>
      <c r="BR101" s="150" t="s">
        <v>1569</v>
      </c>
      <c r="BS101" s="181" t="s">
        <v>122</v>
      </c>
      <c r="BT101" s="134"/>
      <c r="BU101" s="137">
        <f t="shared" si="6"/>
        <v>0.185</v>
      </c>
      <c r="BV101" s="138">
        <v>0.579</v>
      </c>
      <c r="BW101" s="137">
        <v>0.39399999999999996</v>
      </c>
      <c r="BX101" s="137"/>
      <c r="BY101" s="137">
        <f t="shared" si="7"/>
        <v>0.168</v>
      </c>
      <c r="BZ101" s="138">
        <v>0.5479999999999999</v>
      </c>
      <c r="CA101" s="137">
        <v>0.38</v>
      </c>
      <c r="CB101" s="137"/>
      <c r="CC101" s="138">
        <v>0.511</v>
      </c>
      <c r="CD101" s="137">
        <v>0.203</v>
      </c>
      <c r="CE101" s="137">
        <v>0.111</v>
      </c>
      <c r="CF101" s="137">
        <v>0.147</v>
      </c>
      <c r="CG101" s="137">
        <v>0.038</v>
      </c>
      <c r="CH101" s="137">
        <v>0.015</v>
      </c>
      <c r="CI101" s="139"/>
      <c r="CJ101" s="138">
        <v>0.5750000000000001</v>
      </c>
      <c r="CK101" s="137">
        <v>0.17</v>
      </c>
      <c r="CL101" s="137">
        <v>0.113</v>
      </c>
      <c r="CM101" s="137">
        <v>0.115</v>
      </c>
      <c r="CN101" s="137">
        <v>0.015</v>
      </c>
      <c r="CO101" s="137">
        <v>0.006</v>
      </c>
      <c r="CP101" s="137"/>
      <c r="CQ101" s="137">
        <v>0.28800000000000003</v>
      </c>
      <c r="CR101" s="137">
        <v>0.307</v>
      </c>
      <c r="CS101" s="137">
        <v>0.39899999999999997</v>
      </c>
    </row>
    <row r="102">
      <c r="A102" s="112">
        <f t="shared" si="1"/>
        <v>99</v>
      </c>
      <c r="B102" s="112" t="s">
        <v>168</v>
      </c>
      <c r="C102" s="112" t="s">
        <v>169</v>
      </c>
      <c r="D102" s="113" t="s">
        <v>164</v>
      </c>
      <c r="E102" s="186"/>
      <c r="F102" s="115">
        <f t="shared" si="2"/>
        <v>0</v>
      </c>
      <c r="G102" s="115">
        <f t="shared" si="3"/>
        <v>0.3076923077</v>
      </c>
      <c r="H102" s="116">
        <f t="shared" si="4"/>
        <v>0.2307692308</v>
      </c>
      <c r="I102" s="117" t="s">
        <v>594</v>
      </c>
      <c r="J102" s="117" t="s">
        <v>594</v>
      </c>
      <c r="K102" s="117" t="s">
        <v>594</v>
      </c>
      <c r="L102" s="117" t="s">
        <v>594</v>
      </c>
      <c r="M102" s="117" t="s">
        <v>594</v>
      </c>
      <c r="N102" s="117" t="s">
        <v>594</v>
      </c>
      <c r="O102" s="149" t="s">
        <v>1256</v>
      </c>
      <c r="P102" s="185" t="s">
        <v>561</v>
      </c>
      <c r="Q102" s="121" t="s">
        <v>53</v>
      </c>
      <c r="R102" s="121" t="s">
        <v>561</v>
      </c>
      <c r="S102" s="119" t="s">
        <v>53</v>
      </c>
      <c r="T102" s="119" t="s">
        <v>53</v>
      </c>
      <c r="U102" s="119" t="s">
        <v>53</v>
      </c>
      <c r="V102" s="119" t="s">
        <v>53</v>
      </c>
      <c r="W102" s="119" t="s">
        <v>53</v>
      </c>
      <c r="X102" s="149" t="s">
        <v>561</v>
      </c>
      <c r="Y102" s="149" t="s">
        <v>561</v>
      </c>
      <c r="Z102" s="149" t="s">
        <v>561</v>
      </c>
      <c r="AA102" s="149" t="s">
        <v>561</v>
      </c>
      <c r="AB102" s="149" t="s">
        <v>561</v>
      </c>
      <c r="AC102" s="125" t="s">
        <v>561</v>
      </c>
      <c r="AD102" s="123" t="s">
        <v>801</v>
      </c>
      <c r="AE102" s="128" t="s">
        <v>561</v>
      </c>
      <c r="AF102" s="125" t="s">
        <v>561</v>
      </c>
      <c r="AG102" s="121" t="s">
        <v>53</v>
      </c>
      <c r="AH102" s="128" t="s">
        <v>561</v>
      </c>
      <c r="AI102" s="125" t="s">
        <v>53</v>
      </c>
      <c r="AJ102" s="128" t="s">
        <v>561</v>
      </c>
      <c r="AK102" s="125" t="s">
        <v>561</v>
      </c>
      <c r="AL102" s="128" t="s">
        <v>561</v>
      </c>
      <c r="AM102" s="128" t="s">
        <v>561</v>
      </c>
      <c r="AN102" s="128" t="s">
        <v>561</v>
      </c>
      <c r="AO102" s="128" t="s">
        <v>53</v>
      </c>
      <c r="AP102" s="121" t="s">
        <v>561</v>
      </c>
      <c r="AQ102" s="128" t="s">
        <v>53</v>
      </c>
      <c r="AR102" s="128" t="s">
        <v>561</v>
      </c>
      <c r="AS102" s="117" t="s">
        <v>561</v>
      </c>
      <c r="AT102" s="117" t="s">
        <v>53</v>
      </c>
      <c r="AU102" s="117" t="s">
        <v>561</v>
      </c>
      <c r="AV102" s="117" t="s">
        <v>561</v>
      </c>
      <c r="AW102" s="117" t="s">
        <v>561</v>
      </c>
      <c r="AX102" s="117" t="s">
        <v>561</v>
      </c>
      <c r="AY102" s="117" t="s">
        <v>561</v>
      </c>
      <c r="AZ102" s="117" t="s">
        <v>561</v>
      </c>
      <c r="BA102" s="117" t="s">
        <v>561</v>
      </c>
      <c r="BB102" s="117" t="s">
        <v>53</v>
      </c>
      <c r="BC102" s="117" t="s">
        <v>561</v>
      </c>
      <c r="BD102" s="129" t="s">
        <v>821</v>
      </c>
      <c r="BE102" s="129" t="s">
        <v>821</v>
      </c>
      <c r="BF102" s="130"/>
      <c r="BG102" s="130">
        <f t="shared" si="8"/>
        <v>0</v>
      </c>
      <c r="BH102" s="131"/>
      <c r="BI102" s="131"/>
      <c r="BJ102" s="132"/>
      <c r="BK102" s="132"/>
      <c r="BL102" s="133"/>
      <c r="BM102" s="133" t="s">
        <v>561</v>
      </c>
      <c r="BN102" s="133"/>
      <c r="BO102" s="133"/>
      <c r="BP102" s="133" t="s">
        <v>1457</v>
      </c>
      <c r="BQ102" s="134"/>
      <c r="BR102" s="134"/>
      <c r="BS102" s="134"/>
      <c r="BT102" s="134"/>
      <c r="BU102" s="137">
        <f t="shared" si="6"/>
        <v>0.53</v>
      </c>
      <c r="BV102" s="138">
        <v>0.754</v>
      </c>
      <c r="BW102" s="137">
        <v>0.22399999999999998</v>
      </c>
      <c r="BX102" s="137"/>
      <c r="BY102" s="137">
        <f t="shared" si="7"/>
        <v>0.548</v>
      </c>
      <c r="BZ102" s="138">
        <v>0.7440000000000001</v>
      </c>
      <c r="CA102" s="137">
        <v>0.196</v>
      </c>
      <c r="CB102" s="137"/>
      <c r="CC102" s="138">
        <v>0.46299999999999997</v>
      </c>
      <c r="CD102" s="137">
        <v>0.174</v>
      </c>
      <c r="CE102" s="137">
        <v>0.027999999999999997</v>
      </c>
      <c r="CF102" s="137">
        <v>0.321</v>
      </c>
      <c r="CG102" s="137">
        <v>0.02</v>
      </c>
      <c r="CH102" s="137">
        <v>0.006999999999999999</v>
      </c>
      <c r="CI102" s="139"/>
      <c r="CJ102" s="138">
        <v>0.555</v>
      </c>
      <c r="CK102" s="137">
        <v>0.139</v>
      </c>
      <c r="CL102" s="137">
        <v>0.027999999999999997</v>
      </c>
      <c r="CM102" s="137">
        <v>0.262</v>
      </c>
      <c r="CN102" s="137">
        <v>0.006999999999999999</v>
      </c>
      <c r="CO102" s="137">
        <v>0.004</v>
      </c>
      <c r="CP102" s="137"/>
      <c r="CQ102" s="138">
        <v>0.601</v>
      </c>
      <c r="CR102" s="138">
        <v>0.6809999999999999</v>
      </c>
      <c r="CS102" s="137">
        <v>0.177</v>
      </c>
    </row>
    <row r="103">
      <c r="A103" s="112">
        <f t="shared" si="1"/>
        <v>101</v>
      </c>
      <c r="B103" s="112" t="s">
        <v>718</v>
      </c>
      <c r="C103" s="112" t="s">
        <v>719</v>
      </c>
      <c r="D103" s="113" t="s">
        <v>715</v>
      </c>
      <c r="E103" s="154" t="s">
        <v>2599</v>
      </c>
      <c r="F103" s="115">
        <f t="shared" si="2"/>
        <v>0.1428571429</v>
      </c>
      <c r="G103" s="115">
        <f t="shared" si="3"/>
        <v>0.2571428571</v>
      </c>
      <c r="H103" s="116">
        <f t="shared" si="4"/>
        <v>0.2285714286</v>
      </c>
      <c r="I103" s="117" t="s">
        <v>594</v>
      </c>
      <c r="J103" s="117" t="s">
        <v>594</v>
      </c>
      <c r="K103" s="117" t="s">
        <v>487</v>
      </c>
      <c r="L103" s="117" t="s">
        <v>594</v>
      </c>
      <c r="M103" s="117" t="s">
        <v>594</v>
      </c>
      <c r="N103" s="117" t="s">
        <v>594</v>
      </c>
      <c r="O103" s="149" t="s">
        <v>1256</v>
      </c>
      <c r="P103" s="185" t="s">
        <v>561</v>
      </c>
      <c r="Q103" s="121" t="s">
        <v>53</v>
      </c>
      <c r="R103" s="121" t="s">
        <v>561</v>
      </c>
      <c r="S103" s="121" t="s">
        <v>801</v>
      </c>
      <c r="T103" s="119" t="s">
        <v>53</v>
      </c>
      <c r="U103" s="119" t="s">
        <v>53</v>
      </c>
      <c r="V103" s="119" t="s">
        <v>53</v>
      </c>
      <c r="W103" s="119" t="s">
        <v>53</v>
      </c>
      <c r="X103" s="149" t="s">
        <v>561</v>
      </c>
      <c r="Y103" s="149" t="s">
        <v>561</v>
      </c>
      <c r="Z103" s="149" t="s">
        <v>561</v>
      </c>
      <c r="AA103" s="149" t="s">
        <v>561</v>
      </c>
      <c r="AB103" s="149" t="s">
        <v>561</v>
      </c>
      <c r="AC103" s="125" t="s">
        <v>561</v>
      </c>
      <c r="AD103" s="149" t="s">
        <v>561</v>
      </c>
      <c r="AE103" s="128" t="s">
        <v>561</v>
      </c>
      <c r="AF103" s="125" t="s">
        <v>561</v>
      </c>
      <c r="AG103" s="121" t="s">
        <v>53</v>
      </c>
      <c r="AH103" s="128" t="s">
        <v>561</v>
      </c>
      <c r="AI103" s="125" t="s">
        <v>53</v>
      </c>
      <c r="AJ103" s="128" t="s">
        <v>561</v>
      </c>
      <c r="AK103" s="125" t="s">
        <v>561</v>
      </c>
      <c r="AL103" s="128" t="s">
        <v>561</v>
      </c>
      <c r="AM103" s="128" t="s">
        <v>561</v>
      </c>
      <c r="AN103" s="128" t="s">
        <v>561</v>
      </c>
      <c r="AO103" s="128" t="s">
        <v>53</v>
      </c>
      <c r="AP103" s="121" t="s">
        <v>561</v>
      </c>
      <c r="AQ103" s="128" t="s">
        <v>53</v>
      </c>
      <c r="AR103" s="128" t="s">
        <v>561</v>
      </c>
      <c r="AS103" s="117" t="s">
        <v>561</v>
      </c>
      <c r="AT103" s="117" t="s">
        <v>561</v>
      </c>
      <c r="AU103" s="117" t="s">
        <v>561</v>
      </c>
      <c r="AV103" s="117" t="s">
        <v>561</v>
      </c>
      <c r="AW103" s="117" t="s">
        <v>561</v>
      </c>
      <c r="AX103" s="117" t="s">
        <v>561</v>
      </c>
      <c r="AY103" s="117" t="s">
        <v>561</v>
      </c>
      <c r="AZ103" s="117" t="s">
        <v>600</v>
      </c>
      <c r="BA103" s="117" t="s">
        <v>600</v>
      </c>
      <c r="BB103" s="117" t="s">
        <v>600</v>
      </c>
      <c r="BC103" s="117" t="s">
        <v>600</v>
      </c>
      <c r="BD103" s="129" t="s">
        <v>821</v>
      </c>
      <c r="BE103" s="129" t="s">
        <v>821</v>
      </c>
      <c r="BF103" s="130"/>
      <c r="BG103" s="130">
        <f t="shared" si="8"/>
        <v>44042</v>
      </c>
      <c r="BH103" s="131">
        <v>39042.0</v>
      </c>
      <c r="BI103" s="131"/>
      <c r="BJ103" s="132">
        <f>5000</f>
        <v>5000</v>
      </c>
      <c r="BK103" s="132"/>
      <c r="BL103" s="133"/>
      <c r="BM103" s="133"/>
      <c r="BN103" s="133"/>
      <c r="BO103" s="133" t="s">
        <v>561</v>
      </c>
      <c r="BP103" s="133" t="s">
        <v>2600</v>
      </c>
      <c r="BQ103" s="134"/>
      <c r="BR103" s="135" t="s">
        <v>850</v>
      </c>
      <c r="BS103" s="181" t="s">
        <v>122</v>
      </c>
      <c r="BT103" s="134"/>
      <c r="BU103" s="137">
        <f t="shared" si="6"/>
        <v>0.635</v>
      </c>
      <c r="BV103" s="138">
        <v>0.81</v>
      </c>
      <c r="BW103" s="137">
        <v>0.175</v>
      </c>
      <c r="BX103" s="137"/>
      <c r="BY103" s="137">
        <f t="shared" si="7"/>
        <v>0.601</v>
      </c>
      <c r="BZ103" s="138">
        <v>0.777</v>
      </c>
      <c r="CA103" s="137">
        <v>0.17600000000000002</v>
      </c>
      <c r="CB103" s="137"/>
      <c r="CC103" s="137">
        <v>0.325</v>
      </c>
      <c r="CD103" s="137">
        <v>0.07200000000000001</v>
      </c>
      <c r="CE103" s="138">
        <v>0.547</v>
      </c>
      <c r="CF103" s="137">
        <v>0.048</v>
      </c>
      <c r="CG103" s="137">
        <v>0.018000000000000002</v>
      </c>
      <c r="CH103" s="137">
        <v>0.001</v>
      </c>
      <c r="CI103" s="139"/>
      <c r="CJ103" s="137">
        <v>0.35600000000000004</v>
      </c>
      <c r="CK103" s="137">
        <v>0.03</v>
      </c>
      <c r="CL103" s="138">
        <v>0.583</v>
      </c>
      <c r="CM103" s="137">
        <v>0.022000000000000002</v>
      </c>
      <c r="CN103" s="137">
        <v>0.008</v>
      </c>
      <c r="CO103" s="137">
        <v>0.0</v>
      </c>
      <c r="CP103" s="137"/>
      <c r="CQ103" s="137">
        <v>0.38299999999999995</v>
      </c>
      <c r="CR103" s="138">
        <v>0.547</v>
      </c>
      <c r="CS103" s="137">
        <v>0.161</v>
      </c>
    </row>
    <row r="104">
      <c r="A104" s="112">
        <f t="shared" si="1"/>
        <v>102</v>
      </c>
      <c r="B104" s="112" t="s">
        <v>643</v>
      </c>
      <c r="C104" s="112" t="s">
        <v>1196</v>
      </c>
      <c r="D104" s="113" t="s">
        <v>1194</v>
      </c>
      <c r="E104" s="186"/>
      <c r="F104" s="115">
        <f t="shared" si="2"/>
        <v>0</v>
      </c>
      <c r="G104" s="115">
        <f t="shared" si="3"/>
        <v>0.303030303</v>
      </c>
      <c r="H104" s="116">
        <f t="shared" si="4"/>
        <v>0.2272727273</v>
      </c>
      <c r="I104" s="117" t="s">
        <v>594</v>
      </c>
      <c r="J104" s="117" t="s">
        <v>594</v>
      </c>
      <c r="K104" s="117" t="s">
        <v>594</v>
      </c>
      <c r="L104" s="117" t="s">
        <v>594</v>
      </c>
      <c r="M104" s="117" t="s">
        <v>594</v>
      </c>
      <c r="N104" s="117" t="s">
        <v>594</v>
      </c>
      <c r="O104" s="149" t="s">
        <v>1256</v>
      </c>
      <c r="P104" s="120" t="s">
        <v>53</v>
      </c>
      <c r="Q104" s="121" t="s">
        <v>53</v>
      </c>
      <c r="R104" s="121" t="s">
        <v>561</v>
      </c>
      <c r="S104" s="119" t="s">
        <v>53</v>
      </c>
      <c r="T104" s="119" t="s">
        <v>53</v>
      </c>
      <c r="U104" s="119" t="s">
        <v>53</v>
      </c>
      <c r="V104" s="119" t="s">
        <v>53</v>
      </c>
      <c r="W104" s="119" t="s">
        <v>53</v>
      </c>
      <c r="X104" s="149" t="s">
        <v>561</v>
      </c>
      <c r="Y104" s="149" t="s">
        <v>561</v>
      </c>
      <c r="Z104" s="149" t="s">
        <v>561</v>
      </c>
      <c r="AA104" s="149" t="s">
        <v>561</v>
      </c>
      <c r="AB104" s="149" t="s">
        <v>561</v>
      </c>
      <c r="AC104" s="125" t="s">
        <v>561</v>
      </c>
      <c r="AD104" s="149" t="s">
        <v>561</v>
      </c>
      <c r="AE104" s="128" t="s">
        <v>561</v>
      </c>
      <c r="AF104" s="125" t="s">
        <v>561</v>
      </c>
      <c r="AG104" s="121" t="s">
        <v>53</v>
      </c>
      <c r="AH104" s="128" t="s">
        <v>561</v>
      </c>
      <c r="AI104" s="128" t="s">
        <v>561</v>
      </c>
      <c r="AJ104" s="128" t="s">
        <v>561</v>
      </c>
      <c r="AK104" s="125" t="s">
        <v>561</v>
      </c>
      <c r="AL104" s="128" t="s">
        <v>561</v>
      </c>
      <c r="AM104" s="128" t="s">
        <v>561</v>
      </c>
      <c r="AN104" s="128" t="s">
        <v>561</v>
      </c>
      <c r="AO104" s="128" t="s">
        <v>53</v>
      </c>
      <c r="AP104" s="121" t="s">
        <v>561</v>
      </c>
      <c r="AQ104" s="128" t="s">
        <v>53</v>
      </c>
      <c r="AR104" s="128" t="s">
        <v>561</v>
      </c>
      <c r="AS104" s="117" t="s">
        <v>561</v>
      </c>
      <c r="AT104" s="117" t="s">
        <v>561</v>
      </c>
      <c r="AU104" s="117" t="s">
        <v>801</v>
      </c>
      <c r="AV104" s="117" t="s">
        <v>561</v>
      </c>
      <c r="AW104" s="117" t="s">
        <v>561</v>
      </c>
      <c r="AX104" s="117" t="s">
        <v>600</v>
      </c>
      <c r="AY104" s="117" t="s">
        <v>600</v>
      </c>
      <c r="AZ104" s="117" t="s">
        <v>600</v>
      </c>
      <c r="BA104" s="117" t="s">
        <v>600</v>
      </c>
      <c r="BB104" s="117" t="s">
        <v>600</v>
      </c>
      <c r="BC104" s="117" t="s">
        <v>600</v>
      </c>
      <c r="BD104" s="164" t="s">
        <v>1832</v>
      </c>
      <c r="BE104" s="129" t="s">
        <v>821</v>
      </c>
      <c r="BF104" s="130"/>
      <c r="BG104" s="130">
        <f t="shared" si="8"/>
        <v>0</v>
      </c>
      <c r="BH104" s="131"/>
      <c r="BI104" s="131"/>
      <c r="BJ104" s="132"/>
      <c r="BK104" s="132"/>
      <c r="BL104" s="133"/>
      <c r="BM104" s="133" t="s">
        <v>561</v>
      </c>
      <c r="BN104" s="133"/>
      <c r="BO104" s="133"/>
      <c r="BP104" s="133" t="s">
        <v>976</v>
      </c>
      <c r="BQ104" s="134"/>
      <c r="BR104" s="135" t="s">
        <v>850</v>
      </c>
      <c r="BS104" s="134"/>
      <c r="BT104" s="134"/>
      <c r="BU104" s="137">
        <f t="shared" si="6"/>
        <v>0.058</v>
      </c>
      <c r="BV104" s="138">
        <v>0.523</v>
      </c>
      <c r="BW104" s="137">
        <v>0.465</v>
      </c>
      <c r="BX104" s="137"/>
      <c r="BY104" s="137">
        <f t="shared" si="7"/>
        <v>0.011</v>
      </c>
      <c r="BZ104" s="138">
        <v>0.48700000000000004</v>
      </c>
      <c r="CA104" s="137">
        <v>0.47600000000000003</v>
      </c>
      <c r="CB104" s="137"/>
      <c r="CC104" s="138">
        <v>0.8420000000000001</v>
      </c>
      <c r="CD104" s="137">
        <v>0.02</v>
      </c>
      <c r="CE104" s="137">
        <v>0.083</v>
      </c>
      <c r="CF104" s="137">
        <v>0.036000000000000004</v>
      </c>
      <c r="CG104" s="137">
        <v>0.012</v>
      </c>
      <c r="CH104" s="137">
        <v>0.001</v>
      </c>
      <c r="CI104" s="139"/>
      <c r="CJ104" s="138">
        <v>0.89</v>
      </c>
      <c r="CK104" s="137">
        <v>0.013000000000000001</v>
      </c>
      <c r="CL104" s="137">
        <v>0.077</v>
      </c>
      <c r="CM104" s="137">
        <v>0.016</v>
      </c>
      <c r="CN104" s="137">
        <v>0.004</v>
      </c>
      <c r="CO104" s="137">
        <v>0.0</v>
      </c>
      <c r="CP104" s="137"/>
      <c r="CQ104" s="137">
        <v>0.42100000000000004</v>
      </c>
      <c r="CR104" s="137">
        <v>0.423</v>
      </c>
      <c r="CS104" s="138">
        <v>0.513</v>
      </c>
    </row>
    <row r="105">
      <c r="A105" s="112">
        <f t="shared" si="1"/>
        <v>103</v>
      </c>
      <c r="B105" s="112" t="s">
        <v>1111</v>
      </c>
      <c r="C105" s="112" t="s">
        <v>1112</v>
      </c>
      <c r="D105" s="113" t="s">
        <v>1109</v>
      </c>
      <c r="E105" s="213" t="s">
        <v>2601</v>
      </c>
      <c r="F105" s="115">
        <f t="shared" si="2"/>
        <v>0</v>
      </c>
      <c r="G105" s="115">
        <f t="shared" si="3"/>
        <v>0.3026315789</v>
      </c>
      <c r="H105" s="116">
        <f t="shared" si="4"/>
        <v>0.2269736842</v>
      </c>
      <c r="I105" s="117" t="s">
        <v>594</v>
      </c>
      <c r="J105" s="117" t="s">
        <v>594</v>
      </c>
      <c r="K105" s="117" t="s">
        <v>594</v>
      </c>
      <c r="L105" s="117" t="s">
        <v>594</v>
      </c>
      <c r="M105" s="117" t="s">
        <v>594</v>
      </c>
      <c r="N105" s="117" t="s">
        <v>594</v>
      </c>
      <c r="O105" s="149" t="s">
        <v>1256</v>
      </c>
      <c r="P105" s="120" t="s">
        <v>53</v>
      </c>
      <c r="Q105" s="121" t="s">
        <v>53</v>
      </c>
      <c r="R105" s="121" t="s">
        <v>561</v>
      </c>
      <c r="S105" s="119" t="s">
        <v>53</v>
      </c>
      <c r="T105" s="119" t="s">
        <v>53</v>
      </c>
      <c r="U105" s="119" t="s">
        <v>53</v>
      </c>
      <c r="V105" s="119" t="s">
        <v>53</v>
      </c>
      <c r="W105" s="119" t="s">
        <v>53</v>
      </c>
      <c r="X105" s="149" t="s">
        <v>561</v>
      </c>
      <c r="Y105" s="149" t="s">
        <v>561</v>
      </c>
      <c r="Z105" s="149" t="s">
        <v>561</v>
      </c>
      <c r="AA105" s="149" t="s">
        <v>561</v>
      </c>
      <c r="AB105" s="149" t="s">
        <v>561</v>
      </c>
      <c r="AC105" s="125" t="s">
        <v>561</v>
      </c>
      <c r="AD105" s="149" t="s">
        <v>561</v>
      </c>
      <c r="AE105" s="128" t="s">
        <v>561</v>
      </c>
      <c r="AF105" s="125" t="s">
        <v>561</v>
      </c>
      <c r="AG105" s="121" t="s">
        <v>53</v>
      </c>
      <c r="AH105" s="128" t="s">
        <v>561</v>
      </c>
      <c r="AI105" s="125" t="s">
        <v>53</v>
      </c>
      <c r="AJ105" s="128" t="s">
        <v>561</v>
      </c>
      <c r="AK105" s="125" t="s">
        <v>799</v>
      </c>
      <c r="AL105" s="128" t="s">
        <v>561</v>
      </c>
      <c r="AM105" s="128" t="s">
        <v>561</v>
      </c>
      <c r="AN105" s="128" t="s">
        <v>801</v>
      </c>
      <c r="AO105" s="128" t="s">
        <v>53</v>
      </c>
      <c r="AP105" s="121" t="s">
        <v>561</v>
      </c>
      <c r="AQ105" s="128" t="s">
        <v>53</v>
      </c>
      <c r="AR105" s="128" t="s">
        <v>561</v>
      </c>
      <c r="AS105" s="117" t="s">
        <v>561</v>
      </c>
      <c r="AT105" s="117" t="s">
        <v>561</v>
      </c>
      <c r="AU105" s="117" t="s">
        <v>561</v>
      </c>
      <c r="AV105" s="117" t="s">
        <v>561</v>
      </c>
      <c r="AW105" s="117" t="s">
        <v>561</v>
      </c>
      <c r="AX105" s="117" t="s">
        <v>561</v>
      </c>
      <c r="AY105" s="117" t="s">
        <v>561</v>
      </c>
      <c r="AZ105" s="117" t="s">
        <v>561</v>
      </c>
      <c r="BA105" s="117" t="s">
        <v>561</v>
      </c>
      <c r="BB105" s="117" t="s">
        <v>561</v>
      </c>
      <c r="BC105" s="117" t="s">
        <v>600</v>
      </c>
      <c r="BD105" s="129" t="s">
        <v>821</v>
      </c>
      <c r="BE105" s="129" t="s">
        <v>821</v>
      </c>
      <c r="BF105" s="130"/>
      <c r="BG105" s="130">
        <f t="shared" si="8"/>
        <v>46371</v>
      </c>
      <c r="BH105" s="131">
        <v>42371.0</v>
      </c>
      <c r="BI105" s="131"/>
      <c r="BJ105" s="132">
        <f>2000+2000</f>
        <v>4000</v>
      </c>
      <c r="BK105" s="132"/>
      <c r="BL105" s="133"/>
      <c r="BM105" s="133"/>
      <c r="BN105" s="133" t="s">
        <v>561</v>
      </c>
      <c r="BO105" s="133" t="s">
        <v>561</v>
      </c>
      <c r="BP105" s="133" t="s">
        <v>1311</v>
      </c>
      <c r="BQ105" s="134"/>
      <c r="BR105" s="134"/>
      <c r="BS105" s="181" t="s">
        <v>2030</v>
      </c>
      <c r="BT105" s="134"/>
      <c r="BU105" s="137">
        <f t="shared" si="6"/>
        <v>0.437</v>
      </c>
      <c r="BV105" s="138">
        <v>0.711</v>
      </c>
      <c r="BW105" s="137">
        <v>0.27399999999999997</v>
      </c>
      <c r="BX105" s="137"/>
      <c r="BY105" s="137">
        <f t="shared" si="7"/>
        <v>0.384</v>
      </c>
      <c r="BZ105" s="138">
        <v>0.669</v>
      </c>
      <c r="CA105" s="137">
        <v>0.285</v>
      </c>
      <c r="CB105" s="137"/>
      <c r="CC105" s="138">
        <v>0.595</v>
      </c>
      <c r="CD105" s="137">
        <v>0.053</v>
      </c>
      <c r="CE105" s="137">
        <v>0.272</v>
      </c>
      <c r="CF105" s="137">
        <v>0.065</v>
      </c>
      <c r="CG105" s="137">
        <v>0.017</v>
      </c>
      <c r="CH105" s="137">
        <v>0.001</v>
      </c>
      <c r="CI105" s="139"/>
      <c r="CJ105" s="138">
        <v>0.648</v>
      </c>
      <c r="CK105" s="137">
        <v>0.031000000000000003</v>
      </c>
      <c r="CL105" s="137">
        <v>0.273</v>
      </c>
      <c r="CM105" s="137">
        <v>0.037000000000000005</v>
      </c>
      <c r="CN105" s="137">
        <v>0.008</v>
      </c>
      <c r="CO105" s="137">
        <v>0.0</v>
      </c>
      <c r="CP105" s="137"/>
      <c r="CQ105" s="137">
        <v>0.43200000000000005</v>
      </c>
      <c r="CR105" s="138">
        <v>0.526</v>
      </c>
      <c r="CS105" s="137">
        <v>0.307</v>
      </c>
    </row>
    <row r="106">
      <c r="A106" s="112">
        <f t="shared" si="1"/>
        <v>104</v>
      </c>
      <c r="B106" s="112" t="s">
        <v>120</v>
      </c>
      <c r="C106" s="112" t="s">
        <v>409</v>
      </c>
      <c r="D106" s="113" t="s">
        <v>405</v>
      </c>
      <c r="E106" s="186"/>
      <c r="F106" s="115">
        <f t="shared" si="2"/>
        <v>0</v>
      </c>
      <c r="G106" s="115">
        <f t="shared" si="3"/>
        <v>0.3</v>
      </c>
      <c r="H106" s="116">
        <f t="shared" si="4"/>
        <v>0.225</v>
      </c>
      <c r="I106" s="117" t="s">
        <v>594</v>
      </c>
      <c r="J106" s="117" t="s">
        <v>594</v>
      </c>
      <c r="K106" s="117" t="s">
        <v>594</v>
      </c>
      <c r="L106" s="117" t="s">
        <v>594</v>
      </c>
      <c r="M106" s="117" t="s">
        <v>594</v>
      </c>
      <c r="N106" s="117" t="s">
        <v>594</v>
      </c>
      <c r="O106" s="149" t="s">
        <v>1256</v>
      </c>
      <c r="P106" s="120" t="s">
        <v>53</v>
      </c>
      <c r="Q106" s="121" t="s">
        <v>53</v>
      </c>
      <c r="R106" s="121" t="s">
        <v>561</v>
      </c>
      <c r="S106" s="119" t="s">
        <v>53</v>
      </c>
      <c r="T106" s="119" t="s">
        <v>53</v>
      </c>
      <c r="U106" s="119" t="s">
        <v>53</v>
      </c>
      <c r="V106" s="119" t="s">
        <v>53</v>
      </c>
      <c r="W106" s="119" t="s">
        <v>53</v>
      </c>
      <c r="X106" s="149" t="s">
        <v>561</v>
      </c>
      <c r="Y106" s="149" t="s">
        <v>561</v>
      </c>
      <c r="Z106" s="149" t="s">
        <v>561</v>
      </c>
      <c r="AA106" s="149" t="s">
        <v>561</v>
      </c>
      <c r="AB106" s="149" t="s">
        <v>561</v>
      </c>
      <c r="AC106" s="125" t="s">
        <v>561</v>
      </c>
      <c r="AD106" s="149" t="s">
        <v>561</v>
      </c>
      <c r="AE106" s="128" t="s">
        <v>561</v>
      </c>
      <c r="AF106" s="125" t="s">
        <v>561</v>
      </c>
      <c r="AG106" s="121" t="s">
        <v>53</v>
      </c>
      <c r="AH106" s="128" t="s">
        <v>561</v>
      </c>
      <c r="AI106" s="125" t="s">
        <v>53</v>
      </c>
      <c r="AJ106" s="128" t="s">
        <v>561</v>
      </c>
      <c r="AK106" s="125" t="s">
        <v>561</v>
      </c>
      <c r="AL106" s="128" t="s">
        <v>561</v>
      </c>
      <c r="AM106" s="128" t="s">
        <v>561</v>
      </c>
      <c r="AN106" s="128" t="s">
        <v>561</v>
      </c>
      <c r="AO106" s="128" t="s">
        <v>53</v>
      </c>
      <c r="AP106" s="121" t="s">
        <v>561</v>
      </c>
      <c r="AQ106" s="128" t="s">
        <v>53</v>
      </c>
      <c r="AR106" s="128" t="s">
        <v>561</v>
      </c>
      <c r="AS106" s="117" t="s">
        <v>561</v>
      </c>
      <c r="AT106" s="117" t="s">
        <v>561</v>
      </c>
      <c r="AU106" s="117" t="s">
        <v>561</v>
      </c>
      <c r="AV106" s="117" t="s">
        <v>561</v>
      </c>
      <c r="AW106" s="117" t="s">
        <v>561</v>
      </c>
      <c r="AX106" s="117" t="s">
        <v>561</v>
      </c>
      <c r="AY106" s="117" t="s">
        <v>561</v>
      </c>
      <c r="AZ106" s="117" t="s">
        <v>561</v>
      </c>
      <c r="BA106" s="117" t="s">
        <v>561</v>
      </c>
      <c r="BB106" s="117" t="s">
        <v>53</v>
      </c>
      <c r="BC106" s="117" t="s">
        <v>561</v>
      </c>
      <c r="BD106" s="129" t="s">
        <v>821</v>
      </c>
      <c r="BE106" s="129" t="s">
        <v>821</v>
      </c>
      <c r="BF106" s="130"/>
      <c r="BG106" s="130">
        <f t="shared" si="8"/>
        <v>12000</v>
      </c>
      <c r="BH106" s="131">
        <v>10000.0</v>
      </c>
      <c r="BI106" s="131"/>
      <c r="BJ106" s="132">
        <f>2000</f>
        <v>2000</v>
      </c>
      <c r="BK106" s="132"/>
      <c r="BL106" s="133"/>
      <c r="BM106" s="133"/>
      <c r="BN106" s="133" t="s">
        <v>561</v>
      </c>
      <c r="BO106" s="133" t="s">
        <v>561</v>
      </c>
      <c r="BP106" s="133" t="s">
        <v>2061</v>
      </c>
      <c r="BQ106" s="134"/>
      <c r="BR106" s="134"/>
      <c r="BS106" s="181" t="s">
        <v>2030</v>
      </c>
      <c r="BT106" s="134"/>
      <c r="BU106" s="137">
        <f t="shared" si="6"/>
        <v>0.281</v>
      </c>
      <c r="BV106" s="138">
        <v>0.633</v>
      </c>
      <c r="BW106" s="137">
        <v>0.35200000000000004</v>
      </c>
      <c r="BX106" s="137"/>
      <c r="BY106" s="137">
        <f t="shared" si="7"/>
        <v>0.232</v>
      </c>
      <c r="BZ106" s="138">
        <v>0.594</v>
      </c>
      <c r="CA106" s="137">
        <v>0.36200000000000004</v>
      </c>
      <c r="CB106" s="137"/>
      <c r="CC106" s="138">
        <v>0.609</v>
      </c>
      <c r="CD106" s="137">
        <v>0.155</v>
      </c>
      <c r="CE106" s="137">
        <v>0.16899999999999998</v>
      </c>
      <c r="CF106" s="137">
        <v>0.062</v>
      </c>
      <c r="CG106" s="137">
        <v>0.015</v>
      </c>
      <c r="CH106" s="137">
        <v>0.001</v>
      </c>
      <c r="CI106" s="139"/>
      <c r="CJ106" s="138">
        <v>0.667</v>
      </c>
      <c r="CK106" s="137">
        <v>0.146</v>
      </c>
      <c r="CL106" s="137">
        <v>0.14400000000000002</v>
      </c>
      <c r="CM106" s="137">
        <v>0.036000000000000004</v>
      </c>
      <c r="CN106" s="137">
        <v>0.006</v>
      </c>
      <c r="CO106" s="137">
        <v>0.0</v>
      </c>
      <c r="CP106" s="137"/>
      <c r="CQ106" s="137">
        <v>0.37200000000000005</v>
      </c>
      <c r="CR106" s="137">
        <v>0.423</v>
      </c>
      <c r="CS106" s="137">
        <v>0.385</v>
      </c>
    </row>
    <row r="107">
      <c r="A107" s="112">
        <f t="shared" si="1"/>
        <v>104</v>
      </c>
      <c r="B107" s="112" t="s">
        <v>95</v>
      </c>
      <c r="C107" s="112" t="s">
        <v>96</v>
      </c>
      <c r="D107" s="113" t="s">
        <v>91</v>
      </c>
      <c r="E107" s="163"/>
      <c r="F107" s="115">
        <f t="shared" si="2"/>
        <v>0</v>
      </c>
      <c r="G107" s="115">
        <f t="shared" si="3"/>
        <v>0.3</v>
      </c>
      <c r="H107" s="116">
        <f t="shared" si="4"/>
        <v>0.225</v>
      </c>
      <c r="I107" s="117" t="s">
        <v>594</v>
      </c>
      <c r="J107" s="117" t="s">
        <v>594</v>
      </c>
      <c r="K107" s="117" t="s">
        <v>594</v>
      </c>
      <c r="L107" s="117" t="s">
        <v>594</v>
      </c>
      <c r="M107" s="117" t="s">
        <v>594</v>
      </c>
      <c r="N107" s="117" t="s">
        <v>594</v>
      </c>
      <c r="O107" s="149" t="s">
        <v>1256</v>
      </c>
      <c r="P107" s="185" t="s">
        <v>561</v>
      </c>
      <c r="Q107" s="121" t="s">
        <v>53</v>
      </c>
      <c r="R107" s="121" t="s">
        <v>561</v>
      </c>
      <c r="S107" s="119" t="s">
        <v>53</v>
      </c>
      <c r="T107" s="119" t="s">
        <v>53</v>
      </c>
      <c r="U107" s="119" t="s">
        <v>53</v>
      </c>
      <c r="V107" s="119" t="s">
        <v>53</v>
      </c>
      <c r="W107" s="119" t="s">
        <v>53</v>
      </c>
      <c r="X107" s="149" t="s">
        <v>561</v>
      </c>
      <c r="Y107" s="149" t="s">
        <v>561</v>
      </c>
      <c r="Z107" s="149" t="s">
        <v>561</v>
      </c>
      <c r="AA107" s="149" t="s">
        <v>561</v>
      </c>
      <c r="AB107" s="149" t="s">
        <v>561</v>
      </c>
      <c r="AC107" s="125" t="s">
        <v>561</v>
      </c>
      <c r="AD107" s="149" t="s">
        <v>561</v>
      </c>
      <c r="AE107" s="128" t="s">
        <v>561</v>
      </c>
      <c r="AF107" s="125" t="s">
        <v>561</v>
      </c>
      <c r="AG107" s="121" t="s">
        <v>53</v>
      </c>
      <c r="AH107" s="128" t="s">
        <v>561</v>
      </c>
      <c r="AI107" s="125" t="s">
        <v>53</v>
      </c>
      <c r="AJ107" s="128" t="s">
        <v>561</v>
      </c>
      <c r="AK107" s="125" t="s">
        <v>561</v>
      </c>
      <c r="AL107" s="128" t="s">
        <v>561</v>
      </c>
      <c r="AM107" s="128" t="s">
        <v>561</v>
      </c>
      <c r="AN107" s="128" t="s">
        <v>561</v>
      </c>
      <c r="AO107" s="128" t="s">
        <v>53</v>
      </c>
      <c r="AP107" s="121" t="s">
        <v>561</v>
      </c>
      <c r="AQ107" s="128" t="s">
        <v>53</v>
      </c>
      <c r="AR107" s="128" t="s">
        <v>561</v>
      </c>
      <c r="AS107" s="117" t="s">
        <v>561</v>
      </c>
      <c r="AT107" s="117" t="s">
        <v>53</v>
      </c>
      <c r="AU107" s="117" t="s">
        <v>561</v>
      </c>
      <c r="AV107" s="117" t="s">
        <v>561</v>
      </c>
      <c r="AW107" s="117" t="s">
        <v>561</v>
      </c>
      <c r="AX107" s="117" t="s">
        <v>561</v>
      </c>
      <c r="AY107" s="117" t="s">
        <v>561</v>
      </c>
      <c r="AZ107" s="117" t="s">
        <v>561</v>
      </c>
      <c r="BA107" s="117" t="s">
        <v>561</v>
      </c>
      <c r="BB107" s="117" t="s">
        <v>53</v>
      </c>
      <c r="BC107" s="117" t="s">
        <v>561</v>
      </c>
      <c r="BD107" s="129" t="s">
        <v>821</v>
      </c>
      <c r="BE107" s="129" t="s">
        <v>821</v>
      </c>
      <c r="BF107" s="130"/>
      <c r="BG107" s="130">
        <f t="shared" si="8"/>
        <v>0</v>
      </c>
      <c r="BH107" s="131"/>
      <c r="BI107" s="131"/>
      <c r="BJ107" s="132"/>
      <c r="BK107" s="132"/>
      <c r="BL107" s="133"/>
      <c r="BM107" s="133" t="s">
        <v>561</v>
      </c>
      <c r="BN107" s="133"/>
      <c r="BO107" s="133"/>
      <c r="BP107" s="133" t="s">
        <v>2061</v>
      </c>
      <c r="BQ107" s="134"/>
      <c r="BR107" s="181" t="s">
        <v>2602</v>
      </c>
      <c r="BS107" s="134"/>
      <c r="BT107" s="134"/>
      <c r="BU107" s="137">
        <f t="shared" si="6"/>
        <v>0.366</v>
      </c>
      <c r="BV107" s="138">
        <v>0.6709999999999999</v>
      </c>
      <c r="BW107" s="137">
        <v>0.305</v>
      </c>
      <c r="BX107" s="137"/>
      <c r="BY107" s="137">
        <f t="shared" si="7"/>
        <v>0.344</v>
      </c>
      <c r="BZ107" s="138">
        <v>0.637</v>
      </c>
      <c r="CA107" s="137">
        <v>0.293</v>
      </c>
      <c r="CB107" s="137"/>
      <c r="CC107" s="138">
        <v>0.5529999999999999</v>
      </c>
      <c r="CD107" s="137">
        <v>0.275</v>
      </c>
      <c r="CE107" s="137">
        <v>0.040999999999999995</v>
      </c>
      <c r="CF107" s="137">
        <v>0.1</v>
      </c>
      <c r="CG107" s="137">
        <v>0.04</v>
      </c>
      <c r="CH107" s="137">
        <v>0.008</v>
      </c>
      <c r="CI107" s="139"/>
      <c r="CJ107" s="138">
        <v>0.6509999999999999</v>
      </c>
      <c r="CK107" s="137">
        <v>0.20500000000000002</v>
      </c>
      <c r="CL107" s="137">
        <v>0.039</v>
      </c>
      <c r="CM107" s="137">
        <v>0.081</v>
      </c>
      <c r="CN107" s="137">
        <v>0.015</v>
      </c>
      <c r="CO107" s="137">
        <v>0.003</v>
      </c>
      <c r="CP107" s="137"/>
      <c r="CQ107" s="137">
        <v>0.342</v>
      </c>
      <c r="CR107" s="137">
        <v>0.40299999999999997</v>
      </c>
      <c r="CS107" s="137">
        <v>0.389</v>
      </c>
    </row>
    <row r="108">
      <c r="A108" s="112">
        <f t="shared" si="1"/>
        <v>106</v>
      </c>
      <c r="B108" s="112" t="s">
        <v>384</v>
      </c>
      <c r="C108" s="112" t="s">
        <v>386</v>
      </c>
      <c r="D108" s="113" t="s">
        <v>381</v>
      </c>
      <c r="E108" s="186"/>
      <c r="F108" s="115">
        <f t="shared" si="2"/>
        <v>0</v>
      </c>
      <c r="G108" s="115">
        <f t="shared" si="3"/>
        <v>0.2972972973</v>
      </c>
      <c r="H108" s="116">
        <f t="shared" si="4"/>
        <v>0.222972973</v>
      </c>
      <c r="I108" s="117" t="s">
        <v>594</v>
      </c>
      <c r="J108" s="117" t="s">
        <v>594</v>
      </c>
      <c r="K108" s="117" t="s">
        <v>594</v>
      </c>
      <c r="L108" s="117" t="s">
        <v>594</v>
      </c>
      <c r="M108" s="117" t="s">
        <v>594</v>
      </c>
      <c r="N108" s="117" t="s">
        <v>594</v>
      </c>
      <c r="O108" s="149" t="s">
        <v>1256</v>
      </c>
      <c r="P108" s="185" t="s">
        <v>561</v>
      </c>
      <c r="Q108" s="121" t="s">
        <v>53</v>
      </c>
      <c r="R108" s="121" t="s">
        <v>561</v>
      </c>
      <c r="S108" s="119" t="s">
        <v>53</v>
      </c>
      <c r="T108" s="119" t="s">
        <v>53</v>
      </c>
      <c r="U108" s="119" t="s">
        <v>53</v>
      </c>
      <c r="V108" s="119" t="s">
        <v>53</v>
      </c>
      <c r="W108" s="119" t="s">
        <v>53</v>
      </c>
      <c r="X108" s="149" t="s">
        <v>561</v>
      </c>
      <c r="Y108" s="149" t="s">
        <v>561</v>
      </c>
      <c r="Z108" s="149" t="s">
        <v>561</v>
      </c>
      <c r="AA108" s="149" t="s">
        <v>561</v>
      </c>
      <c r="AB108" s="149" t="s">
        <v>561</v>
      </c>
      <c r="AC108" s="125" t="s">
        <v>561</v>
      </c>
      <c r="AD108" s="149" t="s">
        <v>561</v>
      </c>
      <c r="AE108" s="128" t="s">
        <v>561</v>
      </c>
      <c r="AF108" s="125" t="s">
        <v>561</v>
      </c>
      <c r="AG108" s="121" t="s">
        <v>53</v>
      </c>
      <c r="AH108" s="128" t="s">
        <v>561</v>
      </c>
      <c r="AI108" s="125" t="s">
        <v>53</v>
      </c>
      <c r="AJ108" s="128" t="s">
        <v>561</v>
      </c>
      <c r="AK108" s="125" t="s">
        <v>561</v>
      </c>
      <c r="AL108" s="128" t="s">
        <v>561</v>
      </c>
      <c r="AM108" s="128" t="s">
        <v>561</v>
      </c>
      <c r="AN108" s="128" t="s">
        <v>561</v>
      </c>
      <c r="AO108" s="128" t="s">
        <v>53</v>
      </c>
      <c r="AP108" s="121" t="s">
        <v>561</v>
      </c>
      <c r="AQ108" s="128" t="s">
        <v>53</v>
      </c>
      <c r="AR108" s="128" t="s">
        <v>561</v>
      </c>
      <c r="AS108" s="117" t="s">
        <v>561</v>
      </c>
      <c r="AT108" s="117" t="s">
        <v>53</v>
      </c>
      <c r="AU108" s="117" t="s">
        <v>561</v>
      </c>
      <c r="AV108" s="117" t="s">
        <v>561</v>
      </c>
      <c r="AW108" s="117" t="s">
        <v>801</v>
      </c>
      <c r="AX108" s="117" t="s">
        <v>561</v>
      </c>
      <c r="AY108" s="117" t="s">
        <v>561</v>
      </c>
      <c r="AZ108" s="117" t="s">
        <v>561</v>
      </c>
      <c r="BA108" s="117" t="s">
        <v>561</v>
      </c>
      <c r="BB108" s="117" t="s">
        <v>600</v>
      </c>
      <c r="BC108" s="117" t="s">
        <v>600</v>
      </c>
      <c r="BD108" s="129" t="s">
        <v>821</v>
      </c>
      <c r="BE108" s="129" t="s">
        <v>821</v>
      </c>
      <c r="BF108" s="130"/>
      <c r="BG108" s="130">
        <f t="shared" si="8"/>
        <v>27805</v>
      </c>
      <c r="BH108" s="131">
        <v>23805.0</v>
      </c>
      <c r="BI108" s="131"/>
      <c r="BJ108" s="132">
        <f>2000+2000</f>
        <v>4000</v>
      </c>
      <c r="BK108" s="132"/>
      <c r="BL108" s="133"/>
      <c r="BM108" s="133" t="s">
        <v>561</v>
      </c>
      <c r="BN108" s="133" t="s">
        <v>561</v>
      </c>
      <c r="BO108" s="133" t="s">
        <v>561</v>
      </c>
      <c r="BP108" s="133" t="s">
        <v>845</v>
      </c>
      <c r="BQ108" s="134"/>
      <c r="BR108" s="150" t="s">
        <v>1569</v>
      </c>
      <c r="BS108" s="181" t="s">
        <v>2030</v>
      </c>
      <c r="BT108" s="134"/>
      <c r="BU108" s="137">
        <f t="shared" si="6"/>
        <v>0.238</v>
      </c>
      <c r="BV108" s="138">
        <v>0.606</v>
      </c>
      <c r="BW108" s="137">
        <v>0.368</v>
      </c>
      <c r="BX108" s="137"/>
      <c r="BY108" s="137">
        <f t="shared" si="7"/>
        <v>0.132</v>
      </c>
      <c r="BZ108" s="138">
        <v>0.523</v>
      </c>
      <c r="CA108" s="137">
        <v>0.391</v>
      </c>
      <c r="CB108" s="137"/>
      <c r="CC108" s="138">
        <v>0.598</v>
      </c>
      <c r="CD108" s="137">
        <v>0.19399999999999998</v>
      </c>
      <c r="CE108" s="137">
        <v>0.114</v>
      </c>
      <c r="CF108" s="137">
        <v>0.073</v>
      </c>
      <c r="CG108" s="137">
        <v>0.03</v>
      </c>
      <c r="CH108" s="137">
        <v>0.005</v>
      </c>
      <c r="CI108" s="139"/>
      <c r="CJ108" s="138">
        <v>0.6990000000000001</v>
      </c>
      <c r="CK108" s="137">
        <v>0.134</v>
      </c>
      <c r="CL108" s="137">
        <v>0.105</v>
      </c>
      <c r="CM108" s="137">
        <v>0.048</v>
      </c>
      <c r="CN108" s="137">
        <v>0.011000000000000001</v>
      </c>
      <c r="CO108" s="137">
        <v>0.002</v>
      </c>
      <c r="CP108" s="137"/>
      <c r="CQ108" s="137">
        <v>0.42200000000000004</v>
      </c>
      <c r="CR108" s="138">
        <v>0.504</v>
      </c>
      <c r="CS108" s="137">
        <v>0.34700000000000003</v>
      </c>
    </row>
    <row r="109">
      <c r="A109" s="112">
        <f t="shared" si="1"/>
        <v>107</v>
      </c>
      <c r="B109" s="112" t="s">
        <v>1359</v>
      </c>
      <c r="C109" s="112" t="s">
        <v>1360</v>
      </c>
      <c r="D109" s="113" t="s">
        <v>1355</v>
      </c>
      <c r="E109" s="186"/>
      <c r="F109" s="115">
        <f t="shared" si="2"/>
        <v>0</v>
      </c>
      <c r="G109" s="115">
        <f t="shared" si="3"/>
        <v>0.2948717949</v>
      </c>
      <c r="H109" s="116">
        <f t="shared" si="4"/>
        <v>0.2211538462</v>
      </c>
      <c r="I109" s="117" t="s">
        <v>594</v>
      </c>
      <c r="J109" s="117" t="s">
        <v>594</v>
      </c>
      <c r="K109" s="117" t="s">
        <v>594</v>
      </c>
      <c r="L109" s="117" t="s">
        <v>594</v>
      </c>
      <c r="M109" s="117" t="s">
        <v>594</v>
      </c>
      <c r="N109" s="117" t="s">
        <v>594</v>
      </c>
      <c r="O109" s="149" t="s">
        <v>1256</v>
      </c>
      <c r="P109" s="120" t="s">
        <v>53</v>
      </c>
      <c r="Q109" s="121" t="s">
        <v>53</v>
      </c>
      <c r="R109" s="121" t="s">
        <v>561</v>
      </c>
      <c r="S109" s="119" t="s">
        <v>53</v>
      </c>
      <c r="T109" s="119" t="s">
        <v>53</v>
      </c>
      <c r="U109" s="119" t="s">
        <v>53</v>
      </c>
      <c r="V109" s="119" t="s">
        <v>53</v>
      </c>
      <c r="W109" s="119" t="s">
        <v>53</v>
      </c>
      <c r="X109" s="149" t="s">
        <v>561</v>
      </c>
      <c r="Y109" s="149" t="s">
        <v>561</v>
      </c>
      <c r="Z109" s="149" t="s">
        <v>561</v>
      </c>
      <c r="AA109" s="149" t="s">
        <v>561</v>
      </c>
      <c r="AB109" s="149" t="s">
        <v>561</v>
      </c>
      <c r="AC109" s="125" t="s">
        <v>561</v>
      </c>
      <c r="AD109" s="149" t="s">
        <v>561</v>
      </c>
      <c r="AE109" s="128" t="s">
        <v>561</v>
      </c>
      <c r="AF109" s="125" t="s">
        <v>561</v>
      </c>
      <c r="AG109" s="121" t="s">
        <v>53</v>
      </c>
      <c r="AH109" s="128" t="s">
        <v>561</v>
      </c>
      <c r="AI109" s="125" t="s">
        <v>53</v>
      </c>
      <c r="AJ109" s="128" t="s">
        <v>561</v>
      </c>
      <c r="AK109" s="125" t="s">
        <v>799</v>
      </c>
      <c r="AL109" s="128" t="s">
        <v>561</v>
      </c>
      <c r="AM109" s="128" t="s">
        <v>561</v>
      </c>
      <c r="AN109" s="128" t="s">
        <v>561</v>
      </c>
      <c r="AO109" s="128" t="s">
        <v>53</v>
      </c>
      <c r="AP109" s="121" t="s">
        <v>561</v>
      </c>
      <c r="AQ109" s="128" t="s">
        <v>53</v>
      </c>
      <c r="AR109" s="128" t="s">
        <v>561</v>
      </c>
      <c r="AS109" s="117" t="s">
        <v>561</v>
      </c>
      <c r="AT109" s="117" t="s">
        <v>561</v>
      </c>
      <c r="AU109" s="117" t="s">
        <v>561</v>
      </c>
      <c r="AV109" s="117" t="s">
        <v>561</v>
      </c>
      <c r="AW109" s="117" t="s">
        <v>561</v>
      </c>
      <c r="AX109" s="117" t="s">
        <v>561</v>
      </c>
      <c r="AY109" s="117" t="s">
        <v>561</v>
      </c>
      <c r="AZ109" s="117" t="s">
        <v>561</v>
      </c>
      <c r="BA109" s="117" t="s">
        <v>561</v>
      </c>
      <c r="BB109" s="117" t="s">
        <v>561</v>
      </c>
      <c r="BC109" s="117" t="s">
        <v>600</v>
      </c>
      <c r="BD109" s="129" t="s">
        <v>821</v>
      </c>
      <c r="BE109" s="129" t="s">
        <v>821</v>
      </c>
      <c r="BF109" s="130"/>
      <c r="BG109" s="130">
        <f t="shared" si="8"/>
        <v>40400</v>
      </c>
      <c r="BH109" s="131">
        <v>40400.0</v>
      </c>
      <c r="BI109" s="131"/>
      <c r="BJ109" s="132"/>
      <c r="BK109" s="132"/>
      <c r="BL109" s="133"/>
      <c r="BM109" s="133" t="s">
        <v>561</v>
      </c>
      <c r="BN109" s="133"/>
      <c r="BO109" s="133"/>
      <c r="BP109" s="133" t="s">
        <v>2367</v>
      </c>
      <c r="BQ109" s="134"/>
      <c r="BR109" s="150" t="s">
        <v>1569</v>
      </c>
      <c r="BS109" s="134"/>
      <c r="BT109" s="134"/>
      <c r="BU109" s="137">
        <f t="shared" si="6"/>
        <v>0.307</v>
      </c>
      <c r="BV109" s="138">
        <v>0.64</v>
      </c>
      <c r="BW109" s="137">
        <v>0.33299999999999996</v>
      </c>
      <c r="BX109" s="137"/>
      <c r="BY109" s="137">
        <f t="shared" si="7"/>
        <v>0.258</v>
      </c>
      <c r="BZ109" s="138">
        <v>0.589</v>
      </c>
      <c r="CA109" s="137">
        <v>0.331</v>
      </c>
      <c r="CB109" s="137"/>
      <c r="CC109" s="138">
        <v>0.629</v>
      </c>
      <c r="CD109" s="137">
        <v>0.085</v>
      </c>
      <c r="CE109" s="137">
        <v>0.035</v>
      </c>
      <c r="CF109" s="137">
        <v>0.217</v>
      </c>
      <c r="CG109" s="137">
        <v>0.024</v>
      </c>
      <c r="CH109" s="137">
        <v>0.008</v>
      </c>
      <c r="CI109" s="139"/>
      <c r="CJ109" s="138">
        <v>0.761</v>
      </c>
      <c r="CK109" s="137">
        <v>0.06</v>
      </c>
      <c r="CL109" s="137">
        <v>0.03</v>
      </c>
      <c r="CM109" s="137">
        <v>0.12400000000000001</v>
      </c>
      <c r="CN109" s="137">
        <v>0.013999999999999999</v>
      </c>
      <c r="CO109" s="137">
        <v>0.004</v>
      </c>
      <c r="CP109" s="137"/>
      <c r="CQ109" s="137">
        <v>0.48</v>
      </c>
      <c r="CR109" s="137">
        <v>0.442</v>
      </c>
      <c r="CS109" s="137">
        <v>0.425</v>
      </c>
    </row>
    <row r="110">
      <c r="A110" s="112">
        <f t="shared" si="1"/>
        <v>107</v>
      </c>
      <c r="B110" s="112" t="s">
        <v>614</v>
      </c>
      <c r="C110" s="112" t="s">
        <v>615</v>
      </c>
      <c r="D110" s="113" t="s">
        <v>609</v>
      </c>
      <c r="E110" s="186"/>
      <c r="F110" s="115">
        <f t="shared" si="2"/>
        <v>0</v>
      </c>
      <c r="G110" s="115">
        <f t="shared" si="3"/>
        <v>0.2948717949</v>
      </c>
      <c r="H110" s="116">
        <f t="shared" si="4"/>
        <v>0.2211538462</v>
      </c>
      <c r="I110" s="117" t="s">
        <v>594</v>
      </c>
      <c r="J110" s="117" t="s">
        <v>594</v>
      </c>
      <c r="K110" s="117" t="s">
        <v>594</v>
      </c>
      <c r="L110" s="117" t="s">
        <v>594</v>
      </c>
      <c r="M110" s="117" t="s">
        <v>594</v>
      </c>
      <c r="N110" s="117" t="s">
        <v>594</v>
      </c>
      <c r="O110" s="149" t="s">
        <v>1256</v>
      </c>
      <c r="P110" s="120" t="s">
        <v>53</v>
      </c>
      <c r="Q110" s="121" t="s">
        <v>53</v>
      </c>
      <c r="R110" s="121" t="s">
        <v>561</v>
      </c>
      <c r="S110" s="119" t="s">
        <v>53</v>
      </c>
      <c r="T110" s="119" t="s">
        <v>53</v>
      </c>
      <c r="U110" s="119" t="s">
        <v>53</v>
      </c>
      <c r="V110" s="119" t="s">
        <v>53</v>
      </c>
      <c r="W110" s="119" t="s">
        <v>53</v>
      </c>
      <c r="X110" s="149" t="s">
        <v>561</v>
      </c>
      <c r="Y110" s="149" t="s">
        <v>561</v>
      </c>
      <c r="Z110" s="149" t="s">
        <v>561</v>
      </c>
      <c r="AA110" s="149" t="s">
        <v>561</v>
      </c>
      <c r="AB110" s="149" t="s">
        <v>561</v>
      </c>
      <c r="AC110" s="125" t="s">
        <v>561</v>
      </c>
      <c r="AD110" s="149" t="s">
        <v>561</v>
      </c>
      <c r="AE110" s="128" t="s">
        <v>561</v>
      </c>
      <c r="AF110" s="125" t="s">
        <v>561</v>
      </c>
      <c r="AG110" s="121" t="s">
        <v>53</v>
      </c>
      <c r="AH110" s="128" t="s">
        <v>561</v>
      </c>
      <c r="AI110" s="125" t="s">
        <v>53</v>
      </c>
      <c r="AJ110" s="128" t="s">
        <v>561</v>
      </c>
      <c r="AK110" s="125" t="s">
        <v>799</v>
      </c>
      <c r="AL110" s="128" t="s">
        <v>561</v>
      </c>
      <c r="AM110" s="128" t="s">
        <v>561</v>
      </c>
      <c r="AN110" s="128" t="s">
        <v>561</v>
      </c>
      <c r="AO110" s="128" t="s">
        <v>53</v>
      </c>
      <c r="AP110" s="121" t="s">
        <v>561</v>
      </c>
      <c r="AQ110" s="128" t="s">
        <v>53</v>
      </c>
      <c r="AR110" s="128" t="s">
        <v>561</v>
      </c>
      <c r="AS110" s="117" t="s">
        <v>561</v>
      </c>
      <c r="AT110" s="117" t="s">
        <v>561</v>
      </c>
      <c r="AU110" s="117" t="s">
        <v>561</v>
      </c>
      <c r="AV110" s="117" t="s">
        <v>561</v>
      </c>
      <c r="AW110" s="117" t="s">
        <v>561</v>
      </c>
      <c r="AX110" s="117" t="s">
        <v>561</v>
      </c>
      <c r="AY110" s="117" t="s">
        <v>561</v>
      </c>
      <c r="AZ110" s="117" t="s">
        <v>561</v>
      </c>
      <c r="BA110" s="117" t="s">
        <v>561</v>
      </c>
      <c r="BB110" s="117" t="s">
        <v>561</v>
      </c>
      <c r="BC110" s="117" t="s">
        <v>600</v>
      </c>
      <c r="BD110" s="129" t="s">
        <v>821</v>
      </c>
      <c r="BE110" s="129" t="s">
        <v>821</v>
      </c>
      <c r="BF110" s="130"/>
      <c r="BG110" s="130">
        <f t="shared" si="8"/>
        <v>45330</v>
      </c>
      <c r="BH110" s="131">
        <v>43330.0</v>
      </c>
      <c r="BI110" s="131"/>
      <c r="BJ110" s="132">
        <f t="shared" ref="BJ110:BJ111" si="11">2000</f>
        <v>2000</v>
      </c>
      <c r="BK110" s="132"/>
      <c r="BL110" s="133"/>
      <c r="BM110" s="133"/>
      <c r="BN110" s="133" t="s">
        <v>561</v>
      </c>
      <c r="BO110" s="133" t="s">
        <v>561</v>
      </c>
      <c r="BP110" s="133" t="s">
        <v>1207</v>
      </c>
      <c r="BQ110" s="134"/>
      <c r="BR110" s="150" t="s">
        <v>1569</v>
      </c>
      <c r="BS110" s="181" t="s">
        <v>2030</v>
      </c>
      <c r="BT110" s="134"/>
      <c r="BU110" s="137">
        <f t="shared" si="6"/>
        <v>0.154</v>
      </c>
      <c r="BV110" s="138">
        <v>0.568</v>
      </c>
      <c r="BW110" s="137">
        <v>0.414</v>
      </c>
      <c r="BX110" s="137"/>
      <c r="BY110" s="137">
        <f t="shared" si="7"/>
        <v>0.157</v>
      </c>
      <c r="BZ110" s="138">
        <v>0.546</v>
      </c>
      <c r="CA110" s="137">
        <v>0.389</v>
      </c>
      <c r="CB110" s="137"/>
      <c r="CC110" s="138">
        <v>0.584</v>
      </c>
      <c r="CD110" s="137">
        <v>0.207</v>
      </c>
      <c r="CE110" s="137">
        <v>0.048</v>
      </c>
      <c r="CF110" s="137">
        <v>0.152</v>
      </c>
      <c r="CG110" s="137">
        <v>0.021</v>
      </c>
      <c r="CH110" s="137">
        <v>0.001</v>
      </c>
      <c r="CI110" s="139"/>
      <c r="CJ110" s="138">
        <v>0.6779999999999999</v>
      </c>
      <c r="CK110" s="137">
        <v>0.147</v>
      </c>
      <c r="CL110" s="137">
        <v>0.05</v>
      </c>
      <c r="CM110" s="137">
        <v>0.11800000000000001</v>
      </c>
      <c r="CN110" s="137">
        <v>0.004</v>
      </c>
      <c r="CO110" s="137">
        <v>0.0</v>
      </c>
      <c r="CP110" s="137"/>
      <c r="CQ110" s="137">
        <v>0.375</v>
      </c>
      <c r="CR110" s="137">
        <v>0.39</v>
      </c>
      <c r="CS110" s="137">
        <v>0.414</v>
      </c>
    </row>
    <row r="111">
      <c r="A111" s="112">
        <f t="shared" si="1"/>
        <v>109</v>
      </c>
      <c r="B111" s="112" t="s">
        <v>510</v>
      </c>
      <c r="C111" s="112" t="s">
        <v>511</v>
      </c>
      <c r="D111" s="113" t="s">
        <v>506</v>
      </c>
      <c r="E111" s="154" t="s">
        <v>2603</v>
      </c>
      <c r="F111" s="115">
        <f t="shared" si="2"/>
        <v>0</v>
      </c>
      <c r="G111" s="115">
        <f t="shared" si="3"/>
        <v>0.2894736842</v>
      </c>
      <c r="H111" s="116">
        <f t="shared" si="4"/>
        <v>0.2171052632</v>
      </c>
      <c r="I111" s="117" t="s">
        <v>594</v>
      </c>
      <c r="J111" s="117" t="s">
        <v>594</v>
      </c>
      <c r="K111" s="117" t="s">
        <v>594</v>
      </c>
      <c r="L111" s="117" t="s">
        <v>594</v>
      </c>
      <c r="M111" s="117" t="s">
        <v>594</v>
      </c>
      <c r="N111" s="117" t="s">
        <v>594</v>
      </c>
      <c r="O111" s="149" t="s">
        <v>1256</v>
      </c>
      <c r="P111" s="185" t="s">
        <v>561</v>
      </c>
      <c r="Q111" s="121" t="s">
        <v>53</v>
      </c>
      <c r="R111" s="121" t="s">
        <v>561</v>
      </c>
      <c r="S111" s="119" t="s">
        <v>53</v>
      </c>
      <c r="T111" s="119" t="s">
        <v>53</v>
      </c>
      <c r="U111" s="119" t="s">
        <v>53</v>
      </c>
      <c r="V111" s="119" t="s">
        <v>53</v>
      </c>
      <c r="W111" s="119" t="s">
        <v>53</v>
      </c>
      <c r="X111" s="149" t="s">
        <v>561</v>
      </c>
      <c r="Y111" s="149" t="s">
        <v>561</v>
      </c>
      <c r="Z111" s="128" t="s">
        <v>801</v>
      </c>
      <c r="AA111" s="149" t="s">
        <v>561</v>
      </c>
      <c r="AB111" s="149" t="s">
        <v>561</v>
      </c>
      <c r="AC111" s="125" t="s">
        <v>561</v>
      </c>
      <c r="AD111" s="149" t="s">
        <v>561</v>
      </c>
      <c r="AE111" s="128" t="s">
        <v>561</v>
      </c>
      <c r="AF111" s="125" t="s">
        <v>561</v>
      </c>
      <c r="AG111" s="121" t="s">
        <v>53</v>
      </c>
      <c r="AH111" s="128" t="s">
        <v>561</v>
      </c>
      <c r="AI111" s="125" t="s">
        <v>53</v>
      </c>
      <c r="AJ111" s="128" t="s">
        <v>561</v>
      </c>
      <c r="AK111" s="125" t="s">
        <v>561</v>
      </c>
      <c r="AL111" s="128" t="s">
        <v>561</v>
      </c>
      <c r="AM111" s="128" t="s">
        <v>801</v>
      </c>
      <c r="AN111" s="128" t="s">
        <v>561</v>
      </c>
      <c r="AO111" s="128" t="s">
        <v>53</v>
      </c>
      <c r="AP111" s="121" t="s">
        <v>561</v>
      </c>
      <c r="AQ111" s="128" t="s">
        <v>53</v>
      </c>
      <c r="AR111" s="128" t="s">
        <v>561</v>
      </c>
      <c r="AS111" s="117" t="s">
        <v>561</v>
      </c>
      <c r="AT111" s="117" t="s">
        <v>561</v>
      </c>
      <c r="AU111" s="117" t="s">
        <v>561</v>
      </c>
      <c r="AV111" s="117" t="s">
        <v>561</v>
      </c>
      <c r="AW111" s="117" t="s">
        <v>561</v>
      </c>
      <c r="AX111" s="117" t="s">
        <v>561</v>
      </c>
      <c r="AY111" s="117" t="s">
        <v>561</v>
      </c>
      <c r="AZ111" s="117" t="s">
        <v>561</v>
      </c>
      <c r="BA111" s="117" t="s">
        <v>561</v>
      </c>
      <c r="BB111" s="117" t="s">
        <v>53</v>
      </c>
      <c r="BC111" s="117" t="s">
        <v>561</v>
      </c>
      <c r="BD111" s="129" t="s">
        <v>821</v>
      </c>
      <c r="BE111" s="164" t="s">
        <v>1832</v>
      </c>
      <c r="BF111" s="130"/>
      <c r="BG111" s="130">
        <f t="shared" si="8"/>
        <v>34076</v>
      </c>
      <c r="BH111" s="131">
        <v>32076.0</v>
      </c>
      <c r="BI111" s="131"/>
      <c r="BJ111" s="132">
        <f t="shared" si="11"/>
        <v>2000</v>
      </c>
      <c r="BK111" s="132"/>
      <c r="BL111" s="133"/>
      <c r="BM111" s="133"/>
      <c r="BN111" s="133" t="s">
        <v>561</v>
      </c>
      <c r="BO111" s="133" t="s">
        <v>561</v>
      </c>
      <c r="BP111" s="133" t="s">
        <v>1457</v>
      </c>
      <c r="BQ111" s="134"/>
      <c r="BR111" s="181" t="s">
        <v>2602</v>
      </c>
      <c r="BS111" s="181" t="s">
        <v>2030</v>
      </c>
      <c r="BT111" s="134"/>
      <c r="BU111" s="137">
        <f t="shared" si="6"/>
        <v>0.103</v>
      </c>
      <c r="BV111" s="138">
        <v>0.547</v>
      </c>
      <c r="BW111" s="137">
        <v>0.444</v>
      </c>
      <c r="BX111" s="137"/>
      <c r="BY111" s="137">
        <f t="shared" si="7"/>
        <v>0.091</v>
      </c>
      <c r="BZ111" s="138">
        <v>0.536</v>
      </c>
      <c r="CA111" s="137">
        <v>0.445</v>
      </c>
      <c r="CB111" s="137"/>
      <c r="CC111" s="137">
        <v>0.42700000000000005</v>
      </c>
      <c r="CD111" s="137">
        <v>0.051</v>
      </c>
      <c r="CE111" s="138">
        <v>0.493</v>
      </c>
      <c r="CF111" s="137">
        <v>0.019</v>
      </c>
      <c r="CG111" s="137">
        <v>0.015</v>
      </c>
      <c r="CH111" s="137">
        <v>0.002</v>
      </c>
      <c r="CI111" s="139"/>
      <c r="CJ111" s="137">
        <v>0.446</v>
      </c>
      <c r="CK111" s="137">
        <v>0.032</v>
      </c>
      <c r="CL111" s="138">
        <v>0.501</v>
      </c>
      <c r="CM111" s="137">
        <v>0.012</v>
      </c>
      <c r="CN111" s="137">
        <v>0.006999999999999999</v>
      </c>
      <c r="CO111" s="137">
        <v>0.001</v>
      </c>
      <c r="CP111" s="137"/>
      <c r="CQ111" s="137">
        <v>0.196</v>
      </c>
      <c r="CR111" s="137">
        <v>0.252</v>
      </c>
      <c r="CS111" s="137">
        <v>0.33399999999999996</v>
      </c>
    </row>
    <row r="112">
      <c r="A112" s="112">
        <f t="shared" si="1"/>
        <v>109</v>
      </c>
      <c r="B112" s="112" t="s">
        <v>377</v>
      </c>
      <c r="C112" s="112" t="s">
        <v>378</v>
      </c>
      <c r="D112" s="113" t="s">
        <v>374</v>
      </c>
      <c r="E112" s="163"/>
      <c r="F112" s="115">
        <f t="shared" si="2"/>
        <v>0</v>
      </c>
      <c r="G112" s="115">
        <f t="shared" si="3"/>
        <v>0.2894736842</v>
      </c>
      <c r="H112" s="116">
        <f t="shared" si="4"/>
        <v>0.2171052632</v>
      </c>
      <c r="I112" s="117" t="s">
        <v>594</v>
      </c>
      <c r="J112" s="117" t="s">
        <v>594</v>
      </c>
      <c r="K112" s="117" t="s">
        <v>594</v>
      </c>
      <c r="L112" s="117" t="s">
        <v>594</v>
      </c>
      <c r="M112" s="117" t="s">
        <v>594</v>
      </c>
      <c r="N112" s="117" t="s">
        <v>594</v>
      </c>
      <c r="O112" s="149" t="s">
        <v>1256</v>
      </c>
      <c r="P112" s="120" t="s">
        <v>53</v>
      </c>
      <c r="Q112" s="121" t="s">
        <v>53</v>
      </c>
      <c r="R112" s="121" t="s">
        <v>561</v>
      </c>
      <c r="S112" s="119" t="s">
        <v>53</v>
      </c>
      <c r="T112" s="119" t="s">
        <v>53</v>
      </c>
      <c r="U112" s="119" t="s">
        <v>53</v>
      </c>
      <c r="V112" s="119" t="s">
        <v>53</v>
      </c>
      <c r="W112" s="119" t="s">
        <v>53</v>
      </c>
      <c r="X112" s="149" t="s">
        <v>561</v>
      </c>
      <c r="Y112" s="149" t="s">
        <v>561</v>
      </c>
      <c r="Z112" s="149" t="s">
        <v>561</v>
      </c>
      <c r="AA112" s="149" t="s">
        <v>561</v>
      </c>
      <c r="AB112" s="149" t="s">
        <v>561</v>
      </c>
      <c r="AC112" s="125" t="s">
        <v>561</v>
      </c>
      <c r="AD112" s="149" t="s">
        <v>561</v>
      </c>
      <c r="AE112" s="128" t="s">
        <v>561</v>
      </c>
      <c r="AF112" s="125" t="s">
        <v>561</v>
      </c>
      <c r="AG112" s="121" t="s">
        <v>53</v>
      </c>
      <c r="AH112" s="128" t="s">
        <v>561</v>
      </c>
      <c r="AI112" s="125" t="s">
        <v>53</v>
      </c>
      <c r="AJ112" s="128" t="s">
        <v>561</v>
      </c>
      <c r="AK112" s="125" t="s">
        <v>561</v>
      </c>
      <c r="AL112" s="128" t="s">
        <v>561</v>
      </c>
      <c r="AM112" s="128" t="s">
        <v>561</v>
      </c>
      <c r="AN112" s="128" t="s">
        <v>561</v>
      </c>
      <c r="AO112" s="128" t="s">
        <v>53</v>
      </c>
      <c r="AP112" s="121" t="s">
        <v>561</v>
      </c>
      <c r="AQ112" s="128" t="s">
        <v>53</v>
      </c>
      <c r="AR112" s="128" t="s">
        <v>561</v>
      </c>
      <c r="AS112" s="117" t="s">
        <v>561</v>
      </c>
      <c r="AT112" s="117" t="s">
        <v>561</v>
      </c>
      <c r="AU112" s="117" t="s">
        <v>561</v>
      </c>
      <c r="AV112" s="117" t="s">
        <v>561</v>
      </c>
      <c r="AW112" s="117" t="s">
        <v>561</v>
      </c>
      <c r="AX112" s="117" t="s">
        <v>561</v>
      </c>
      <c r="AY112" s="117" t="s">
        <v>561</v>
      </c>
      <c r="AZ112" s="117" t="s">
        <v>561</v>
      </c>
      <c r="BA112" s="117" t="s">
        <v>561</v>
      </c>
      <c r="BB112" s="117" t="s">
        <v>600</v>
      </c>
      <c r="BC112" s="117" t="s">
        <v>600</v>
      </c>
      <c r="BD112" s="129" t="s">
        <v>821</v>
      </c>
      <c r="BE112" s="164" t="s">
        <v>1832</v>
      </c>
      <c r="BF112" s="130"/>
      <c r="BG112" s="130">
        <f t="shared" si="8"/>
        <v>42580</v>
      </c>
      <c r="BH112" s="131">
        <v>42580.0</v>
      </c>
      <c r="BI112" s="131"/>
      <c r="BJ112" s="132"/>
      <c r="BK112" s="132"/>
      <c r="BL112" s="133"/>
      <c r="BM112" s="133" t="s">
        <v>561</v>
      </c>
      <c r="BN112" s="133"/>
      <c r="BO112" s="133" t="s">
        <v>561</v>
      </c>
      <c r="BP112" s="133" t="s">
        <v>845</v>
      </c>
      <c r="BQ112" s="134"/>
      <c r="BR112" s="135" t="s">
        <v>850</v>
      </c>
      <c r="BS112" s="181" t="s">
        <v>122</v>
      </c>
      <c r="BT112" s="134"/>
      <c r="BU112" s="137">
        <f t="shared" si="6"/>
        <v>0.399</v>
      </c>
      <c r="BV112" s="138">
        <v>0.687</v>
      </c>
      <c r="BW112" s="137">
        <v>0.28800000000000003</v>
      </c>
      <c r="BX112" s="137"/>
      <c r="BY112" s="137">
        <f t="shared" si="7"/>
        <v>0.305</v>
      </c>
      <c r="BZ112" s="138">
        <v>0.609</v>
      </c>
      <c r="CA112" s="137">
        <v>0.304</v>
      </c>
      <c r="CB112" s="137"/>
      <c r="CC112" s="138">
        <v>0.787</v>
      </c>
      <c r="CD112" s="137">
        <v>0.122</v>
      </c>
      <c r="CE112" s="137">
        <v>0.016</v>
      </c>
      <c r="CF112" s="137">
        <v>0.048</v>
      </c>
      <c r="CG112" s="137">
        <v>0.023</v>
      </c>
      <c r="CH112" s="137">
        <v>0.003</v>
      </c>
      <c r="CI112" s="139"/>
      <c r="CJ112" s="138">
        <v>0.8520000000000001</v>
      </c>
      <c r="CK112" s="137">
        <v>0.09300000000000001</v>
      </c>
      <c r="CL112" s="137">
        <v>0.013000000000000001</v>
      </c>
      <c r="CM112" s="137">
        <v>0.028999999999999998</v>
      </c>
      <c r="CN112" s="137">
        <v>0.01</v>
      </c>
      <c r="CO112" s="137">
        <v>0.001</v>
      </c>
      <c r="CP112" s="137"/>
      <c r="CQ112" s="138">
        <v>0.5710000000000001</v>
      </c>
      <c r="CR112" s="138">
        <v>0.607</v>
      </c>
      <c r="CS112" s="137">
        <v>0.335</v>
      </c>
    </row>
    <row r="113">
      <c r="A113" s="112">
        <f t="shared" si="1"/>
        <v>111</v>
      </c>
      <c r="B113" s="112" t="s">
        <v>934</v>
      </c>
      <c r="C113" s="112" t="s">
        <v>935</v>
      </c>
      <c r="D113" s="113" t="s">
        <v>931</v>
      </c>
      <c r="E113" s="163"/>
      <c r="F113" s="115">
        <f t="shared" si="2"/>
        <v>0</v>
      </c>
      <c r="G113" s="115">
        <f t="shared" si="3"/>
        <v>0.2878787879</v>
      </c>
      <c r="H113" s="116">
        <f t="shared" si="4"/>
        <v>0.2159090909</v>
      </c>
      <c r="I113" s="117" t="s">
        <v>594</v>
      </c>
      <c r="J113" s="117" t="s">
        <v>594</v>
      </c>
      <c r="K113" s="117" t="s">
        <v>594</v>
      </c>
      <c r="L113" s="117" t="s">
        <v>594</v>
      </c>
      <c r="M113" s="117" t="s">
        <v>594</v>
      </c>
      <c r="N113" s="117" t="s">
        <v>594</v>
      </c>
      <c r="O113" s="149" t="s">
        <v>1256</v>
      </c>
      <c r="P113" s="120" t="s">
        <v>53</v>
      </c>
      <c r="Q113" s="121" t="s">
        <v>53</v>
      </c>
      <c r="R113" s="121" t="s">
        <v>561</v>
      </c>
      <c r="S113" s="119" t="s">
        <v>53</v>
      </c>
      <c r="T113" s="119" t="s">
        <v>53</v>
      </c>
      <c r="U113" s="119" t="s">
        <v>53</v>
      </c>
      <c r="V113" s="123" t="s">
        <v>801</v>
      </c>
      <c r="W113" s="119" t="s">
        <v>53</v>
      </c>
      <c r="X113" s="149" t="s">
        <v>561</v>
      </c>
      <c r="Y113" s="149" t="s">
        <v>561</v>
      </c>
      <c r="Z113" s="149" t="s">
        <v>561</v>
      </c>
      <c r="AA113" s="149" t="s">
        <v>561</v>
      </c>
      <c r="AB113" s="149" t="s">
        <v>561</v>
      </c>
      <c r="AC113" s="125" t="s">
        <v>561</v>
      </c>
      <c r="AD113" s="149" t="s">
        <v>561</v>
      </c>
      <c r="AE113" s="128" t="s">
        <v>561</v>
      </c>
      <c r="AF113" s="125" t="s">
        <v>561</v>
      </c>
      <c r="AG113" s="121" t="s">
        <v>561</v>
      </c>
      <c r="AH113" s="128" t="s">
        <v>561</v>
      </c>
      <c r="AI113" s="125" t="s">
        <v>53</v>
      </c>
      <c r="AJ113" s="128" t="s">
        <v>561</v>
      </c>
      <c r="AK113" s="125" t="s">
        <v>799</v>
      </c>
      <c r="AL113" s="128" t="s">
        <v>561</v>
      </c>
      <c r="AM113" s="128" t="s">
        <v>561</v>
      </c>
      <c r="AN113" s="128" t="s">
        <v>561</v>
      </c>
      <c r="AO113" s="128" t="s">
        <v>53</v>
      </c>
      <c r="AP113" s="121" t="s">
        <v>561</v>
      </c>
      <c r="AQ113" s="128" t="s">
        <v>53</v>
      </c>
      <c r="AR113" s="128" t="s">
        <v>561</v>
      </c>
      <c r="AS113" s="117" t="s">
        <v>561</v>
      </c>
      <c r="AT113" s="117" t="s">
        <v>561</v>
      </c>
      <c r="AU113" s="117" t="s">
        <v>561</v>
      </c>
      <c r="AV113" s="117" t="s">
        <v>561</v>
      </c>
      <c r="AW113" s="117" t="s">
        <v>561</v>
      </c>
      <c r="AX113" s="117" t="s">
        <v>600</v>
      </c>
      <c r="AY113" s="117" t="s">
        <v>600</v>
      </c>
      <c r="AZ113" s="117" t="s">
        <v>600</v>
      </c>
      <c r="BA113" s="117" t="s">
        <v>600</v>
      </c>
      <c r="BB113" s="117" t="s">
        <v>600</v>
      </c>
      <c r="BC113" s="117" t="s">
        <v>600</v>
      </c>
      <c r="BD113" s="164" t="s">
        <v>1832</v>
      </c>
      <c r="BE113" s="164" t="s">
        <v>1832</v>
      </c>
      <c r="BF113" s="130"/>
      <c r="BG113" s="130">
        <f t="shared" si="8"/>
        <v>66500</v>
      </c>
      <c r="BH113" s="131">
        <v>64500.0</v>
      </c>
      <c r="BI113" s="131"/>
      <c r="BJ113" s="132">
        <f>2000</f>
        <v>2000</v>
      </c>
      <c r="BK113" s="132"/>
      <c r="BL113" s="133"/>
      <c r="BM113" s="133"/>
      <c r="BN113" s="133" t="s">
        <v>561</v>
      </c>
      <c r="BO113" s="133" t="s">
        <v>561</v>
      </c>
      <c r="BP113" s="133" t="s">
        <v>976</v>
      </c>
      <c r="BQ113" s="134"/>
      <c r="BR113" s="134"/>
      <c r="BS113" s="181" t="s">
        <v>2030</v>
      </c>
      <c r="BT113" s="134"/>
      <c r="BU113" s="137">
        <f t="shared" si="6"/>
        <v>0.453</v>
      </c>
      <c r="BV113" s="138">
        <v>0.721</v>
      </c>
      <c r="BW113" s="137">
        <v>0.268</v>
      </c>
      <c r="BX113" s="137"/>
      <c r="BY113" s="137">
        <f t="shared" si="7"/>
        <v>0.543</v>
      </c>
      <c r="BZ113" s="138">
        <v>0.757</v>
      </c>
      <c r="CA113" s="137">
        <v>0.214</v>
      </c>
      <c r="CB113" s="137"/>
      <c r="CC113" s="137">
        <v>0.268</v>
      </c>
      <c r="CD113" s="138">
        <v>0.489</v>
      </c>
      <c r="CE113" s="137">
        <v>0.11199999999999999</v>
      </c>
      <c r="CF113" s="137">
        <v>0.133</v>
      </c>
      <c r="CG113" s="137">
        <v>0.022000000000000002</v>
      </c>
      <c r="CH113" s="137">
        <v>0.002</v>
      </c>
      <c r="CI113" s="139"/>
      <c r="CJ113" s="137">
        <v>0.35000000000000003</v>
      </c>
      <c r="CK113" s="138">
        <v>0.465</v>
      </c>
      <c r="CL113" s="137">
        <v>0.10400000000000001</v>
      </c>
      <c r="CM113" s="137">
        <v>0.076</v>
      </c>
      <c r="CN113" s="137">
        <v>0.003</v>
      </c>
      <c r="CO113" s="137">
        <v>0.001</v>
      </c>
      <c r="CP113" s="137"/>
      <c r="CQ113" s="137">
        <v>0.37</v>
      </c>
      <c r="CR113" s="138">
        <v>0.552</v>
      </c>
      <c r="CS113" s="137">
        <v>0.157</v>
      </c>
    </row>
    <row r="114">
      <c r="A114" s="112">
        <f t="shared" si="1"/>
        <v>112</v>
      </c>
      <c r="B114" s="112" t="s">
        <v>151</v>
      </c>
      <c r="C114" s="112" t="s">
        <v>153</v>
      </c>
      <c r="D114" s="113" t="s">
        <v>149</v>
      </c>
      <c r="E114" s="163"/>
      <c r="F114" s="115">
        <f t="shared" si="2"/>
        <v>0</v>
      </c>
      <c r="G114" s="115">
        <f t="shared" si="3"/>
        <v>0.2857142857</v>
      </c>
      <c r="H114" s="116">
        <f t="shared" si="4"/>
        <v>0.2142857143</v>
      </c>
      <c r="I114" s="117" t="s">
        <v>594</v>
      </c>
      <c r="J114" s="117" t="s">
        <v>594</v>
      </c>
      <c r="K114" s="117" t="s">
        <v>594</v>
      </c>
      <c r="L114" s="117" t="s">
        <v>594</v>
      </c>
      <c r="M114" s="117" t="s">
        <v>594</v>
      </c>
      <c r="N114" s="117" t="s">
        <v>594</v>
      </c>
      <c r="O114" s="149" t="s">
        <v>1256</v>
      </c>
      <c r="P114" s="120" t="s">
        <v>53</v>
      </c>
      <c r="Q114" s="121" t="s">
        <v>53</v>
      </c>
      <c r="R114" s="121" t="s">
        <v>561</v>
      </c>
      <c r="S114" s="119" t="s">
        <v>53</v>
      </c>
      <c r="T114" s="119" t="s">
        <v>53</v>
      </c>
      <c r="U114" s="149" t="s">
        <v>561</v>
      </c>
      <c r="V114" s="119" t="s">
        <v>53</v>
      </c>
      <c r="W114" s="119" t="s">
        <v>53</v>
      </c>
      <c r="X114" s="149" t="s">
        <v>561</v>
      </c>
      <c r="Y114" s="149" t="s">
        <v>561</v>
      </c>
      <c r="Z114" s="128" t="s">
        <v>801</v>
      </c>
      <c r="AA114" s="149" t="s">
        <v>561</v>
      </c>
      <c r="AB114" s="149" t="s">
        <v>561</v>
      </c>
      <c r="AC114" s="125" t="s">
        <v>561</v>
      </c>
      <c r="AD114" s="123" t="s">
        <v>801</v>
      </c>
      <c r="AE114" s="128" t="s">
        <v>561</v>
      </c>
      <c r="AF114" s="125" t="s">
        <v>561</v>
      </c>
      <c r="AG114" s="121" t="s">
        <v>53</v>
      </c>
      <c r="AH114" s="128" t="s">
        <v>561</v>
      </c>
      <c r="AI114" s="128" t="s">
        <v>561</v>
      </c>
      <c r="AJ114" s="128" t="s">
        <v>561</v>
      </c>
      <c r="AK114" s="125" t="s">
        <v>561</v>
      </c>
      <c r="AL114" s="128" t="s">
        <v>561</v>
      </c>
      <c r="AM114" s="128" t="s">
        <v>801</v>
      </c>
      <c r="AN114" s="128" t="s">
        <v>561</v>
      </c>
      <c r="AO114" s="128" t="s">
        <v>53</v>
      </c>
      <c r="AP114" s="121" t="s">
        <v>561</v>
      </c>
      <c r="AQ114" s="128" t="s">
        <v>53</v>
      </c>
      <c r="AR114" s="128" t="s">
        <v>561</v>
      </c>
      <c r="AS114" s="117" t="s">
        <v>561</v>
      </c>
      <c r="AT114" s="117" t="s">
        <v>561</v>
      </c>
      <c r="AU114" s="117" t="s">
        <v>561</v>
      </c>
      <c r="AV114" s="117" t="s">
        <v>561</v>
      </c>
      <c r="AW114" s="117" t="s">
        <v>801</v>
      </c>
      <c r="AX114" s="117" t="s">
        <v>561</v>
      </c>
      <c r="AY114" s="117" t="s">
        <v>561</v>
      </c>
      <c r="AZ114" s="117" t="s">
        <v>561</v>
      </c>
      <c r="BA114" s="117" t="s">
        <v>561</v>
      </c>
      <c r="BB114" s="117" t="s">
        <v>53</v>
      </c>
      <c r="BC114" s="117" t="s">
        <v>600</v>
      </c>
      <c r="BD114" s="129" t="s">
        <v>821</v>
      </c>
      <c r="BE114" s="129" t="s">
        <v>821</v>
      </c>
      <c r="BF114" s="130"/>
      <c r="BG114" s="130">
        <f t="shared" si="8"/>
        <v>28000</v>
      </c>
      <c r="BH114" s="131">
        <v>28000.0</v>
      </c>
      <c r="BI114" s="131"/>
      <c r="BJ114" s="132"/>
      <c r="BK114" s="132"/>
      <c r="BL114" s="133"/>
      <c r="BM114" s="133" t="s">
        <v>561</v>
      </c>
      <c r="BN114" s="133"/>
      <c r="BO114" s="133" t="s">
        <v>561</v>
      </c>
      <c r="BP114" s="133" t="s">
        <v>1311</v>
      </c>
      <c r="BQ114" s="134"/>
      <c r="BR114" s="134"/>
      <c r="BS114" s="181" t="s">
        <v>122</v>
      </c>
      <c r="BT114" s="134"/>
      <c r="BU114" s="137">
        <f t="shared" si="6"/>
        <v>0.455</v>
      </c>
      <c r="BV114" s="138">
        <v>0.7170000000000001</v>
      </c>
      <c r="BW114" s="137">
        <v>0.262</v>
      </c>
      <c r="BX114" s="137"/>
      <c r="BY114" s="137">
        <f t="shared" si="7"/>
        <v>0.471</v>
      </c>
      <c r="BZ114" s="138">
        <v>0.706</v>
      </c>
      <c r="CA114" s="137">
        <v>0.235</v>
      </c>
      <c r="CB114" s="137"/>
      <c r="CC114" s="137">
        <v>0.282</v>
      </c>
      <c r="CD114" s="137">
        <v>0.228</v>
      </c>
      <c r="CE114" s="137">
        <v>0.066</v>
      </c>
      <c r="CF114" s="138">
        <v>0.408</v>
      </c>
      <c r="CG114" s="137">
        <v>0.026000000000000002</v>
      </c>
      <c r="CH114" s="137">
        <v>0.019</v>
      </c>
      <c r="CI114" s="139"/>
      <c r="CJ114" s="138">
        <v>0.376</v>
      </c>
      <c r="CK114" s="137">
        <v>0.198</v>
      </c>
      <c r="CL114" s="137">
        <v>0.076</v>
      </c>
      <c r="CM114" s="137">
        <v>0.326</v>
      </c>
      <c r="CN114" s="137">
        <v>0.006999999999999999</v>
      </c>
      <c r="CO114" s="137">
        <v>0.01</v>
      </c>
      <c r="CP114" s="137"/>
      <c r="CQ114" s="137">
        <v>0.44</v>
      </c>
      <c r="CR114" s="137">
        <v>0.445</v>
      </c>
      <c r="CS114" s="137">
        <v>0.20800000000000002</v>
      </c>
    </row>
    <row r="115">
      <c r="A115" s="112">
        <f t="shared" si="1"/>
        <v>113</v>
      </c>
      <c r="B115" s="112" t="s">
        <v>432</v>
      </c>
      <c r="C115" s="112" t="s">
        <v>433</v>
      </c>
      <c r="D115" s="113" t="s">
        <v>429</v>
      </c>
      <c r="E115" s="163"/>
      <c r="F115" s="115">
        <f t="shared" si="2"/>
        <v>0.1428571429</v>
      </c>
      <c r="G115" s="115">
        <f t="shared" si="3"/>
        <v>0.2368421053</v>
      </c>
      <c r="H115" s="116">
        <f t="shared" si="4"/>
        <v>0.2133458647</v>
      </c>
      <c r="I115" s="117" t="s">
        <v>594</v>
      </c>
      <c r="J115" s="117" t="s">
        <v>594</v>
      </c>
      <c r="K115" s="117" t="s">
        <v>487</v>
      </c>
      <c r="L115" s="117" t="s">
        <v>594</v>
      </c>
      <c r="M115" s="117" t="s">
        <v>594</v>
      </c>
      <c r="N115" s="117" t="s">
        <v>594</v>
      </c>
      <c r="O115" s="149" t="s">
        <v>1256</v>
      </c>
      <c r="P115" s="185" t="s">
        <v>561</v>
      </c>
      <c r="Q115" s="121" t="s">
        <v>53</v>
      </c>
      <c r="R115" s="121" t="s">
        <v>561</v>
      </c>
      <c r="S115" s="149" t="s">
        <v>561</v>
      </c>
      <c r="T115" s="119" t="s">
        <v>53</v>
      </c>
      <c r="U115" s="119" t="s">
        <v>53</v>
      </c>
      <c r="V115" s="119" t="s">
        <v>53</v>
      </c>
      <c r="W115" s="119" t="s">
        <v>53</v>
      </c>
      <c r="X115" s="149" t="s">
        <v>561</v>
      </c>
      <c r="Y115" s="149" t="s">
        <v>561</v>
      </c>
      <c r="Z115" s="149" t="s">
        <v>561</v>
      </c>
      <c r="AA115" s="149" t="s">
        <v>561</v>
      </c>
      <c r="AB115" s="149" t="s">
        <v>561</v>
      </c>
      <c r="AC115" s="125" t="s">
        <v>561</v>
      </c>
      <c r="AD115" s="149" t="s">
        <v>561</v>
      </c>
      <c r="AE115" s="128" t="s">
        <v>561</v>
      </c>
      <c r="AF115" s="125" t="s">
        <v>561</v>
      </c>
      <c r="AG115" s="121" t="s">
        <v>53</v>
      </c>
      <c r="AH115" s="128" t="s">
        <v>561</v>
      </c>
      <c r="AI115" s="125" t="s">
        <v>53</v>
      </c>
      <c r="AJ115" s="128" t="s">
        <v>561</v>
      </c>
      <c r="AK115" s="125" t="s">
        <v>561</v>
      </c>
      <c r="AL115" s="128" t="s">
        <v>561</v>
      </c>
      <c r="AM115" s="128" t="s">
        <v>561</v>
      </c>
      <c r="AN115" s="128" t="s">
        <v>561</v>
      </c>
      <c r="AO115" s="128" t="s">
        <v>53</v>
      </c>
      <c r="AP115" s="121" t="s">
        <v>561</v>
      </c>
      <c r="AQ115" s="128" t="s">
        <v>53</v>
      </c>
      <c r="AR115" s="128" t="s">
        <v>561</v>
      </c>
      <c r="AS115" s="117" t="s">
        <v>561</v>
      </c>
      <c r="AT115" s="117" t="s">
        <v>561</v>
      </c>
      <c r="AU115" s="117" t="s">
        <v>561</v>
      </c>
      <c r="AV115" s="117" t="s">
        <v>561</v>
      </c>
      <c r="AW115" s="117" t="s">
        <v>561</v>
      </c>
      <c r="AX115" s="117" t="s">
        <v>561</v>
      </c>
      <c r="AY115" s="117" t="s">
        <v>561</v>
      </c>
      <c r="AZ115" s="117" t="s">
        <v>561</v>
      </c>
      <c r="BA115" s="117" t="s">
        <v>561</v>
      </c>
      <c r="BB115" s="117" t="s">
        <v>600</v>
      </c>
      <c r="BC115" s="117" t="s">
        <v>600</v>
      </c>
      <c r="BD115" s="129" t="s">
        <v>821</v>
      </c>
      <c r="BE115" s="129" t="s">
        <v>821</v>
      </c>
      <c r="BF115" s="130"/>
      <c r="BG115" s="130">
        <f t="shared" si="8"/>
        <v>22775</v>
      </c>
      <c r="BH115" s="131">
        <v>20775.0</v>
      </c>
      <c r="BI115" s="131"/>
      <c r="BJ115" s="132">
        <f>2000</f>
        <v>2000</v>
      </c>
      <c r="BK115" s="132"/>
      <c r="BL115" s="133"/>
      <c r="BM115" s="133" t="s">
        <v>561</v>
      </c>
      <c r="BN115" s="133"/>
      <c r="BO115" s="133"/>
      <c r="BP115" s="133" t="s">
        <v>845</v>
      </c>
      <c r="BQ115" s="134"/>
      <c r="BR115" s="134"/>
      <c r="BS115" s="134"/>
      <c r="BT115" s="134"/>
      <c r="BU115" s="137">
        <f t="shared" si="6"/>
        <v>0.107</v>
      </c>
      <c r="BV115" s="138">
        <v>0.546</v>
      </c>
      <c r="BW115" s="137">
        <v>0.439</v>
      </c>
      <c r="BX115" s="137"/>
      <c r="BY115" s="137">
        <f t="shared" si="7"/>
        <v>0.042</v>
      </c>
      <c r="BZ115" s="138">
        <v>0.499</v>
      </c>
      <c r="CA115" s="137">
        <v>0.457</v>
      </c>
      <c r="CB115" s="137"/>
      <c r="CC115" s="138">
        <v>0.674</v>
      </c>
      <c r="CD115" s="137">
        <v>0.18</v>
      </c>
      <c r="CE115" s="137">
        <v>0.08800000000000001</v>
      </c>
      <c r="CF115" s="137">
        <v>0.042</v>
      </c>
      <c r="CG115" s="137">
        <v>0.015</v>
      </c>
      <c r="CH115" s="137">
        <v>0.001</v>
      </c>
      <c r="CI115" s="139"/>
      <c r="CJ115" s="138">
        <v>0.752</v>
      </c>
      <c r="CK115" s="137">
        <v>0.142</v>
      </c>
      <c r="CL115" s="137">
        <v>0.071</v>
      </c>
      <c r="CM115" s="137">
        <v>0.028999999999999998</v>
      </c>
      <c r="CN115" s="137">
        <v>0.005</v>
      </c>
      <c r="CO115" s="137">
        <v>0.0</v>
      </c>
      <c r="CP115" s="137"/>
      <c r="CQ115" s="137">
        <v>0.368</v>
      </c>
      <c r="CR115" s="137">
        <v>0.41600000000000004</v>
      </c>
      <c r="CS115" s="137">
        <v>0.439</v>
      </c>
    </row>
    <row r="116">
      <c r="A116" s="112">
        <f t="shared" si="1"/>
        <v>114</v>
      </c>
      <c r="B116" s="112" t="s">
        <v>339</v>
      </c>
      <c r="C116" s="112" t="s">
        <v>341</v>
      </c>
      <c r="D116" s="113" t="s">
        <v>331</v>
      </c>
      <c r="E116" s="186"/>
      <c r="F116" s="115">
        <f t="shared" si="2"/>
        <v>0</v>
      </c>
      <c r="G116" s="115">
        <f t="shared" si="3"/>
        <v>0.2837837838</v>
      </c>
      <c r="H116" s="116">
        <f t="shared" si="4"/>
        <v>0.2128378378</v>
      </c>
      <c r="I116" s="117" t="s">
        <v>594</v>
      </c>
      <c r="J116" s="117" t="s">
        <v>594</v>
      </c>
      <c r="K116" s="117" t="s">
        <v>594</v>
      </c>
      <c r="L116" s="117" t="s">
        <v>594</v>
      </c>
      <c r="M116" s="117" t="s">
        <v>594</v>
      </c>
      <c r="N116" s="117" t="s">
        <v>594</v>
      </c>
      <c r="O116" s="149" t="s">
        <v>1256</v>
      </c>
      <c r="P116" s="120" t="s">
        <v>53</v>
      </c>
      <c r="Q116" s="121" t="s">
        <v>53</v>
      </c>
      <c r="R116" s="121" t="s">
        <v>561</v>
      </c>
      <c r="S116" s="119" t="s">
        <v>53</v>
      </c>
      <c r="T116" s="119" t="s">
        <v>53</v>
      </c>
      <c r="U116" s="149" t="s">
        <v>561</v>
      </c>
      <c r="V116" s="119" t="s">
        <v>53</v>
      </c>
      <c r="W116" s="119" t="s">
        <v>53</v>
      </c>
      <c r="X116" s="149" t="s">
        <v>561</v>
      </c>
      <c r="Y116" s="149" t="s">
        <v>561</v>
      </c>
      <c r="Z116" s="149" t="s">
        <v>561</v>
      </c>
      <c r="AA116" s="149" t="s">
        <v>561</v>
      </c>
      <c r="AB116" s="149" t="s">
        <v>561</v>
      </c>
      <c r="AC116" s="125" t="s">
        <v>561</v>
      </c>
      <c r="AD116" s="149" t="s">
        <v>561</v>
      </c>
      <c r="AE116" s="121" t="s">
        <v>53</v>
      </c>
      <c r="AF116" s="125" t="s">
        <v>561</v>
      </c>
      <c r="AG116" s="121" t="s">
        <v>561</v>
      </c>
      <c r="AH116" s="128" t="s">
        <v>561</v>
      </c>
      <c r="AI116" s="125" t="s">
        <v>53</v>
      </c>
      <c r="AJ116" s="128" t="s">
        <v>561</v>
      </c>
      <c r="AK116" s="125" t="s">
        <v>799</v>
      </c>
      <c r="AL116" s="128" t="s">
        <v>561</v>
      </c>
      <c r="AM116" s="128" t="s">
        <v>561</v>
      </c>
      <c r="AN116" s="128" t="s">
        <v>561</v>
      </c>
      <c r="AO116" s="128" t="s">
        <v>53</v>
      </c>
      <c r="AP116" s="121" t="s">
        <v>561</v>
      </c>
      <c r="AQ116" s="128" t="s">
        <v>53</v>
      </c>
      <c r="AR116" s="128" t="s">
        <v>801</v>
      </c>
      <c r="AS116" s="117" t="s">
        <v>801</v>
      </c>
      <c r="AT116" s="117" t="s">
        <v>561</v>
      </c>
      <c r="AU116" s="117" t="s">
        <v>561</v>
      </c>
      <c r="AV116" s="117" t="s">
        <v>561</v>
      </c>
      <c r="AW116" s="117" t="s">
        <v>561</v>
      </c>
      <c r="AX116" s="117" t="s">
        <v>561</v>
      </c>
      <c r="AY116" s="117" t="s">
        <v>561</v>
      </c>
      <c r="AZ116" s="117" t="s">
        <v>561</v>
      </c>
      <c r="BA116" s="117" t="s">
        <v>561</v>
      </c>
      <c r="BB116" s="117" t="s">
        <v>561</v>
      </c>
      <c r="BC116" s="117" t="s">
        <v>600</v>
      </c>
      <c r="BD116" s="164" t="s">
        <v>1832</v>
      </c>
      <c r="BE116" s="129" t="s">
        <v>821</v>
      </c>
      <c r="BF116" s="130"/>
      <c r="BG116" s="130">
        <f t="shared" si="8"/>
        <v>5600</v>
      </c>
      <c r="BH116" s="131">
        <v>5600.0</v>
      </c>
      <c r="BI116" s="131"/>
      <c r="BJ116" s="132"/>
      <c r="BK116" s="132"/>
      <c r="BL116" s="133"/>
      <c r="BM116" s="133"/>
      <c r="BN116" s="133"/>
      <c r="BO116" s="133" t="s">
        <v>561</v>
      </c>
      <c r="BP116" s="133" t="s">
        <v>1207</v>
      </c>
      <c r="BQ116" s="134"/>
      <c r="BR116" s="150" t="s">
        <v>1569</v>
      </c>
      <c r="BS116" s="181" t="s">
        <v>122</v>
      </c>
      <c r="BT116" s="134"/>
      <c r="BU116" s="137">
        <f t="shared" si="6"/>
        <v>0.304</v>
      </c>
      <c r="BV116" s="138">
        <v>0.6409999999999999</v>
      </c>
      <c r="BW116" s="137">
        <v>0.337</v>
      </c>
      <c r="BX116" s="137"/>
      <c r="BY116" s="137">
        <f t="shared" si="7"/>
        <v>0.395</v>
      </c>
      <c r="BZ116" s="138">
        <v>0.6679999999999999</v>
      </c>
      <c r="CA116" s="137">
        <v>0.273</v>
      </c>
      <c r="CB116" s="137"/>
      <c r="CC116" s="137">
        <v>0.172</v>
      </c>
      <c r="CD116" s="138">
        <v>0.612</v>
      </c>
      <c r="CE116" s="137">
        <v>0.027000000000000003</v>
      </c>
      <c r="CF116" s="137">
        <v>0.183</v>
      </c>
      <c r="CG116" s="137">
        <v>0.044000000000000004</v>
      </c>
      <c r="CH116" s="137">
        <v>0.006999999999999999</v>
      </c>
      <c r="CI116" s="139"/>
      <c r="CJ116" s="137">
        <v>0.253</v>
      </c>
      <c r="CK116" s="138">
        <v>0.518</v>
      </c>
      <c r="CL116" s="137">
        <v>0.026000000000000002</v>
      </c>
      <c r="CM116" s="137">
        <v>0.189</v>
      </c>
      <c r="CN116" s="137">
        <v>0.005</v>
      </c>
      <c r="CO116" s="137">
        <v>0.005</v>
      </c>
      <c r="CP116" s="137"/>
      <c r="CQ116" s="137">
        <v>0.212</v>
      </c>
      <c r="CR116" s="137">
        <v>0.33</v>
      </c>
      <c r="CS116" s="137">
        <v>0.16899999999999998</v>
      </c>
    </row>
    <row r="117">
      <c r="A117" s="112">
        <f t="shared" si="1"/>
        <v>115</v>
      </c>
      <c r="B117" s="112" t="s">
        <v>200</v>
      </c>
      <c r="C117" s="112" t="s">
        <v>201</v>
      </c>
      <c r="D117" s="113" t="s">
        <v>195</v>
      </c>
      <c r="E117" s="163"/>
      <c r="F117" s="115">
        <f t="shared" si="2"/>
        <v>0</v>
      </c>
      <c r="G117" s="115">
        <f t="shared" si="3"/>
        <v>0.2820512821</v>
      </c>
      <c r="H117" s="116">
        <f t="shared" si="4"/>
        <v>0.2115384615</v>
      </c>
      <c r="I117" s="117" t="s">
        <v>594</v>
      </c>
      <c r="J117" s="117" t="s">
        <v>594</v>
      </c>
      <c r="K117" s="117" t="s">
        <v>594</v>
      </c>
      <c r="L117" s="117" t="s">
        <v>594</v>
      </c>
      <c r="M117" s="117" t="s">
        <v>594</v>
      </c>
      <c r="N117" s="117" t="s">
        <v>594</v>
      </c>
      <c r="O117" s="149" t="s">
        <v>1256</v>
      </c>
      <c r="P117" s="185" t="s">
        <v>561</v>
      </c>
      <c r="Q117" s="121" t="s">
        <v>53</v>
      </c>
      <c r="R117" s="121" t="s">
        <v>561</v>
      </c>
      <c r="S117" s="119" t="s">
        <v>53</v>
      </c>
      <c r="T117" s="119" t="s">
        <v>53</v>
      </c>
      <c r="U117" s="119" t="s">
        <v>53</v>
      </c>
      <c r="V117" s="119" t="s">
        <v>53</v>
      </c>
      <c r="W117" s="119" t="s">
        <v>53</v>
      </c>
      <c r="X117" s="149" t="s">
        <v>561</v>
      </c>
      <c r="Y117" s="149" t="s">
        <v>561</v>
      </c>
      <c r="Z117" s="149" t="s">
        <v>561</v>
      </c>
      <c r="AA117" s="149" t="s">
        <v>561</v>
      </c>
      <c r="AB117" s="149" t="s">
        <v>561</v>
      </c>
      <c r="AC117" s="125" t="s">
        <v>561</v>
      </c>
      <c r="AD117" s="149" t="s">
        <v>561</v>
      </c>
      <c r="AE117" s="128" t="s">
        <v>561</v>
      </c>
      <c r="AF117" s="125" t="s">
        <v>561</v>
      </c>
      <c r="AG117" s="121" t="s">
        <v>53</v>
      </c>
      <c r="AH117" s="128" t="s">
        <v>561</v>
      </c>
      <c r="AI117" s="125" t="s">
        <v>53</v>
      </c>
      <c r="AJ117" s="128" t="s">
        <v>561</v>
      </c>
      <c r="AK117" s="125" t="s">
        <v>561</v>
      </c>
      <c r="AL117" s="128" t="s">
        <v>561</v>
      </c>
      <c r="AM117" s="128" t="s">
        <v>561</v>
      </c>
      <c r="AN117" s="128" t="s">
        <v>561</v>
      </c>
      <c r="AO117" s="128" t="s">
        <v>53</v>
      </c>
      <c r="AP117" s="121" t="s">
        <v>561</v>
      </c>
      <c r="AQ117" s="128" t="s">
        <v>53</v>
      </c>
      <c r="AR117" s="128" t="s">
        <v>561</v>
      </c>
      <c r="AS117" s="117" t="s">
        <v>561</v>
      </c>
      <c r="AT117" s="117" t="s">
        <v>561</v>
      </c>
      <c r="AU117" s="117" t="s">
        <v>561</v>
      </c>
      <c r="AV117" s="117" t="s">
        <v>561</v>
      </c>
      <c r="AW117" s="117" t="s">
        <v>561</v>
      </c>
      <c r="AX117" s="117" t="s">
        <v>561</v>
      </c>
      <c r="AY117" s="117" t="s">
        <v>561</v>
      </c>
      <c r="AZ117" s="117" t="s">
        <v>561</v>
      </c>
      <c r="BA117" s="117" t="s">
        <v>561</v>
      </c>
      <c r="BB117" s="117" t="s">
        <v>53</v>
      </c>
      <c r="BC117" s="117" t="s">
        <v>600</v>
      </c>
      <c r="BD117" s="164" t="s">
        <v>1832</v>
      </c>
      <c r="BE117" s="129" t="s">
        <v>821</v>
      </c>
      <c r="BF117" s="130"/>
      <c r="BG117" s="130">
        <f t="shared" si="8"/>
        <v>4000</v>
      </c>
      <c r="BH117" s="131">
        <v>4000.0</v>
      </c>
      <c r="BI117" s="131"/>
      <c r="BJ117" s="132"/>
      <c r="BK117" s="132"/>
      <c r="BL117" s="133"/>
      <c r="BM117" s="133" t="s">
        <v>561</v>
      </c>
      <c r="BN117" s="133"/>
      <c r="BO117" s="133" t="s">
        <v>561</v>
      </c>
      <c r="BP117" s="133" t="s">
        <v>1207</v>
      </c>
      <c r="BQ117" s="134"/>
      <c r="BR117" s="150" t="s">
        <v>1569</v>
      </c>
      <c r="BS117" s="181" t="s">
        <v>122</v>
      </c>
      <c r="BT117" s="134"/>
      <c r="BU117" s="137">
        <f t="shared" si="6"/>
        <v>0.29</v>
      </c>
      <c r="BV117" s="138">
        <v>0.633</v>
      </c>
      <c r="BW117" s="137">
        <v>0.34299999999999997</v>
      </c>
      <c r="BX117" s="137"/>
      <c r="BY117" s="137">
        <f t="shared" si="7"/>
        <v>0.251</v>
      </c>
      <c r="BZ117" s="138">
        <v>0.591</v>
      </c>
      <c r="CA117" s="137">
        <v>0.34</v>
      </c>
      <c r="CB117" s="137"/>
      <c r="CC117" s="138">
        <v>0.542</v>
      </c>
      <c r="CD117" s="137">
        <v>0.33899999999999997</v>
      </c>
      <c r="CE117" s="137">
        <v>0.026000000000000002</v>
      </c>
      <c r="CF117" s="137">
        <v>0.073</v>
      </c>
      <c r="CG117" s="137">
        <v>0.038</v>
      </c>
      <c r="CH117" s="137">
        <v>0.005</v>
      </c>
      <c r="CI117" s="139"/>
      <c r="CJ117" s="138">
        <v>0.642</v>
      </c>
      <c r="CK117" s="137">
        <v>0.26</v>
      </c>
      <c r="CL117" s="137">
        <v>0.026000000000000002</v>
      </c>
      <c r="CM117" s="137">
        <v>0.057</v>
      </c>
      <c r="CN117" s="137">
        <v>0.012</v>
      </c>
      <c r="CO117" s="137">
        <v>0.001</v>
      </c>
      <c r="CP117" s="137"/>
      <c r="CQ117" s="137">
        <v>0.368</v>
      </c>
      <c r="CR117" s="137">
        <v>0.47700000000000004</v>
      </c>
      <c r="CS117" s="137">
        <v>0.336</v>
      </c>
    </row>
    <row r="118">
      <c r="A118" s="112">
        <f t="shared" si="1"/>
        <v>115</v>
      </c>
      <c r="B118" s="112" t="s">
        <v>426</v>
      </c>
      <c r="C118" s="112" t="s">
        <v>427</v>
      </c>
      <c r="D118" s="113" t="s">
        <v>423</v>
      </c>
      <c r="E118" s="186"/>
      <c r="F118" s="115">
        <f t="shared" si="2"/>
        <v>0</v>
      </c>
      <c r="G118" s="115">
        <f t="shared" si="3"/>
        <v>0.2820512821</v>
      </c>
      <c r="H118" s="116">
        <f t="shared" si="4"/>
        <v>0.2115384615</v>
      </c>
      <c r="I118" s="117" t="s">
        <v>594</v>
      </c>
      <c r="J118" s="117" t="s">
        <v>594</v>
      </c>
      <c r="K118" s="117" t="s">
        <v>594</v>
      </c>
      <c r="L118" s="117" t="s">
        <v>594</v>
      </c>
      <c r="M118" s="117" t="s">
        <v>594</v>
      </c>
      <c r="N118" s="117" t="s">
        <v>594</v>
      </c>
      <c r="O118" s="149" t="s">
        <v>1256</v>
      </c>
      <c r="P118" s="185" t="s">
        <v>561</v>
      </c>
      <c r="Q118" s="121" t="s">
        <v>53</v>
      </c>
      <c r="R118" s="121" t="s">
        <v>561</v>
      </c>
      <c r="S118" s="119" t="s">
        <v>53</v>
      </c>
      <c r="T118" s="119" t="s">
        <v>53</v>
      </c>
      <c r="U118" s="119" t="s">
        <v>53</v>
      </c>
      <c r="V118" s="119" t="s">
        <v>53</v>
      </c>
      <c r="W118" s="119" t="s">
        <v>53</v>
      </c>
      <c r="X118" s="149" t="s">
        <v>561</v>
      </c>
      <c r="Y118" s="149" t="s">
        <v>561</v>
      </c>
      <c r="Z118" s="149" t="s">
        <v>561</v>
      </c>
      <c r="AA118" s="149" t="s">
        <v>561</v>
      </c>
      <c r="AB118" s="149" t="s">
        <v>561</v>
      </c>
      <c r="AC118" s="125" t="s">
        <v>561</v>
      </c>
      <c r="AD118" s="123" t="s">
        <v>801</v>
      </c>
      <c r="AE118" s="128" t="s">
        <v>561</v>
      </c>
      <c r="AF118" s="125" t="s">
        <v>561</v>
      </c>
      <c r="AG118" s="121" t="s">
        <v>53</v>
      </c>
      <c r="AH118" s="128" t="s">
        <v>561</v>
      </c>
      <c r="AI118" s="125" t="s">
        <v>53</v>
      </c>
      <c r="AJ118" s="121" t="s">
        <v>53</v>
      </c>
      <c r="AK118" s="125" t="s">
        <v>561</v>
      </c>
      <c r="AL118" s="128" t="s">
        <v>561</v>
      </c>
      <c r="AM118" s="128" t="s">
        <v>561</v>
      </c>
      <c r="AN118" s="128" t="s">
        <v>561</v>
      </c>
      <c r="AO118" s="128" t="s">
        <v>53</v>
      </c>
      <c r="AP118" s="121" t="s">
        <v>561</v>
      </c>
      <c r="AQ118" s="128" t="s">
        <v>53</v>
      </c>
      <c r="AR118" s="128" t="s">
        <v>561</v>
      </c>
      <c r="AS118" s="117" t="s">
        <v>561</v>
      </c>
      <c r="AT118" s="117" t="s">
        <v>561</v>
      </c>
      <c r="AU118" s="117" t="s">
        <v>561</v>
      </c>
      <c r="AV118" s="117" t="s">
        <v>561</v>
      </c>
      <c r="AW118" s="117" t="s">
        <v>561</v>
      </c>
      <c r="AX118" s="117" t="s">
        <v>561</v>
      </c>
      <c r="AY118" s="117" t="s">
        <v>561</v>
      </c>
      <c r="AZ118" s="117" t="s">
        <v>561</v>
      </c>
      <c r="BA118" s="117" t="s">
        <v>561</v>
      </c>
      <c r="BB118" s="117" t="s">
        <v>561</v>
      </c>
      <c r="BC118" s="117" t="s">
        <v>561</v>
      </c>
      <c r="BD118" s="129" t="s">
        <v>821</v>
      </c>
      <c r="BE118" s="129" t="s">
        <v>821</v>
      </c>
      <c r="BF118" s="130"/>
      <c r="BG118" s="130">
        <f t="shared" si="8"/>
        <v>41000</v>
      </c>
      <c r="BH118" s="131">
        <v>41000.0</v>
      </c>
      <c r="BI118" s="131"/>
      <c r="BJ118" s="132"/>
      <c r="BK118" s="132"/>
      <c r="BL118" s="133"/>
      <c r="BM118" s="133"/>
      <c r="BN118" s="133"/>
      <c r="BO118" s="133" t="s">
        <v>561</v>
      </c>
      <c r="BP118" s="133" t="s">
        <v>1678</v>
      </c>
      <c r="BQ118" s="134"/>
      <c r="BR118" s="150" t="s">
        <v>1569</v>
      </c>
      <c r="BS118" s="181" t="s">
        <v>122</v>
      </c>
      <c r="BT118" s="134"/>
      <c r="BU118" s="137">
        <f t="shared" si="6"/>
        <v>0.31</v>
      </c>
      <c r="BV118" s="138">
        <v>0.648</v>
      </c>
      <c r="BW118" s="137">
        <v>0.33799999999999997</v>
      </c>
      <c r="BX118" s="137"/>
      <c r="BY118" s="137">
        <f t="shared" si="7"/>
        <v>0.245</v>
      </c>
      <c r="BZ118" s="138">
        <v>0.602</v>
      </c>
      <c r="CA118" s="137">
        <v>0.35700000000000004</v>
      </c>
      <c r="CB118" s="137"/>
      <c r="CC118" s="138">
        <v>0.595</v>
      </c>
      <c r="CD118" s="137">
        <v>0.19899999999999998</v>
      </c>
      <c r="CE118" s="137">
        <v>0.134</v>
      </c>
      <c r="CF118" s="137">
        <v>0.062</v>
      </c>
      <c r="CG118" s="137">
        <v>0.012</v>
      </c>
      <c r="CH118" s="137">
        <v>0.001</v>
      </c>
      <c r="CI118" s="139"/>
      <c r="CJ118" s="138">
        <v>0.68</v>
      </c>
      <c r="CK118" s="137">
        <v>0.146</v>
      </c>
      <c r="CL118" s="137">
        <v>0.122</v>
      </c>
      <c r="CM118" s="137">
        <v>0.047</v>
      </c>
      <c r="CN118" s="137">
        <v>0.004</v>
      </c>
      <c r="CO118" s="137">
        <v>0.0</v>
      </c>
      <c r="CP118" s="137"/>
      <c r="CQ118" s="138">
        <v>0.52</v>
      </c>
      <c r="CR118" s="138">
        <v>0.6409999999999999</v>
      </c>
      <c r="CS118" s="137">
        <v>0.244</v>
      </c>
    </row>
    <row r="119">
      <c r="A119" s="112">
        <f t="shared" si="1"/>
        <v>115</v>
      </c>
      <c r="B119" s="112" t="s">
        <v>1887</v>
      </c>
      <c r="C119" s="112" t="s">
        <v>904</v>
      </c>
      <c r="D119" s="113" t="s">
        <v>899</v>
      </c>
      <c r="E119" s="186"/>
      <c r="F119" s="115">
        <f t="shared" si="2"/>
        <v>0</v>
      </c>
      <c r="G119" s="115">
        <f t="shared" si="3"/>
        <v>0.2820512821</v>
      </c>
      <c r="H119" s="116">
        <f t="shared" si="4"/>
        <v>0.2115384615</v>
      </c>
      <c r="I119" s="117" t="s">
        <v>594</v>
      </c>
      <c r="J119" s="117" t="s">
        <v>594</v>
      </c>
      <c r="K119" s="117" t="s">
        <v>594</v>
      </c>
      <c r="L119" s="117" t="s">
        <v>594</v>
      </c>
      <c r="M119" s="117" t="s">
        <v>594</v>
      </c>
      <c r="N119" s="117" t="s">
        <v>594</v>
      </c>
      <c r="O119" s="149" t="s">
        <v>1256</v>
      </c>
      <c r="P119" s="120" t="s">
        <v>53</v>
      </c>
      <c r="Q119" s="121" t="s">
        <v>53</v>
      </c>
      <c r="R119" s="121" t="s">
        <v>561</v>
      </c>
      <c r="S119" s="119" t="s">
        <v>53</v>
      </c>
      <c r="T119" s="119" t="s">
        <v>53</v>
      </c>
      <c r="U119" s="119" t="s">
        <v>53</v>
      </c>
      <c r="V119" s="119" t="s">
        <v>53</v>
      </c>
      <c r="W119" s="119" t="s">
        <v>53</v>
      </c>
      <c r="X119" s="149" t="s">
        <v>561</v>
      </c>
      <c r="Y119" s="149" t="s">
        <v>561</v>
      </c>
      <c r="Z119" s="149" t="s">
        <v>561</v>
      </c>
      <c r="AA119" s="149" t="s">
        <v>561</v>
      </c>
      <c r="AB119" s="149" t="s">
        <v>561</v>
      </c>
      <c r="AC119" s="125" t="s">
        <v>561</v>
      </c>
      <c r="AD119" s="149" t="s">
        <v>561</v>
      </c>
      <c r="AE119" s="128" t="s">
        <v>561</v>
      </c>
      <c r="AF119" s="125" t="s">
        <v>561</v>
      </c>
      <c r="AG119" s="121" t="s">
        <v>53</v>
      </c>
      <c r="AH119" s="128" t="s">
        <v>561</v>
      </c>
      <c r="AI119" s="128" t="s">
        <v>561</v>
      </c>
      <c r="AJ119" s="128" t="s">
        <v>561</v>
      </c>
      <c r="AK119" s="125" t="s">
        <v>561</v>
      </c>
      <c r="AL119" s="128" t="s">
        <v>561</v>
      </c>
      <c r="AM119" s="128" t="s">
        <v>561</v>
      </c>
      <c r="AN119" s="128" t="s">
        <v>561</v>
      </c>
      <c r="AO119" s="128" t="s">
        <v>53</v>
      </c>
      <c r="AP119" s="121" t="s">
        <v>561</v>
      </c>
      <c r="AQ119" s="128" t="s">
        <v>53</v>
      </c>
      <c r="AR119" s="128" t="s">
        <v>561</v>
      </c>
      <c r="AS119" s="117" t="s">
        <v>561</v>
      </c>
      <c r="AT119" s="117" t="s">
        <v>561</v>
      </c>
      <c r="AU119" s="117" t="s">
        <v>561</v>
      </c>
      <c r="AV119" s="117" t="s">
        <v>561</v>
      </c>
      <c r="AW119" s="117" t="s">
        <v>561</v>
      </c>
      <c r="AX119" s="117" t="s">
        <v>561</v>
      </c>
      <c r="AY119" s="117" t="s">
        <v>561</v>
      </c>
      <c r="AZ119" s="117" t="s">
        <v>561</v>
      </c>
      <c r="BA119" s="117" t="s">
        <v>561</v>
      </c>
      <c r="BB119" s="117" t="s">
        <v>53</v>
      </c>
      <c r="BC119" s="117" t="s">
        <v>600</v>
      </c>
      <c r="BD119" s="129" t="s">
        <v>821</v>
      </c>
      <c r="BE119" s="129" t="s">
        <v>821</v>
      </c>
      <c r="BF119" s="130"/>
      <c r="BG119" s="130">
        <f t="shared" si="8"/>
        <v>0</v>
      </c>
      <c r="BH119" s="131"/>
      <c r="BI119" s="131"/>
      <c r="BJ119" s="132"/>
      <c r="BK119" s="132"/>
      <c r="BL119" s="133"/>
      <c r="BM119" s="133" t="s">
        <v>561</v>
      </c>
      <c r="BN119" s="133"/>
      <c r="BO119" s="133"/>
      <c r="BP119" s="133" t="s">
        <v>1311</v>
      </c>
      <c r="BQ119" s="134"/>
      <c r="BR119" s="150" t="s">
        <v>1569</v>
      </c>
      <c r="BS119" s="134"/>
      <c r="BT119" s="134"/>
      <c r="BU119" s="137">
        <f t="shared" si="6"/>
        <v>0.089</v>
      </c>
      <c r="BV119" s="138">
        <v>0.536</v>
      </c>
      <c r="BW119" s="137">
        <v>0.447</v>
      </c>
      <c r="BX119" s="137"/>
      <c r="BY119" s="137">
        <f t="shared" si="7"/>
        <v>0.024</v>
      </c>
      <c r="BZ119" s="138">
        <v>0.478</v>
      </c>
      <c r="CA119" s="137">
        <v>0.45399999999999996</v>
      </c>
      <c r="CB119" s="137"/>
      <c r="CC119" s="138">
        <v>0.887</v>
      </c>
      <c r="CD119" s="137">
        <v>0.036000000000000004</v>
      </c>
      <c r="CE119" s="137">
        <v>0.018000000000000002</v>
      </c>
      <c r="CF119" s="137">
        <v>0.031</v>
      </c>
      <c r="CG119" s="137">
        <v>0.018000000000000002</v>
      </c>
      <c r="CH119" s="137">
        <v>0.001</v>
      </c>
      <c r="CI119" s="139"/>
      <c r="CJ119" s="138">
        <v>0.929</v>
      </c>
      <c r="CK119" s="137">
        <v>0.028999999999999998</v>
      </c>
      <c r="CL119" s="137">
        <v>0.012</v>
      </c>
      <c r="CM119" s="137">
        <v>0.021</v>
      </c>
      <c r="CN119" s="137">
        <v>0.008</v>
      </c>
      <c r="CO119" s="137">
        <v>0.0</v>
      </c>
      <c r="CP119" s="137"/>
      <c r="CQ119" s="137">
        <v>0.371</v>
      </c>
      <c r="CR119" s="137">
        <v>0.369</v>
      </c>
      <c r="CS119" s="138">
        <v>0.586</v>
      </c>
    </row>
    <row r="120">
      <c r="A120" s="112">
        <f t="shared" si="1"/>
        <v>118</v>
      </c>
      <c r="B120" s="112" t="s">
        <v>548</v>
      </c>
      <c r="C120" s="112" t="s">
        <v>549</v>
      </c>
      <c r="D120" s="113" t="s">
        <v>543</v>
      </c>
      <c r="E120" s="163"/>
      <c r="F120" s="115">
        <f t="shared" si="2"/>
        <v>0</v>
      </c>
      <c r="G120" s="115">
        <f t="shared" si="3"/>
        <v>0.2763157895</v>
      </c>
      <c r="H120" s="116">
        <f t="shared" si="4"/>
        <v>0.2072368421</v>
      </c>
      <c r="I120" s="117" t="s">
        <v>594</v>
      </c>
      <c r="J120" s="117" t="s">
        <v>594</v>
      </c>
      <c r="K120" s="117" t="s">
        <v>594</v>
      </c>
      <c r="L120" s="117" t="s">
        <v>594</v>
      </c>
      <c r="M120" s="117" t="s">
        <v>594</v>
      </c>
      <c r="N120" s="117" t="s">
        <v>594</v>
      </c>
      <c r="O120" s="149" t="s">
        <v>1256</v>
      </c>
      <c r="P120" s="185" t="s">
        <v>561</v>
      </c>
      <c r="Q120" s="121" t="s">
        <v>561</v>
      </c>
      <c r="R120" s="121" t="s">
        <v>561</v>
      </c>
      <c r="S120" s="149" t="s">
        <v>561</v>
      </c>
      <c r="T120" s="119" t="s">
        <v>53</v>
      </c>
      <c r="U120" s="119" t="s">
        <v>53</v>
      </c>
      <c r="V120" s="119" t="s">
        <v>53</v>
      </c>
      <c r="W120" s="119" t="s">
        <v>53</v>
      </c>
      <c r="X120" s="119" t="s">
        <v>53</v>
      </c>
      <c r="Y120" s="149" t="s">
        <v>561</v>
      </c>
      <c r="Z120" s="149" t="s">
        <v>561</v>
      </c>
      <c r="AA120" s="149" t="s">
        <v>561</v>
      </c>
      <c r="AB120" s="149" t="s">
        <v>561</v>
      </c>
      <c r="AC120" s="125" t="s">
        <v>561</v>
      </c>
      <c r="AD120" s="149" t="s">
        <v>561</v>
      </c>
      <c r="AE120" s="128" t="s">
        <v>561</v>
      </c>
      <c r="AF120" s="125" t="s">
        <v>561</v>
      </c>
      <c r="AG120" s="121" t="s">
        <v>53</v>
      </c>
      <c r="AH120" s="128" t="s">
        <v>561</v>
      </c>
      <c r="AI120" s="125" t="s">
        <v>53</v>
      </c>
      <c r="AJ120" s="128" t="s">
        <v>561</v>
      </c>
      <c r="AK120" s="125" t="s">
        <v>799</v>
      </c>
      <c r="AL120" s="128" t="s">
        <v>561</v>
      </c>
      <c r="AM120" s="128" t="s">
        <v>561</v>
      </c>
      <c r="AN120" s="128" t="s">
        <v>53</v>
      </c>
      <c r="AO120" s="128" t="s">
        <v>53</v>
      </c>
      <c r="AP120" s="121" t="s">
        <v>561</v>
      </c>
      <c r="AQ120" s="128" t="s">
        <v>53</v>
      </c>
      <c r="AR120" s="128" t="s">
        <v>561</v>
      </c>
      <c r="AS120" s="117" t="s">
        <v>561</v>
      </c>
      <c r="AT120" s="117" t="s">
        <v>561</v>
      </c>
      <c r="AU120" s="117" t="s">
        <v>561</v>
      </c>
      <c r="AV120" s="117" t="s">
        <v>561</v>
      </c>
      <c r="AW120" s="117" t="s">
        <v>561</v>
      </c>
      <c r="AX120" s="117" t="s">
        <v>561</v>
      </c>
      <c r="AY120" s="117" t="s">
        <v>561</v>
      </c>
      <c r="AZ120" s="117" t="s">
        <v>561</v>
      </c>
      <c r="BA120" s="117" t="s">
        <v>561</v>
      </c>
      <c r="BB120" s="117" t="s">
        <v>600</v>
      </c>
      <c r="BC120" s="117" t="s">
        <v>600</v>
      </c>
      <c r="BD120" s="129" t="s">
        <v>821</v>
      </c>
      <c r="BE120" s="164" t="s">
        <v>1832</v>
      </c>
      <c r="BF120" s="130"/>
      <c r="BG120" s="130">
        <f t="shared" si="8"/>
        <v>43450</v>
      </c>
      <c r="BH120" s="131">
        <v>43450.0</v>
      </c>
      <c r="BI120" s="131"/>
      <c r="BJ120" s="132"/>
      <c r="BK120" s="132"/>
      <c r="BL120" s="133"/>
      <c r="BM120" s="133"/>
      <c r="BN120" s="133"/>
      <c r="BO120" s="133" t="s">
        <v>561</v>
      </c>
      <c r="BP120" s="133" t="s">
        <v>2607</v>
      </c>
      <c r="BQ120" s="134"/>
      <c r="BR120" s="150" t="s">
        <v>1569</v>
      </c>
      <c r="BS120" s="181" t="s">
        <v>122</v>
      </c>
      <c r="BT120" s="134"/>
      <c r="BU120" s="137">
        <f t="shared" si="6"/>
        <v>0.294</v>
      </c>
      <c r="BV120" s="138">
        <v>0.639</v>
      </c>
      <c r="BW120" s="137">
        <v>0.345</v>
      </c>
      <c r="BX120" s="137"/>
      <c r="BY120" s="137">
        <f t="shared" si="7"/>
        <v>0.326</v>
      </c>
      <c r="BZ120" s="138">
        <v>0.631</v>
      </c>
      <c r="CA120" s="137">
        <v>0.305</v>
      </c>
      <c r="CB120" s="137"/>
      <c r="CC120" s="137">
        <v>0.161</v>
      </c>
      <c r="CD120" s="137">
        <v>0.066</v>
      </c>
      <c r="CE120" s="137">
        <v>0.031</v>
      </c>
      <c r="CF120" s="138">
        <v>0.6809999999999999</v>
      </c>
      <c r="CG120" s="137">
        <v>0.019</v>
      </c>
      <c r="CH120" s="137">
        <v>0.179</v>
      </c>
      <c r="CI120" s="139"/>
      <c r="CJ120" s="137">
        <v>0.177</v>
      </c>
      <c r="CK120" s="137">
        <v>0.076</v>
      </c>
      <c r="CL120" s="137">
        <v>0.027999999999999997</v>
      </c>
      <c r="CM120" s="138">
        <v>0.55</v>
      </c>
      <c r="CN120" s="137">
        <v>0.006</v>
      </c>
      <c r="CO120" s="137">
        <v>0.057999999999999996</v>
      </c>
      <c r="CP120" s="137"/>
      <c r="CQ120" s="137">
        <v>0.369</v>
      </c>
      <c r="CR120" s="138">
        <v>0.514</v>
      </c>
      <c r="CS120" s="137">
        <v>0.086</v>
      </c>
    </row>
    <row r="121">
      <c r="A121" s="112">
        <f t="shared" si="1"/>
        <v>119</v>
      </c>
      <c r="B121" s="112" t="s">
        <v>1479</v>
      </c>
      <c r="C121" s="112" t="s">
        <v>731</v>
      </c>
      <c r="D121" s="144" t="s">
        <v>728</v>
      </c>
      <c r="E121" s="186"/>
      <c r="F121" s="115">
        <f t="shared" si="2"/>
        <v>0</v>
      </c>
      <c r="G121" s="115">
        <f t="shared" si="3"/>
        <v>0.275</v>
      </c>
      <c r="H121" s="116">
        <f t="shared" si="4"/>
        <v>0.20625</v>
      </c>
      <c r="I121" s="117" t="s">
        <v>594</v>
      </c>
      <c r="J121" s="117" t="s">
        <v>594</v>
      </c>
      <c r="K121" s="117" t="s">
        <v>594</v>
      </c>
      <c r="L121" s="117" t="s">
        <v>594</v>
      </c>
      <c r="M121" s="117" t="s">
        <v>594</v>
      </c>
      <c r="N121" s="117" t="s">
        <v>594</v>
      </c>
      <c r="O121" s="149" t="s">
        <v>1256</v>
      </c>
      <c r="P121" s="120" t="s">
        <v>53</v>
      </c>
      <c r="Q121" s="121" t="s">
        <v>53</v>
      </c>
      <c r="R121" s="121" t="s">
        <v>561</v>
      </c>
      <c r="S121" s="119" t="s">
        <v>53</v>
      </c>
      <c r="T121" s="119" t="s">
        <v>53</v>
      </c>
      <c r="U121" s="119" t="s">
        <v>53</v>
      </c>
      <c r="V121" s="119" t="s">
        <v>53</v>
      </c>
      <c r="W121" s="119" t="s">
        <v>53</v>
      </c>
      <c r="X121" s="149" t="s">
        <v>561</v>
      </c>
      <c r="Y121" s="149" t="s">
        <v>561</v>
      </c>
      <c r="Z121" s="149" t="s">
        <v>561</v>
      </c>
      <c r="AA121" s="149" t="s">
        <v>561</v>
      </c>
      <c r="AB121" s="149" t="s">
        <v>561</v>
      </c>
      <c r="AC121" s="125" t="s">
        <v>561</v>
      </c>
      <c r="AD121" s="149" t="s">
        <v>561</v>
      </c>
      <c r="AE121" s="128" t="s">
        <v>561</v>
      </c>
      <c r="AF121" s="125" t="s">
        <v>561</v>
      </c>
      <c r="AG121" s="121" t="s">
        <v>53</v>
      </c>
      <c r="AH121" s="128" t="s">
        <v>561</v>
      </c>
      <c r="AI121" s="125" t="s">
        <v>53</v>
      </c>
      <c r="AJ121" s="128" t="s">
        <v>561</v>
      </c>
      <c r="AK121" s="125" t="s">
        <v>561</v>
      </c>
      <c r="AL121" s="128" t="s">
        <v>561</v>
      </c>
      <c r="AM121" s="128" t="s">
        <v>561</v>
      </c>
      <c r="AN121" s="128" t="s">
        <v>561</v>
      </c>
      <c r="AO121" s="128" t="s">
        <v>53</v>
      </c>
      <c r="AP121" s="121" t="s">
        <v>561</v>
      </c>
      <c r="AQ121" s="128" t="s">
        <v>53</v>
      </c>
      <c r="AR121" s="128" t="s">
        <v>561</v>
      </c>
      <c r="AS121" s="117" t="s">
        <v>561</v>
      </c>
      <c r="AT121" s="117" t="s">
        <v>561</v>
      </c>
      <c r="AU121" s="117" t="s">
        <v>561</v>
      </c>
      <c r="AV121" s="117" t="s">
        <v>561</v>
      </c>
      <c r="AW121" s="117" t="s">
        <v>561</v>
      </c>
      <c r="AX121" s="117" t="s">
        <v>561</v>
      </c>
      <c r="AY121" s="117" t="s">
        <v>561</v>
      </c>
      <c r="AZ121" s="117" t="s">
        <v>561</v>
      </c>
      <c r="BA121" s="117" t="s">
        <v>561</v>
      </c>
      <c r="BB121" s="117" t="s">
        <v>561</v>
      </c>
      <c r="BC121" s="117" t="s">
        <v>561</v>
      </c>
      <c r="BD121" s="129" t="s">
        <v>821</v>
      </c>
      <c r="BE121" s="129" t="s">
        <v>821</v>
      </c>
      <c r="BF121" s="130"/>
      <c r="BG121" s="130">
        <f t="shared" si="8"/>
        <v>47000</v>
      </c>
      <c r="BH121" s="131">
        <v>47000.0</v>
      </c>
      <c r="BI121" s="131"/>
      <c r="BJ121" s="132"/>
      <c r="BK121" s="132"/>
      <c r="BL121" s="133"/>
      <c r="BM121" s="133"/>
      <c r="BN121" s="133"/>
      <c r="BO121" s="133" t="s">
        <v>561</v>
      </c>
      <c r="BP121" s="133" t="s">
        <v>2609</v>
      </c>
      <c r="BQ121" s="134"/>
      <c r="BR121" s="134"/>
      <c r="BS121" s="181" t="s">
        <v>122</v>
      </c>
      <c r="BT121" s="134"/>
      <c r="BU121" s="137">
        <f t="shared" si="6"/>
        <v>0.216</v>
      </c>
      <c r="BV121" s="138">
        <v>0.598</v>
      </c>
      <c r="BW121" s="137">
        <v>0.382</v>
      </c>
      <c r="BX121" s="137"/>
      <c r="BY121" s="137">
        <f t="shared" si="7"/>
        <v>0.175</v>
      </c>
      <c r="BZ121" s="138">
        <v>0.5489999999999999</v>
      </c>
      <c r="CA121" s="137">
        <v>0.374</v>
      </c>
      <c r="CB121" s="137"/>
      <c r="CC121" s="138">
        <v>0.732</v>
      </c>
      <c r="CD121" s="137">
        <v>0.158</v>
      </c>
      <c r="CE121" s="137">
        <v>0.073</v>
      </c>
      <c r="CF121" s="137">
        <v>0.027000000000000003</v>
      </c>
      <c r="CG121" s="137">
        <v>0.018000000000000002</v>
      </c>
      <c r="CH121" s="137">
        <v>0.002</v>
      </c>
      <c r="CI121" s="139"/>
      <c r="CJ121" s="142">
        <v>0.773</v>
      </c>
      <c r="CK121" s="141">
        <v>0.14800000000000002</v>
      </c>
      <c r="CL121" s="141">
        <v>0.055999999999999994</v>
      </c>
      <c r="CM121" s="141">
        <v>0.018000000000000002</v>
      </c>
      <c r="CN121" s="141">
        <v>0.005</v>
      </c>
      <c r="CO121" s="141">
        <v>0.0</v>
      </c>
      <c r="CP121" s="137"/>
      <c r="CQ121" s="137">
        <v>0.301</v>
      </c>
      <c r="CR121" s="137">
        <v>0.332</v>
      </c>
      <c r="CS121" s="138">
        <v>0.516</v>
      </c>
    </row>
    <row r="122">
      <c r="A122" s="112">
        <f t="shared" si="1"/>
        <v>120</v>
      </c>
      <c r="B122" s="112" t="s">
        <v>1127</v>
      </c>
      <c r="C122" s="112" t="s">
        <v>1128</v>
      </c>
      <c r="D122" s="113" t="s">
        <v>1125</v>
      </c>
      <c r="E122" s="186"/>
      <c r="F122" s="115">
        <f t="shared" si="2"/>
        <v>0</v>
      </c>
      <c r="G122" s="115">
        <f t="shared" si="3"/>
        <v>0.2727272727</v>
      </c>
      <c r="H122" s="116">
        <f t="shared" si="4"/>
        <v>0.2045454545</v>
      </c>
      <c r="I122" s="117" t="s">
        <v>594</v>
      </c>
      <c r="J122" s="117" t="s">
        <v>594</v>
      </c>
      <c r="K122" s="117" t="s">
        <v>594</v>
      </c>
      <c r="L122" s="117" t="s">
        <v>594</v>
      </c>
      <c r="M122" s="117" t="s">
        <v>594</v>
      </c>
      <c r="N122" s="117" t="s">
        <v>594</v>
      </c>
      <c r="O122" s="149" t="s">
        <v>1256</v>
      </c>
      <c r="P122" s="185" t="s">
        <v>561</v>
      </c>
      <c r="Q122" s="121" t="s">
        <v>53</v>
      </c>
      <c r="R122" s="121" t="s">
        <v>561</v>
      </c>
      <c r="S122" s="149" t="s">
        <v>561</v>
      </c>
      <c r="T122" s="119" t="s">
        <v>53</v>
      </c>
      <c r="U122" s="119" t="s">
        <v>53</v>
      </c>
      <c r="V122" s="119" t="s">
        <v>53</v>
      </c>
      <c r="W122" s="119" t="s">
        <v>53</v>
      </c>
      <c r="X122" s="123" t="s">
        <v>801</v>
      </c>
      <c r="Y122" s="149" t="s">
        <v>561</v>
      </c>
      <c r="Z122" s="149" t="s">
        <v>561</v>
      </c>
      <c r="AA122" s="149" t="s">
        <v>561</v>
      </c>
      <c r="AB122" s="149" t="s">
        <v>561</v>
      </c>
      <c r="AC122" s="125" t="s">
        <v>561</v>
      </c>
      <c r="AD122" s="149" t="s">
        <v>561</v>
      </c>
      <c r="AE122" s="128" t="s">
        <v>561</v>
      </c>
      <c r="AF122" s="125" t="s">
        <v>561</v>
      </c>
      <c r="AG122" s="121" t="s">
        <v>53</v>
      </c>
      <c r="AH122" s="128" t="s">
        <v>561</v>
      </c>
      <c r="AI122" s="125" t="s">
        <v>53</v>
      </c>
      <c r="AJ122" s="128" t="s">
        <v>561</v>
      </c>
      <c r="AK122" s="125" t="s">
        <v>561</v>
      </c>
      <c r="AL122" s="128" t="s">
        <v>561</v>
      </c>
      <c r="AM122" s="128" t="s">
        <v>561</v>
      </c>
      <c r="AN122" s="128" t="s">
        <v>561</v>
      </c>
      <c r="AO122" s="128" t="s">
        <v>53</v>
      </c>
      <c r="AP122" s="121" t="s">
        <v>561</v>
      </c>
      <c r="AQ122" s="128" t="s">
        <v>53</v>
      </c>
      <c r="AR122" s="128" t="s">
        <v>561</v>
      </c>
      <c r="AS122" s="117" t="s">
        <v>561</v>
      </c>
      <c r="AT122" s="117" t="s">
        <v>561</v>
      </c>
      <c r="AU122" s="117" t="s">
        <v>561</v>
      </c>
      <c r="AV122" s="117" t="s">
        <v>561</v>
      </c>
      <c r="AW122" s="117" t="s">
        <v>561</v>
      </c>
      <c r="AX122" s="117" t="s">
        <v>600</v>
      </c>
      <c r="AY122" s="117" t="s">
        <v>600</v>
      </c>
      <c r="AZ122" s="117" t="s">
        <v>600</v>
      </c>
      <c r="BA122" s="117" t="s">
        <v>600</v>
      </c>
      <c r="BB122" s="117" t="s">
        <v>600</v>
      </c>
      <c r="BC122" s="117" t="s">
        <v>600</v>
      </c>
      <c r="BD122" s="164" t="s">
        <v>1832</v>
      </c>
      <c r="BE122" s="129" t="s">
        <v>821</v>
      </c>
      <c r="BF122" s="130"/>
      <c r="BG122" s="130">
        <f t="shared" si="8"/>
        <v>2000</v>
      </c>
      <c r="BH122" s="131"/>
      <c r="BI122" s="131"/>
      <c r="BJ122" s="132">
        <f>2000</f>
        <v>2000</v>
      </c>
      <c r="BK122" s="132"/>
      <c r="BL122" s="133"/>
      <c r="BM122" s="133" t="s">
        <v>561</v>
      </c>
      <c r="BN122" s="133" t="s">
        <v>561</v>
      </c>
      <c r="BO122" s="133"/>
      <c r="BP122" s="133" t="s">
        <v>976</v>
      </c>
      <c r="BQ122" s="134"/>
      <c r="BR122" s="150" t="s">
        <v>1569</v>
      </c>
      <c r="BS122" s="150" t="s">
        <v>135</v>
      </c>
      <c r="BT122" s="134"/>
      <c r="BU122" s="137">
        <f t="shared" si="6"/>
        <v>0.028</v>
      </c>
      <c r="BV122" s="138">
        <v>0.507</v>
      </c>
      <c r="BW122" s="137">
        <v>0.479</v>
      </c>
      <c r="BX122" s="137"/>
      <c r="BY122" s="137">
        <f t="shared" si="7"/>
        <v>0.021</v>
      </c>
      <c r="BZ122" s="138">
        <v>0.489</v>
      </c>
      <c r="CA122" s="137">
        <v>0.46799999999999997</v>
      </c>
      <c r="CB122" s="137"/>
      <c r="CC122" s="138">
        <v>0.787</v>
      </c>
      <c r="CD122" s="137">
        <v>0.022000000000000002</v>
      </c>
      <c r="CE122" s="137">
        <v>0.134</v>
      </c>
      <c r="CF122" s="137">
        <v>0.034</v>
      </c>
      <c r="CG122" s="137">
        <v>0.019</v>
      </c>
      <c r="CH122" s="137">
        <v>0.001</v>
      </c>
      <c r="CI122" s="139"/>
      <c r="CJ122" s="138">
        <v>0.828</v>
      </c>
      <c r="CK122" s="137">
        <v>0.016</v>
      </c>
      <c r="CL122" s="137">
        <v>0.131</v>
      </c>
      <c r="CM122" s="137">
        <v>0.018000000000000002</v>
      </c>
      <c r="CN122" s="137">
        <v>0.006999999999999999</v>
      </c>
      <c r="CO122" s="137">
        <v>0.0</v>
      </c>
      <c r="CP122" s="137"/>
      <c r="CQ122" s="137">
        <v>0.309</v>
      </c>
      <c r="CR122" s="137">
        <v>0.332</v>
      </c>
      <c r="CS122" s="138">
        <v>0.5529999999999999</v>
      </c>
    </row>
    <row r="123">
      <c r="A123" s="112">
        <f t="shared" si="1"/>
        <v>121</v>
      </c>
      <c r="B123" s="112" t="s">
        <v>377</v>
      </c>
      <c r="C123" s="112" t="s">
        <v>414</v>
      </c>
      <c r="D123" s="113" t="s">
        <v>412</v>
      </c>
      <c r="E123" s="186"/>
      <c r="F123" s="115">
        <f t="shared" si="2"/>
        <v>0.1428571429</v>
      </c>
      <c r="G123" s="115">
        <f t="shared" si="3"/>
        <v>0.225</v>
      </c>
      <c r="H123" s="116">
        <f t="shared" si="4"/>
        <v>0.2044642857</v>
      </c>
      <c r="I123" s="117" t="s">
        <v>594</v>
      </c>
      <c r="J123" s="117" t="s">
        <v>594</v>
      </c>
      <c r="K123" s="117" t="s">
        <v>487</v>
      </c>
      <c r="L123" s="117" t="s">
        <v>594</v>
      </c>
      <c r="M123" s="117" t="s">
        <v>594</v>
      </c>
      <c r="N123" s="117" t="s">
        <v>594</v>
      </c>
      <c r="O123" s="149" t="s">
        <v>1256</v>
      </c>
      <c r="P123" s="185" t="s">
        <v>561</v>
      </c>
      <c r="Q123" s="121" t="s">
        <v>53</v>
      </c>
      <c r="R123" s="121" t="s">
        <v>561</v>
      </c>
      <c r="S123" s="119" t="s">
        <v>53</v>
      </c>
      <c r="T123" s="119" t="s">
        <v>53</v>
      </c>
      <c r="U123" s="119" t="s">
        <v>53</v>
      </c>
      <c r="V123" s="119" t="s">
        <v>53</v>
      </c>
      <c r="W123" s="119" t="s">
        <v>53</v>
      </c>
      <c r="X123" s="149" t="s">
        <v>561</v>
      </c>
      <c r="Y123" s="149" t="s">
        <v>561</v>
      </c>
      <c r="Z123" s="149" t="s">
        <v>561</v>
      </c>
      <c r="AA123" s="149" t="s">
        <v>561</v>
      </c>
      <c r="AB123" s="149" t="s">
        <v>561</v>
      </c>
      <c r="AC123" s="125" t="s">
        <v>561</v>
      </c>
      <c r="AD123" s="149" t="s">
        <v>561</v>
      </c>
      <c r="AE123" s="128" t="s">
        <v>561</v>
      </c>
      <c r="AF123" s="125" t="s">
        <v>561</v>
      </c>
      <c r="AG123" s="121" t="s">
        <v>53</v>
      </c>
      <c r="AH123" s="128" t="s">
        <v>561</v>
      </c>
      <c r="AI123" s="128" t="s">
        <v>561</v>
      </c>
      <c r="AJ123" s="128" t="s">
        <v>561</v>
      </c>
      <c r="AK123" s="125" t="s">
        <v>561</v>
      </c>
      <c r="AL123" s="128" t="s">
        <v>561</v>
      </c>
      <c r="AM123" s="128" t="s">
        <v>561</v>
      </c>
      <c r="AN123" s="128" t="s">
        <v>561</v>
      </c>
      <c r="AO123" s="128" t="s">
        <v>53</v>
      </c>
      <c r="AP123" s="121" t="s">
        <v>561</v>
      </c>
      <c r="AQ123" s="128" t="s">
        <v>53</v>
      </c>
      <c r="AR123" s="128" t="s">
        <v>561</v>
      </c>
      <c r="AS123" s="117" t="s">
        <v>561</v>
      </c>
      <c r="AT123" s="117" t="s">
        <v>561</v>
      </c>
      <c r="AU123" s="117" t="s">
        <v>561</v>
      </c>
      <c r="AV123" s="117" t="s">
        <v>561</v>
      </c>
      <c r="AW123" s="117" t="s">
        <v>561</v>
      </c>
      <c r="AX123" s="117" t="s">
        <v>561</v>
      </c>
      <c r="AY123" s="117" t="s">
        <v>561</v>
      </c>
      <c r="AZ123" s="117" t="s">
        <v>561</v>
      </c>
      <c r="BA123" s="117" t="s">
        <v>561</v>
      </c>
      <c r="BB123" s="117" t="s">
        <v>561</v>
      </c>
      <c r="BC123" s="117" t="s">
        <v>561</v>
      </c>
      <c r="BD123" s="164" t="s">
        <v>1832</v>
      </c>
      <c r="BE123" s="129" t="s">
        <v>821</v>
      </c>
      <c r="BF123" s="130"/>
      <c r="BG123" s="130">
        <f t="shared" si="8"/>
        <v>25000</v>
      </c>
      <c r="BH123" s="131">
        <v>25000.0</v>
      </c>
      <c r="BI123" s="131"/>
      <c r="BJ123" s="132"/>
      <c r="BK123" s="132"/>
      <c r="BL123" s="133"/>
      <c r="BM123" s="133" t="s">
        <v>561</v>
      </c>
      <c r="BN123" s="133"/>
      <c r="BO123" s="133" t="s">
        <v>561</v>
      </c>
      <c r="BP123" s="133" t="s">
        <v>1495</v>
      </c>
      <c r="BQ123" s="134"/>
      <c r="BR123" s="150" t="s">
        <v>1569</v>
      </c>
      <c r="BS123" s="181" t="s">
        <v>122</v>
      </c>
      <c r="BT123" s="134"/>
      <c r="BU123" s="137">
        <f t="shared" si="6"/>
        <v>0.114</v>
      </c>
      <c r="BV123" s="138">
        <v>0.547</v>
      </c>
      <c r="BW123" s="137">
        <v>0.433</v>
      </c>
      <c r="BX123" s="137"/>
      <c r="BY123" s="137">
        <f t="shared" si="7"/>
        <v>0.034</v>
      </c>
      <c r="BZ123" s="138">
        <v>0.488</v>
      </c>
      <c r="CA123" s="137">
        <v>0.45399999999999996</v>
      </c>
      <c r="CB123" s="137"/>
      <c r="CC123" s="138">
        <v>0.8059999999999999</v>
      </c>
      <c r="CD123" s="137">
        <v>0.077</v>
      </c>
      <c r="CE123" s="137">
        <v>0.052000000000000005</v>
      </c>
      <c r="CF123" s="137">
        <v>0.044000000000000004</v>
      </c>
      <c r="CG123" s="137">
        <v>0.021</v>
      </c>
      <c r="CH123" s="137">
        <v>0.002</v>
      </c>
      <c r="CI123" s="139"/>
      <c r="CJ123" s="138">
        <v>0.8540000000000001</v>
      </c>
      <c r="CK123" s="137">
        <v>0.066</v>
      </c>
      <c r="CL123" s="137">
        <v>0.042</v>
      </c>
      <c r="CM123" s="137">
        <v>0.027000000000000003</v>
      </c>
      <c r="CN123" s="137">
        <v>0.009000000000000001</v>
      </c>
      <c r="CO123" s="137">
        <v>0.0</v>
      </c>
      <c r="CP123" s="137"/>
      <c r="CQ123" s="137">
        <v>0.37</v>
      </c>
      <c r="CR123" s="137">
        <v>0.384</v>
      </c>
      <c r="CS123" s="138">
        <v>0.526</v>
      </c>
    </row>
    <row r="124">
      <c r="A124" s="112">
        <f t="shared" si="1"/>
        <v>122</v>
      </c>
      <c r="B124" s="112" t="s">
        <v>1026</v>
      </c>
      <c r="C124" s="112" t="s">
        <v>1027</v>
      </c>
      <c r="D124" s="113" t="s">
        <v>1023</v>
      </c>
      <c r="E124" s="186"/>
      <c r="F124" s="115">
        <f t="shared" si="2"/>
        <v>0.1428571429</v>
      </c>
      <c r="G124" s="115">
        <f t="shared" si="3"/>
        <v>0.2236842105</v>
      </c>
      <c r="H124" s="116">
        <f t="shared" si="4"/>
        <v>0.2034774436</v>
      </c>
      <c r="I124" s="117" t="s">
        <v>594</v>
      </c>
      <c r="J124" s="117" t="s">
        <v>594</v>
      </c>
      <c r="K124" s="117" t="s">
        <v>594</v>
      </c>
      <c r="L124" s="117" t="s">
        <v>487</v>
      </c>
      <c r="M124" s="117" t="s">
        <v>594</v>
      </c>
      <c r="N124" s="117" t="s">
        <v>594</v>
      </c>
      <c r="O124" s="149" t="s">
        <v>1256</v>
      </c>
      <c r="P124" s="120" t="s">
        <v>53</v>
      </c>
      <c r="Q124" s="121" t="s">
        <v>53</v>
      </c>
      <c r="R124" s="121" t="s">
        <v>561</v>
      </c>
      <c r="S124" s="119" t="s">
        <v>53</v>
      </c>
      <c r="T124" s="119" t="s">
        <v>53</v>
      </c>
      <c r="U124" s="149" t="s">
        <v>561</v>
      </c>
      <c r="V124" s="119" t="s">
        <v>53</v>
      </c>
      <c r="W124" s="119" t="s">
        <v>53</v>
      </c>
      <c r="X124" s="149" t="s">
        <v>561</v>
      </c>
      <c r="Y124" s="149" t="s">
        <v>561</v>
      </c>
      <c r="Z124" s="149" t="s">
        <v>561</v>
      </c>
      <c r="AA124" s="149" t="s">
        <v>561</v>
      </c>
      <c r="AB124" s="149" t="s">
        <v>561</v>
      </c>
      <c r="AC124" s="125" t="s">
        <v>561</v>
      </c>
      <c r="AD124" s="149" t="s">
        <v>561</v>
      </c>
      <c r="AE124" s="128" t="s">
        <v>561</v>
      </c>
      <c r="AF124" s="125" t="s">
        <v>561</v>
      </c>
      <c r="AG124" s="121" t="s">
        <v>561</v>
      </c>
      <c r="AH124" s="128" t="s">
        <v>561</v>
      </c>
      <c r="AI124" s="128" t="s">
        <v>561</v>
      </c>
      <c r="AJ124" s="128" t="s">
        <v>561</v>
      </c>
      <c r="AK124" s="125" t="s">
        <v>799</v>
      </c>
      <c r="AL124" s="128" t="s">
        <v>561</v>
      </c>
      <c r="AM124" s="128" t="s">
        <v>561</v>
      </c>
      <c r="AN124" s="128" t="s">
        <v>561</v>
      </c>
      <c r="AO124" s="128" t="s">
        <v>53</v>
      </c>
      <c r="AP124" s="121" t="s">
        <v>561</v>
      </c>
      <c r="AQ124" s="128" t="s">
        <v>53</v>
      </c>
      <c r="AR124" s="128" t="s">
        <v>561</v>
      </c>
      <c r="AS124" s="117" t="s">
        <v>561</v>
      </c>
      <c r="AT124" s="117" t="s">
        <v>801</v>
      </c>
      <c r="AU124" s="117" t="s">
        <v>561</v>
      </c>
      <c r="AV124" s="117" t="s">
        <v>561</v>
      </c>
      <c r="AW124" s="117" t="s">
        <v>561</v>
      </c>
      <c r="AX124" s="117" t="s">
        <v>561</v>
      </c>
      <c r="AY124" s="117" t="s">
        <v>561</v>
      </c>
      <c r="AZ124" s="117" t="s">
        <v>561</v>
      </c>
      <c r="BA124" s="117" t="s">
        <v>561</v>
      </c>
      <c r="BB124" s="117" t="s">
        <v>561</v>
      </c>
      <c r="BC124" s="117" t="s">
        <v>600</v>
      </c>
      <c r="BD124" s="129" t="s">
        <v>821</v>
      </c>
      <c r="BE124" s="129" t="s">
        <v>821</v>
      </c>
      <c r="BF124" s="130"/>
      <c r="BG124" s="130">
        <f t="shared" si="8"/>
        <v>63750</v>
      </c>
      <c r="BH124" s="131">
        <v>61750.0</v>
      </c>
      <c r="BI124" s="131"/>
      <c r="BJ124" s="132">
        <f>2000</f>
        <v>2000</v>
      </c>
      <c r="BK124" s="132"/>
      <c r="BL124" s="133"/>
      <c r="BM124" s="133"/>
      <c r="BN124" s="133" t="s">
        <v>561</v>
      </c>
      <c r="BO124" s="133" t="s">
        <v>561</v>
      </c>
      <c r="BP124" s="133" t="s">
        <v>1207</v>
      </c>
      <c r="BQ124" s="134"/>
      <c r="BR124" s="135" t="s">
        <v>850</v>
      </c>
      <c r="BS124" s="181" t="s">
        <v>2030</v>
      </c>
      <c r="BT124" s="134"/>
      <c r="BU124" s="137">
        <f t="shared" si="6"/>
        <v>0.77</v>
      </c>
      <c r="BV124" s="138">
        <v>0.8809999999999999</v>
      </c>
      <c r="BW124" s="137">
        <v>0.111</v>
      </c>
      <c r="BX124" s="137"/>
      <c r="BY124" s="137">
        <f t="shared" si="7"/>
        <v>0.867</v>
      </c>
      <c r="BZ124" s="138">
        <v>0.92</v>
      </c>
      <c r="CA124" s="137">
        <v>0.053</v>
      </c>
      <c r="CB124" s="137"/>
      <c r="CC124" s="137">
        <v>0.16899999999999998</v>
      </c>
      <c r="CD124" s="138">
        <v>0.504</v>
      </c>
      <c r="CE124" s="137">
        <v>0.336</v>
      </c>
      <c r="CF124" s="137">
        <v>0.067</v>
      </c>
      <c r="CG124" s="137">
        <v>0.028999999999999998</v>
      </c>
      <c r="CH124" s="137">
        <v>0.003</v>
      </c>
      <c r="CI124" s="139"/>
      <c r="CJ124" s="137">
        <v>0.19100000000000003</v>
      </c>
      <c r="CK124" s="138">
        <v>0.47600000000000003</v>
      </c>
      <c r="CL124" s="137">
        <v>0.282</v>
      </c>
      <c r="CM124" s="137">
        <v>0.045</v>
      </c>
      <c r="CN124" s="137">
        <v>0.004</v>
      </c>
      <c r="CO124" s="137">
        <v>0.0</v>
      </c>
      <c r="CP124" s="137"/>
      <c r="CQ124" s="137">
        <v>0.33</v>
      </c>
      <c r="CR124" s="138">
        <v>0.7709999999999999</v>
      </c>
      <c r="CS124" s="137">
        <v>0.044000000000000004</v>
      </c>
    </row>
    <row r="125">
      <c r="A125" s="112">
        <f t="shared" si="1"/>
        <v>123</v>
      </c>
      <c r="B125" s="112" t="s">
        <v>1352</v>
      </c>
      <c r="C125" s="112" t="s">
        <v>1353</v>
      </c>
      <c r="D125" s="113" t="s">
        <v>1348</v>
      </c>
      <c r="E125" s="163"/>
      <c r="F125" s="115">
        <f t="shared" si="2"/>
        <v>0</v>
      </c>
      <c r="G125" s="115">
        <f t="shared" si="3"/>
        <v>0.2702702703</v>
      </c>
      <c r="H125" s="116">
        <f t="shared" si="4"/>
        <v>0.2027027027</v>
      </c>
      <c r="I125" s="117" t="s">
        <v>594</v>
      </c>
      <c r="J125" s="117" t="s">
        <v>594</v>
      </c>
      <c r="K125" s="117" t="s">
        <v>594</v>
      </c>
      <c r="L125" s="117" t="s">
        <v>594</v>
      </c>
      <c r="M125" s="117" t="s">
        <v>594</v>
      </c>
      <c r="N125" s="117" t="s">
        <v>594</v>
      </c>
      <c r="O125" s="149" t="s">
        <v>1256</v>
      </c>
      <c r="P125" s="120" t="s">
        <v>53</v>
      </c>
      <c r="Q125" s="121" t="s">
        <v>801</v>
      </c>
      <c r="R125" s="121" t="s">
        <v>801</v>
      </c>
      <c r="S125" s="121" t="s">
        <v>801</v>
      </c>
      <c r="T125" s="119" t="s">
        <v>53</v>
      </c>
      <c r="U125" s="119" t="s">
        <v>53</v>
      </c>
      <c r="V125" s="119" t="s">
        <v>53</v>
      </c>
      <c r="W125" s="119" t="s">
        <v>53</v>
      </c>
      <c r="X125" s="149" t="s">
        <v>561</v>
      </c>
      <c r="Y125" s="149" t="s">
        <v>561</v>
      </c>
      <c r="Z125" s="149" t="s">
        <v>561</v>
      </c>
      <c r="AA125" s="149" t="s">
        <v>561</v>
      </c>
      <c r="AB125" s="149" t="s">
        <v>561</v>
      </c>
      <c r="AC125" s="125" t="s">
        <v>561</v>
      </c>
      <c r="AD125" s="149" t="s">
        <v>561</v>
      </c>
      <c r="AE125" s="128" t="s">
        <v>561</v>
      </c>
      <c r="AF125" s="125" t="s">
        <v>561</v>
      </c>
      <c r="AG125" s="121" t="s">
        <v>53</v>
      </c>
      <c r="AH125" s="128" t="s">
        <v>561</v>
      </c>
      <c r="AI125" s="128" t="s">
        <v>561</v>
      </c>
      <c r="AJ125" s="128" t="s">
        <v>561</v>
      </c>
      <c r="AK125" s="121" t="s">
        <v>53</v>
      </c>
      <c r="AL125" s="128" t="s">
        <v>561</v>
      </c>
      <c r="AM125" s="128" t="s">
        <v>561</v>
      </c>
      <c r="AN125" s="128" t="s">
        <v>561</v>
      </c>
      <c r="AO125" s="128" t="s">
        <v>53</v>
      </c>
      <c r="AP125" s="121" t="s">
        <v>561</v>
      </c>
      <c r="AQ125" s="128" t="s">
        <v>53</v>
      </c>
      <c r="AR125" s="128" t="s">
        <v>561</v>
      </c>
      <c r="AS125" s="117" t="s">
        <v>561</v>
      </c>
      <c r="AT125" s="117" t="s">
        <v>561</v>
      </c>
      <c r="AU125" s="117" t="s">
        <v>561</v>
      </c>
      <c r="AV125" s="117" t="s">
        <v>561</v>
      </c>
      <c r="AW125" s="117" t="s">
        <v>561</v>
      </c>
      <c r="AX125" s="117" t="s">
        <v>561</v>
      </c>
      <c r="AY125" s="117" t="s">
        <v>561</v>
      </c>
      <c r="AZ125" s="117" t="s">
        <v>561</v>
      </c>
      <c r="BA125" s="117" t="s">
        <v>561</v>
      </c>
      <c r="BB125" s="117" t="s">
        <v>53</v>
      </c>
      <c r="BC125" s="117" t="s">
        <v>561</v>
      </c>
      <c r="BD125" s="129" t="s">
        <v>821</v>
      </c>
      <c r="BE125" s="129" t="s">
        <v>821</v>
      </c>
      <c r="BF125" s="130"/>
      <c r="BG125" s="130">
        <f t="shared" si="8"/>
        <v>0</v>
      </c>
      <c r="BH125" s="140"/>
      <c r="BI125" s="140"/>
      <c r="BJ125" s="132"/>
      <c r="BK125" s="132"/>
      <c r="BL125" s="133"/>
      <c r="BM125" s="133" t="s">
        <v>561</v>
      </c>
      <c r="BN125" s="133"/>
      <c r="BO125" s="133"/>
      <c r="BP125" s="133" t="s">
        <v>1678</v>
      </c>
      <c r="BQ125" s="134"/>
      <c r="BR125" s="150" t="s">
        <v>1569</v>
      </c>
      <c r="BS125" s="134"/>
      <c r="BT125" s="134"/>
      <c r="BU125" s="137">
        <f t="shared" si="6"/>
        <v>0.413</v>
      </c>
      <c r="BV125" s="138">
        <v>0.7</v>
      </c>
      <c r="BW125" s="137">
        <v>0.287</v>
      </c>
      <c r="BX125" s="137"/>
      <c r="BY125" s="137">
        <f t="shared" si="7"/>
        <v>0.339</v>
      </c>
      <c r="BZ125" s="138">
        <v>0.634</v>
      </c>
      <c r="CA125" s="137">
        <v>0.295</v>
      </c>
      <c r="CB125" s="137"/>
      <c r="CC125" s="138">
        <v>0.512</v>
      </c>
      <c r="CD125" s="137">
        <v>0.128</v>
      </c>
      <c r="CE125" s="137">
        <v>0.094</v>
      </c>
      <c r="CF125" s="137">
        <v>0.254</v>
      </c>
      <c r="CG125" s="137">
        <v>0.013999999999999999</v>
      </c>
      <c r="CH125" s="137">
        <v>0.002</v>
      </c>
      <c r="CI125" s="139"/>
      <c r="CJ125" s="138">
        <v>0.605</v>
      </c>
      <c r="CK125" s="137">
        <v>0.09300000000000001</v>
      </c>
      <c r="CL125" s="137">
        <v>0.091</v>
      </c>
      <c r="CM125" s="137">
        <v>0.2</v>
      </c>
      <c r="CN125" s="137">
        <v>0.006</v>
      </c>
      <c r="CO125" s="137">
        <v>0.001</v>
      </c>
      <c r="CP125" s="137"/>
      <c r="CQ125" s="138">
        <v>0.654</v>
      </c>
      <c r="CR125" s="138">
        <v>0.7340000000000001</v>
      </c>
      <c r="CS125" s="137">
        <v>0.161</v>
      </c>
    </row>
    <row r="126">
      <c r="A126" s="112">
        <f t="shared" si="1"/>
        <v>123</v>
      </c>
      <c r="B126" s="112" t="s">
        <v>1175</v>
      </c>
      <c r="C126" s="112" t="s">
        <v>1176</v>
      </c>
      <c r="D126" s="113" t="s">
        <v>1173</v>
      </c>
      <c r="E126" s="186"/>
      <c r="F126" s="115">
        <f t="shared" si="2"/>
        <v>0</v>
      </c>
      <c r="G126" s="115">
        <f t="shared" si="3"/>
        <v>0.2702702703</v>
      </c>
      <c r="H126" s="116">
        <f t="shared" si="4"/>
        <v>0.2027027027</v>
      </c>
      <c r="I126" s="117" t="s">
        <v>594</v>
      </c>
      <c r="J126" s="117" t="s">
        <v>594</v>
      </c>
      <c r="K126" s="117" t="s">
        <v>594</v>
      </c>
      <c r="L126" s="117" t="s">
        <v>594</v>
      </c>
      <c r="M126" s="117" t="s">
        <v>594</v>
      </c>
      <c r="N126" s="117" t="s">
        <v>594</v>
      </c>
      <c r="O126" s="149" t="s">
        <v>1256</v>
      </c>
      <c r="P126" s="185" t="s">
        <v>561</v>
      </c>
      <c r="Q126" s="121" t="s">
        <v>53</v>
      </c>
      <c r="R126" s="121" t="s">
        <v>561</v>
      </c>
      <c r="S126" s="121" t="s">
        <v>801</v>
      </c>
      <c r="T126" s="119" t="s">
        <v>53</v>
      </c>
      <c r="U126" s="119" t="s">
        <v>53</v>
      </c>
      <c r="V126" s="119" t="s">
        <v>53</v>
      </c>
      <c r="W126" s="119" t="s">
        <v>53</v>
      </c>
      <c r="X126" s="149" t="s">
        <v>561</v>
      </c>
      <c r="Y126" s="149" t="s">
        <v>561</v>
      </c>
      <c r="Z126" s="149" t="s">
        <v>561</v>
      </c>
      <c r="AA126" s="149" t="s">
        <v>561</v>
      </c>
      <c r="AB126" s="149" t="s">
        <v>561</v>
      </c>
      <c r="AC126" s="125" t="s">
        <v>561</v>
      </c>
      <c r="AD126" s="149" t="s">
        <v>561</v>
      </c>
      <c r="AE126" s="128" t="s">
        <v>561</v>
      </c>
      <c r="AF126" s="125" t="s">
        <v>561</v>
      </c>
      <c r="AG126" s="121" t="s">
        <v>53</v>
      </c>
      <c r="AH126" s="128" t="s">
        <v>561</v>
      </c>
      <c r="AI126" s="125" t="s">
        <v>799</v>
      </c>
      <c r="AJ126" s="128" t="s">
        <v>561</v>
      </c>
      <c r="AK126" s="125" t="s">
        <v>799</v>
      </c>
      <c r="AL126" s="128" t="s">
        <v>561</v>
      </c>
      <c r="AM126" s="128" t="s">
        <v>561</v>
      </c>
      <c r="AN126" s="128" t="s">
        <v>561</v>
      </c>
      <c r="AO126" s="128" t="s">
        <v>53</v>
      </c>
      <c r="AP126" s="121" t="s">
        <v>561</v>
      </c>
      <c r="AQ126" s="128" t="s">
        <v>53</v>
      </c>
      <c r="AR126" s="128" t="s">
        <v>561</v>
      </c>
      <c r="AS126" s="117" t="s">
        <v>561</v>
      </c>
      <c r="AT126" s="117" t="s">
        <v>53</v>
      </c>
      <c r="AU126" s="117" t="s">
        <v>561</v>
      </c>
      <c r="AV126" s="117" t="s">
        <v>561</v>
      </c>
      <c r="AW126" s="117" t="s">
        <v>561</v>
      </c>
      <c r="AX126" s="117" t="s">
        <v>561</v>
      </c>
      <c r="AY126" s="117" t="s">
        <v>561</v>
      </c>
      <c r="AZ126" s="117" t="s">
        <v>561</v>
      </c>
      <c r="BA126" s="117" t="s">
        <v>561</v>
      </c>
      <c r="BB126" s="117" t="s">
        <v>600</v>
      </c>
      <c r="BC126" s="117" t="s">
        <v>600</v>
      </c>
      <c r="BD126" s="129" t="s">
        <v>821</v>
      </c>
      <c r="BE126" s="129" t="s">
        <v>821</v>
      </c>
      <c r="BF126" s="130"/>
      <c r="BG126" s="130">
        <f t="shared" si="8"/>
        <v>30428</v>
      </c>
      <c r="BH126" s="131">
        <v>28428.0</v>
      </c>
      <c r="BI126" s="131"/>
      <c r="BJ126" s="132">
        <f>2000</f>
        <v>2000</v>
      </c>
      <c r="BK126" s="132"/>
      <c r="BL126" s="133"/>
      <c r="BM126" s="133"/>
      <c r="BN126" s="133" t="s">
        <v>561</v>
      </c>
      <c r="BO126" s="133" t="s">
        <v>561</v>
      </c>
      <c r="BP126" s="133" t="s">
        <v>845</v>
      </c>
      <c r="BQ126" s="214"/>
      <c r="BR126" s="150" t="s">
        <v>1569</v>
      </c>
      <c r="BS126" s="181" t="s">
        <v>2030</v>
      </c>
      <c r="BT126" s="134"/>
      <c r="BU126" s="137">
        <f t="shared" si="6"/>
        <v>0.148</v>
      </c>
      <c r="BV126" s="138">
        <v>0.568</v>
      </c>
      <c r="BW126" s="137">
        <v>0.42</v>
      </c>
      <c r="BX126" s="137"/>
      <c r="BY126" s="137">
        <f t="shared" si="7"/>
        <v>0.089</v>
      </c>
      <c r="BZ126" s="138">
        <v>0.524</v>
      </c>
      <c r="CA126" s="137">
        <v>0.435</v>
      </c>
      <c r="CB126" s="137"/>
      <c r="CC126" s="138">
        <v>0.727</v>
      </c>
      <c r="CD126" s="137">
        <v>0.14</v>
      </c>
      <c r="CE126" s="137">
        <v>0.07400000000000001</v>
      </c>
      <c r="CF126" s="137">
        <v>0.053</v>
      </c>
      <c r="CG126" s="137">
        <v>0.015</v>
      </c>
      <c r="CH126" s="137">
        <v>0.001</v>
      </c>
      <c r="CI126" s="139"/>
      <c r="CJ126" s="138">
        <v>0.798</v>
      </c>
      <c r="CK126" s="137">
        <v>0.10400000000000001</v>
      </c>
      <c r="CL126" s="137">
        <v>0.064</v>
      </c>
      <c r="CM126" s="137">
        <v>0.03</v>
      </c>
      <c r="CN126" s="137">
        <v>0.004</v>
      </c>
      <c r="CO126" s="137">
        <v>0.0</v>
      </c>
      <c r="CP126" s="137"/>
      <c r="CQ126" s="137">
        <v>0.461</v>
      </c>
      <c r="CR126" s="138">
        <v>0.502</v>
      </c>
      <c r="CS126" s="137">
        <v>0.397</v>
      </c>
    </row>
    <row r="127">
      <c r="A127" s="112">
        <f t="shared" si="1"/>
        <v>123</v>
      </c>
      <c r="B127" s="112" t="s">
        <v>348</v>
      </c>
      <c r="C127" s="112" t="s">
        <v>349</v>
      </c>
      <c r="D127" s="113" t="s">
        <v>344</v>
      </c>
      <c r="E127" s="186"/>
      <c r="F127" s="115">
        <f t="shared" si="2"/>
        <v>0</v>
      </c>
      <c r="G127" s="115">
        <f t="shared" si="3"/>
        <v>0.2702702703</v>
      </c>
      <c r="H127" s="116">
        <f t="shared" si="4"/>
        <v>0.2027027027</v>
      </c>
      <c r="I127" s="117" t="s">
        <v>594</v>
      </c>
      <c r="J127" s="117" t="s">
        <v>594</v>
      </c>
      <c r="K127" s="117" t="s">
        <v>594</v>
      </c>
      <c r="L127" s="117" t="s">
        <v>594</v>
      </c>
      <c r="M127" s="117" t="s">
        <v>594</v>
      </c>
      <c r="N127" s="117" t="s">
        <v>594</v>
      </c>
      <c r="O127" s="149" t="s">
        <v>1256</v>
      </c>
      <c r="P127" s="120" t="s">
        <v>53</v>
      </c>
      <c r="Q127" s="121" t="s">
        <v>53</v>
      </c>
      <c r="R127" s="121" t="s">
        <v>561</v>
      </c>
      <c r="S127" s="119" t="s">
        <v>53</v>
      </c>
      <c r="T127" s="119" t="s">
        <v>53</v>
      </c>
      <c r="U127" s="119" t="s">
        <v>53</v>
      </c>
      <c r="V127" s="149" t="s">
        <v>561</v>
      </c>
      <c r="W127" s="119" t="s">
        <v>53</v>
      </c>
      <c r="X127" s="149" t="s">
        <v>561</v>
      </c>
      <c r="Y127" s="149" t="s">
        <v>561</v>
      </c>
      <c r="Z127" s="149" t="s">
        <v>561</v>
      </c>
      <c r="AA127" s="149" t="s">
        <v>561</v>
      </c>
      <c r="AB127" s="149" t="s">
        <v>561</v>
      </c>
      <c r="AC127" s="125" t="s">
        <v>561</v>
      </c>
      <c r="AD127" s="149" t="s">
        <v>561</v>
      </c>
      <c r="AE127" s="128" t="s">
        <v>561</v>
      </c>
      <c r="AF127" s="125" t="s">
        <v>561</v>
      </c>
      <c r="AG127" s="121" t="s">
        <v>53</v>
      </c>
      <c r="AH127" s="128" t="s">
        <v>561</v>
      </c>
      <c r="AI127" s="128" t="s">
        <v>561</v>
      </c>
      <c r="AJ127" s="128" t="s">
        <v>561</v>
      </c>
      <c r="AK127" s="125" t="s">
        <v>561</v>
      </c>
      <c r="AL127" s="128" t="s">
        <v>561</v>
      </c>
      <c r="AM127" s="128" t="s">
        <v>561</v>
      </c>
      <c r="AN127" s="128" t="s">
        <v>53</v>
      </c>
      <c r="AO127" s="128" t="s">
        <v>53</v>
      </c>
      <c r="AP127" s="121" t="s">
        <v>561</v>
      </c>
      <c r="AQ127" s="128" t="s">
        <v>53</v>
      </c>
      <c r="AR127" s="128" t="s">
        <v>561</v>
      </c>
      <c r="AS127" s="117" t="s">
        <v>561</v>
      </c>
      <c r="AT127" s="117" t="s">
        <v>561</v>
      </c>
      <c r="AU127" s="117" t="s">
        <v>801</v>
      </c>
      <c r="AV127" s="117" t="s">
        <v>561</v>
      </c>
      <c r="AW127" s="117" t="s">
        <v>801</v>
      </c>
      <c r="AX127" s="117" t="s">
        <v>561</v>
      </c>
      <c r="AY127" s="117" t="s">
        <v>561</v>
      </c>
      <c r="AZ127" s="117" t="s">
        <v>561</v>
      </c>
      <c r="BA127" s="117" t="s">
        <v>561</v>
      </c>
      <c r="BB127" s="117" t="s">
        <v>561</v>
      </c>
      <c r="BC127" s="117" t="s">
        <v>600</v>
      </c>
      <c r="BD127" s="164" t="s">
        <v>1832</v>
      </c>
      <c r="BE127" s="129" t="s">
        <v>821</v>
      </c>
      <c r="BF127" s="130"/>
      <c r="BG127" s="130">
        <f t="shared" si="8"/>
        <v>19920</v>
      </c>
      <c r="BH127" s="131">
        <v>19920.0</v>
      </c>
      <c r="BI127" s="131"/>
      <c r="BJ127" s="132"/>
      <c r="BK127" s="132"/>
      <c r="BL127" s="133"/>
      <c r="BM127" s="133" t="s">
        <v>561</v>
      </c>
      <c r="BN127" s="133"/>
      <c r="BO127" s="133" t="s">
        <v>561</v>
      </c>
      <c r="BP127" s="133" t="s">
        <v>1311</v>
      </c>
      <c r="BQ127" s="134"/>
      <c r="BR127" s="150" t="s">
        <v>1569</v>
      </c>
      <c r="BS127" s="181" t="s">
        <v>122</v>
      </c>
      <c r="BT127" s="134"/>
      <c r="BU127" s="137">
        <f t="shared" si="6"/>
        <v>0.332</v>
      </c>
      <c r="BV127" s="138">
        <v>0.654</v>
      </c>
      <c r="BW127" s="137">
        <v>0.322</v>
      </c>
      <c r="BX127" s="137"/>
      <c r="BY127" s="137">
        <f t="shared" si="7"/>
        <v>0.273</v>
      </c>
      <c r="BZ127" s="138">
        <v>0.605</v>
      </c>
      <c r="CA127" s="137">
        <v>0.332</v>
      </c>
      <c r="CB127" s="137"/>
      <c r="CC127" s="138">
        <v>0.579</v>
      </c>
      <c r="CD127" s="137">
        <v>0.196</v>
      </c>
      <c r="CE127" s="137">
        <v>0.04</v>
      </c>
      <c r="CF127" s="137">
        <v>0.168</v>
      </c>
      <c r="CG127" s="137">
        <v>0.021</v>
      </c>
      <c r="CH127" s="137">
        <v>0.006999999999999999</v>
      </c>
      <c r="CI127" s="139"/>
      <c r="CJ127" s="138">
        <v>0.6559999999999999</v>
      </c>
      <c r="CK127" s="137">
        <v>0.16899999999999998</v>
      </c>
      <c r="CL127" s="137">
        <v>0.035</v>
      </c>
      <c r="CM127" s="137">
        <v>0.122</v>
      </c>
      <c r="CN127" s="137">
        <v>0.009000000000000001</v>
      </c>
      <c r="CO127" s="137">
        <v>0.004</v>
      </c>
      <c r="CP127" s="137"/>
      <c r="CQ127" s="138">
        <v>0.5760000000000001</v>
      </c>
      <c r="CR127" s="138">
        <v>0.632</v>
      </c>
      <c r="CS127" s="137">
        <v>0.24100000000000002</v>
      </c>
    </row>
    <row r="128">
      <c r="A128" s="112">
        <f t="shared" si="1"/>
        <v>126</v>
      </c>
      <c r="B128" s="112" t="s">
        <v>266</v>
      </c>
      <c r="C128" s="112" t="s">
        <v>268</v>
      </c>
      <c r="D128" s="113" t="s">
        <v>262</v>
      </c>
      <c r="E128" s="186"/>
      <c r="F128" s="115">
        <f t="shared" si="2"/>
        <v>0</v>
      </c>
      <c r="G128" s="115">
        <f t="shared" si="3"/>
        <v>0.2692307692</v>
      </c>
      <c r="H128" s="116">
        <f t="shared" si="4"/>
        <v>0.2019230769</v>
      </c>
      <c r="I128" s="117" t="s">
        <v>594</v>
      </c>
      <c r="J128" s="117" t="s">
        <v>594</v>
      </c>
      <c r="K128" s="117" t="s">
        <v>594</v>
      </c>
      <c r="L128" s="117" t="s">
        <v>594</v>
      </c>
      <c r="M128" s="117" t="s">
        <v>594</v>
      </c>
      <c r="N128" s="117" t="s">
        <v>594</v>
      </c>
      <c r="O128" s="149" t="s">
        <v>1256</v>
      </c>
      <c r="P128" s="185" t="s">
        <v>561</v>
      </c>
      <c r="Q128" s="121" t="s">
        <v>53</v>
      </c>
      <c r="R128" s="121" t="s">
        <v>561</v>
      </c>
      <c r="S128" s="119" t="s">
        <v>53</v>
      </c>
      <c r="T128" s="119" t="s">
        <v>53</v>
      </c>
      <c r="U128" s="119" t="s">
        <v>53</v>
      </c>
      <c r="V128" s="119" t="s">
        <v>53</v>
      </c>
      <c r="W128" s="119" t="s">
        <v>53</v>
      </c>
      <c r="X128" s="149" t="s">
        <v>561</v>
      </c>
      <c r="Y128" s="149" t="s">
        <v>561</v>
      </c>
      <c r="Z128" s="149" t="s">
        <v>561</v>
      </c>
      <c r="AA128" s="149" t="s">
        <v>561</v>
      </c>
      <c r="AB128" s="149" t="s">
        <v>561</v>
      </c>
      <c r="AC128" s="125" t="s">
        <v>561</v>
      </c>
      <c r="AD128" s="149" t="s">
        <v>561</v>
      </c>
      <c r="AE128" s="128" t="s">
        <v>561</v>
      </c>
      <c r="AF128" s="125" t="s">
        <v>561</v>
      </c>
      <c r="AG128" s="121" t="s">
        <v>53</v>
      </c>
      <c r="AH128" s="128" t="s">
        <v>561</v>
      </c>
      <c r="AI128" s="125" t="s">
        <v>53</v>
      </c>
      <c r="AJ128" s="128" t="s">
        <v>561</v>
      </c>
      <c r="AK128" s="125" t="s">
        <v>799</v>
      </c>
      <c r="AL128" s="128" t="s">
        <v>561</v>
      </c>
      <c r="AM128" s="128" t="s">
        <v>561</v>
      </c>
      <c r="AN128" s="128" t="s">
        <v>561</v>
      </c>
      <c r="AO128" s="128" t="s">
        <v>53</v>
      </c>
      <c r="AP128" s="121" t="s">
        <v>561</v>
      </c>
      <c r="AQ128" s="128" t="s">
        <v>53</v>
      </c>
      <c r="AR128" s="128" t="s">
        <v>561</v>
      </c>
      <c r="AS128" s="117" t="s">
        <v>561</v>
      </c>
      <c r="AT128" s="117" t="s">
        <v>561</v>
      </c>
      <c r="AU128" s="117" t="s">
        <v>561</v>
      </c>
      <c r="AV128" s="117" t="s">
        <v>561</v>
      </c>
      <c r="AW128" s="117" t="s">
        <v>561</v>
      </c>
      <c r="AX128" s="117" t="s">
        <v>561</v>
      </c>
      <c r="AY128" s="117" t="s">
        <v>561</v>
      </c>
      <c r="AZ128" s="117" t="s">
        <v>561</v>
      </c>
      <c r="BA128" s="117" t="s">
        <v>561</v>
      </c>
      <c r="BB128" s="117" t="s">
        <v>561</v>
      </c>
      <c r="BC128" s="117" t="s">
        <v>600</v>
      </c>
      <c r="BD128" s="129" t="s">
        <v>821</v>
      </c>
      <c r="BE128" s="129" t="s">
        <v>821</v>
      </c>
      <c r="BF128" s="130"/>
      <c r="BG128" s="130">
        <f t="shared" si="8"/>
        <v>60667</v>
      </c>
      <c r="BH128" s="131">
        <v>60667.0</v>
      </c>
      <c r="BI128" s="131"/>
      <c r="BJ128" s="132"/>
      <c r="BK128" s="132"/>
      <c r="BL128" s="133"/>
      <c r="BM128" s="133" t="s">
        <v>561</v>
      </c>
      <c r="BN128" s="133" t="s">
        <v>561</v>
      </c>
      <c r="BO128" s="133" t="s">
        <v>561</v>
      </c>
      <c r="BP128" s="133" t="s">
        <v>1432</v>
      </c>
      <c r="BQ128" s="134"/>
      <c r="BR128" s="150" t="s">
        <v>1569</v>
      </c>
      <c r="BS128" s="181" t="s">
        <v>2030</v>
      </c>
      <c r="BT128" s="134"/>
      <c r="BU128" s="137">
        <f t="shared" si="6"/>
        <v>0.253</v>
      </c>
      <c r="BV128" s="138">
        <v>0.615</v>
      </c>
      <c r="BW128" s="137">
        <v>0.36200000000000004</v>
      </c>
      <c r="BX128" s="137"/>
      <c r="BY128" s="137">
        <f t="shared" si="7"/>
        <v>0.299</v>
      </c>
      <c r="BZ128" s="138">
        <v>0.622</v>
      </c>
      <c r="CA128" s="137">
        <v>0.32299999999999995</v>
      </c>
      <c r="CB128" s="137"/>
      <c r="CC128" s="137">
        <v>0.201</v>
      </c>
      <c r="CD128" s="138">
        <v>0.5870000000000001</v>
      </c>
      <c r="CE128" s="137">
        <v>0.11900000000000001</v>
      </c>
      <c r="CF128" s="137">
        <v>0.08900000000000001</v>
      </c>
      <c r="CG128" s="137">
        <v>0.039</v>
      </c>
      <c r="CH128" s="137">
        <v>0.006</v>
      </c>
      <c r="CI128" s="139"/>
      <c r="CJ128" s="137">
        <v>0.255</v>
      </c>
      <c r="CK128" s="138">
        <v>0.539</v>
      </c>
      <c r="CL128" s="137">
        <v>0.128</v>
      </c>
      <c r="CM128" s="137">
        <v>0.065</v>
      </c>
      <c r="CN128" s="137">
        <v>0.008</v>
      </c>
      <c r="CO128" s="137">
        <v>0.002</v>
      </c>
      <c r="CP128" s="137"/>
      <c r="CQ128" s="137">
        <v>0.19899999999999998</v>
      </c>
      <c r="CR128" s="137">
        <v>0.28300000000000003</v>
      </c>
      <c r="CS128" s="137">
        <v>0.183</v>
      </c>
    </row>
    <row r="129">
      <c r="A129" s="112">
        <f t="shared" si="1"/>
        <v>126</v>
      </c>
      <c r="B129" s="112" t="s">
        <v>1345</v>
      </c>
      <c r="C129" s="112" t="s">
        <v>1346</v>
      </c>
      <c r="D129" s="113" t="s">
        <v>1342</v>
      </c>
      <c r="E129" s="153" t="s">
        <v>2613</v>
      </c>
      <c r="F129" s="115">
        <f t="shared" si="2"/>
        <v>0</v>
      </c>
      <c r="G129" s="115">
        <f t="shared" si="3"/>
        <v>0.2692307692</v>
      </c>
      <c r="H129" s="116">
        <f t="shared" si="4"/>
        <v>0.2019230769</v>
      </c>
      <c r="I129" s="117" t="s">
        <v>594</v>
      </c>
      <c r="J129" s="117" t="s">
        <v>594</v>
      </c>
      <c r="K129" s="117" t="s">
        <v>594</v>
      </c>
      <c r="L129" s="117" t="s">
        <v>594</v>
      </c>
      <c r="M129" s="117" t="s">
        <v>594</v>
      </c>
      <c r="N129" s="117" t="s">
        <v>594</v>
      </c>
      <c r="O129" s="149" t="s">
        <v>1256</v>
      </c>
      <c r="P129" s="156" t="s">
        <v>801</v>
      </c>
      <c r="Q129" s="121" t="s">
        <v>801</v>
      </c>
      <c r="R129" s="121" t="s">
        <v>801</v>
      </c>
      <c r="S129" s="121" t="s">
        <v>801</v>
      </c>
      <c r="T129" s="119" t="s">
        <v>53</v>
      </c>
      <c r="U129" s="119" t="s">
        <v>53</v>
      </c>
      <c r="V129" s="119" t="s">
        <v>53</v>
      </c>
      <c r="W129" s="123" t="s">
        <v>801</v>
      </c>
      <c r="X129" s="119" t="s">
        <v>53</v>
      </c>
      <c r="Y129" s="149" t="s">
        <v>561</v>
      </c>
      <c r="Z129" s="149" t="s">
        <v>561</v>
      </c>
      <c r="AA129" s="149" t="s">
        <v>561</v>
      </c>
      <c r="AB129" s="149" t="s">
        <v>561</v>
      </c>
      <c r="AC129" s="125" t="s">
        <v>561</v>
      </c>
      <c r="AD129" s="123" t="s">
        <v>801</v>
      </c>
      <c r="AE129" s="128" t="s">
        <v>561</v>
      </c>
      <c r="AF129" s="125" t="s">
        <v>561</v>
      </c>
      <c r="AG129" s="121" t="s">
        <v>53</v>
      </c>
      <c r="AH129" s="123" t="s">
        <v>801</v>
      </c>
      <c r="AI129" s="125" t="s">
        <v>53</v>
      </c>
      <c r="AJ129" s="128" t="s">
        <v>561</v>
      </c>
      <c r="AK129" s="125" t="s">
        <v>801</v>
      </c>
      <c r="AL129" s="128" t="s">
        <v>561</v>
      </c>
      <c r="AM129" s="128" t="s">
        <v>561</v>
      </c>
      <c r="AN129" s="128" t="s">
        <v>801</v>
      </c>
      <c r="AO129" s="128" t="s">
        <v>53</v>
      </c>
      <c r="AP129" s="121" t="s">
        <v>801</v>
      </c>
      <c r="AQ129" s="121" t="s">
        <v>801</v>
      </c>
      <c r="AR129" s="128" t="s">
        <v>801</v>
      </c>
      <c r="AS129" s="117" t="s">
        <v>561</v>
      </c>
      <c r="AT129" s="117" t="s">
        <v>561</v>
      </c>
      <c r="AU129" s="117" t="s">
        <v>561</v>
      </c>
      <c r="AV129" s="117" t="s">
        <v>561</v>
      </c>
      <c r="AW129" s="117" t="s">
        <v>561</v>
      </c>
      <c r="AX129" s="117" t="s">
        <v>561</v>
      </c>
      <c r="AY129" s="117" t="s">
        <v>561</v>
      </c>
      <c r="AZ129" s="117" t="s">
        <v>561</v>
      </c>
      <c r="BA129" s="117" t="s">
        <v>561</v>
      </c>
      <c r="BB129" s="117" t="s">
        <v>600</v>
      </c>
      <c r="BC129" s="117" t="s">
        <v>600</v>
      </c>
      <c r="BD129" s="129" t="s">
        <v>821</v>
      </c>
      <c r="BE129" s="129" t="s">
        <v>821</v>
      </c>
      <c r="BF129" s="130"/>
      <c r="BG129" s="130">
        <f t="shared" si="8"/>
        <v>2000</v>
      </c>
      <c r="BH129" s="131"/>
      <c r="BI129" s="131"/>
      <c r="BJ129" s="132">
        <f>2000</f>
        <v>2000</v>
      </c>
      <c r="BK129" s="132"/>
      <c r="BL129" s="133"/>
      <c r="BM129" s="133" t="s">
        <v>561</v>
      </c>
      <c r="BN129" s="133"/>
      <c r="BO129" s="133"/>
      <c r="BP129" s="133" t="s">
        <v>845</v>
      </c>
      <c r="BQ129" s="134"/>
      <c r="BR129" s="150" t="s">
        <v>1569</v>
      </c>
      <c r="BS129" s="134"/>
      <c r="BT129" s="134"/>
      <c r="BU129" s="137">
        <f t="shared" si="6"/>
        <v>0.181</v>
      </c>
      <c r="BV129" s="138">
        <v>0.583</v>
      </c>
      <c r="BW129" s="137">
        <v>0.402</v>
      </c>
      <c r="BX129" s="137"/>
      <c r="BY129" s="137">
        <f t="shared" si="7"/>
        <v>0.076</v>
      </c>
      <c r="BZ129" s="138">
        <v>0.505</v>
      </c>
      <c r="CA129" s="137">
        <v>0.429</v>
      </c>
      <c r="CB129" s="137"/>
      <c r="CC129" s="138">
        <v>0.5579999999999999</v>
      </c>
      <c r="CD129" s="137">
        <v>0.16</v>
      </c>
      <c r="CE129" s="137">
        <v>0.099</v>
      </c>
      <c r="CF129" s="137">
        <v>0.16899999999999998</v>
      </c>
      <c r="CG129" s="137">
        <v>0.019</v>
      </c>
      <c r="CH129" s="137">
        <v>0.002</v>
      </c>
      <c r="CI129" s="139"/>
      <c r="CJ129" s="138">
        <v>0.6559999999999999</v>
      </c>
      <c r="CK129" s="137">
        <v>0.10400000000000001</v>
      </c>
      <c r="CL129" s="137">
        <v>0.10300000000000001</v>
      </c>
      <c r="CM129" s="137">
        <v>0.126</v>
      </c>
      <c r="CN129" s="137">
        <v>0.006</v>
      </c>
      <c r="CO129" s="137">
        <v>0.001</v>
      </c>
      <c r="CP129" s="137"/>
      <c r="CQ129" s="138">
        <v>0.526</v>
      </c>
      <c r="CR129" s="138">
        <v>0.565</v>
      </c>
      <c r="CS129" s="137">
        <v>0.285</v>
      </c>
    </row>
    <row r="130">
      <c r="A130" s="112">
        <f t="shared" si="1"/>
        <v>128</v>
      </c>
      <c r="B130" s="112" t="s">
        <v>467</v>
      </c>
      <c r="C130" s="112" t="s">
        <v>468</v>
      </c>
      <c r="D130" s="113" t="s">
        <v>464</v>
      </c>
      <c r="E130" s="163"/>
      <c r="F130" s="115">
        <f t="shared" si="2"/>
        <v>0</v>
      </c>
      <c r="G130" s="115">
        <f t="shared" si="3"/>
        <v>0.2647058824</v>
      </c>
      <c r="H130" s="116">
        <f t="shared" si="4"/>
        <v>0.1985294118</v>
      </c>
      <c r="I130" s="117" t="s">
        <v>594</v>
      </c>
      <c r="J130" s="117" t="s">
        <v>594</v>
      </c>
      <c r="K130" s="117" t="s">
        <v>594</v>
      </c>
      <c r="L130" s="117" t="s">
        <v>594</v>
      </c>
      <c r="M130" s="117" t="s">
        <v>594</v>
      </c>
      <c r="N130" s="117" t="s">
        <v>594</v>
      </c>
      <c r="O130" s="149" t="s">
        <v>1256</v>
      </c>
      <c r="P130" s="185" t="s">
        <v>561</v>
      </c>
      <c r="Q130" s="121" t="s">
        <v>53</v>
      </c>
      <c r="R130" s="121" t="s">
        <v>561</v>
      </c>
      <c r="S130" s="119" t="s">
        <v>53</v>
      </c>
      <c r="T130" s="119" t="s">
        <v>53</v>
      </c>
      <c r="U130" s="119" t="s">
        <v>53</v>
      </c>
      <c r="V130" s="119" t="s">
        <v>53</v>
      </c>
      <c r="W130" s="119" t="s">
        <v>53</v>
      </c>
      <c r="X130" s="149" t="s">
        <v>561</v>
      </c>
      <c r="Y130" s="149" t="s">
        <v>561</v>
      </c>
      <c r="Z130" s="149" t="s">
        <v>561</v>
      </c>
      <c r="AA130" s="149" t="s">
        <v>561</v>
      </c>
      <c r="AB130" s="149" t="s">
        <v>561</v>
      </c>
      <c r="AC130" s="125" t="s">
        <v>561</v>
      </c>
      <c r="AD130" s="149" t="s">
        <v>561</v>
      </c>
      <c r="AE130" s="128" t="s">
        <v>561</v>
      </c>
      <c r="AF130" s="125" t="s">
        <v>561</v>
      </c>
      <c r="AG130" s="121" t="s">
        <v>561</v>
      </c>
      <c r="AH130" s="128" t="s">
        <v>561</v>
      </c>
      <c r="AI130" s="125" t="s">
        <v>53</v>
      </c>
      <c r="AJ130" s="128" t="s">
        <v>561</v>
      </c>
      <c r="AK130" s="125" t="s">
        <v>561</v>
      </c>
      <c r="AL130" s="128" t="s">
        <v>561</v>
      </c>
      <c r="AM130" s="128" t="s">
        <v>561</v>
      </c>
      <c r="AN130" s="128" t="s">
        <v>561</v>
      </c>
      <c r="AO130" s="128" t="s">
        <v>53</v>
      </c>
      <c r="AP130" s="121" t="s">
        <v>561</v>
      </c>
      <c r="AQ130" s="128" t="s">
        <v>53</v>
      </c>
      <c r="AR130" s="128" t="s">
        <v>561</v>
      </c>
      <c r="AS130" s="117" t="s">
        <v>561</v>
      </c>
      <c r="AT130" s="117" t="s">
        <v>561</v>
      </c>
      <c r="AU130" s="117" t="s">
        <v>561</v>
      </c>
      <c r="AV130" s="117" t="s">
        <v>561</v>
      </c>
      <c r="AW130" s="117" t="s">
        <v>561</v>
      </c>
      <c r="AX130" s="117" t="s">
        <v>600</v>
      </c>
      <c r="AY130" s="117" t="s">
        <v>600</v>
      </c>
      <c r="AZ130" s="117" t="s">
        <v>600</v>
      </c>
      <c r="BA130" s="117" t="s">
        <v>600</v>
      </c>
      <c r="BB130" s="117" t="s">
        <v>600</v>
      </c>
      <c r="BC130" s="117" t="s">
        <v>600</v>
      </c>
      <c r="BD130" s="164" t="s">
        <v>1832</v>
      </c>
      <c r="BE130" s="164" t="s">
        <v>1832</v>
      </c>
      <c r="BF130" s="130"/>
      <c r="BG130" s="130">
        <f t="shared" si="8"/>
        <v>54240</v>
      </c>
      <c r="BH130" s="131">
        <v>54240.0</v>
      </c>
      <c r="BI130" s="131"/>
      <c r="BJ130" s="132"/>
      <c r="BK130" s="132"/>
      <c r="BL130" s="133"/>
      <c r="BM130" s="133"/>
      <c r="BN130" s="133"/>
      <c r="BO130" s="133" t="s">
        <v>561</v>
      </c>
      <c r="BP130" s="133" t="s">
        <v>2616</v>
      </c>
      <c r="BQ130" s="134"/>
      <c r="BR130" s="135" t="s">
        <v>850</v>
      </c>
      <c r="BS130" s="181" t="s">
        <v>122</v>
      </c>
      <c r="BT130" s="134"/>
      <c r="BU130" s="137">
        <f t="shared" si="6"/>
        <v>0.524</v>
      </c>
      <c r="BV130" s="138">
        <v>0.759</v>
      </c>
      <c r="BW130" s="137">
        <v>0.235</v>
      </c>
      <c r="BX130" s="137"/>
      <c r="BY130" s="137">
        <f t="shared" si="7"/>
        <v>0.571</v>
      </c>
      <c r="BZ130" s="138">
        <v>0.774</v>
      </c>
      <c r="CA130" s="137">
        <v>0.203</v>
      </c>
      <c r="CB130" s="137"/>
      <c r="CC130" s="137">
        <v>0.235</v>
      </c>
      <c r="CD130" s="137">
        <v>0.23</v>
      </c>
      <c r="CE130" s="138">
        <v>0.501</v>
      </c>
      <c r="CF130" s="137">
        <v>0.034</v>
      </c>
      <c r="CG130" s="137">
        <v>0.012</v>
      </c>
      <c r="CH130" s="137">
        <v>0.002</v>
      </c>
      <c r="CI130" s="139"/>
      <c r="CJ130" s="137">
        <v>0.27899999999999997</v>
      </c>
      <c r="CK130" s="137">
        <v>0.18300000000000002</v>
      </c>
      <c r="CL130" s="138">
        <v>0.503</v>
      </c>
      <c r="CM130" s="137">
        <v>0.026000000000000002</v>
      </c>
      <c r="CN130" s="137">
        <v>0.005</v>
      </c>
      <c r="CO130" s="137">
        <v>0.0</v>
      </c>
      <c r="CP130" s="137"/>
      <c r="CQ130" s="137">
        <v>0.23399999999999999</v>
      </c>
      <c r="CR130" s="137">
        <v>0.315</v>
      </c>
      <c r="CS130" s="137">
        <v>0.191</v>
      </c>
    </row>
    <row r="131">
      <c r="A131" s="112">
        <f t="shared" si="1"/>
        <v>128</v>
      </c>
      <c r="B131" s="112" t="s">
        <v>391</v>
      </c>
      <c r="C131" s="112" t="s">
        <v>392</v>
      </c>
      <c r="D131" s="113" t="s">
        <v>388</v>
      </c>
      <c r="E131" s="163"/>
      <c r="F131" s="115">
        <f t="shared" si="2"/>
        <v>0</v>
      </c>
      <c r="G131" s="115">
        <f t="shared" si="3"/>
        <v>0.2647058824</v>
      </c>
      <c r="H131" s="116">
        <f t="shared" si="4"/>
        <v>0.1985294118</v>
      </c>
      <c r="I131" s="117" t="s">
        <v>594</v>
      </c>
      <c r="J131" s="117" t="s">
        <v>594</v>
      </c>
      <c r="K131" s="117" t="s">
        <v>594</v>
      </c>
      <c r="L131" s="117" t="s">
        <v>594</v>
      </c>
      <c r="M131" s="117" t="s">
        <v>594</v>
      </c>
      <c r="N131" s="117" t="s">
        <v>594</v>
      </c>
      <c r="O131" s="149" t="s">
        <v>1256</v>
      </c>
      <c r="P131" s="120" t="s">
        <v>53</v>
      </c>
      <c r="Q131" s="121" t="s">
        <v>53</v>
      </c>
      <c r="R131" s="121" t="s">
        <v>561</v>
      </c>
      <c r="S131" s="119" t="s">
        <v>53</v>
      </c>
      <c r="T131" s="119" t="s">
        <v>53</v>
      </c>
      <c r="U131" s="149" t="s">
        <v>561</v>
      </c>
      <c r="V131" s="119" t="s">
        <v>53</v>
      </c>
      <c r="W131" s="119" t="s">
        <v>53</v>
      </c>
      <c r="X131" s="149" t="s">
        <v>561</v>
      </c>
      <c r="Y131" s="149" t="s">
        <v>561</v>
      </c>
      <c r="Z131" s="149" t="s">
        <v>561</v>
      </c>
      <c r="AA131" s="149" t="s">
        <v>561</v>
      </c>
      <c r="AB131" s="149" t="s">
        <v>561</v>
      </c>
      <c r="AC131" s="125" t="s">
        <v>561</v>
      </c>
      <c r="AD131" s="149" t="s">
        <v>561</v>
      </c>
      <c r="AE131" s="128" t="s">
        <v>561</v>
      </c>
      <c r="AF131" s="125" t="s">
        <v>561</v>
      </c>
      <c r="AG131" s="121" t="s">
        <v>53</v>
      </c>
      <c r="AH131" s="128" t="s">
        <v>561</v>
      </c>
      <c r="AI131" s="128" t="s">
        <v>561</v>
      </c>
      <c r="AJ131" s="128" t="s">
        <v>561</v>
      </c>
      <c r="AK131" s="125" t="s">
        <v>561</v>
      </c>
      <c r="AL131" s="128" t="s">
        <v>561</v>
      </c>
      <c r="AM131" s="128" t="s">
        <v>561</v>
      </c>
      <c r="AN131" s="128" t="s">
        <v>561</v>
      </c>
      <c r="AO131" s="128" t="s">
        <v>53</v>
      </c>
      <c r="AP131" s="121" t="s">
        <v>561</v>
      </c>
      <c r="AQ131" s="128" t="s">
        <v>53</v>
      </c>
      <c r="AR131" s="128" t="s">
        <v>561</v>
      </c>
      <c r="AS131" s="117" t="s">
        <v>561</v>
      </c>
      <c r="AT131" s="117" t="s">
        <v>561</v>
      </c>
      <c r="AU131" s="117" t="s">
        <v>561</v>
      </c>
      <c r="AV131" s="117" t="s">
        <v>561</v>
      </c>
      <c r="AW131" s="117" t="s">
        <v>561</v>
      </c>
      <c r="AX131" s="117" t="s">
        <v>600</v>
      </c>
      <c r="AY131" s="117" t="s">
        <v>600</v>
      </c>
      <c r="AZ131" s="117" t="s">
        <v>600</v>
      </c>
      <c r="BA131" s="117" t="s">
        <v>600</v>
      </c>
      <c r="BB131" s="117" t="s">
        <v>600</v>
      </c>
      <c r="BC131" s="117" t="s">
        <v>600</v>
      </c>
      <c r="BD131" s="164" t="s">
        <v>1832</v>
      </c>
      <c r="BE131" s="164" t="s">
        <v>1832</v>
      </c>
      <c r="BF131" s="130"/>
      <c r="BG131" s="130">
        <f t="shared" si="8"/>
        <v>24150</v>
      </c>
      <c r="BH131" s="131">
        <v>22150.0</v>
      </c>
      <c r="BI131" s="131"/>
      <c r="BJ131" s="132">
        <f>2000</f>
        <v>2000</v>
      </c>
      <c r="BK131" s="132"/>
      <c r="BL131" s="133"/>
      <c r="BM131" s="133" t="s">
        <v>561</v>
      </c>
      <c r="BN131" s="133" t="s">
        <v>561</v>
      </c>
      <c r="BO131" s="133" t="s">
        <v>561</v>
      </c>
      <c r="BP131" s="133" t="s">
        <v>976</v>
      </c>
      <c r="BQ131" s="134"/>
      <c r="BR131" s="150" t="s">
        <v>1569</v>
      </c>
      <c r="BS131" s="181" t="s">
        <v>2030</v>
      </c>
      <c r="BT131" s="134"/>
      <c r="BU131" s="137">
        <f t="shared" si="6"/>
        <v>0.142</v>
      </c>
      <c r="BV131" s="138">
        <v>0.557</v>
      </c>
      <c r="BW131" s="137">
        <v>0.415</v>
      </c>
      <c r="BX131" s="137"/>
      <c r="BY131" s="137">
        <f t="shared" si="7"/>
        <v>0.029</v>
      </c>
      <c r="BZ131" s="138">
        <v>0.47</v>
      </c>
      <c r="CA131" s="137">
        <v>0.441</v>
      </c>
      <c r="CB131" s="137"/>
      <c r="CC131" s="138">
        <v>0.774</v>
      </c>
      <c r="CD131" s="137">
        <v>0.133</v>
      </c>
      <c r="CE131" s="137">
        <v>0.02</v>
      </c>
      <c r="CF131" s="137">
        <v>0.040999999999999995</v>
      </c>
      <c r="CG131" s="137">
        <v>0.032</v>
      </c>
      <c r="CH131" s="137">
        <v>0.002</v>
      </c>
      <c r="CI131" s="139"/>
      <c r="CJ131" s="138">
        <v>0.821</v>
      </c>
      <c r="CK131" s="137">
        <v>0.121</v>
      </c>
      <c r="CL131" s="137">
        <v>0.017</v>
      </c>
      <c r="CM131" s="137">
        <v>0.027000000000000003</v>
      </c>
      <c r="CN131" s="137">
        <v>0.012</v>
      </c>
      <c r="CO131" s="137">
        <v>0.001</v>
      </c>
      <c r="CP131" s="137"/>
      <c r="CQ131" s="137">
        <v>0.43799999999999994</v>
      </c>
      <c r="CR131" s="137">
        <v>0.474</v>
      </c>
      <c r="CS131" s="137">
        <v>0.43200000000000005</v>
      </c>
    </row>
    <row r="132">
      <c r="A132" s="112">
        <f t="shared" si="1"/>
        <v>130</v>
      </c>
      <c r="B132" s="189" t="s">
        <v>110</v>
      </c>
      <c r="C132" s="189" t="s">
        <v>111</v>
      </c>
      <c r="D132" s="215" t="s">
        <v>107</v>
      </c>
      <c r="E132" s="186"/>
      <c r="F132" s="115">
        <f t="shared" si="2"/>
        <v>0</v>
      </c>
      <c r="G132" s="115">
        <f t="shared" si="3"/>
        <v>0.2631578947</v>
      </c>
      <c r="H132" s="116">
        <f t="shared" si="4"/>
        <v>0.1973684211</v>
      </c>
      <c r="I132" s="117" t="s">
        <v>594</v>
      </c>
      <c r="J132" s="149" t="s">
        <v>594</v>
      </c>
      <c r="K132" s="117" t="s">
        <v>594</v>
      </c>
      <c r="L132" s="117" t="s">
        <v>594</v>
      </c>
      <c r="M132" s="117" t="s">
        <v>594</v>
      </c>
      <c r="N132" s="117" t="s">
        <v>594</v>
      </c>
      <c r="O132" s="149" t="s">
        <v>1256</v>
      </c>
      <c r="P132" s="120" t="s">
        <v>53</v>
      </c>
      <c r="Q132" s="121" t="s">
        <v>53</v>
      </c>
      <c r="R132" s="121" t="s">
        <v>561</v>
      </c>
      <c r="S132" s="119" t="s">
        <v>53</v>
      </c>
      <c r="T132" s="119" t="s">
        <v>53</v>
      </c>
      <c r="U132" s="123" t="s">
        <v>801</v>
      </c>
      <c r="V132" s="119" t="s">
        <v>53</v>
      </c>
      <c r="W132" s="119" t="s">
        <v>53</v>
      </c>
      <c r="X132" s="149" t="s">
        <v>561</v>
      </c>
      <c r="Y132" s="149" t="s">
        <v>561</v>
      </c>
      <c r="Z132" s="149" t="s">
        <v>561</v>
      </c>
      <c r="AA132" s="149" t="s">
        <v>561</v>
      </c>
      <c r="AB132" s="149" t="s">
        <v>561</v>
      </c>
      <c r="AC132" s="125" t="s">
        <v>561</v>
      </c>
      <c r="AD132" s="149" t="s">
        <v>561</v>
      </c>
      <c r="AE132" s="128" t="s">
        <v>561</v>
      </c>
      <c r="AF132" s="125" t="s">
        <v>561</v>
      </c>
      <c r="AG132" s="121" t="s">
        <v>53</v>
      </c>
      <c r="AH132" s="128" t="s">
        <v>561</v>
      </c>
      <c r="AI132" s="125" t="s">
        <v>53</v>
      </c>
      <c r="AJ132" s="123" t="s">
        <v>801</v>
      </c>
      <c r="AK132" s="125" t="s">
        <v>561</v>
      </c>
      <c r="AL132" s="128" t="s">
        <v>561</v>
      </c>
      <c r="AM132" s="128" t="s">
        <v>561</v>
      </c>
      <c r="AN132" s="128" t="s">
        <v>561</v>
      </c>
      <c r="AO132" s="128" t="s">
        <v>53</v>
      </c>
      <c r="AP132" s="121" t="s">
        <v>561</v>
      </c>
      <c r="AQ132" s="128" t="s">
        <v>53</v>
      </c>
      <c r="AR132" s="128" t="s">
        <v>561</v>
      </c>
      <c r="AS132" s="117" t="s">
        <v>561</v>
      </c>
      <c r="AT132" s="117" t="s">
        <v>561</v>
      </c>
      <c r="AU132" s="117" t="s">
        <v>561</v>
      </c>
      <c r="AV132" s="128" t="s">
        <v>561</v>
      </c>
      <c r="AW132" s="128" t="s">
        <v>561</v>
      </c>
      <c r="AX132" s="128" t="s">
        <v>561</v>
      </c>
      <c r="AY132" s="128" t="s">
        <v>561</v>
      </c>
      <c r="AZ132" s="117" t="s">
        <v>561</v>
      </c>
      <c r="BA132" s="128" t="s">
        <v>561</v>
      </c>
      <c r="BB132" s="117" t="s">
        <v>561</v>
      </c>
      <c r="BC132" s="117" t="s">
        <v>561</v>
      </c>
      <c r="BD132" s="129" t="s">
        <v>821</v>
      </c>
      <c r="BE132" s="129" t="s">
        <v>821</v>
      </c>
      <c r="BF132" s="130"/>
      <c r="BG132" s="130">
        <f t="shared" si="8"/>
        <v>14900</v>
      </c>
      <c r="BH132" s="131">
        <v>14900.0</v>
      </c>
      <c r="BI132" s="131"/>
      <c r="BJ132" s="132"/>
      <c r="BK132" s="132"/>
      <c r="BL132" s="133"/>
      <c r="BM132" s="133"/>
      <c r="BN132" s="133"/>
      <c r="BO132" s="133" t="s">
        <v>561</v>
      </c>
      <c r="BP132" s="216" t="s">
        <v>2619</v>
      </c>
      <c r="BQ132" s="139"/>
      <c r="BR132" s="217"/>
      <c r="BS132" s="218" t="s">
        <v>122</v>
      </c>
      <c r="BT132" s="219"/>
      <c r="BU132" s="220">
        <f t="shared" si="6"/>
        <v>0.371</v>
      </c>
      <c r="BV132" s="221">
        <v>0.674</v>
      </c>
      <c r="BW132" s="222">
        <v>0.303</v>
      </c>
      <c r="BX132" s="223"/>
      <c r="BY132" s="224">
        <f t="shared" si="7"/>
        <v>0.386</v>
      </c>
      <c r="BZ132" s="225">
        <v>0.6629999999999999</v>
      </c>
      <c r="CA132" s="226">
        <v>0.27699999999999997</v>
      </c>
      <c r="CB132" s="223"/>
      <c r="CC132" s="227">
        <v>0.35</v>
      </c>
      <c r="CD132" s="228">
        <v>0.24100000000000002</v>
      </c>
      <c r="CE132" s="229">
        <v>0.124</v>
      </c>
      <c r="CF132" s="230">
        <v>0.26</v>
      </c>
      <c r="CG132" s="231">
        <v>0.035</v>
      </c>
      <c r="CH132" s="232">
        <v>0.024</v>
      </c>
      <c r="CI132" s="223"/>
      <c r="CJ132" s="233">
        <v>0.414</v>
      </c>
      <c r="CK132" s="234">
        <v>0.212</v>
      </c>
      <c r="CL132" s="235">
        <v>0.129</v>
      </c>
      <c r="CM132" s="236">
        <v>0.21</v>
      </c>
      <c r="CN132" s="237">
        <v>0.012</v>
      </c>
      <c r="CO132" s="238">
        <v>0.015</v>
      </c>
      <c r="CP132" s="223"/>
      <c r="CQ132" s="239">
        <v>0.317</v>
      </c>
      <c r="CR132" s="240">
        <v>0.405</v>
      </c>
      <c r="CS132" s="241">
        <v>0.24600000000000002</v>
      </c>
    </row>
    <row r="133">
      <c r="A133" s="112">
        <f t="shared" si="1"/>
        <v>130</v>
      </c>
      <c r="B133" s="112" t="s">
        <v>767</v>
      </c>
      <c r="C133" s="112" t="s">
        <v>768</v>
      </c>
      <c r="D133" s="144" t="s">
        <v>764</v>
      </c>
      <c r="E133" s="186"/>
      <c r="F133" s="115">
        <f t="shared" si="2"/>
        <v>0</v>
      </c>
      <c r="G133" s="115">
        <f t="shared" si="3"/>
        <v>0.2631578947</v>
      </c>
      <c r="H133" s="116">
        <f t="shared" si="4"/>
        <v>0.1973684211</v>
      </c>
      <c r="I133" s="117" t="s">
        <v>594</v>
      </c>
      <c r="J133" s="117" t="s">
        <v>594</v>
      </c>
      <c r="K133" s="117" t="s">
        <v>594</v>
      </c>
      <c r="L133" s="117" t="s">
        <v>594</v>
      </c>
      <c r="M133" s="117" t="s">
        <v>594</v>
      </c>
      <c r="N133" s="117" t="s">
        <v>594</v>
      </c>
      <c r="O133" s="149" t="s">
        <v>1256</v>
      </c>
      <c r="P133" s="120" t="s">
        <v>53</v>
      </c>
      <c r="Q133" s="121" t="s">
        <v>53</v>
      </c>
      <c r="R133" s="121" t="s">
        <v>561</v>
      </c>
      <c r="S133" s="119" t="s">
        <v>53</v>
      </c>
      <c r="T133" s="119" t="s">
        <v>53</v>
      </c>
      <c r="U133" s="119" t="s">
        <v>53</v>
      </c>
      <c r="V133" s="119" t="s">
        <v>53</v>
      </c>
      <c r="W133" s="119" t="s">
        <v>53</v>
      </c>
      <c r="X133" s="149" t="s">
        <v>561</v>
      </c>
      <c r="Y133" s="149" t="s">
        <v>561</v>
      </c>
      <c r="Z133" s="149" t="s">
        <v>561</v>
      </c>
      <c r="AA133" s="149" t="s">
        <v>561</v>
      </c>
      <c r="AB133" s="149" t="s">
        <v>561</v>
      </c>
      <c r="AC133" s="125" t="s">
        <v>561</v>
      </c>
      <c r="AD133" s="149" t="s">
        <v>561</v>
      </c>
      <c r="AE133" s="128" t="s">
        <v>561</v>
      </c>
      <c r="AF133" s="125" t="s">
        <v>561</v>
      </c>
      <c r="AG133" s="121" t="s">
        <v>53</v>
      </c>
      <c r="AH133" s="128" t="s">
        <v>561</v>
      </c>
      <c r="AI133" s="128" t="s">
        <v>561</v>
      </c>
      <c r="AJ133" s="128" t="s">
        <v>561</v>
      </c>
      <c r="AK133" s="125" t="s">
        <v>561</v>
      </c>
      <c r="AL133" s="128" t="s">
        <v>561</v>
      </c>
      <c r="AM133" s="128" t="s">
        <v>561</v>
      </c>
      <c r="AN133" s="128" t="s">
        <v>561</v>
      </c>
      <c r="AO133" s="128" t="s">
        <v>53</v>
      </c>
      <c r="AP133" s="121" t="s">
        <v>561</v>
      </c>
      <c r="AQ133" s="128" t="s">
        <v>53</v>
      </c>
      <c r="AR133" s="128" t="s">
        <v>561</v>
      </c>
      <c r="AS133" s="117" t="s">
        <v>561</v>
      </c>
      <c r="AT133" s="117" t="s">
        <v>561</v>
      </c>
      <c r="AU133" s="117" t="s">
        <v>561</v>
      </c>
      <c r="AV133" s="117" t="s">
        <v>561</v>
      </c>
      <c r="AW133" s="117" t="s">
        <v>561</v>
      </c>
      <c r="AX133" s="117" t="s">
        <v>561</v>
      </c>
      <c r="AY133" s="117" t="s">
        <v>561</v>
      </c>
      <c r="AZ133" s="117" t="s">
        <v>561</v>
      </c>
      <c r="BA133" s="117" t="s">
        <v>801</v>
      </c>
      <c r="BB133" s="117" t="s">
        <v>561</v>
      </c>
      <c r="BC133" s="117" t="s">
        <v>600</v>
      </c>
      <c r="BD133" s="164" t="s">
        <v>1832</v>
      </c>
      <c r="BE133" s="129" t="s">
        <v>821</v>
      </c>
      <c r="BF133" s="130"/>
      <c r="BG133" s="130">
        <f t="shared" si="8"/>
        <v>0</v>
      </c>
      <c r="BH133" s="131"/>
      <c r="BI133" s="131"/>
      <c r="BJ133" s="132"/>
      <c r="BK133" s="132"/>
      <c r="BL133" s="133"/>
      <c r="BM133" s="133" t="s">
        <v>561</v>
      </c>
      <c r="BN133" s="133"/>
      <c r="BO133" s="133"/>
      <c r="BP133" s="133" t="s">
        <v>1432</v>
      </c>
      <c r="BQ133" s="134"/>
      <c r="BR133" s="150" t="s">
        <v>1569</v>
      </c>
      <c r="BS133" s="134"/>
      <c r="BT133" s="134"/>
      <c r="BU133" s="137">
        <f t="shared" si="6"/>
        <v>0.276</v>
      </c>
      <c r="BV133" s="138">
        <v>0.629</v>
      </c>
      <c r="BW133" s="137">
        <v>0.353</v>
      </c>
      <c r="BX133" s="137"/>
      <c r="BY133" s="137">
        <f t="shared" si="7"/>
        <v>0.181</v>
      </c>
      <c r="BZ133" s="138">
        <v>0.5539999999999999</v>
      </c>
      <c r="CA133" s="137">
        <v>0.373</v>
      </c>
      <c r="CB133" s="137"/>
      <c r="CC133" s="138">
        <v>0.7959999999999999</v>
      </c>
      <c r="CD133" s="137">
        <v>0.092</v>
      </c>
      <c r="CE133" s="137">
        <v>0.044000000000000004</v>
      </c>
      <c r="CF133" s="137">
        <v>0.053</v>
      </c>
      <c r="CG133" s="137">
        <v>0.011000000000000001</v>
      </c>
      <c r="CH133" s="137">
        <v>0.001</v>
      </c>
      <c r="CI133" s="139"/>
      <c r="CJ133" s="142">
        <v>0.8620000000000001</v>
      </c>
      <c r="CK133" s="141">
        <v>0.066</v>
      </c>
      <c r="CL133" s="141">
        <v>0.028999999999999998</v>
      </c>
      <c r="CM133" s="141">
        <v>0.038</v>
      </c>
      <c r="CN133" s="141">
        <v>0.003</v>
      </c>
      <c r="CO133" s="141">
        <v>0.0</v>
      </c>
      <c r="CP133" s="137"/>
      <c r="CQ133" s="137">
        <v>0.475</v>
      </c>
      <c r="CR133" s="138">
        <v>0.49700000000000005</v>
      </c>
      <c r="CS133" s="137">
        <v>0.434</v>
      </c>
    </row>
    <row r="134">
      <c r="A134" s="112">
        <f t="shared" si="1"/>
        <v>130</v>
      </c>
      <c r="B134" s="112" t="s">
        <v>240</v>
      </c>
      <c r="C134" s="112" t="s">
        <v>877</v>
      </c>
      <c r="D134" s="113" t="s">
        <v>1388</v>
      </c>
      <c r="E134" s="186"/>
      <c r="F134" s="115">
        <f t="shared" si="2"/>
        <v>0</v>
      </c>
      <c r="G134" s="115">
        <f t="shared" si="3"/>
        <v>0.2631578947</v>
      </c>
      <c r="H134" s="116">
        <f t="shared" si="4"/>
        <v>0.1973684211</v>
      </c>
      <c r="I134" s="117" t="s">
        <v>594</v>
      </c>
      <c r="J134" s="117" t="s">
        <v>594</v>
      </c>
      <c r="K134" s="117" t="s">
        <v>594</v>
      </c>
      <c r="L134" s="117" t="s">
        <v>594</v>
      </c>
      <c r="M134" s="117" t="s">
        <v>594</v>
      </c>
      <c r="N134" s="117" t="s">
        <v>594</v>
      </c>
      <c r="O134" s="149" t="s">
        <v>1256</v>
      </c>
      <c r="P134" s="120" t="s">
        <v>53</v>
      </c>
      <c r="Q134" s="121" t="s">
        <v>801</v>
      </c>
      <c r="R134" s="121" t="s">
        <v>561</v>
      </c>
      <c r="S134" s="119" t="s">
        <v>53</v>
      </c>
      <c r="T134" s="119" t="s">
        <v>53</v>
      </c>
      <c r="U134" s="119" t="s">
        <v>53</v>
      </c>
      <c r="V134" s="119" t="s">
        <v>53</v>
      </c>
      <c r="W134" s="119" t="s">
        <v>53</v>
      </c>
      <c r="X134" s="149" t="s">
        <v>561</v>
      </c>
      <c r="Y134" s="149" t="s">
        <v>561</v>
      </c>
      <c r="Z134" s="149" t="s">
        <v>561</v>
      </c>
      <c r="AA134" s="149" t="s">
        <v>561</v>
      </c>
      <c r="AB134" s="149" t="s">
        <v>561</v>
      </c>
      <c r="AC134" s="125" t="s">
        <v>801</v>
      </c>
      <c r="AD134" s="149" t="s">
        <v>561</v>
      </c>
      <c r="AE134" s="128" t="s">
        <v>561</v>
      </c>
      <c r="AF134" s="125" t="s">
        <v>561</v>
      </c>
      <c r="AG134" s="121" t="s">
        <v>53</v>
      </c>
      <c r="AH134" s="128" t="s">
        <v>561</v>
      </c>
      <c r="AI134" s="128" t="s">
        <v>561</v>
      </c>
      <c r="AJ134" s="128" t="s">
        <v>561</v>
      </c>
      <c r="AK134" s="125" t="s">
        <v>561</v>
      </c>
      <c r="AL134" s="128" t="s">
        <v>561</v>
      </c>
      <c r="AM134" s="128" t="s">
        <v>561</v>
      </c>
      <c r="AN134" s="128" t="s">
        <v>561</v>
      </c>
      <c r="AO134" s="128" t="s">
        <v>53</v>
      </c>
      <c r="AP134" s="121" t="s">
        <v>561</v>
      </c>
      <c r="AQ134" s="128" t="s">
        <v>53</v>
      </c>
      <c r="AR134" s="128" t="s">
        <v>561</v>
      </c>
      <c r="AS134" s="117" t="s">
        <v>561</v>
      </c>
      <c r="AT134" s="117" t="s">
        <v>53</v>
      </c>
      <c r="AU134" s="117" t="s">
        <v>561</v>
      </c>
      <c r="AV134" s="117" t="s">
        <v>561</v>
      </c>
      <c r="AW134" s="117" t="s">
        <v>561</v>
      </c>
      <c r="AX134" s="117" t="s">
        <v>561</v>
      </c>
      <c r="AY134" s="117" t="s">
        <v>561</v>
      </c>
      <c r="AZ134" s="117" t="s">
        <v>561</v>
      </c>
      <c r="BA134" s="117" t="s">
        <v>561</v>
      </c>
      <c r="BB134" s="117" t="s">
        <v>561</v>
      </c>
      <c r="BC134" s="117" t="s">
        <v>561</v>
      </c>
      <c r="BD134" s="129" t="s">
        <v>821</v>
      </c>
      <c r="BE134" s="129" t="s">
        <v>821</v>
      </c>
      <c r="BF134" s="130"/>
      <c r="BG134" s="130">
        <f t="shared" si="8"/>
        <v>97125</v>
      </c>
      <c r="BH134" s="131">
        <v>96125.0</v>
      </c>
      <c r="BI134" s="131"/>
      <c r="BJ134" s="132">
        <f>1000</f>
        <v>1000</v>
      </c>
      <c r="BK134" s="132"/>
      <c r="BL134" s="133"/>
      <c r="BM134" s="133" t="s">
        <v>561</v>
      </c>
      <c r="BN134" s="133" t="s">
        <v>561</v>
      </c>
      <c r="BO134" s="133" t="s">
        <v>561</v>
      </c>
      <c r="BP134" s="133" t="s">
        <v>1711</v>
      </c>
      <c r="BQ134" s="134"/>
      <c r="BR134" s="150" t="s">
        <v>1199</v>
      </c>
      <c r="BS134" s="181" t="s">
        <v>2030</v>
      </c>
      <c r="BT134" s="134"/>
      <c r="BU134" s="137">
        <f t="shared" si="6"/>
        <v>0.452</v>
      </c>
      <c r="BV134" s="138">
        <v>0.715</v>
      </c>
      <c r="BW134" s="137">
        <v>0.263</v>
      </c>
      <c r="BX134" s="137"/>
      <c r="BY134" s="137">
        <f t="shared" si="7"/>
        <v>0.438</v>
      </c>
      <c r="BZ134" s="138">
        <v>0.687</v>
      </c>
      <c r="CA134" s="137">
        <v>0.249</v>
      </c>
      <c r="CB134" s="137"/>
      <c r="CC134" s="138">
        <v>0.444</v>
      </c>
      <c r="CD134" s="137">
        <v>0.12300000000000001</v>
      </c>
      <c r="CE134" s="137">
        <v>0.133</v>
      </c>
      <c r="CF134" s="137">
        <v>0.267</v>
      </c>
      <c r="CG134" s="137">
        <v>0.027999999999999997</v>
      </c>
      <c r="CH134" s="137">
        <v>0.022000000000000002</v>
      </c>
      <c r="CI134" s="139"/>
      <c r="CJ134" s="138">
        <v>0.55</v>
      </c>
      <c r="CK134" s="137">
        <v>0.073</v>
      </c>
      <c r="CL134" s="137">
        <v>0.126</v>
      </c>
      <c r="CM134" s="137">
        <v>0.21</v>
      </c>
      <c r="CN134" s="137">
        <v>0.018000000000000002</v>
      </c>
      <c r="CO134" s="137">
        <v>0.013000000000000001</v>
      </c>
      <c r="CP134" s="137"/>
      <c r="CQ134" s="137">
        <v>0.386</v>
      </c>
      <c r="CR134" s="137">
        <v>0.44299999999999995</v>
      </c>
      <c r="CS134" s="137">
        <v>0.306</v>
      </c>
    </row>
    <row r="135">
      <c r="A135" s="112">
        <f t="shared" si="1"/>
        <v>133</v>
      </c>
      <c r="B135" s="112" t="s">
        <v>1117</v>
      </c>
      <c r="C135" s="112" t="s">
        <v>1118</v>
      </c>
      <c r="D135" s="113" t="s">
        <v>1114</v>
      </c>
      <c r="E135" s="163"/>
      <c r="F135" s="115">
        <f t="shared" si="2"/>
        <v>0</v>
      </c>
      <c r="G135" s="115">
        <f t="shared" si="3"/>
        <v>0.2625</v>
      </c>
      <c r="H135" s="116">
        <f t="shared" si="4"/>
        <v>0.196875</v>
      </c>
      <c r="I135" s="117" t="s">
        <v>594</v>
      </c>
      <c r="J135" s="117" t="s">
        <v>594</v>
      </c>
      <c r="K135" s="117" t="s">
        <v>594</v>
      </c>
      <c r="L135" s="117" t="s">
        <v>594</v>
      </c>
      <c r="M135" s="117" t="s">
        <v>594</v>
      </c>
      <c r="N135" s="117" t="s">
        <v>594</v>
      </c>
      <c r="O135" s="149" t="s">
        <v>1256</v>
      </c>
      <c r="P135" s="185" t="s">
        <v>561</v>
      </c>
      <c r="Q135" s="121" t="s">
        <v>53</v>
      </c>
      <c r="R135" s="121" t="s">
        <v>561</v>
      </c>
      <c r="S135" s="149" t="s">
        <v>561</v>
      </c>
      <c r="T135" s="119" t="s">
        <v>53</v>
      </c>
      <c r="U135" s="119" t="s">
        <v>53</v>
      </c>
      <c r="V135" s="119" t="s">
        <v>53</v>
      </c>
      <c r="W135" s="119" t="s">
        <v>53</v>
      </c>
      <c r="X135" s="149" t="s">
        <v>561</v>
      </c>
      <c r="Y135" s="149" t="s">
        <v>561</v>
      </c>
      <c r="Z135" s="149" t="s">
        <v>561</v>
      </c>
      <c r="AA135" s="149" t="s">
        <v>561</v>
      </c>
      <c r="AB135" s="149" t="s">
        <v>561</v>
      </c>
      <c r="AC135" s="125" t="s">
        <v>561</v>
      </c>
      <c r="AD135" s="149" t="s">
        <v>561</v>
      </c>
      <c r="AE135" s="128" t="s">
        <v>561</v>
      </c>
      <c r="AF135" s="125" t="s">
        <v>561</v>
      </c>
      <c r="AG135" s="121" t="s">
        <v>53</v>
      </c>
      <c r="AH135" s="128" t="s">
        <v>561</v>
      </c>
      <c r="AI135" s="128" t="s">
        <v>561</v>
      </c>
      <c r="AJ135" s="128" t="s">
        <v>561</v>
      </c>
      <c r="AK135" s="125" t="s">
        <v>799</v>
      </c>
      <c r="AL135" s="128" t="s">
        <v>561</v>
      </c>
      <c r="AM135" s="128" t="s">
        <v>561</v>
      </c>
      <c r="AN135" s="128" t="s">
        <v>561</v>
      </c>
      <c r="AO135" s="128" t="s">
        <v>53</v>
      </c>
      <c r="AP135" s="121" t="s">
        <v>561</v>
      </c>
      <c r="AQ135" s="128" t="s">
        <v>53</v>
      </c>
      <c r="AR135" s="128" t="s">
        <v>561</v>
      </c>
      <c r="AS135" s="117" t="s">
        <v>561</v>
      </c>
      <c r="AT135" s="117" t="s">
        <v>53</v>
      </c>
      <c r="AU135" s="117" t="s">
        <v>561</v>
      </c>
      <c r="AV135" s="117" t="s">
        <v>561</v>
      </c>
      <c r="AW135" s="117" t="s">
        <v>561</v>
      </c>
      <c r="AX135" s="117" t="s">
        <v>561</v>
      </c>
      <c r="AY135" s="117" t="s">
        <v>561</v>
      </c>
      <c r="AZ135" s="117" t="s">
        <v>561</v>
      </c>
      <c r="BA135" s="117" t="s">
        <v>561</v>
      </c>
      <c r="BB135" s="117" t="s">
        <v>53</v>
      </c>
      <c r="BC135" s="117" t="s">
        <v>561</v>
      </c>
      <c r="BD135" s="129" t="s">
        <v>821</v>
      </c>
      <c r="BE135" s="129" t="s">
        <v>821</v>
      </c>
      <c r="BF135" s="130"/>
      <c r="BG135" s="130">
        <f t="shared" si="8"/>
        <v>0</v>
      </c>
      <c r="BH135" s="131"/>
      <c r="BI135" s="131"/>
      <c r="BJ135" s="132"/>
      <c r="BK135" s="132"/>
      <c r="BL135" s="133"/>
      <c r="BM135" s="133" t="s">
        <v>561</v>
      </c>
      <c r="BN135" s="133"/>
      <c r="BO135" s="133"/>
      <c r="BP135" s="133" t="s">
        <v>2620</v>
      </c>
      <c r="BQ135" s="134"/>
      <c r="BR135" s="134"/>
      <c r="BS135" s="134"/>
      <c r="BT135" s="134"/>
      <c r="BU135" s="137">
        <f t="shared" si="6"/>
        <v>-0.029</v>
      </c>
      <c r="BV135" s="137">
        <v>0.47700000000000004</v>
      </c>
      <c r="BW135" s="138">
        <v>0.506</v>
      </c>
      <c r="BX135" s="138"/>
      <c r="BY135" s="242">
        <f t="shared" si="7"/>
        <v>-0.009</v>
      </c>
      <c r="BZ135" s="242">
        <v>0.46799999999999997</v>
      </c>
      <c r="CA135" s="243">
        <v>0.47700000000000004</v>
      </c>
      <c r="CB135" s="243"/>
      <c r="CC135" s="138">
        <v>0.777</v>
      </c>
      <c r="CD135" s="137">
        <v>0.059000000000000004</v>
      </c>
      <c r="CE135" s="137">
        <v>0.126</v>
      </c>
      <c r="CF135" s="137">
        <v>0.017</v>
      </c>
      <c r="CG135" s="137">
        <v>0.02</v>
      </c>
      <c r="CH135" s="137">
        <v>0.001</v>
      </c>
      <c r="CI135" s="139"/>
      <c r="CJ135" s="138">
        <v>0.807</v>
      </c>
      <c r="CK135" s="137">
        <v>0.055</v>
      </c>
      <c r="CL135" s="137">
        <v>0.121</v>
      </c>
      <c r="CM135" s="137">
        <v>0.01</v>
      </c>
      <c r="CN135" s="137">
        <v>0.006</v>
      </c>
      <c r="CO135" s="137">
        <v>0.0</v>
      </c>
      <c r="CP135" s="137"/>
      <c r="CQ135" s="137">
        <v>0.249</v>
      </c>
      <c r="CR135" s="137">
        <v>0.265</v>
      </c>
      <c r="CS135" s="138">
        <v>0.593</v>
      </c>
    </row>
    <row r="136">
      <c r="A136" s="112">
        <f t="shared" si="1"/>
        <v>134</v>
      </c>
      <c r="B136" s="112" t="s">
        <v>879</v>
      </c>
      <c r="C136" s="112" t="s">
        <v>880</v>
      </c>
      <c r="D136" s="113" t="s">
        <v>874</v>
      </c>
      <c r="E136" s="163"/>
      <c r="F136" s="115">
        <f t="shared" si="2"/>
        <v>0</v>
      </c>
      <c r="G136" s="115">
        <f t="shared" si="3"/>
        <v>0.2571428571</v>
      </c>
      <c r="H136" s="116">
        <f t="shared" si="4"/>
        <v>0.1928571429</v>
      </c>
      <c r="I136" s="117" t="s">
        <v>594</v>
      </c>
      <c r="J136" s="117" t="s">
        <v>594</v>
      </c>
      <c r="K136" s="117" t="s">
        <v>594</v>
      </c>
      <c r="L136" s="117" t="s">
        <v>594</v>
      </c>
      <c r="M136" s="117" t="s">
        <v>594</v>
      </c>
      <c r="N136" s="117" t="s">
        <v>594</v>
      </c>
      <c r="O136" s="149" t="s">
        <v>1256</v>
      </c>
      <c r="P136" s="120" t="s">
        <v>53</v>
      </c>
      <c r="Q136" s="121" t="s">
        <v>53</v>
      </c>
      <c r="R136" s="121" t="s">
        <v>561</v>
      </c>
      <c r="S136" s="119" t="s">
        <v>53</v>
      </c>
      <c r="T136" s="119" t="s">
        <v>53</v>
      </c>
      <c r="U136" s="119" t="s">
        <v>53</v>
      </c>
      <c r="V136" s="123" t="s">
        <v>801</v>
      </c>
      <c r="W136" s="119" t="s">
        <v>53</v>
      </c>
      <c r="X136" s="149" t="s">
        <v>561</v>
      </c>
      <c r="Y136" s="149" t="s">
        <v>561</v>
      </c>
      <c r="Z136" s="149" t="s">
        <v>561</v>
      </c>
      <c r="AA136" s="149" t="s">
        <v>561</v>
      </c>
      <c r="AB136" s="149" t="s">
        <v>561</v>
      </c>
      <c r="AC136" s="125" t="s">
        <v>561</v>
      </c>
      <c r="AD136" s="123" t="s">
        <v>801</v>
      </c>
      <c r="AE136" s="128" t="s">
        <v>561</v>
      </c>
      <c r="AF136" s="125" t="s">
        <v>561</v>
      </c>
      <c r="AG136" s="121" t="s">
        <v>53</v>
      </c>
      <c r="AH136" s="128" t="s">
        <v>561</v>
      </c>
      <c r="AI136" s="128" t="s">
        <v>561</v>
      </c>
      <c r="AJ136" s="123" t="s">
        <v>801</v>
      </c>
      <c r="AK136" s="125" t="s">
        <v>561</v>
      </c>
      <c r="AL136" s="128" t="s">
        <v>561</v>
      </c>
      <c r="AM136" s="128" t="s">
        <v>561</v>
      </c>
      <c r="AN136" s="128" t="s">
        <v>561</v>
      </c>
      <c r="AO136" s="128" t="s">
        <v>53</v>
      </c>
      <c r="AP136" s="121" t="s">
        <v>561</v>
      </c>
      <c r="AQ136" s="128" t="s">
        <v>53</v>
      </c>
      <c r="AR136" s="128" t="s">
        <v>801</v>
      </c>
      <c r="AS136" s="117" t="s">
        <v>561</v>
      </c>
      <c r="AT136" s="117" t="s">
        <v>561</v>
      </c>
      <c r="AU136" s="117" t="s">
        <v>561</v>
      </c>
      <c r="AV136" s="117" t="s">
        <v>561</v>
      </c>
      <c r="AW136" s="117" t="s">
        <v>561</v>
      </c>
      <c r="AX136" s="117" t="s">
        <v>561</v>
      </c>
      <c r="AY136" s="117" t="s">
        <v>561</v>
      </c>
      <c r="AZ136" s="117" t="s">
        <v>561</v>
      </c>
      <c r="BA136" s="117" t="s">
        <v>561</v>
      </c>
      <c r="BB136" s="117" t="s">
        <v>561</v>
      </c>
      <c r="BC136" s="117" t="s">
        <v>600</v>
      </c>
      <c r="BD136" s="164" t="s">
        <v>1832</v>
      </c>
      <c r="BE136" s="164" t="s">
        <v>1832</v>
      </c>
      <c r="BF136" s="130"/>
      <c r="BG136" s="130">
        <f t="shared" si="8"/>
        <v>92157</v>
      </c>
      <c r="BH136" s="131">
        <v>55855.0</v>
      </c>
      <c r="BI136" s="131"/>
      <c r="BJ136" s="132">
        <f>4000</f>
        <v>4000</v>
      </c>
      <c r="BK136" s="132">
        <v>32302.0</v>
      </c>
      <c r="BL136" s="133"/>
      <c r="BM136" s="133"/>
      <c r="BN136" s="133" t="s">
        <v>561</v>
      </c>
      <c r="BO136" s="133" t="s">
        <v>561</v>
      </c>
      <c r="BP136" s="133" t="s">
        <v>2621</v>
      </c>
      <c r="BQ136" s="134"/>
      <c r="BR136" s="134"/>
      <c r="BS136" s="181" t="s">
        <v>2030</v>
      </c>
      <c r="BT136" s="134"/>
      <c r="BU136" s="137">
        <f t="shared" si="6"/>
        <v>0.085</v>
      </c>
      <c r="BV136" s="138">
        <v>0.532</v>
      </c>
      <c r="BW136" s="137">
        <v>0.447</v>
      </c>
      <c r="BX136" s="137"/>
      <c r="BY136" s="137">
        <f t="shared" si="7"/>
        <v>0.1</v>
      </c>
      <c r="BZ136" s="138">
        <v>0.52</v>
      </c>
      <c r="CA136" s="137">
        <v>0.42</v>
      </c>
      <c r="CB136" s="137"/>
      <c r="CC136" s="138">
        <v>0.439</v>
      </c>
      <c r="CD136" s="137">
        <v>0.322</v>
      </c>
      <c r="CE136" s="137">
        <v>0.11699999999999999</v>
      </c>
      <c r="CF136" s="137">
        <v>0.10400000000000001</v>
      </c>
      <c r="CG136" s="137">
        <v>0.03</v>
      </c>
      <c r="CH136" s="137">
        <v>0.013999999999999999</v>
      </c>
      <c r="CI136" s="139"/>
      <c r="CJ136" s="138">
        <v>0.547</v>
      </c>
      <c r="CK136" s="137">
        <v>0.24</v>
      </c>
      <c r="CL136" s="137">
        <v>0.10300000000000001</v>
      </c>
      <c r="CM136" s="137">
        <v>0.086</v>
      </c>
      <c r="CN136" s="137">
        <v>0.01</v>
      </c>
      <c r="CO136" s="137">
        <v>0.006</v>
      </c>
      <c r="CP136" s="137"/>
      <c r="CQ136" s="137">
        <v>0.23199999999999998</v>
      </c>
      <c r="CR136" s="137">
        <v>0.29</v>
      </c>
      <c r="CS136" s="137">
        <v>0.389</v>
      </c>
    </row>
    <row r="137">
      <c r="A137" s="112">
        <f t="shared" si="1"/>
        <v>135</v>
      </c>
      <c r="B137" s="112" t="s">
        <v>953</v>
      </c>
      <c r="C137" s="112" t="s">
        <v>955</v>
      </c>
      <c r="D137" s="113" t="s">
        <v>951</v>
      </c>
      <c r="E137" s="163"/>
      <c r="F137" s="115">
        <f t="shared" si="2"/>
        <v>0</v>
      </c>
      <c r="G137" s="115">
        <f t="shared" si="3"/>
        <v>0.2567567568</v>
      </c>
      <c r="H137" s="116">
        <f t="shared" si="4"/>
        <v>0.1925675676</v>
      </c>
      <c r="I137" s="117" t="s">
        <v>594</v>
      </c>
      <c r="J137" s="117" t="s">
        <v>594</v>
      </c>
      <c r="K137" s="117" t="s">
        <v>594</v>
      </c>
      <c r="L137" s="117" t="s">
        <v>594</v>
      </c>
      <c r="M137" s="117" t="s">
        <v>594</v>
      </c>
      <c r="N137" s="117" t="s">
        <v>594</v>
      </c>
      <c r="O137" s="149" t="s">
        <v>1256</v>
      </c>
      <c r="P137" s="185" t="s">
        <v>561</v>
      </c>
      <c r="Q137" s="121" t="s">
        <v>53</v>
      </c>
      <c r="R137" s="121" t="s">
        <v>801</v>
      </c>
      <c r="S137" s="119" t="s">
        <v>53</v>
      </c>
      <c r="T137" s="119" t="s">
        <v>53</v>
      </c>
      <c r="U137" s="119" t="s">
        <v>53</v>
      </c>
      <c r="V137" s="119" t="s">
        <v>53</v>
      </c>
      <c r="W137" s="119" t="s">
        <v>53</v>
      </c>
      <c r="X137" s="149" t="s">
        <v>561</v>
      </c>
      <c r="Y137" s="149" t="s">
        <v>561</v>
      </c>
      <c r="Z137" s="149" t="s">
        <v>561</v>
      </c>
      <c r="AA137" s="149" t="s">
        <v>561</v>
      </c>
      <c r="AB137" s="149" t="s">
        <v>561</v>
      </c>
      <c r="AC137" s="125" t="s">
        <v>561</v>
      </c>
      <c r="AD137" s="149" t="s">
        <v>561</v>
      </c>
      <c r="AE137" s="128" t="s">
        <v>561</v>
      </c>
      <c r="AF137" s="125" t="s">
        <v>561</v>
      </c>
      <c r="AG137" s="121" t="s">
        <v>53</v>
      </c>
      <c r="AH137" s="128" t="s">
        <v>561</v>
      </c>
      <c r="AI137" s="128" t="s">
        <v>561</v>
      </c>
      <c r="AJ137" s="128" t="s">
        <v>561</v>
      </c>
      <c r="AK137" s="125" t="s">
        <v>799</v>
      </c>
      <c r="AL137" s="128" t="s">
        <v>561</v>
      </c>
      <c r="AM137" s="128" t="s">
        <v>561</v>
      </c>
      <c r="AN137" s="128" t="s">
        <v>561</v>
      </c>
      <c r="AO137" s="128" t="s">
        <v>53</v>
      </c>
      <c r="AP137" s="121" t="s">
        <v>561</v>
      </c>
      <c r="AQ137" s="128" t="s">
        <v>53</v>
      </c>
      <c r="AR137" s="128" t="s">
        <v>561</v>
      </c>
      <c r="AS137" s="117" t="s">
        <v>561</v>
      </c>
      <c r="AT137" s="117" t="s">
        <v>561</v>
      </c>
      <c r="AU137" s="117" t="s">
        <v>561</v>
      </c>
      <c r="AV137" s="117" t="s">
        <v>561</v>
      </c>
      <c r="AW137" s="117" t="s">
        <v>561</v>
      </c>
      <c r="AX137" s="117" t="s">
        <v>561</v>
      </c>
      <c r="AY137" s="117" t="s">
        <v>561</v>
      </c>
      <c r="AZ137" s="117" t="s">
        <v>561</v>
      </c>
      <c r="BA137" s="117" t="s">
        <v>561</v>
      </c>
      <c r="BB137" s="117" t="s">
        <v>600</v>
      </c>
      <c r="BC137" s="117" t="s">
        <v>600</v>
      </c>
      <c r="BD137" s="164" t="s">
        <v>1832</v>
      </c>
      <c r="BE137" s="164" t="s">
        <v>1832</v>
      </c>
      <c r="BF137" s="130"/>
      <c r="BG137" s="130">
        <f t="shared" si="8"/>
        <v>57922</v>
      </c>
      <c r="BH137" s="131">
        <v>55922.0</v>
      </c>
      <c r="BI137" s="131"/>
      <c r="BJ137" s="132">
        <f>2000</f>
        <v>2000</v>
      </c>
      <c r="BK137" s="132"/>
      <c r="BL137" s="133"/>
      <c r="BM137" s="133"/>
      <c r="BN137" s="133" t="s">
        <v>561</v>
      </c>
      <c r="BO137" s="133" t="s">
        <v>561</v>
      </c>
      <c r="BP137" s="133" t="s">
        <v>845</v>
      </c>
      <c r="BQ137" s="134"/>
      <c r="BR137" s="150" t="s">
        <v>1569</v>
      </c>
      <c r="BS137" s="181" t="s">
        <v>2030</v>
      </c>
      <c r="BT137" s="134"/>
      <c r="BU137" s="137">
        <f t="shared" si="6"/>
        <v>0.169</v>
      </c>
      <c r="BV137" s="138">
        <v>0.578</v>
      </c>
      <c r="BW137" s="137">
        <v>0.409</v>
      </c>
      <c r="BX137" s="137"/>
      <c r="BY137" s="137">
        <f t="shared" si="7"/>
        <v>0.108</v>
      </c>
      <c r="BZ137" s="138">
        <v>0.5379999999999999</v>
      </c>
      <c r="CA137" s="137">
        <v>0.43</v>
      </c>
      <c r="CB137" s="137"/>
      <c r="CC137" s="138">
        <v>0.64</v>
      </c>
      <c r="CD137" s="137">
        <v>0.152</v>
      </c>
      <c r="CE137" s="137">
        <v>0.078</v>
      </c>
      <c r="CF137" s="137">
        <v>0.124</v>
      </c>
      <c r="CG137" s="137">
        <v>0.01</v>
      </c>
      <c r="CH137" s="137">
        <v>0.001</v>
      </c>
      <c r="CI137" s="139"/>
      <c r="CJ137" s="138">
        <v>0.72</v>
      </c>
      <c r="CK137" s="137">
        <v>0.11800000000000001</v>
      </c>
      <c r="CL137" s="137">
        <v>0.068</v>
      </c>
      <c r="CM137" s="137">
        <v>0.08900000000000001</v>
      </c>
      <c r="CN137" s="137">
        <v>0.002</v>
      </c>
      <c r="CO137" s="137">
        <v>0.0</v>
      </c>
      <c r="CP137" s="137"/>
      <c r="CQ137" s="138">
        <v>0.562</v>
      </c>
      <c r="CR137" s="138">
        <v>0.591</v>
      </c>
      <c r="CS137" s="137">
        <v>0.294</v>
      </c>
    </row>
    <row r="138">
      <c r="A138" s="112">
        <f t="shared" si="1"/>
        <v>136</v>
      </c>
      <c r="B138" s="112" t="s">
        <v>1376</v>
      </c>
      <c r="C138" s="112" t="s">
        <v>1377</v>
      </c>
      <c r="D138" s="113" t="s">
        <v>1373</v>
      </c>
      <c r="E138" s="186"/>
      <c r="F138" s="115">
        <f t="shared" si="2"/>
        <v>0</v>
      </c>
      <c r="G138" s="115">
        <f t="shared" si="3"/>
        <v>0.2564102564</v>
      </c>
      <c r="H138" s="116">
        <f t="shared" si="4"/>
        <v>0.1923076923</v>
      </c>
      <c r="I138" s="117" t="s">
        <v>594</v>
      </c>
      <c r="J138" s="117" t="s">
        <v>594</v>
      </c>
      <c r="K138" s="117" t="s">
        <v>594</v>
      </c>
      <c r="L138" s="117" t="s">
        <v>594</v>
      </c>
      <c r="M138" s="117" t="s">
        <v>594</v>
      </c>
      <c r="N138" s="117" t="s">
        <v>594</v>
      </c>
      <c r="O138" s="149" t="s">
        <v>1256</v>
      </c>
      <c r="P138" s="120" t="s">
        <v>53</v>
      </c>
      <c r="Q138" s="121" t="s">
        <v>53</v>
      </c>
      <c r="R138" s="121" t="s">
        <v>561</v>
      </c>
      <c r="S138" s="119" t="s">
        <v>53</v>
      </c>
      <c r="T138" s="119" t="s">
        <v>53</v>
      </c>
      <c r="U138" s="149" t="s">
        <v>561</v>
      </c>
      <c r="V138" s="119" t="s">
        <v>53</v>
      </c>
      <c r="W138" s="119" t="s">
        <v>53</v>
      </c>
      <c r="X138" s="149" t="s">
        <v>561</v>
      </c>
      <c r="Y138" s="149" t="s">
        <v>561</v>
      </c>
      <c r="Z138" s="149" t="s">
        <v>561</v>
      </c>
      <c r="AA138" s="149" t="s">
        <v>561</v>
      </c>
      <c r="AB138" s="149" t="s">
        <v>561</v>
      </c>
      <c r="AC138" s="125" t="s">
        <v>561</v>
      </c>
      <c r="AD138" s="149" t="s">
        <v>561</v>
      </c>
      <c r="AE138" s="128" t="s">
        <v>561</v>
      </c>
      <c r="AF138" s="125" t="s">
        <v>561</v>
      </c>
      <c r="AG138" s="121" t="s">
        <v>53</v>
      </c>
      <c r="AH138" s="128" t="s">
        <v>561</v>
      </c>
      <c r="AI138" s="125" t="s">
        <v>53</v>
      </c>
      <c r="AJ138" s="128" t="s">
        <v>561</v>
      </c>
      <c r="AK138" s="125" t="s">
        <v>561</v>
      </c>
      <c r="AL138" s="128" t="s">
        <v>561</v>
      </c>
      <c r="AM138" s="128" t="s">
        <v>561</v>
      </c>
      <c r="AN138" s="128" t="s">
        <v>561</v>
      </c>
      <c r="AO138" s="128" t="s">
        <v>53</v>
      </c>
      <c r="AP138" s="121" t="s">
        <v>561</v>
      </c>
      <c r="AQ138" s="128" t="s">
        <v>53</v>
      </c>
      <c r="AR138" s="128" t="s">
        <v>561</v>
      </c>
      <c r="AS138" s="117" t="s">
        <v>561</v>
      </c>
      <c r="AT138" s="117" t="s">
        <v>561</v>
      </c>
      <c r="AU138" s="117" t="s">
        <v>561</v>
      </c>
      <c r="AV138" s="117" t="s">
        <v>561</v>
      </c>
      <c r="AW138" s="117" t="s">
        <v>561</v>
      </c>
      <c r="AX138" s="117" t="s">
        <v>561</v>
      </c>
      <c r="AY138" s="117" t="s">
        <v>561</v>
      </c>
      <c r="AZ138" s="117" t="s">
        <v>561</v>
      </c>
      <c r="BA138" s="117" t="s">
        <v>561</v>
      </c>
      <c r="BB138" s="117" t="s">
        <v>561</v>
      </c>
      <c r="BC138" s="117" t="s">
        <v>600</v>
      </c>
      <c r="BD138" s="164" t="s">
        <v>1832</v>
      </c>
      <c r="BE138" s="129" t="s">
        <v>821</v>
      </c>
      <c r="BF138" s="130"/>
      <c r="BG138" s="130">
        <f t="shared" si="8"/>
        <v>62050</v>
      </c>
      <c r="BH138" s="131">
        <v>61050.0</v>
      </c>
      <c r="BI138" s="131"/>
      <c r="BJ138" s="132">
        <f>1000</f>
        <v>1000</v>
      </c>
      <c r="BK138" s="132"/>
      <c r="BL138" s="133"/>
      <c r="BM138" s="133" t="s">
        <v>561</v>
      </c>
      <c r="BN138" s="133" t="s">
        <v>561</v>
      </c>
      <c r="BO138" s="133" t="s">
        <v>561</v>
      </c>
      <c r="BP138" s="133" t="s">
        <v>1311</v>
      </c>
      <c r="BQ138" s="134"/>
      <c r="BR138" s="150" t="s">
        <v>1569</v>
      </c>
      <c r="BS138" s="181" t="s">
        <v>2030</v>
      </c>
      <c r="BT138" s="134"/>
      <c r="BU138" s="137">
        <f t="shared" si="6"/>
        <v>0.172</v>
      </c>
      <c r="BV138" s="138">
        <v>0.5710000000000001</v>
      </c>
      <c r="BW138" s="137">
        <v>0.39899999999999997</v>
      </c>
      <c r="BX138" s="137"/>
      <c r="BY138" s="137">
        <f t="shared" si="7"/>
        <v>0.119</v>
      </c>
      <c r="BZ138" s="138">
        <v>0.516</v>
      </c>
      <c r="CA138" s="137">
        <v>0.397</v>
      </c>
      <c r="CB138" s="137"/>
      <c r="CC138" s="138">
        <v>0.752</v>
      </c>
      <c r="CD138" s="137">
        <v>0.07400000000000001</v>
      </c>
      <c r="CE138" s="137">
        <v>0.048</v>
      </c>
      <c r="CF138" s="137">
        <v>0.066</v>
      </c>
      <c r="CG138" s="137">
        <v>0.049</v>
      </c>
      <c r="CH138" s="137">
        <v>0.013999999999999999</v>
      </c>
      <c r="CI138" s="139"/>
      <c r="CJ138" s="138">
        <v>0.809</v>
      </c>
      <c r="CK138" s="137">
        <v>0.055</v>
      </c>
      <c r="CL138" s="137">
        <v>0.043</v>
      </c>
      <c r="CM138" s="137">
        <v>0.047</v>
      </c>
      <c r="CN138" s="137">
        <v>0.034</v>
      </c>
      <c r="CO138" s="137">
        <v>0.006</v>
      </c>
      <c r="CP138" s="137"/>
      <c r="CQ138" s="137">
        <v>0.315</v>
      </c>
      <c r="CR138" s="137">
        <v>0.33399999999999996</v>
      </c>
      <c r="CS138" s="138">
        <v>0.539</v>
      </c>
    </row>
    <row r="139">
      <c r="A139" s="112">
        <f t="shared" si="1"/>
        <v>137</v>
      </c>
      <c r="B139" s="112" t="s">
        <v>215</v>
      </c>
      <c r="C139" s="112" t="s">
        <v>216</v>
      </c>
      <c r="D139" s="113" t="s">
        <v>212</v>
      </c>
      <c r="E139" s="186"/>
      <c r="F139" s="115">
        <f t="shared" si="2"/>
        <v>0</v>
      </c>
      <c r="G139" s="115">
        <f t="shared" si="3"/>
        <v>0.25</v>
      </c>
      <c r="H139" s="116">
        <f t="shared" si="4"/>
        <v>0.1875</v>
      </c>
      <c r="I139" s="117" t="s">
        <v>594</v>
      </c>
      <c r="J139" s="117" t="s">
        <v>594</v>
      </c>
      <c r="K139" s="117" t="s">
        <v>594</v>
      </c>
      <c r="L139" s="117" t="s">
        <v>594</v>
      </c>
      <c r="M139" s="117" t="s">
        <v>594</v>
      </c>
      <c r="N139" s="117" t="s">
        <v>594</v>
      </c>
      <c r="O139" s="149" t="s">
        <v>1256</v>
      </c>
      <c r="P139" s="120" t="s">
        <v>53</v>
      </c>
      <c r="Q139" s="121" t="s">
        <v>801</v>
      </c>
      <c r="R139" s="121" t="s">
        <v>561</v>
      </c>
      <c r="S139" s="119" t="s">
        <v>53</v>
      </c>
      <c r="T139" s="119" t="s">
        <v>53</v>
      </c>
      <c r="U139" s="119" t="s">
        <v>53</v>
      </c>
      <c r="V139" s="119" t="s">
        <v>53</v>
      </c>
      <c r="W139" s="119" t="s">
        <v>53</v>
      </c>
      <c r="X139" s="149" t="s">
        <v>561</v>
      </c>
      <c r="Y139" s="149" t="s">
        <v>561</v>
      </c>
      <c r="Z139" s="149" t="s">
        <v>561</v>
      </c>
      <c r="AA139" s="149" t="s">
        <v>561</v>
      </c>
      <c r="AB139" s="149" t="s">
        <v>561</v>
      </c>
      <c r="AC139" s="125" t="s">
        <v>561</v>
      </c>
      <c r="AD139" s="149" t="s">
        <v>561</v>
      </c>
      <c r="AE139" s="128" t="s">
        <v>561</v>
      </c>
      <c r="AF139" s="125" t="s">
        <v>561</v>
      </c>
      <c r="AG139" s="121" t="s">
        <v>53</v>
      </c>
      <c r="AH139" s="128" t="s">
        <v>561</v>
      </c>
      <c r="AI139" s="125" t="s">
        <v>799</v>
      </c>
      <c r="AJ139" s="128" t="s">
        <v>561</v>
      </c>
      <c r="AK139" s="125" t="s">
        <v>561</v>
      </c>
      <c r="AL139" s="128" t="s">
        <v>561</v>
      </c>
      <c r="AM139" s="128" t="s">
        <v>561</v>
      </c>
      <c r="AN139" s="128" t="s">
        <v>561</v>
      </c>
      <c r="AO139" s="128" t="s">
        <v>53</v>
      </c>
      <c r="AP139" s="121" t="s">
        <v>561</v>
      </c>
      <c r="AQ139" s="128" t="s">
        <v>53</v>
      </c>
      <c r="AR139" s="128" t="s">
        <v>561</v>
      </c>
      <c r="AS139" s="117" t="s">
        <v>561</v>
      </c>
      <c r="AT139" s="117" t="s">
        <v>561</v>
      </c>
      <c r="AU139" s="117" t="s">
        <v>561</v>
      </c>
      <c r="AV139" s="117" t="s">
        <v>561</v>
      </c>
      <c r="AW139" s="117" t="s">
        <v>561</v>
      </c>
      <c r="AX139" s="117" t="s">
        <v>561</v>
      </c>
      <c r="AY139" s="117" t="s">
        <v>561</v>
      </c>
      <c r="AZ139" s="117" t="s">
        <v>561</v>
      </c>
      <c r="BA139" s="117" t="s">
        <v>561</v>
      </c>
      <c r="BB139" s="117" t="s">
        <v>561</v>
      </c>
      <c r="BC139" s="117" t="s">
        <v>600</v>
      </c>
      <c r="BD139" s="164" t="s">
        <v>1832</v>
      </c>
      <c r="BE139" s="129" t="s">
        <v>821</v>
      </c>
      <c r="BF139" s="130"/>
      <c r="BG139" s="130">
        <f t="shared" si="8"/>
        <v>23350</v>
      </c>
      <c r="BH139" s="131">
        <v>23350.0</v>
      </c>
      <c r="BI139" s="131"/>
      <c r="BJ139" s="132"/>
      <c r="BK139" s="132"/>
      <c r="BL139" s="133"/>
      <c r="BM139" s="133" t="s">
        <v>561</v>
      </c>
      <c r="BN139" s="133"/>
      <c r="BO139" s="133" t="s">
        <v>561</v>
      </c>
      <c r="BP139" s="133" t="s">
        <v>1311</v>
      </c>
      <c r="BQ139" s="134"/>
      <c r="BR139" s="150" t="s">
        <v>1569</v>
      </c>
      <c r="BS139" s="181" t="s">
        <v>122</v>
      </c>
      <c r="BT139" s="134"/>
      <c r="BU139" s="137">
        <f t="shared" si="6"/>
        <v>0.199</v>
      </c>
      <c r="BV139" s="138">
        <v>0.589</v>
      </c>
      <c r="BW139" s="137">
        <v>0.39</v>
      </c>
      <c r="BX139" s="137"/>
      <c r="BY139" s="137">
        <f t="shared" si="7"/>
        <v>0.173</v>
      </c>
      <c r="BZ139" s="138">
        <v>0.557</v>
      </c>
      <c r="CA139" s="137">
        <v>0.384</v>
      </c>
      <c r="CB139" s="137"/>
      <c r="CC139" s="138">
        <v>0.462</v>
      </c>
      <c r="CD139" s="137">
        <v>0.391</v>
      </c>
      <c r="CE139" s="137">
        <v>0.027000000000000003</v>
      </c>
      <c r="CF139" s="137">
        <v>0.106</v>
      </c>
      <c r="CG139" s="137">
        <v>0.034</v>
      </c>
      <c r="CH139" s="137">
        <v>0.005</v>
      </c>
      <c r="CI139" s="139"/>
      <c r="CJ139" s="138">
        <v>0.55</v>
      </c>
      <c r="CK139" s="137">
        <v>0.324</v>
      </c>
      <c r="CL139" s="137">
        <v>0.025</v>
      </c>
      <c r="CM139" s="137">
        <v>0.086</v>
      </c>
      <c r="CN139" s="137">
        <v>0.008</v>
      </c>
      <c r="CO139" s="137">
        <v>0.002</v>
      </c>
      <c r="CP139" s="137"/>
      <c r="CQ139" s="137">
        <v>0.354</v>
      </c>
      <c r="CR139" s="137">
        <v>0.46299999999999997</v>
      </c>
      <c r="CS139" s="137">
        <v>0.29600000000000004</v>
      </c>
    </row>
    <row r="140">
      <c r="A140" s="112">
        <f t="shared" si="1"/>
        <v>137</v>
      </c>
      <c r="B140" s="112" t="s">
        <v>663</v>
      </c>
      <c r="C140" s="112" t="s">
        <v>664</v>
      </c>
      <c r="D140" s="113" t="s">
        <v>661</v>
      </c>
      <c r="E140" s="186"/>
      <c r="F140" s="115">
        <f t="shared" si="2"/>
        <v>0</v>
      </c>
      <c r="G140" s="115">
        <f t="shared" si="3"/>
        <v>0.25</v>
      </c>
      <c r="H140" s="116">
        <f t="shared" si="4"/>
        <v>0.1875</v>
      </c>
      <c r="I140" s="117" t="s">
        <v>594</v>
      </c>
      <c r="J140" s="117" t="s">
        <v>594</v>
      </c>
      <c r="K140" s="117" t="s">
        <v>594</v>
      </c>
      <c r="L140" s="117" t="s">
        <v>594</v>
      </c>
      <c r="M140" s="117" t="s">
        <v>594</v>
      </c>
      <c r="N140" s="117" t="s">
        <v>594</v>
      </c>
      <c r="O140" s="149" t="s">
        <v>1256</v>
      </c>
      <c r="P140" s="120" t="s">
        <v>53</v>
      </c>
      <c r="Q140" s="121" t="s">
        <v>53</v>
      </c>
      <c r="R140" s="121" t="s">
        <v>561</v>
      </c>
      <c r="S140" s="149" t="s">
        <v>561</v>
      </c>
      <c r="T140" s="119" t="s">
        <v>53</v>
      </c>
      <c r="U140" s="119" t="s">
        <v>53</v>
      </c>
      <c r="V140" s="119" t="s">
        <v>53</v>
      </c>
      <c r="W140" s="119" t="s">
        <v>53</v>
      </c>
      <c r="X140" s="149" t="s">
        <v>561</v>
      </c>
      <c r="Y140" s="149" t="s">
        <v>561</v>
      </c>
      <c r="Z140" s="149" t="s">
        <v>561</v>
      </c>
      <c r="AA140" s="149" t="s">
        <v>561</v>
      </c>
      <c r="AB140" s="149" t="s">
        <v>561</v>
      </c>
      <c r="AC140" s="125" t="s">
        <v>561</v>
      </c>
      <c r="AD140" s="149" t="s">
        <v>561</v>
      </c>
      <c r="AE140" s="128" t="s">
        <v>561</v>
      </c>
      <c r="AF140" s="125" t="s">
        <v>561</v>
      </c>
      <c r="AG140" s="121" t="s">
        <v>53</v>
      </c>
      <c r="AH140" s="128" t="s">
        <v>561</v>
      </c>
      <c r="AI140" s="128" t="s">
        <v>561</v>
      </c>
      <c r="AJ140" s="128" t="s">
        <v>561</v>
      </c>
      <c r="AK140" s="125" t="s">
        <v>799</v>
      </c>
      <c r="AL140" s="128" t="s">
        <v>561</v>
      </c>
      <c r="AM140" s="128" t="s">
        <v>561</v>
      </c>
      <c r="AN140" s="128" t="s">
        <v>561</v>
      </c>
      <c r="AO140" s="128" t="s">
        <v>53</v>
      </c>
      <c r="AP140" s="121" t="s">
        <v>561</v>
      </c>
      <c r="AQ140" s="128" t="s">
        <v>53</v>
      </c>
      <c r="AR140" s="128" t="s">
        <v>561</v>
      </c>
      <c r="AS140" s="117" t="s">
        <v>561</v>
      </c>
      <c r="AT140" s="117" t="s">
        <v>561</v>
      </c>
      <c r="AU140" s="117" t="s">
        <v>561</v>
      </c>
      <c r="AV140" s="117" t="s">
        <v>561</v>
      </c>
      <c r="AW140" s="117" t="s">
        <v>561</v>
      </c>
      <c r="AX140" s="117" t="s">
        <v>561</v>
      </c>
      <c r="AY140" s="117" t="s">
        <v>561</v>
      </c>
      <c r="AZ140" s="117" t="s">
        <v>561</v>
      </c>
      <c r="BA140" s="117" t="s">
        <v>561</v>
      </c>
      <c r="BB140" s="117" t="s">
        <v>600</v>
      </c>
      <c r="BC140" s="117" t="s">
        <v>600</v>
      </c>
      <c r="BD140" s="129" t="s">
        <v>821</v>
      </c>
      <c r="BE140" s="129" t="s">
        <v>821</v>
      </c>
      <c r="BF140" s="130"/>
      <c r="BG140" s="130">
        <f t="shared" si="8"/>
        <v>43130</v>
      </c>
      <c r="BH140" s="131">
        <v>39130.0</v>
      </c>
      <c r="BI140" s="131"/>
      <c r="BJ140" s="132">
        <f>2000+2000</f>
        <v>4000</v>
      </c>
      <c r="BK140" s="132"/>
      <c r="BL140" s="133"/>
      <c r="BM140" s="133" t="s">
        <v>561</v>
      </c>
      <c r="BN140" s="133" t="s">
        <v>561</v>
      </c>
      <c r="BO140" s="133" t="s">
        <v>561</v>
      </c>
      <c r="BP140" s="133" t="s">
        <v>845</v>
      </c>
      <c r="BQ140" s="134"/>
      <c r="BR140" s="150" t="s">
        <v>1569</v>
      </c>
      <c r="BS140" s="181" t="s">
        <v>2030</v>
      </c>
      <c r="BT140" s="134"/>
      <c r="BU140" s="137">
        <f t="shared" si="6"/>
        <v>0.045</v>
      </c>
      <c r="BV140" s="138">
        <v>0.512</v>
      </c>
      <c r="BW140" s="137">
        <v>0.467</v>
      </c>
      <c r="BX140" s="137"/>
      <c r="BY140" s="137">
        <f t="shared" si="7"/>
        <v>-0.053</v>
      </c>
      <c r="BZ140" s="137">
        <v>0.429</v>
      </c>
      <c r="CA140" s="138">
        <v>0.48200000000000004</v>
      </c>
      <c r="CB140" s="138"/>
      <c r="CC140" s="138">
        <v>0.779</v>
      </c>
      <c r="CD140" s="137">
        <v>0.085</v>
      </c>
      <c r="CE140" s="137">
        <v>0.054000000000000006</v>
      </c>
      <c r="CF140" s="137">
        <v>0.054000000000000006</v>
      </c>
      <c r="CG140" s="137">
        <v>0.025</v>
      </c>
      <c r="CH140" s="137">
        <v>0.001</v>
      </c>
      <c r="CI140" s="139"/>
      <c r="CJ140" s="138">
        <v>0.8540000000000001</v>
      </c>
      <c r="CK140" s="137">
        <v>0.051</v>
      </c>
      <c r="CL140" s="137">
        <v>0.048</v>
      </c>
      <c r="CM140" s="137">
        <v>0.035</v>
      </c>
      <c r="CN140" s="137">
        <v>0.009000000000000001</v>
      </c>
      <c r="CO140" s="137">
        <v>0.0</v>
      </c>
      <c r="CP140" s="137"/>
      <c r="CQ140" s="138">
        <v>0.506</v>
      </c>
      <c r="CR140" s="138">
        <v>0.526</v>
      </c>
      <c r="CS140" s="137">
        <v>0.405</v>
      </c>
    </row>
    <row r="141">
      <c r="A141" s="112">
        <f t="shared" si="1"/>
        <v>137</v>
      </c>
      <c r="B141" s="112" t="s">
        <v>529</v>
      </c>
      <c r="C141" s="112" t="s">
        <v>563</v>
      </c>
      <c r="D141" s="113" t="s">
        <v>1101</v>
      </c>
      <c r="E141" s="186"/>
      <c r="F141" s="115">
        <f t="shared" si="2"/>
        <v>0</v>
      </c>
      <c r="G141" s="115">
        <f t="shared" si="3"/>
        <v>0.25</v>
      </c>
      <c r="H141" s="116">
        <f t="shared" si="4"/>
        <v>0.1875</v>
      </c>
      <c r="I141" s="117" t="s">
        <v>594</v>
      </c>
      <c r="J141" s="117" t="s">
        <v>594</v>
      </c>
      <c r="K141" s="117" t="s">
        <v>594</v>
      </c>
      <c r="L141" s="117" t="s">
        <v>594</v>
      </c>
      <c r="M141" s="117" t="s">
        <v>594</v>
      </c>
      <c r="N141" s="117" t="s">
        <v>594</v>
      </c>
      <c r="O141" s="149" t="s">
        <v>1256</v>
      </c>
      <c r="P141" s="185" t="s">
        <v>561</v>
      </c>
      <c r="Q141" s="121" t="s">
        <v>801</v>
      </c>
      <c r="R141" s="121" t="s">
        <v>801</v>
      </c>
      <c r="S141" s="119" t="s">
        <v>53</v>
      </c>
      <c r="T141" s="119" t="s">
        <v>53</v>
      </c>
      <c r="U141" s="119" t="s">
        <v>53</v>
      </c>
      <c r="V141" s="119" t="s">
        <v>53</v>
      </c>
      <c r="W141" s="119" t="s">
        <v>53</v>
      </c>
      <c r="X141" s="149" t="s">
        <v>561</v>
      </c>
      <c r="Y141" s="149" t="s">
        <v>561</v>
      </c>
      <c r="Z141" s="149" t="s">
        <v>561</v>
      </c>
      <c r="AA141" s="149" t="s">
        <v>561</v>
      </c>
      <c r="AB141" s="149" t="s">
        <v>561</v>
      </c>
      <c r="AC141" s="125" t="s">
        <v>561</v>
      </c>
      <c r="AD141" s="149" t="s">
        <v>561</v>
      </c>
      <c r="AE141" s="128" t="s">
        <v>561</v>
      </c>
      <c r="AF141" s="125" t="s">
        <v>561</v>
      </c>
      <c r="AG141" s="121" t="s">
        <v>53</v>
      </c>
      <c r="AH141" s="128" t="s">
        <v>561</v>
      </c>
      <c r="AI141" s="128" t="s">
        <v>561</v>
      </c>
      <c r="AJ141" s="128" t="s">
        <v>561</v>
      </c>
      <c r="AK141" s="125" t="s">
        <v>561</v>
      </c>
      <c r="AL141" s="128" t="s">
        <v>561</v>
      </c>
      <c r="AM141" s="128" t="s">
        <v>561</v>
      </c>
      <c r="AN141" s="128" t="s">
        <v>561</v>
      </c>
      <c r="AO141" s="128" t="s">
        <v>53</v>
      </c>
      <c r="AP141" s="121" t="s">
        <v>561</v>
      </c>
      <c r="AQ141" s="128" t="s">
        <v>53</v>
      </c>
      <c r="AR141" s="128" t="s">
        <v>561</v>
      </c>
      <c r="AS141" s="117" t="s">
        <v>561</v>
      </c>
      <c r="AT141" s="117" t="s">
        <v>561</v>
      </c>
      <c r="AU141" s="117" t="s">
        <v>561</v>
      </c>
      <c r="AV141" s="117" t="s">
        <v>561</v>
      </c>
      <c r="AW141" s="117" t="s">
        <v>561</v>
      </c>
      <c r="AX141" s="117" t="s">
        <v>600</v>
      </c>
      <c r="AY141" s="117" t="s">
        <v>600</v>
      </c>
      <c r="AZ141" s="117" t="s">
        <v>600</v>
      </c>
      <c r="BA141" s="117" t="s">
        <v>600</v>
      </c>
      <c r="BB141" s="117" t="s">
        <v>600</v>
      </c>
      <c r="BC141" s="117" t="s">
        <v>600</v>
      </c>
      <c r="BD141" s="164" t="s">
        <v>1832</v>
      </c>
      <c r="BE141" s="129" t="s">
        <v>821</v>
      </c>
      <c r="BF141" s="130"/>
      <c r="BG141" s="130">
        <f t="shared" si="8"/>
        <v>11000</v>
      </c>
      <c r="BH141" s="131">
        <v>8000.0</v>
      </c>
      <c r="BI141" s="131"/>
      <c r="BJ141" s="132">
        <f t="shared" ref="BJ141:BJ143" si="12">3000</f>
        <v>3000</v>
      </c>
      <c r="BK141" s="132"/>
      <c r="BL141" s="133"/>
      <c r="BM141" s="133" t="s">
        <v>561</v>
      </c>
      <c r="BN141" s="133" t="s">
        <v>561</v>
      </c>
      <c r="BO141" s="133" t="s">
        <v>561</v>
      </c>
      <c r="BP141" s="133" t="s">
        <v>976</v>
      </c>
      <c r="BQ141" s="134"/>
      <c r="BR141" s="150" t="s">
        <v>1569</v>
      </c>
      <c r="BS141" s="181" t="s">
        <v>2030</v>
      </c>
      <c r="BT141" s="134"/>
      <c r="BU141" s="137">
        <f t="shared" si="6"/>
        <v>0.164</v>
      </c>
      <c r="BV141" s="138">
        <v>0.575</v>
      </c>
      <c r="BW141" s="137">
        <v>0.41100000000000003</v>
      </c>
      <c r="BX141" s="137"/>
      <c r="BY141" s="137">
        <f t="shared" si="7"/>
        <v>0.098</v>
      </c>
      <c r="BZ141" s="138">
        <v>0.524</v>
      </c>
      <c r="CA141" s="137">
        <v>0.426</v>
      </c>
      <c r="CB141" s="137"/>
      <c r="CC141" s="138">
        <v>0.604</v>
      </c>
      <c r="CD141" s="137">
        <v>0.11199999999999999</v>
      </c>
      <c r="CE141" s="137">
        <v>0.207</v>
      </c>
      <c r="CF141" s="137">
        <v>0.063</v>
      </c>
      <c r="CG141" s="137">
        <v>0.019</v>
      </c>
      <c r="CH141" s="137">
        <v>0.001</v>
      </c>
      <c r="CI141" s="139"/>
      <c r="CJ141" s="138">
        <v>0.6709999999999999</v>
      </c>
      <c r="CK141" s="137">
        <v>0.057</v>
      </c>
      <c r="CL141" s="137">
        <v>0.225</v>
      </c>
      <c r="CM141" s="137">
        <v>0.037000000000000005</v>
      </c>
      <c r="CN141" s="137">
        <v>0.008</v>
      </c>
      <c r="CO141" s="137">
        <v>0.0</v>
      </c>
      <c r="CP141" s="137"/>
      <c r="CQ141" s="137">
        <v>0.46</v>
      </c>
      <c r="CR141" s="138">
        <v>0.531</v>
      </c>
      <c r="CS141" s="137">
        <v>0.315</v>
      </c>
    </row>
    <row r="142">
      <c r="A142" s="112">
        <f t="shared" si="1"/>
        <v>137</v>
      </c>
      <c r="B142" s="112" t="s">
        <v>971</v>
      </c>
      <c r="C142" s="112" t="s">
        <v>972</v>
      </c>
      <c r="D142" s="113" t="s">
        <v>968</v>
      </c>
      <c r="E142" s="154" t="s">
        <v>2624</v>
      </c>
      <c r="F142" s="115">
        <f t="shared" si="2"/>
        <v>0</v>
      </c>
      <c r="G142" s="115">
        <f t="shared" si="3"/>
        <v>0.25</v>
      </c>
      <c r="H142" s="116">
        <f t="shared" si="4"/>
        <v>0.1875</v>
      </c>
      <c r="I142" s="117" t="s">
        <v>594</v>
      </c>
      <c r="J142" s="117" t="s">
        <v>594</v>
      </c>
      <c r="K142" s="117" t="s">
        <v>594</v>
      </c>
      <c r="L142" s="117" t="s">
        <v>594</v>
      </c>
      <c r="M142" s="117" t="s">
        <v>594</v>
      </c>
      <c r="N142" s="117" t="s">
        <v>594</v>
      </c>
      <c r="O142" s="149" t="s">
        <v>1256</v>
      </c>
      <c r="P142" s="185" t="s">
        <v>561</v>
      </c>
      <c r="Q142" s="121" t="s">
        <v>53</v>
      </c>
      <c r="R142" s="121" t="s">
        <v>561</v>
      </c>
      <c r="S142" s="149" t="s">
        <v>561</v>
      </c>
      <c r="T142" s="119" t="s">
        <v>53</v>
      </c>
      <c r="U142" s="119" t="s">
        <v>53</v>
      </c>
      <c r="V142" s="119" t="s">
        <v>53</v>
      </c>
      <c r="W142" s="119" t="s">
        <v>53</v>
      </c>
      <c r="X142" s="149" t="s">
        <v>561</v>
      </c>
      <c r="Y142" s="149" t="s">
        <v>561</v>
      </c>
      <c r="Z142" s="149" t="s">
        <v>561</v>
      </c>
      <c r="AA142" s="149" t="s">
        <v>561</v>
      </c>
      <c r="AB142" s="149" t="s">
        <v>561</v>
      </c>
      <c r="AC142" s="125" t="s">
        <v>561</v>
      </c>
      <c r="AD142" s="149" t="s">
        <v>561</v>
      </c>
      <c r="AE142" s="128" t="s">
        <v>561</v>
      </c>
      <c r="AF142" s="125" t="s">
        <v>561</v>
      </c>
      <c r="AG142" s="121" t="s">
        <v>53</v>
      </c>
      <c r="AH142" s="128" t="s">
        <v>561</v>
      </c>
      <c r="AI142" s="128" t="s">
        <v>561</v>
      </c>
      <c r="AJ142" s="128" t="s">
        <v>561</v>
      </c>
      <c r="AK142" s="125" t="s">
        <v>799</v>
      </c>
      <c r="AL142" s="128" t="s">
        <v>561</v>
      </c>
      <c r="AM142" s="128" t="s">
        <v>561</v>
      </c>
      <c r="AN142" s="128" t="s">
        <v>561</v>
      </c>
      <c r="AO142" s="128" t="s">
        <v>53</v>
      </c>
      <c r="AP142" s="121" t="s">
        <v>561</v>
      </c>
      <c r="AQ142" s="128" t="s">
        <v>53</v>
      </c>
      <c r="AR142" s="128" t="s">
        <v>561</v>
      </c>
      <c r="AS142" s="117" t="s">
        <v>561</v>
      </c>
      <c r="AT142" s="117" t="s">
        <v>561</v>
      </c>
      <c r="AU142" s="117" t="s">
        <v>561</v>
      </c>
      <c r="AV142" s="117" t="s">
        <v>561</v>
      </c>
      <c r="AW142" s="117" t="s">
        <v>561</v>
      </c>
      <c r="AX142" s="117" t="s">
        <v>600</v>
      </c>
      <c r="AY142" s="117" t="s">
        <v>600</v>
      </c>
      <c r="AZ142" s="117" t="s">
        <v>600</v>
      </c>
      <c r="BA142" s="117" t="s">
        <v>600</v>
      </c>
      <c r="BB142" s="117" t="s">
        <v>600</v>
      </c>
      <c r="BC142" s="117" t="s">
        <v>600</v>
      </c>
      <c r="BD142" s="129" t="s">
        <v>821</v>
      </c>
      <c r="BE142" s="164" t="s">
        <v>1832</v>
      </c>
      <c r="BF142" s="130"/>
      <c r="BG142" s="130">
        <f t="shared" si="8"/>
        <v>3000</v>
      </c>
      <c r="BH142" s="131"/>
      <c r="BI142" s="131"/>
      <c r="BJ142" s="132">
        <f t="shared" si="12"/>
        <v>3000</v>
      </c>
      <c r="BK142" s="132"/>
      <c r="BL142" s="133"/>
      <c r="BM142" s="133" t="s">
        <v>561</v>
      </c>
      <c r="BN142" s="133" t="s">
        <v>561</v>
      </c>
      <c r="BO142" s="133"/>
      <c r="BP142" s="133" t="s">
        <v>976</v>
      </c>
      <c r="BQ142" s="134"/>
      <c r="BR142" s="150" t="s">
        <v>1569</v>
      </c>
      <c r="BS142" s="150" t="s">
        <v>135</v>
      </c>
      <c r="BT142" s="134"/>
      <c r="BU142" s="137">
        <f t="shared" si="6"/>
        <v>0.058</v>
      </c>
      <c r="BV142" s="138">
        <v>0.519</v>
      </c>
      <c r="BW142" s="137">
        <v>0.461</v>
      </c>
      <c r="BX142" s="137"/>
      <c r="BY142" s="137">
        <f t="shared" si="7"/>
        <v>0.061</v>
      </c>
      <c r="BZ142" s="138">
        <v>0.47600000000000003</v>
      </c>
      <c r="CA142" s="137">
        <v>0.415</v>
      </c>
      <c r="CB142" s="137"/>
      <c r="CC142" s="137">
        <v>0.33299999999999996</v>
      </c>
      <c r="CD142" s="138">
        <v>0.561</v>
      </c>
      <c r="CE142" s="137">
        <v>0.027999999999999997</v>
      </c>
      <c r="CF142" s="137">
        <v>0.018000000000000002</v>
      </c>
      <c r="CG142" s="137">
        <v>0.079</v>
      </c>
      <c r="CH142" s="137">
        <v>0.003</v>
      </c>
      <c r="CI142" s="139"/>
      <c r="CJ142" s="137">
        <v>0.36100000000000004</v>
      </c>
      <c r="CK142" s="138">
        <v>0.545</v>
      </c>
      <c r="CL142" s="137">
        <v>0.022000000000000002</v>
      </c>
      <c r="CM142" s="137">
        <v>0.009000000000000001</v>
      </c>
      <c r="CN142" s="137">
        <v>0.061</v>
      </c>
      <c r="CO142" s="137">
        <v>0.001</v>
      </c>
      <c r="CP142" s="137"/>
      <c r="CQ142" s="137">
        <v>0.218</v>
      </c>
      <c r="CR142" s="137">
        <v>0.33899999999999997</v>
      </c>
      <c r="CS142" s="137">
        <v>0.239</v>
      </c>
    </row>
    <row r="143">
      <c r="A143" s="112">
        <f t="shared" si="1"/>
        <v>141</v>
      </c>
      <c r="B143" s="112" t="s">
        <v>1004</v>
      </c>
      <c r="C143" s="112" t="s">
        <v>1005</v>
      </c>
      <c r="D143" s="113" t="s">
        <v>1002</v>
      </c>
      <c r="E143" s="186"/>
      <c r="F143" s="115">
        <f t="shared" si="2"/>
        <v>0</v>
      </c>
      <c r="G143" s="115">
        <f t="shared" si="3"/>
        <v>0.2435897436</v>
      </c>
      <c r="H143" s="116">
        <f t="shared" si="4"/>
        <v>0.1826923077</v>
      </c>
      <c r="I143" s="117" t="s">
        <v>594</v>
      </c>
      <c r="J143" s="117" t="s">
        <v>594</v>
      </c>
      <c r="K143" s="117" t="s">
        <v>594</v>
      </c>
      <c r="L143" s="117" t="s">
        <v>594</v>
      </c>
      <c r="M143" s="117" t="s">
        <v>594</v>
      </c>
      <c r="N143" s="117" t="s">
        <v>594</v>
      </c>
      <c r="O143" s="149" t="s">
        <v>1256</v>
      </c>
      <c r="P143" s="185" t="s">
        <v>561</v>
      </c>
      <c r="Q143" s="121" t="s">
        <v>53</v>
      </c>
      <c r="R143" s="121" t="s">
        <v>561</v>
      </c>
      <c r="S143" s="119" t="s">
        <v>53</v>
      </c>
      <c r="T143" s="119" t="s">
        <v>53</v>
      </c>
      <c r="U143" s="119" t="s">
        <v>53</v>
      </c>
      <c r="V143" s="119" t="s">
        <v>53</v>
      </c>
      <c r="W143" s="119" t="s">
        <v>53</v>
      </c>
      <c r="X143" s="149" t="s">
        <v>561</v>
      </c>
      <c r="Y143" s="149" t="s">
        <v>561</v>
      </c>
      <c r="Z143" s="149" t="s">
        <v>561</v>
      </c>
      <c r="AA143" s="149" t="s">
        <v>561</v>
      </c>
      <c r="AB143" s="149" t="s">
        <v>561</v>
      </c>
      <c r="AC143" s="125" t="s">
        <v>561</v>
      </c>
      <c r="AD143" s="149" t="s">
        <v>561</v>
      </c>
      <c r="AE143" s="128" t="s">
        <v>561</v>
      </c>
      <c r="AF143" s="125" t="s">
        <v>561</v>
      </c>
      <c r="AG143" s="121" t="s">
        <v>53</v>
      </c>
      <c r="AH143" s="128" t="s">
        <v>561</v>
      </c>
      <c r="AI143" s="128" t="s">
        <v>561</v>
      </c>
      <c r="AJ143" s="128" t="s">
        <v>561</v>
      </c>
      <c r="AK143" s="125" t="s">
        <v>799</v>
      </c>
      <c r="AL143" s="128" t="s">
        <v>561</v>
      </c>
      <c r="AM143" s="128" t="s">
        <v>561</v>
      </c>
      <c r="AN143" s="128" t="s">
        <v>561</v>
      </c>
      <c r="AO143" s="128" t="s">
        <v>53</v>
      </c>
      <c r="AP143" s="121" t="s">
        <v>561</v>
      </c>
      <c r="AQ143" s="128" t="s">
        <v>53</v>
      </c>
      <c r="AR143" s="128" t="s">
        <v>561</v>
      </c>
      <c r="AS143" s="117" t="s">
        <v>561</v>
      </c>
      <c r="AT143" s="117" t="s">
        <v>561</v>
      </c>
      <c r="AU143" s="117" t="s">
        <v>561</v>
      </c>
      <c r="AV143" s="117" t="s">
        <v>561</v>
      </c>
      <c r="AW143" s="117" t="s">
        <v>561</v>
      </c>
      <c r="AX143" s="117" t="s">
        <v>561</v>
      </c>
      <c r="AY143" s="117" t="s">
        <v>561</v>
      </c>
      <c r="AZ143" s="117" t="s">
        <v>561</v>
      </c>
      <c r="BA143" s="117" t="s">
        <v>561</v>
      </c>
      <c r="BB143" s="117" t="s">
        <v>561</v>
      </c>
      <c r="BC143" s="117" t="s">
        <v>600</v>
      </c>
      <c r="BD143" s="129" t="s">
        <v>821</v>
      </c>
      <c r="BE143" s="129" t="s">
        <v>821</v>
      </c>
      <c r="BF143" s="130"/>
      <c r="BG143" s="130">
        <f t="shared" si="8"/>
        <v>501615</v>
      </c>
      <c r="BH143" s="131">
        <v>498615.0</v>
      </c>
      <c r="BI143" s="131"/>
      <c r="BJ143" s="132">
        <f t="shared" si="12"/>
        <v>3000</v>
      </c>
      <c r="BK143" s="132"/>
      <c r="BL143" s="133"/>
      <c r="BM143" s="133"/>
      <c r="BN143" s="133" t="s">
        <v>561</v>
      </c>
      <c r="BO143" s="133" t="s">
        <v>561</v>
      </c>
      <c r="BP143" s="133" t="s">
        <v>1311</v>
      </c>
      <c r="BQ143" s="134"/>
      <c r="BR143" s="134"/>
      <c r="BS143" s="181" t="s">
        <v>2030</v>
      </c>
      <c r="BT143" s="134"/>
      <c r="BU143" s="137">
        <f t="shared" si="6"/>
        <v>0.532</v>
      </c>
      <c r="BV143" s="138">
        <v>0.763</v>
      </c>
      <c r="BW143" s="137">
        <v>0.231</v>
      </c>
      <c r="BX143" s="137"/>
      <c r="BY143" s="137">
        <f t="shared" si="7"/>
        <v>0.605</v>
      </c>
      <c r="BZ143" s="138">
        <v>0.7909999999999999</v>
      </c>
      <c r="CA143" s="137">
        <v>0.18600000000000003</v>
      </c>
      <c r="CB143" s="137"/>
      <c r="CC143" s="137">
        <v>0.28800000000000003</v>
      </c>
      <c r="CD143" s="137">
        <v>0.158</v>
      </c>
      <c r="CE143" s="138">
        <v>0.48200000000000004</v>
      </c>
      <c r="CF143" s="137">
        <v>0.1</v>
      </c>
      <c r="CG143" s="137">
        <v>0.013999999999999999</v>
      </c>
      <c r="CH143" s="137">
        <v>0.002</v>
      </c>
      <c r="CI143" s="139"/>
      <c r="CJ143" s="137">
        <v>0.305</v>
      </c>
      <c r="CK143" s="137">
        <v>0.14400000000000002</v>
      </c>
      <c r="CL143" s="138">
        <v>0.47600000000000003</v>
      </c>
      <c r="CM143" s="137">
        <v>0.07</v>
      </c>
      <c r="CN143" s="137">
        <v>0.004</v>
      </c>
      <c r="CO143" s="137">
        <v>0.0</v>
      </c>
      <c r="CP143" s="137"/>
      <c r="CQ143" s="137">
        <v>0.327</v>
      </c>
      <c r="CR143" s="138">
        <v>0.515</v>
      </c>
      <c r="CS143" s="137">
        <v>0.14800000000000002</v>
      </c>
    </row>
    <row r="144">
      <c r="A144" s="112">
        <f t="shared" si="1"/>
        <v>141</v>
      </c>
      <c r="B144" s="112" t="s">
        <v>1364</v>
      </c>
      <c r="C144" s="112" t="s">
        <v>1365</v>
      </c>
      <c r="D144" s="113" t="s">
        <v>1362</v>
      </c>
      <c r="E144" s="186"/>
      <c r="F144" s="115">
        <f t="shared" si="2"/>
        <v>0</v>
      </c>
      <c r="G144" s="115">
        <f t="shared" si="3"/>
        <v>0.2435897436</v>
      </c>
      <c r="H144" s="116">
        <f t="shared" si="4"/>
        <v>0.1826923077</v>
      </c>
      <c r="I144" s="117" t="s">
        <v>594</v>
      </c>
      <c r="J144" s="117" t="s">
        <v>594</v>
      </c>
      <c r="K144" s="117" t="s">
        <v>594</v>
      </c>
      <c r="L144" s="117" t="s">
        <v>594</v>
      </c>
      <c r="M144" s="117" t="s">
        <v>594</v>
      </c>
      <c r="N144" s="117" t="s">
        <v>594</v>
      </c>
      <c r="O144" s="149" t="s">
        <v>1256</v>
      </c>
      <c r="P144" s="185" t="s">
        <v>561</v>
      </c>
      <c r="Q144" s="121" t="s">
        <v>53</v>
      </c>
      <c r="R144" s="121" t="s">
        <v>561</v>
      </c>
      <c r="S144" s="119" t="s">
        <v>53</v>
      </c>
      <c r="T144" s="119" t="s">
        <v>53</v>
      </c>
      <c r="U144" s="119" t="s">
        <v>53</v>
      </c>
      <c r="V144" s="119" t="s">
        <v>53</v>
      </c>
      <c r="W144" s="119" t="s">
        <v>53</v>
      </c>
      <c r="X144" s="149" t="s">
        <v>561</v>
      </c>
      <c r="Y144" s="149" t="s">
        <v>561</v>
      </c>
      <c r="Z144" s="149" t="s">
        <v>561</v>
      </c>
      <c r="AA144" s="149" t="s">
        <v>561</v>
      </c>
      <c r="AB144" s="149" t="s">
        <v>561</v>
      </c>
      <c r="AC144" s="125" t="s">
        <v>561</v>
      </c>
      <c r="AD144" s="149" t="s">
        <v>561</v>
      </c>
      <c r="AE144" s="128" t="s">
        <v>561</v>
      </c>
      <c r="AF144" s="125" t="s">
        <v>561</v>
      </c>
      <c r="AG144" s="121" t="s">
        <v>53</v>
      </c>
      <c r="AH144" s="128" t="s">
        <v>561</v>
      </c>
      <c r="AI144" s="125" t="s">
        <v>53</v>
      </c>
      <c r="AJ144" s="128" t="s">
        <v>561</v>
      </c>
      <c r="AK144" s="125" t="s">
        <v>799</v>
      </c>
      <c r="AL144" s="128" t="s">
        <v>561</v>
      </c>
      <c r="AM144" s="128" t="s">
        <v>561</v>
      </c>
      <c r="AN144" s="128" t="s">
        <v>561</v>
      </c>
      <c r="AO144" s="128" t="s">
        <v>801</v>
      </c>
      <c r="AP144" s="121" t="s">
        <v>561</v>
      </c>
      <c r="AQ144" s="128" t="s">
        <v>53</v>
      </c>
      <c r="AR144" s="128" t="s">
        <v>561</v>
      </c>
      <c r="AS144" s="117" t="s">
        <v>561</v>
      </c>
      <c r="AT144" s="117" t="s">
        <v>561</v>
      </c>
      <c r="AU144" s="117" t="s">
        <v>561</v>
      </c>
      <c r="AV144" s="117" t="s">
        <v>561</v>
      </c>
      <c r="AW144" s="117" t="s">
        <v>561</v>
      </c>
      <c r="AX144" s="117" t="s">
        <v>561</v>
      </c>
      <c r="AY144" s="117" t="s">
        <v>561</v>
      </c>
      <c r="AZ144" s="117" t="s">
        <v>561</v>
      </c>
      <c r="BA144" s="117" t="s">
        <v>561</v>
      </c>
      <c r="BB144" s="117" t="s">
        <v>561</v>
      </c>
      <c r="BC144" s="117" t="s">
        <v>561</v>
      </c>
      <c r="BD144" s="129" t="s">
        <v>821</v>
      </c>
      <c r="BE144" s="129" t="s">
        <v>821</v>
      </c>
      <c r="BF144" s="130"/>
      <c r="BG144" s="130">
        <f t="shared" si="8"/>
        <v>33250</v>
      </c>
      <c r="BH144" s="131">
        <v>31250.0</v>
      </c>
      <c r="BI144" s="131"/>
      <c r="BJ144" s="132">
        <f>2000</f>
        <v>2000</v>
      </c>
      <c r="BK144" s="132"/>
      <c r="BL144" s="133"/>
      <c r="BM144" s="133"/>
      <c r="BN144" s="133" t="s">
        <v>561</v>
      </c>
      <c r="BO144" s="133" t="s">
        <v>561</v>
      </c>
      <c r="BP144" s="133" t="s">
        <v>1344</v>
      </c>
      <c r="BQ144" s="134"/>
      <c r="BR144" s="150" t="s">
        <v>1569</v>
      </c>
      <c r="BS144" s="181" t="s">
        <v>2030</v>
      </c>
      <c r="BT144" s="134"/>
      <c r="BU144" s="137">
        <f t="shared" si="6"/>
        <v>0.229</v>
      </c>
      <c r="BV144" s="138">
        <v>0.601</v>
      </c>
      <c r="BW144" s="137">
        <v>0.37200000000000005</v>
      </c>
      <c r="BX144" s="137"/>
      <c r="BY144" s="137">
        <f t="shared" si="7"/>
        <v>0.18</v>
      </c>
      <c r="BZ144" s="138">
        <v>0.55</v>
      </c>
      <c r="CA144" s="137">
        <v>0.37</v>
      </c>
      <c r="CB144" s="137"/>
      <c r="CC144" s="138">
        <v>0.725</v>
      </c>
      <c r="CD144" s="137">
        <v>0.10099999999999999</v>
      </c>
      <c r="CE144" s="137">
        <v>0.035</v>
      </c>
      <c r="CF144" s="137">
        <v>0.09</v>
      </c>
      <c r="CG144" s="137">
        <v>0.040999999999999995</v>
      </c>
      <c r="CH144" s="137">
        <v>0.009000000000000001</v>
      </c>
      <c r="CI144" s="139"/>
      <c r="CJ144" s="138">
        <v>0.8029999999999999</v>
      </c>
      <c r="CK144" s="137">
        <v>0.07</v>
      </c>
      <c r="CL144" s="137">
        <v>0.027000000000000003</v>
      </c>
      <c r="CM144" s="137">
        <v>0.065</v>
      </c>
      <c r="CN144" s="137">
        <v>0.027999999999999997</v>
      </c>
      <c r="CO144" s="137">
        <v>0.002</v>
      </c>
      <c r="CP144" s="137"/>
      <c r="CQ144" s="137">
        <v>0.32799999999999996</v>
      </c>
      <c r="CR144" s="137">
        <v>0.34700000000000003</v>
      </c>
      <c r="CS144" s="138">
        <v>0.524</v>
      </c>
    </row>
    <row r="145">
      <c r="A145" s="112">
        <f t="shared" si="1"/>
        <v>141</v>
      </c>
      <c r="B145" s="112" t="s">
        <v>207</v>
      </c>
      <c r="C145" s="112" t="s">
        <v>208</v>
      </c>
      <c r="D145" s="113" t="s">
        <v>203</v>
      </c>
      <c r="E145" s="186"/>
      <c r="F145" s="115">
        <f t="shared" si="2"/>
        <v>0</v>
      </c>
      <c r="G145" s="115">
        <f t="shared" si="3"/>
        <v>0.2435897436</v>
      </c>
      <c r="H145" s="116">
        <f t="shared" si="4"/>
        <v>0.1826923077</v>
      </c>
      <c r="I145" s="117" t="s">
        <v>594</v>
      </c>
      <c r="J145" s="117" t="s">
        <v>594</v>
      </c>
      <c r="K145" s="117" t="s">
        <v>594</v>
      </c>
      <c r="L145" s="117" t="s">
        <v>594</v>
      </c>
      <c r="M145" s="117" t="s">
        <v>594</v>
      </c>
      <c r="N145" s="117" t="s">
        <v>594</v>
      </c>
      <c r="O145" s="149" t="s">
        <v>1256</v>
      </c>
      <c r="P145" s="185" t="s">
        <v>561</v>
      </c>
      <c r="Q145" s="121" t="s">
        <v>53</v>
      </c>
      <c r="R145" s="121" t="s">
        <v>561</v>
      </c>
      <c r="S145" s="119" t="s">
        <v>53</v>
      </c>
      <c r="T145" s="119" t="s">
        <v>53</v>
      </c>
      <c r="U145" s="119" t="s">
        <v>53</v>
      </c>
      <c r="V145" s="119" t="s">
        <v>53</v>
      </c>
      <c r="W145" s="119" t="s">
        <v>53</v>
      </c>
      <c r="X145" s="149" t="s">
        <v>561</v>
      </c>
      <c r="Y145" s="149" t="s">
        <v>561</v>
      </c>
      <c r="Z145" s="149" t="s">
        <v>561</v>
      </c>
      <c r="AA145" s="149" t="s">
        <v>561</v>
      </c>
      <c r="AB145" s="149" t="s">
        <v>561</v>
      </c>
      <c r="AC145" s="125" t="s">
        <v>561</v>
      </c>
      <c r="AD145" s="149" t="s">
        <v>561</v>
      </c>
      <c r="AE145" s="128" t="s">
        <v>561</v>
      </c>
      <c r="AF145" s="125" t="s">
        <v>561</v>
      </c>
      <c r="AG145" s="121" t="s">
        <v>53</v>
      </c>
      <c r="AH145" s="128" t="s">
        <v>561</v>
      </c>
      <c r="AI145" s="128" t="s">
        <v>561</v>
      </c>
      <c r="AJ145" s="128" t="s">
        <v>561</v>
      </c>
      <c r="AK145" s="125" t="s">
        <v>799</v>
      </c>
      <c r="AL145" s="128" t="s">
        <v>561</v>
      </c>
      <c r="AM145" s="128" t="s">
        <v>561</v>
      </c>
      <c r="AN145" s="128" t="s">
        <v>561</v>
      </c>
      <c r="AO145" s="128" t="s">
        <v>53</v>
      </c>
      <c r="AP145" s="121" t="s">
        <v>561</v>
      </c>
      <c r="AQ145" s="128" t="s">
        <v>53</v>
      </c>
      <c r="AR145" s="128" t="s">
        <v>561</v>
      </c>
      <c r="AS145" s="117" t="s">
        <v>561</v>
      </c>
      <c r="AT145" s="117" t="s">
        <v>561</v>
      </c>
      <c r="AU145" s="117" t="s">
        <v>561</v>
      </c>
      <c r="AV145" s="117" t="s">
        <v>561</v>
      </c>
      <c r="AW145" s="117" t="s">
        <v>561</v>
      </c>
      <c r="AX145" s="117" t="s">
        <v>561</v>
      </c>
      <c r="AY145" s="117" t="s">
        <v>561</v>
      </c>
      <c r="AZ145" s="117" t="s">
        <v>561</v>
      </c>
      <c r="BA145" s="117" t="s">
        <v>561</v>
      </c>
      <c r="BB145" s="117" t="s">
        <v>561</v>
      </c>
      <c r="BC145" s="117" t="s">
        <v>600</v>
      </c>
      <c r="BD145" s="129" t="s">
        <v>821</v>
      </c>
      <c r="BE145" s="129" t="s">
        <v>821</v>
      </c>
      <c r="BF145" s="130"/>
      <c r="BG145" s="130">
        <f t="shared" si="8"/>
        <v>7900</v>
      </c>
      <c r="BH145" s="131">
        <v>7900.0</v>
      </c>
      <c r="BI145" s="131"/>
      <c r="BJ145" s="132"/>
      <c r="BK145" s="132"/>
      <c r="BL145" s="133"/>
      <c r="BM145" s="133"/>
      <c r="BN145" s="133"/>
      <c r="BO145" s="133" t="s">
        <v>561</v>
      </c>
      <c r="BP145" s="133" t="s">
        <v>1311</v>
      </c>
      <c r="BQ145" s="134"/>
      <c r="BR145" s="150" t="s">
        <v>1569</v>
      </c>
      <c r="BS145" s="181" t="s">
        <v>122</v>
      </c>
      <c r="BT145" s="134"/>
      <c r="BU145" s="137">
        <f t="shared" si="6"/>
        <v>0.153</v>
      </c>
      <c r="BV145" s="138">
        <v>0.5670000000000001</v>
      </c>
      <c r="BW145" s="137">
        <v>0.414</v>
      </c>
      <c r="BX145" s="137"/>
      <c r="BY145" s="137">
        <f t="shared" si="7"/>
        <v>0.174</v>
      </c>
      <c r="BZ145" s="138">
        <v>0.563</v>
      </c>
      <c r="CA145" s="137">
        <v>0.389</v>
      </c>
      <c r="CB145" s="137"/>
      <c r="CC145" s="137">
        <v>0.284</v>
      </c>
      <c r="CD145" s="138">
        <v>0.604</v>
      </c>
      <c r="CE145" s="137">
        <v>0.055999999999999994</v>
      </c>
      <c r="CF145" s="137">
        <v>0.042</v>
      </c>
      <c r="CG145" s="137">
        <v>0.043</v>
      </c>
      <c r="CH145" s="137">
        <v>0.004</v>
      </c>
      <c r="CI145" s="139"/>
      <c r="CJ145" s="137">
        <v>0.354</v>
      </c>
      <c r="CK145" s="138">
        <v>0.541</v>
      </c>
      <c r="CL145" s="137">
        <v>0.057</v>
      </c>
      <c r="CM145" s="137">
        <v>0.028999999999999998</v>
      </c>
      <c r="CN145" s="137">
        <v>0.013999999999999999</v>
      </c>
      <c r="CO145" s="137">
        <v>0.001</v>
      </c>
      <c r="CP145" s="137"/>
      <c r="CQ145" s="137">
        <v>0.159</v>
      </c>
      <c r="CR145" s="137">
        <v>0.24100000000000002</v>
      </c>
      <c r="CS145" s="137">
        <v>0.26899999999999996</v>
      </c>
    </row>
    <row r="146">
      <c r="A146" s="112">
        <f t="shared" si="1"/>
        <v>144</v>
      </c>
      <c r="B146" s="112" t="s">
        <v>1244</v>
      </c>
      <c r="C146" s="112" t="s">
        <v>1245</v>
      </c>
      <c r="D146" s="113" t="s">
        <v>1242</v>
      </c>
      <c r="E146" s="163"/>
      <c r="F146" s="115">
        <f t="shared" si="2"/>
        <v>0</v>
      </c>
      <c r="G146" s="115">
        <f t="shared" si="3"/>
        <v>0.2432432432</v>
      </c>
      <c r="H146" s="116">
        <f t="shared" si="4"/>
        <v>0.1824324324</v>
      </c>
      <c r="I146" s="117" t="s">
        <v>594</v>
      </c>
      <c r="J146" s="117" t="s">
        <v>594</v>
      </c>
      <c r="K146" s="117" t="s">
        <v>594</v>
      </c>
      <c r="L146" s="117" t="s">
        <v>594</v>
      </c>
      <c r="M146" s="117" t="s">
        <v>594</v>
      </c>
      <c r="N146" s="117" t="s">
        <v>594</v>
      </c>
      <c r="O146" s="149" t="s">
        <v>1256</v>
      </c>
      <c r="P146" s="120" t="s">
        <v>53</v>
      </c>
      <c r="Q146" s="121" t="s">
        <v>53</v>
      </c>
      <c r="R146" s="121" t="s">
        <v>561</v>
      </c>
      <c r="S146" s="119" t="s">
        <v>53</v>
      </c>
      <c r="T146" s="119" t="s">
        <v>53</v>
      </c>
      <c r="U146" s="149" t="s">
        <v>561</v>
      </c>
      <c r="V146" s="119" t="s">
        <v>53</v>
      </c>
      <c r="W146" s="119" t="s">
        <v>53</v>
      </c>
      <c r="X146" s="149" t="s">
        <v>561</v>
      </c>
      <c r="Y146" s="149" t="s">
        <v>561</v>
      </c>
      <c r="Z146" s="149" t="s">
        <v>561</v>
      </c>
      <c r="AA146" s="149" t="s">
        <v>561</v>
      </c>
      <c r="AB146" s="149" t="s">
        <v>561</v>
      </c>
      <c r="AC146" s="125" t="s">
        <v>561</v>
      </c>
      <c r="AD146" s="149" t="s">
        <v>561</v>
      </c>
      <c r="AE146" s="128" t="s">
        <v>561</v>
      </c>
      <c r="AF146" s="125" t="s">
        <v>561</v>
      </c>
      <c r="AG146" s="121" t="s">
        <v>53</v>
      </c>
      <c r="AH146" s="128" t="s">
        <v>561</v>
      </c>
      <c r="AI146" s="128" t="s">
        <v>561</v>
      </c>
      <c r="AJ146" s="123" t="s">
        <v>801</v>
      </c>
      <c r="AK146" s="125" t="s">
        <v>561</v>
      </c>
      <c r="AL146" s="128" t="s">
        <v>561</v>
      </c>
      <c r="AM146" s="128" t="s">
        <v>561</v>
      </c>
      <c r="AN146" s="128" t="s">
        <v>561</v>
      </c>
      <c r="AO146" s="128" t="s">
        <v>53</v>
      </c>
      <c r="AP146" s="121" t="s">
        <v>561</v>
      </c>
      <c r="AQ146" s="128" t="s">
        <v>53</v>
      </c>
      <c r="AR146" s="128" t="s">
        <v>561</v>
      </c>
      <c r="AS146" s="117" t="s">
        <v>561</v>
      </c>
      <c r="AT146" s="117" t="s">
        <v>561</v>
      </c>
      <c r="AU146" s="117" t="s">
        <v>561</v>
      </c>
      <c r="AV146" s="117" t="s">
        <v>561</v>
      </c>
      <c r="AW146" s="117" t="s">
        <v>561</v>
      </c>
      <c r="AX146" s="117" t="s">
        <v>561</v>
      </c>
      <c r="AY146" s="117" t="s">
        <v>561</v>
      </c>
      <c r="AZ146" s="117" t="s">
        <v>561</v>
      </c>
      <c r="BA146" s="117" t="s">
        <v>561</v>
      </c>
      <c r="BB146" s="117" t="s">
        <v>600</v>
      </c>
      <c r="BC146" s="117" t="s">
        <v>600</v>
      </c>
      <c r="BD146" s="129" t="s">
        <v>821</v>
      </c>
      <c r="BE146" s="164" t="s">
        <v>1832</v>
      </c>
      <c r="BF146" s="130"/>
      <c r="BG146" s="130">
        <f t="shared" si="8"/>
        <v>39055</v>
      </c>
      <c r="BH146" s="131">
        <v>35055.0</v>
      </c>
      <c r="BI146" s="131"/>
      <c r="BJ146" s="132">
        <f>2000+2000</f>
        <v>4000</v>
      </c>
      <c r="BK146" s="132"/>
      <c r="BL146" s="133"/>
      <c r="BM146" s="133"/>
      <c r="BN146" s="133" t="s">
        <v>561</v>
      </c>
      <c r="BO146" s="133" t="s">
        <v>561</v>
      </c>
      <c r="BP146" s="133" t="s">
        <v>845</v>
      </c>
      <c r="BQ146" s="134"/>
      <c r="BR146" s="150" t="s">
        <v>1569</v>
      </c>
      <c r="BS146" s="181" t="s">
        <v>2030</v>
      </c>
      <c r="BT146" s="134"/>
      <c r="BU146" s="137">
        <f t="shared" si="6"/>
        <v>0.297</v>
      </c>
      <c r="BV146" s="138">
        <v>0.642</v>
      </c>
      <c r="BW146" s="137">
        <v>0.345</v>
      </c>
      <c r="BX146" s="137"/>
      <c r="BY146" s="137">
        <f t="shared" si="7"/>
        <v>0.299</v>
      </c>
      <c r="BZ146" s="138">
        <v>0.625</v>
      </c>
      <c r="CA146" s="137">
        <v>0.326</v>
      </c>
      <c r="CB146" s="137"/>
      <c r="CC146" s="138">
        <v>0.302</v>
      </c>
      <c r="CD146" s="137">
        <v>0.28300000000000003</v>
      </c>
      <c r="CE146" s="137">
        <v>0.196</v>
      </c>
      <c r="CF146" s="137">
        <v>0.214</v>
      </c>
      <c r="CG146" s="137">
        <v>0.02</v>
      </c>
      <c r="CH146" s="137">
        <v>0.002</v>
      </c>
      <c r="CI146" s="139"/>
      <c r="CJ146" s="138">
        <v>0.391</v>
      </c>
      <c r="CK146" s="137">
        <v>0.212</v>
      </c>
      <c r="CL146" s="137">
        <v>0.204</v>
      </c>
      <c r="CM146" s="137">
        <v>0.18600000000000003</v>
      </c>
      <c r="CN146" s="137">
        <v>0.006</v>
      </c>
      <c r="CO146" s="137">
        <v>0.0</v>
      </c>
      <c r="CP146" s="137"/>
      <c r="CQ146" s="137">
        <v>0.483</v>
      </c>
      <c r="CR146" s="138">
        <v>0.6809999999999999</v>
      </c>
      <c r="CS146" s="137">
        <v>0.125</v>
      </c>
    </row>
    <row r="147">
      <c r="A147" s="112">
        <f t="shared" si="1"/>
        <v>144</v>
      </c>
      <c r="B147" s="112" t="s">
        <v>1297</v>
      </c>
      <c r="C147" s="112" t="s">
        <v>1298</v>
      </c>
      <c r="D147" s="113" t="s">
        <v>1295</v>
      </c>
      <c r="E147" s="186"/>
      <c r="F147" s="115">
        <f t="shared" si="2"/>
        <v>0</v>
      </c>
      <c r="G147" s="115">
        <f t="shared" si="3"/>
        <v>0.2432432432</v>
      </c>
      <c r="H147" s="116">
        <f t="shared" si="4"/>
        <v>0.1824324324</v>
      </c>
      <c r="I147" s="117" t="s">
        <v>594</v>
      </c>
      <c r="J147" s="117" t="s">
        <v>594</v>
      </c>
      <c r="K147" s="117" t="s">
        <v>594</v>
      </c>
      <c r="L147" s="117" t="s">
        <v>594</v>
      </c>
      <c r="M147" s="117" t="s">
        <v>594</v>
      </c>
      <c r="N147" s="117" t="s">
        <v>594</v>
      </c>
      <c r="O147" s="149" t="s">
        <v>1256</v>
      </c>
      <c r="P147" s="120" t="s">
        <v>53</v>
      </c>
      <c r="Q147" s="121" t="s">
        <v>53</v>
      </c>
      <c r="R147" s="121" t="s">
        <v>561</v>
      </c>
      <c r="S147" s="119" t="s">
        <v>53</v>
      </c>
      <c r="T147" s="119" t="s">
        <v>53</v>
      </c>
      <c r="U147" s="149" t="s">
        <v>561</v>
      </c>
      <c r="V147" s="149" t="s">
        <v>561</v>
      </c>
      <c r="W147" s="119" t="s">
        <v>53</v>
      </c>
      <c r="X147" s="149" t="s">
        <v>561</v>
      </c>
      <c r="Y147" s="149" t="s">
        <v>561</v>
      </c>
      <c r="Z147" s="149" t="s">
        <v>561</v>
      </c>
      <c r="AA147" s="149" t="s">
        <v>561</v>
      </c>
      <c r="AB147" s="149" t="s">
        <v>561</v>
      </c>
      <c r="AC147" s="125" t="s">
        <v>561</v>
      </c>
      <c r="AD147" s="149" t="s">
        <v>561</v>
      </c>
      <c r="AE147" s="128" t="s">
        <v>561</v>
      </c>
      <c r="AF147" s="125" t="s">
        <v>561</v>
      </c>
      <c r="AG147" s="121" t="s">
        <v>53</v>
      </c>
      <c r="AH147" s="128" t="s">
        <v>561</v>
      </c>
      <c r="AI147" s="125" t="s">
        <v>53</v>
      </c>
      <c r="AJ147" s="128" t="s">
        <v>561</v>
      </c>
      <c r="AK147" s="125" t="s">
        <v>561</v>
      </c>
      <c r="AL147" s="128" t="s">
        <v>561</v>
      </c>
      <c r="AM147" s="128" t="s">
        <v>801</v>
      </c>
      <c r="AN147" s="128" t="s">
        <v>561</v>
      </c>
      <c r="AO147" s="128" t="s">
        <v>53</v>
      </c>
      <c r="AP147" s="121" t="s">
        <v>561</v>
      </c>
      <c r="AQ147" s="128" t="s">
        <v>53</v>
      </c>
      <c r="AR147" s="128" t="s">
        <v>561</v>
      </c>
      <c r="AS147" s="117" t="s">
        <v>561</v>
      </c>
      <c r="AT147" s="117" t="s">
        <v>801</v>
      </c>
      <c r="AU147" s="117" t="s">
        <v>561</v>
      </c>
      <c r="AV147" s="117" t="s">
        <v>561</v>
      </c>
      <c r="AW147" s="117" t="s">
        <v>561</v>
      </c>
      <c r="AX147" s="117" t="s">
        <v>561</v>
      </c>
      <c r="AY147" s="117" t="s">
        <v>561</v>
      </c>
      <c r="AZ147" s="117" t="s">
        <v>561</v>
      </c>
      <c r="BA147" s="117" t="s">
        <v>561</v>
      </c>
      <c r="BB147" s="117" t="s">
        <v>561</v>
      </c>
      <c r="BC147" s="117" t="s">
        <v>600</v>
      </c>
      <c r="BD147" s="164" t="s">
        <v>1832</v>
      </c>
      <c r="BE147" s="129" t="s">
        <v>821</v>
      </c>
      <c r="BF147" s="130"/>
      <c r="BG147" s="130">
        <f t="shared" si="8"/>
        <v>33850</v>
      </c>
      <c r="BH147" s="131">
        <v>33850.0</v>
      </c>
      <c r="BI147" s="131"/>
      <c r="BJ147" s="132"/>
      <c r="BK147" s="132"/>
      <c r="BL147" s="133"/>
      <c r="BM147" s="133"/>
      <c r="BN147" s="133"/>
      <c r="BO147" s="133" t="s">
        <v>561</v>
      </c>
      <c r="BP147" s="133" t="s">
        <v>1311</v>
      </c>
      <c r="BQ147" s="134"/>
      <c r="BR147" s="150" t="s">
        <v>1569</v>
      </c>
      <c r="BS147" s="181" t="s">
        <v>122</v>
      </c>
      <c r="BT147" s="134"/>
      <c r="BU147" s="137">
        <f t="shared" si="6"/>
        <v>0.498</v>
      </c>
      <c r="BV147" s="138">
        <v>0.742</v>
      </c>
      <c r="BW147" s="137">
        <v>0.244</v>
      </c>
      <c r="BX147" s="137"/>
      <c r="BY147" s="137">
        <f t="shared" si="7"/>
        <v>0.515</v>
      </c>
      <c r="BZ147" s="138">
        <v>0.7390000000000001</v>
      </c>
      <c r="CA147" s="137">
        <v>0.22399999999999998</v>
      </c>
      <c r="CB147" s="137"/>
      <c r="CC147" s="137">
        <v>0.158</v>
      </c>
      <c r="CD147" s="138">
        <v>0.545</v>
      </c>
      <c r="CE147" s="137">
        <v>0.204</v>
      </c>
      <c r="CF147" s="137">
        <v>0.087</v>
      </c>
      <c r="CG147" s="137">
        <v>0.027000000000000003</v>
      </c>
      <c r="CH147" s="137">
        <v>0.002</v>
      </c>
      <c r="CI147" s="139"/>
      <c r="CJ147" s="137">
        <v>0.24100000000000002</v>
      </c>
      <c r="CK147" s="138">
        <v>0.43200000000000005</v>
      </c>
      <c r="CL147" s="137">
        <v>0.268</v>
      </c>
      <c r="CM147" s="137">
        <v>0.046</v>
      </c>
      <c r="CN147" s="137">
        <v>0.008</v>
      </c>
      <c r="CO147" s="137">
        <v>0.001</v>
      </c>
      <c r="CP147" s="137"/>
      <c r="CQ147" s="137">
        <v>0.204</v>
      </c>
      <c r="CR147" s="137">
        <v>0.34700000000000003</v>
      </c>
      <c r="CS147" s="137">
        <v>0.157</v>
      </c>
    </row>
    <row r="148">
      <c r="A148" s="112">
        <f t="shared" si="1"/>
        <v>146</v>
      </c>
      <c r="B148" s="112" t="s">
        <v>347</v>
      </c>
      <c r="C148" s="112" t="s">
        <v>789</v>
      </c>
      <c r="D148" s="144" t="s">
        <v>785</v>
      </c>
      <c r="E148" s="186"/>
      <c r="F148" s="115">
        <f t="shared" si="2"/>
        <v>0</v>
      </c>
      <c r="G148" s="115">
        <f t="shared" si="3"/>
        <v>0.2368421053</v>
      </c>
      <c r="H148" s="116">
        <f t="shared" si="4"/>
        <v>0.1776315789</v>
      </c>
      <c r="I148" s="117" t="s">
        <v>594</v>
      </c>
      <c r="J148" s="117" t="s">
        <v>594</v>
      </c>
      <c r="K148" s="117" t="s">
        <v>594</v>
      </c>
      <c r="L148" s="117" t="s">
        <v>594</v>
      </c>
      <c r="M148" s="117" t="s">
        <v>594</v>
      </c>
      <c r="N148" s="117" t="s">
        <v>594</v>
      </c>
      <c r="O148" s="149" t="s">
        <v>1256</v>
      </c>
      <c r="P148" s="120" t="s">
        <v>53</v>
      </c>
      <c r="Q148" s="121" t="s">
        <v>53</v>
      </c>
      <c r="R148" s="121" t="s">
        <v>561</v>
      </c>
      <c r="S148" s="121" t="s">
        <v>801</v>
      </c>
      <c r="T148" s="119" t="s">
        <v>53</v>
      </c>
      <c r="U148" s="119" t="s">
        <v>53</v>
      </c>
      <c r="V148" s="119" t="s">
        <v>53</v>
      </c>
      <c r="W148" s="119" t="s">
        <v>53</v>
      </c>
      <c r="X148" s="149" t="s">
        <v>561</v>
      </c>
      <c r="Y148" s="149" t="s">
        <v>561</v>
      </c>
      <c r="Z148" s="149" t="s">
        <v>561</v>
      </c>
      <c r="AA148" s="149" t="s">
        <v>561</v>
      </c>
      <c r="AB148" s="149" t="s">
        <v>561</v>
      </c>
      <c r="AC148" s="125" t="s">
        <v>561</v>
      </c>
      <c r="AD148" s="123" t="s">
        <v>801</v>
      </c>
      <c r="AE148" s="128" t="s">
        <v>561</v>
      </c>
      <c r="AF148" s="125" t="s">
        <v>561</v>
      </c>
      <c r="AG148" s="121" t="s">
        <v>53</v>
      </c>
      <c r="AH148" s="128" t="s">
        <v>561</v>
      </c>
      <c r="AI148" s="128" t="s">
        <v>561</v>
      </c>
      <c r="AJ148" s="128" t="s">
        <v>561</v>
      </c>
      <c r="AK148" s="125" t="s">
        <v>561</v>
      </c>
      <c r="AL148" s="128" t="s">
        <v>561</v>
      </c>
      <c r="AM148" s="128" t="s">
        <v>561</v>
      </c>
      <c r="AN148" s="128" t="s">
        <v>561</v>
      </c>
      <c r="AO148" s="128" t="s">
        <v>53</v>
      </c>
      <c r="AP148" s="121" t="s">
        <v>561</v>
      </c>
      <c r="AQ148" s="128" t="s">
        <v>53</v>
      </c>
      <c r="AR148" s="128" t="s">
        <v>561</v>
      </c>
      <c r="AS148" s="117" t="s">
        <v>561</v>
      </c>
      <c r="AT148" s="117" t="s">
        <v>561</v>
      </c>
      <c r="AU148" s="117" t="s">
        <v>561</v>
      </c>
      <c r="AV148" s="117" t="s">
        <v>561</v>
      </c>
      <c r="AW148" s="117" t="s">
        <v>561</v>
      </c>
      <c r="AX148" s="117" t="s">
        <v>561</v>
      </c>
      <c r="AY148" s="117" t="s">
        <v>561</v>
      </c>
      <c r="AZ148" s="117" t="s">
        <v>561</v>
      </c>
      <c r="BA148" s="117" t="s">
        <v>561</v>
      </c>
      <c r="BB148" s="117" t="s">
        <v>561</v>
      </c>
      <c r="BC148" s="117" t="s">
        <v>561</v>
      </c>
      <c r="BD148" s="164" t="s">
        <v>1832</v>
      </c>
      <c r="BE148" s="129" t="s">
        <v>821</v>
      </c>
      <c r="BF148" s="130"/>
      <c r="BG148" s="130">
        <f t="shared" si="8"/>
        <v>25700</v>
      </c>
      <c r="BH148" s="131">
        <v>25700.0</v>
      </c>
      <c r="BI148" s="131"/>
      <c r="BJ148" s="132"/>
      <c r="BK148" s="132"/>
      <c r="BL148" s="133"/>
      <c r="BM148" s="133" t="s">
        <v>561</v>
      </c>
      <c r="BN148" s="133"/>
      <c r="BO148" s="133" t="s">
        <v>561</v>
      </c>
      <c r="BP148" s="133" t="s">
        <v>2626</v>
      </c>
      <c r="BQ148" s="134"/>
      <c r="BR148" s="150" t="s">
        <v>1569</v>
      </c>
      <c r="BS148" s="181" t="s">
        <v>122</v>
      </c>
      <c r="BT148" s="134"/>
      <c r="BU148" s="137">
        <f t="shared" si="6"/>
        <v>0.182</v>
      </c>
      <c r="BV148" s="138">
        <v>0.5820000000000001</v>
      </c>
      <c r="BW148" s="137">
        <v>0.4</v>
      </c>
      <c r="BX148" s="137"/>
      <c r="BY148" s="137">
        <f t="shared" si="7"/>
        <v>0.099</v>
      </c>
      <c r="BZ148" s="138">
        <v>0.514</v>
      </c>
      <c r="CA148" s="137">
        <v>0.415</v>
      </c>
      <c r="CB148" s="137"/>
      <c r="CC148" s="138">
        <v>0.852</v>
      </c>
      <c r="CD148" s="137">
        <v>0.048</v>
      </c>
      <c r="CE148" s="137">
        <v>0.045</v>
      </c>
      <c r="CF148" s="137">
        <v>0.017</v>
      </c>
      <c r="CG148" s="137">
        <v>0.013000000000000001</v>
      </c>
      <c r="CH148" s="137">
        <v>0.001</v>
      </c>
      <c r="CI148" s="139"/>
      <c r="CJ148" s="142">
        <v>0.912</v>
      </c>
      <c r="CK148" s="141">
        <v>0.035</v>
      </c>
      <c r="CL148" s="141">
        <v>0.032</v>
      </c>
      <c r="CM148" s="141">
        <v>0.013000000000000001</v>
      </c>
      <c r="CN148" s="141">
        <v>0.006999999999999999</v>
      </c>
      <c r="CO148" s="141">
        <v>0.001</v>
      </c>
      <c r="CP148" s="137"/>
      <c r="CQ148" s="137">
        <v>0.392</v>
      </c>
      <c r="CR148" s="137">
        <v>0.409</v>
      </c>
      <c r="CS148" s="138">
        <v>0.539</v>
      </c>
    </row>
    <row r="149">
      <c r="A149" s="112">
        <f t="shared" si="1"/>
        <v>146</v>
      </c>
      <c r="B149" s="112" t="s">
        <v>1183</v>
      </c>
      <c r="C149" s="112" t="s">
        <v>1184</v>
      </c>
      <c r="D149" s="113" t="s">
        <v>1178</v>
      </c>
      <c r="E149" s="163"/>
      <c r="F149" s="115">
        <f t="shared" si="2"/>
        <v>0</v>
      </c>
      <c r="G149" s="115">
        <f t="shared" si="3"/>
        <v>0.2368421053</v>
      </c>
      <c r="H149" s="116">
        <f t="shared" si="4"/>
        <v>0.1776315789</v>
      </c>
      <c r="I149" s="117" t="s">
        <v>594</v>
      </c>
      <c r="J149" s="117" t="s">
        <v>594</v>
      </c>
      <c r="K149" s="117" t="s">
        <v>594</v>
      </c>
      <c r="L149" s="117" t="s">
        <v>594</v>
      </c>
      <c r="M149" s="117" t="s">
        <v>594</v>
      </c>
      <c r="N149" s="117" t="s">
        <v>594</v>
      </c>
      <c r="O149" s="149" t="s">
        <v>1256</v>
      </c>
      <c r="P149" s="185" t="s">
        <v>561</v>
      </c>
      <c r="Q149" s="121" t="s">
        <v>53</v>
      </c>
      <c r="R149" s="121" t="s">
        <v>561</v>
      </c>
      <c r="S149" s="119" t="s">
        <v>53</v>
      </c>
      <c r="T149" s="119" t="s">
        <v>53</v>
      </c>
      <c r="U149" s="119" t="s">
        <v>53</v>
      </c>
      <c r="V149" s="119" t="s">
        <v>53</v>
      </c>
      <c r="W149" s="119" t="s">
        <v>53</v>
      </c>
      <c r="X149" s="149" t="s">
        <v>561</v>
      </c>
      <c r="Y149" s="149" t="s">
        <v>561</v>
      </c>
      <c r="Z149" s="149" t="s">
        <v>561</v>
      </c>
      <c r="AA149" s="149" t="s">
        <v>561</v>
      </c>
      <c r="AB149" s="149" t="s">
        <v>561</v>
      </c>
      <c r="AC149" s="125" t="s">
        <v>561</v>
      </c>
      <c r="AD149" s="149" t="s">
        <v>561</v>
      </c>
      <c r="AE149" s="128" t="s">
        <v>561</v>
      </c>
      <c r="AF149" s="125" t="s">
        <v>561</v>
      </c>
      <c r="AG149" s="121" t="s">
        <v>53</v>
      </c>
      <c r="AH149" s="128" t="s">
        <v>561</v>
      </c>
      <c r="AI149" s="128" t="s">
        <v>561</v>
      </c>
      <c r="AJ149" s="128" t="s">
        <v>561</v>
      </c>
      <c r="AK149" s="125" t="s">
        <v>799</v>
      </c>
      <c r="AL149" s="128" t="s">
        <v>561</v>
      </c>
      <c r="AM149" s="128" t="s">
        <v>561</v>
      </c>
      <c r="AN149" s="128" t="s">
        <v>561</v>
      </c>
      <c r="AO149" s="128" t="s">
        <v>799</v>
      </c>
      <c r="AP149" s="121" t="s">
        <v>561</v>
      </c>
      <c r="AQ149" s="128" t="s">
        <v>53</v>
      </c>
      <c r="AR149" s="128" t="s">
        <v>561</v>
      </c>
      <c r="AS149" s="117" t="s">
        <v>561</v>
      </c>
      <c r="AT149" s="117" t="s">
        <v>561</v>
      </c>
      <c r="AU149" s="117" t="s">
        <v>561</v>
      </c>
      <c r="AV149" s="117" t="s">
        <v>561</v>
      </c>
      <c r="AW149" s="117" t="s">
        <v>561</v>
      </c>
      <c r="AX149" s="117" t="s">
        <v>561</v>
      </c>
      <c r="AY149" s="117" t="s">
        <v>561</v>
      </c>
      <c r="AZ149" s="117" t="s">
        <v>561</v>
      </c>
      <c r="BA149" s="117" t="s">
        <v>561</v>
      </c>
      <c r="BB149" s="117" t="s">
        <v>600</v>
      </c>
      <c r="BC149" s="117" t="s">
        <v>600</v>
      </c>
      <c r="BD149" s="129" t="s">
        <v>821</v>
      </c>
      <c r="BE149" s="129" t="s">
        <v>821</v>
      </c>
      <c r="BF149" s="130"/>
      <c r="BG149" s="130">
        <f t="shared" si="8"/>
        <v>62059</v>
      </c>
      <c r="BH149" s="131">
        <v>57272.0</v>
      </c>
      <c r="BI149" s="131"/>
      <c r="BJ149" s="132">
        <f>2000+2000</f>
        <v>4000</v>
      </c>
      <c r="BK149" s="132">
        <v>787.0</v>
      </c>
      <c r="BL149" s="133"/>
      <c r="BM149" s="133" t="s">
        <v>561</v>
      </c>
      <c r="BN149" s="133" t="s">
        <v>561</v>
      </c>
      <c r="BO149" s="133" t="s">
        <v>561</v>
      </c>
      <c r="BP149" s="133" t="s">
        <v>2585</v>
      </c>
      <c r="BQ149" s="134"/>
      <c r="BR149" s="150" t="s">
        <v>1569</v>
      </c>
      <c r="BS149" s="181" t="s">
        <v>2030</v>
      </c>
      <c r="BT149" s="134"/>
      <c r="BU149" s="242">
        <f t="shared" si="6"/>
        <v>0.006</v>
      </c>
      <c r="BV149" s="243">
        <v>0.49700000000000005</v>
      </c>
      <c r="BW149" s="242">
        <v>0.491</v>
      </c>
      <c r="BX149" s="242"/>
      <c r="BY149" s="137">
        <f t="shared" si="7"/>
        <v>-0.028</v>
      </c>
      <c r="BZ149" s="137">
        <v>0.467</v>
      </c>
      <c r="CA149" s="138">
        <v>0.495</v>
      </c>
      <c r="CB149" s="138"/>
      <c r="CC149" s="138">
        <v>0.727</v>
      </c>
      <c r="CD149" s="137">
        <v>0.162</v>
      </c>
      <c r="CE149" s="137">
        <v>0.073</v>
      </c>
      <c r="CF149" s="137">
        <v>0.036000000000000004</v>
      </c>
      <c r="CG149" s="137">
        <v>0.013999999999999999</v>
      </c>
      <c r="CH149" s="137">
        <v>0.001</v>
      </c>
      <c r="CI149" s="139"/>
      <c r="CJ149" s="138">
        <v>0.78</v>
      </c>
      <c r="CK149" s="137">
        <v>0.14</v>
      </c>
      <c r="CL149" s="137">
        <v>0.052000000000000005</v>
      </c>
      <c r="CM149" s="137">
        <v>0.023</v>
      </c>
      <c r="CN149" s="137">
        <v>0.004</v>
      </c>
      <c r="CO149" s="137">
        <v>0.0</v>
      </c>
      <c r="CP149" s="137"/>
      <c r="CQ149" s="137">
        <v>0.298</v>
      </c>
      <c r="CR149" s="137">
        <v>0.321</v>
      </c>
      <c r="CS149" s="138">
        <v>0.53</v>
      </c>
    </row>
    <row r="150">
      <c r="A150" s="112">
        <f t="shared" si="1"/>
        <v>148</v>
      </c>
      <c r="B150" s="112" t="s">
        <v>1393</v>
      </c>
      <c r="C150" s="112" t="s">
        <v>1394</v>
      </c>
      <c r="D150" s="113" t="s">
        <v>1391</v>
      </c>
      <c r="E150" s="186"/>
      <c r="F150" s="115">
        <f t="shared" si="2"/>
        <v>0</v>
      </c>
      <c r="G150" s="115">
        <f t="shared" si="3"/>
        <v>0.2361111111</v>
      </c>
      <c r="H150" s="116">
        <f t="shared" si="4"/>
        <v>0.1770833333</v>
      </c>
      <c r="I150" s="117" t="s">
        <v>594</v>
      </c>
      <c r="J150" s="117" t="s">
        <v>594</v>
      </c>
      <c r="K150" s="117" t="s">
        <v>594</v>
      </c>
      <c r="L150" s="117" t="s">
        <v>594</v>
      </c>
      <c r="M150" s="117" t="s">
        <v>594</v>
      </c>
      <c r="N150" s="117" t="s">
        <v>594</v>
      </c>
      <c r="O150" s="149" t="s">
        <v>1256</v>
      </c>
      <c r="P150" s="185" t="s">
        <v>561</v>
      </c>
      <c r="Q150" s="121" t="s">
        <v>53</v>
      </c>
      <c r="R150" s="121" t="s">
        <v>561</v>
      </c>
      <c r="S150" s="149" t="s">
        <v>561</v>
      </c>
      <c r="T150" s="119" t="s">
        <v>53</v>
      </c>
      <c r="U150" s="149" t="s">
        <v>561</v>
      </c>
      <c r="V150" s="119" t="s">
        <v>53</v>
      </c>
      <c r="W150" s="119" t="s">
        <v>53</v>
      </c>
      <c r="X150" s="149" t="s">
        <v>561</v>
      </c>
      <c r="Y150" s="149" t="s">
        <v>561</v>
      </c>
      <c r="Z150" s="149" t="s">
        <v>561</v>
      </c>
      <c r="AA150" s="149" t="s">
        <v>561</v>
      </c>
      <c r="AB150" s="149" t="s">
        <v>561</v>
      </c>
      <c r="AC150" s="125" t="s">
        <v>561</v>
      </c>
      <c r="AD150" s="149" t="s">
        <v>561</v>
      </c>
      <c r="AE150" s="128" t="s">
        <v>561</v>
      </c>
      <c r="AF150" s="125" t="s">
        <v>561</v>
      </c>
      <c r="AG150" s="121" t="s">
        <v>53</v>
      </c>
      <c r="AH150" s="128" t="s">
        <v>561</v>
      </c>
      <c r="AI150" s="125" t="s">
        <v>53</v>
      </c>
      <c r="AJ150" s="128" t="s">
        <v>561</v>
      </c>
      <c r="AK150" s="125" t="s">
        <v>799</v>
      </c>
      <c r="AL150" s="128" t="s">
        <v>561</v>
      </c>
      <c r="AM150" s="128" t="s">
        <v>561</v>
      </c>
      <c r="AN150" s="128" t="s">
        <v>561</v>
      </c>
      <c r="AO150" s="128" t="s">
        <v>53</v>
      </c>
      <c r="AP150" s="121" t="s">
        <v>561</v>
      </c>
      <c r="AQ150" s="128" t="s">
        <v>53</v>
      </c>
      <c r="AR150" s="128" t="s">
        <v>561</v>
      </c>
      <c r="AS150" s="117" t="s">
        <v>561</v>
      </c>
      <c r="AT150" s="117" t="s">
        <v>561</v>
      </c>
      <c r="AU150" s="117" t="s">
        <v>561</v>
      </c>
      <c r="AV150" s="117" t="s">
        <v>561</v>
      </c>
      <c r="AW150" s="117" t="s">
        <v>561</v>
      </c>
      <c r="AX150" s="117" t="s">
        <v>561</v>
      </c>
      <c r="AY150" s="117" t="s">
        <v>561</v>
      </c>
      <c r="AZ150" s="117" t="s">
        <v>600</v>
      </c>
      <c r="BA150" s="117" t="s">
        <v>600</v>
      </c>
      <c r="BB150" s="117" t="s">
        <v>600</v>
      </c>
      <c r="BC150" s="117" t="s">
        <v>600</v>
      </c>
      <c r="BD150" s="164" t="s">
        <v>1832</v>
      </c>
      <c r="BE150" s="129" t="s">
        <v>821</v>
      </c>
      <c r="BF150" s="130"/>
      <c r="BG150" s="130">
        <f t="shared" si="8"/>
        <v>30250</v>
      </c>
      <c r="BH150" s="131">
        <v>28250.0</v>
      </c>
      <c r="BI150" s="131"/>
      <c r="BJ150" s="132">
        <f>2000</f>
        <v>2000</v>
      </c>
      <c r="BK150" s="132"/>
      <c r="BL150" s="133"/>
      <c r="BM150" s="133"/>
      <c r="BN150" s="133"/>
      <c r="BO150" s="133" t="s">
        <v>561</v>
      </c>
      <c r="BP150" s="133" t="s">
        <v>903</v>
      </c>
      <c r="BQ150" s="134"/>
      <c r="BR150" s="150" t="s">
        <v>1569</v>
      </c>
      <c r="BS150" s="181" t="s">
        <v>122</v>
      </c>
      <c r="BT150" s="134"/>
      <c r="BU150" s="137">
        <f t="shared" si="6"/>
        <v>0.177</v>
      </c>
      <c r="BV150" s="138">
        <v>0.573</v>
      </c>
      <c r="BW150" s="137">
        <v>0.396</v>
      </c>
      <c r="BX150" s="137"/>
      <c r="BY150" s="137">
        <f t="shared" si="7"/>
        <v>0.131</v>
      </c>
      <c r="BZ150" s="138">
        <v>0.522</v>
      </c>
      <c r="CA150" s="137">
        <v>0.391</v>
      </c>
      <c r="CB150" s="137"/>
      <c r="CC150" s="138">
        <v>0.6409999999999999</v>
      </c>
      <c r="CD150" s="137">
        <v>0.107</v>
      </c>
      <c r="CE150" s="137">
        <v>0.091</v>
      </c>
      <c r="CF150" s="137">
        <v>0.10800000000000001</v>
      </c>
      <c r="CG150" s="137">
        <v>0.04</v>
      </c>
      <c r="CH150" s="137">
        <v>0.027000000000000003</v>
      </c>
      <c r="CI150" s="139"/>
      <c r="CJ150" s="138">
        <v>0.713</v>
      </c>
      <c r="CK150" s="137">
        <v>0.08</v>
      </c>
      <c r="CL150" s="137">
        <v>0.077</v>
      </c>
      <c r="CM150" s="137">
        <v>0.08</v>
      </c>
      <c r="CN150" s="137">
        <v>0.024</v>
      </c>
      <c r="CO150" s="137">
        <v>0.016</v>
      </c>
      <c r="CP150" s="137"/>
      <c r="CQ150" s="137">
        <v>0.297</v>
      </c>
      <c r="CR150" s="137">
        <v>0.324</v>
      </c>
      <c r="CS150" s="137">
        <v>0.48200000000000004</v>
      </c>
    </row>
    <row r="151">
      <c r="A151" s="112">
        <f t="shared" si="1"/>
        <v>149</v>
      </c>
      <c r="B151" s="112" t="s">
        <v>634</v>
      </c>
      <c r="C151" s="112" t="s">
        <v>635</v>
      </c>
      <c r="D151" s="113" t="s">
        <v>631</v>
      </c>
      <c r="E151" s="186"/>
      <c r="F151" s="115">
        <f t="shared" si="2"/>
        <v>0</v>
      </c>
      <c r="G151" s="115">
        <f t="shared" si="3"/>
        <v>0.2352941176</v>
      </c>
      <c r="H151" s="116">
        <f t="shared" si="4"/>
        <v>0.1764705882</v>
      </c>
      <c r="I151" s="117" t="s">
        <v>594</v>
      </c>
      <c r="J151" s="117" t="s">
        <v>594</v>
      </c>
      <c r="K151" s="117" t="s">
        <v>594</v>
      </c>
      <c r="L151" s="117" t="s">
        <v>594</v>
      </c>
      <c r="M151" s="117" t="s">
        <v>594</v>
      </c>
      <c r="N151" s="117" t="s">
        <v>594</v>
      </c>
      <c r="O151" s="149" t="s">
        <v>1256</v>
      </c>
      <c r="P151" s="185" t="s">
        <v>561</v>
      </c>
      <c r="Q151" s="121" t="s">
        <v>53</v>
      </c>
      <c r="R151" s="121" t="s">
        <v>561</v>
      </c>
      <c r="S151" s="149" t="s">
        <v>561</v>
      </c>
      <c r="T151" s="119" t="s">
        <v>53</v>
      </c>
      <c r="U151" s="119" t="s">
        <v>53</v>
      </c>
      <c r="V151" s="119" t="s">
        <v>53</v>
      </c>
      <c r="W151" s="119" t="s">
        <v>53</v>
      </c>
      <c r="X151" s="149" t="s">
        <v>561</v>
      </c>
      <c r="Y151" s="149" t="s">
        <v>561</v>
      </c>
      <c r="Z151" s="149" t="s">
        <v>561</v>
      </c>
      <c r="AA151" s="149" t="s">
        <v>561</v>
      </c>
      <c r="AB151" s="149" t="s">
        <v>561</v>
      </c>
      <c r="AC151" s="125" t="s">
        <v>561</v>
      </c>
      <c r="AD151" s="149" t="s">
        <v>561</v>
      </c>
      <c r="AE151" s="128" t="s">
        <v>561</v>
      </c>
      <c r="AF151" s="125" t="s">
        <v>561</v>
      </c>
      <c r="AG151" s="121" t="s">
        <v>53</v>
      </c>
      <c r="AH151" s="128" t="s">
        <v>561</v>
      </c>
      <c r="AI151" s="128" t="s">
        <v>561</v>
      </c>
      <c r="AJ151" s="128" t="s">
        <v>561</v>
      </c>
      <c r="AK151" s="125" t="s">
        <v>561</v>
      </c>
      <c r="AL151" s="128" t="s">
        <v>561</v>
      </c>
      <c r="AM151" s="128" t="s">
        <v>561</v>
      </c>
      <c r="AN151" s="128" t="s">
        <v>561</v>
      </c>
      <c r="AO151" s="128" t="s">
        <v>53</v>
      </c>
      <c r="AP151" s="121" t="s">
        <v>561</v>
      </c>
      <c r="AQ151" s="128" t="s">
        <v>53</v>
      </c>
      <c r="AR151" s="128" t="s">
        <v>561</v>
      </c>
      <c r="AS151" s="117" t="s">
        <v>561</v>
      </c>
      <c r="AT151" s="117" t="s">
        <v>561</v>
      </c>
      <c r="AU151" s="117" t="s">
        <v>561</v>
      </c>
      <c r="AV151" s="117" t="s">
        <v>561</v>
      </c>
      <c r="AW151" s="117" t="s">
        <v>561</v>
      </c>
      <c r="AX151" s="117" t="s">
        <v>600</v>
      </c>
      <c r="AY151" s="117" t="s">
        <v>600</v>
      </c>
      <c r="AZ151" s="117" t="s">
        <v>600</v>
      </c>
      <c r="BA151" s="117" t="s">
        <v>600</v>
      </c>
      <c r="BB151" s="117" t="s">
        <v>600</v>
      </c>
      <c r="BC151" s="117" t="s">
        <v>600</v>
      </c>
      <c r="BD151" s="164" t="s">
        <v>1832</v>
      </c>
      <c r="BE151" s="129" t="s">
        <v>821</v>
      </c>
      <c r="BF151" s="130"/>
      <c r="BG151" s="130">
        <f t="shared" si="8"/>
        <v>3000</v>
      </c>
      <c r="BH151" s="140"/>
      <c r="BI151" s="140"/>
      <c r="BJ151" s="132">
        <f>3000</f>
        <v>3000</v>
      </c>
      <c r="BK151" s="132"/>
      <c r="BL151" s="133"/>
      <c r="BM151" s="133" t="s">
        <v>561</v>
      </c>
      <c r="BN151" s="133" t="s">
        <v>561</v>
      </c>
      <c r="BO151" s="133"/>
      <c r="BP151" s="133" t="s">
        <v>976</v>
      </c>
      <c r="BQ151" s="134"/>
      <c r="BR151" s="150" t="s">
        <v>1569</v>
      </c>
      <c r="BS151" s="150" t="s">
        <v>135</v>
      </c>
      <c r="BT151" s="134"/>
      <c r="BU151" s="137">
        <f t="shared" si="6"/>
        <v>0.112</v>
      </c>
      <c r="BV151" s="138">
        <v>0.544</v>
      </c>
      <c r="BW151" s="137">
        <v>0.43200000000000005</v>
      </c>
      <c r="BX151" s="137"/>
      <c r="BY151" s="137">
        <f t="shared" si="7"/>
        <v>0.083</v>
      </c>
      <c r="BZ151" s="138">
        <v>0.506</v>
      </c>
      <c r="CA151" s="137">
        <v>0.423</v>
      </c>
      <c r="CB151" s="137"/>
      <c r="CC151" s="138">
        <v>0.6779999999999999</v>
      </c>
      <c r="CD151" s="137">
        <v>0.043</v>
      </c>
      <c r="CE151" s="137">
        <v>0.203</v>
      </c>
      <c r="CF151" s="137">
        <v>0.054000000000000006</v>
      </c>
      <c r="CG151" s="137">
        <v>0.021</v>
      </c>
      <c r="CH151" s="137">
        <v>0.001</v>
      </c>
      <c r="CI151" s="139"/>
      <c r="CJ151" s="138">
        <v>0.7440000000000001</v>
      </c>
      <c r="CK151" s="137">
        <v>0.028999999999999998</v>
      </c>
      <c r="CL151" s="137">
        <v>0.19399999999999998</v>
      </c>
      <c r="CM151" s="137">
        <v>0.025</v>
      </c>
      <c r="CN151" s="137">
        <v>0.006999999999999999</v>
      </c>
      <c r="CO151" s="137">
        <v>0.001</v>
      </c>
      <c r="CP151" s="137"/>
      <c r="CQ151" s="137">
        <v>0.3</v>
      </c>
      <c r="CR151" s="137">
        <v>0.319</v>
      </c>
      <c r="CS151" s="138">
        <v>0.506</v>
      </c>
    </row>
    <row r="152">
      <c r="A152" s="112">
        <f t="shared" si="1"/>
        <v>150</v>
      </c>
      <c r="B152" s="112" t="s">
        <v>689</v>
      </c>
      <c r="C152" s="112" t="s">
        <v>690</v>
      </c>
      <c r="D152" s="113" t="s">
        <v>687</v>
      </c>
      <c r="E152" s="186"/>
      <c r="F152" s="115">
        <f t="shared" si="2"/>
        <v>0</v>
      </c>
      <c r="G152" s="115">
        <f t="shared" si="3"/>
        <v>0.2307692308</v>
      </c>
      <c r="H152" s="116">
        <f t="shared" si="4"/>
        <v>0.1730769231</v>
      </c>
      <c r="I152" s="117" t="s">
        <v>594</v>
      </c>
      <c r="J152" s="117" t="s">
        <v>594</v>
      </c>
      <c r="K152" s="117" t="s">
        <v>594</v>
      </c>
      <c r="L152" s="117" t="s">
        <v>594</v>
      </c>
      <c r="M152" s="117" t="s">
        <v>594</v>
      </c>
      <c r="N152" s="117" t="s">
        <v>594</v>
      </c>
      <c r="O152" s="149" t="s">
        <v>1256</v>
      </c>
      <c r="P152" s="185" t="s">
        <v>561</v>
      </c>
      <c r="Q152" s="121" t="s">
        <v>53</v>
      </c>
      <c r="R152" s="121" t="s">
        <v>561</v>
      </c>
      <c r="S152" s="119" t="s">
        <v>53</v>
      </c>
      <c r="T152" s="119" t="s">
        <v>53</v>
      </c>
      <c r="U152" s="119" t="s">
        <v>53</v>
      </c>
      <c r="V152" s="119" t="s">
        <v>53</v>
      </c>
      <c r="W152" s="119" t="s">
        <v>53</v>
      </c>
      <c r="X152" s="149" t="s">
        <v>561</v>
      </c>
      <c r="Y152" s="149" t="s">
        <v>561</v>
      </c>
      <c r="Z152" s="149" t="s">
        <v>561</v>
      </c>
      <c r="AA152" s="149" t="s">
        <v>561</v>
      </c>
      <c r="AB152" s="149" t="s">
        <v>561</v>
      </c>
      <c r="AC152" s="125" t="s">
        <v>561</v>
      </c>
      <c r="AD152" s="149" t="s">
        <v>561</v>
      </c>
      <c r="AE152" s="128" t="s">
        <v>561</v>
      </c>
      <c r="AF152" s="125" t="s">
        <v>561</v>
      </c>
      <c r="AG152" s="121" t="s">
        <v>53</v>
      </c>
      <c r="AH152" s="128" t="s">
        <v>561</v>
      </c>
      <c r="AI152" s="128" t="s">
        <v>561</v>
      </c>
      <c r="AJ152" s="123" t="s">
        <v>801</v>
      </c>
      <c r="AK152" s="125" t="s">
        <v>561</v>
      </c>
      <c r="AL152" s="128" t="s">
        <v>561</v>
      </c>
      <c r="AM152" s="128" t="s">
        <v>561</v>
      </c>
      <c r="AN152" s="128" t="s">
        <v>561</v>
      </c>
      <c r="AO152" s="128" t="s">
        <v>53</v>
      </c>
      <c r="AP152" s="121" t="s">
        <v>561</v>
      </c>
      <c r="AQ152" s="128" t="s">
        <v>53</v>
      </c>
      <c r="AR152" s="128" t="s">
        <v>561</v>
      </c>
      <c r="AS152" s="117" t="s">
        <v>561</v>
      </c>
      <c r="AT152" s="117" t="s">
        <v>561</v>
      </c>
      <c r="AU152" s="117" t="s">
        <v>561</v>
      </c>
      <c r="AV152" s="117" t="s">
        <v>561</v>
      </c>
      <c r="AW152" s="117" t="s">
        <v>561</v>
      </c>
      <c r="AX152" s="117" t="s">
        <v>561</v>
      </c>
      <c r="AY152" s="117" t="s">
        <v>561</v>
      </c>
      <c r="AZ152" s="117" t="s">
        <v>561</v>
      </c>
      <c r="BA152" s="117" t="s">
        <v>561</v>
      </c>
      <c r="BB152" s="117" t="s">
        <v>561</v>
      </c>
      <c r="BC152" s="117" t="s">
        <v>561</v>
      </c>
      <c r="BD152" s="164" t="s">
        <v>1832</v>
      </c>
      <c r="BE152" s="129" t="s">
        <v>821</v>
      </c>
      <c r="BF152" s="130"/>
      <c r="BG152" s="130">
        <f t="shared" si="8"/>
        <v>27300</v>
      </c>
      <c r="BH152" s="131">
        <v>27300.0</v>
      </c>
      <c r="BI152" s="131"/>
      <c r="BJ152" s="132"/>
      <c r="BK152" s="132"/>
      <c r="BL152" s="133"/>
      <c r="BM152" s="133"/>
      <c r="BN152" s="133"/>
      <c r="BO152" s="133" t="s">
        <v>561</v>
      </c>
      <c r="BP152" s="133" t="s">
        <v>1400</v>
      </c>
      <c r="BQ152" s="134"/>
      <c r="BR152" s="134"/>
      <c r="BS152" s="181" t="s">
        <v>122</v>
      </c>
      <c r="BT152" s="134"/>
      <c r="BU152" s="137">
        <f t="shared" si="6"/>
        <v>0.208</v>
      </c>
      <c r="BV152" s="138">
        <v>0.594</v>
      </c>
      <c r="BW152" s="137">
        <v>0.386</v>
      </c>
      <c r="BX152" s="137"/>
      <c r="BY152" s="137">
        <f t="shared" si="7"/>
        <v>0.111</v>
      </c>
      <c r="BZ152" s="138">
        <v>0.523</v>
      </c>
      <c r="CA152" s="137">
        <v>0.41200000000000003</v>
      </c>
      <c r="CB152" s="137"/>
      <c r="CC152" s="138">
        <v>0.624</v>
      </c>
      <c r="CD152" s="137">
        <v>0.051</v>
      </c>
      <c r="CE152" s="137">
        <v>0.243</v>
      </c>
      <c r="CF152" s="137">
        <v>0.069</v>
      </c>
      <c r="CG152" s="137">
        <v>0.016</v>
      </c>
      <c r="CH152" s="137">
        <v>0.001</v>
      </c>
      <c r="CI152" s="139"/>
      <c r="CJ152" s="138">
        <v>0.6920000000000001</v>
      </c>
      <c r="CK152" s="137">
        <v>0.03</v>
      </c>
      <c r="CL152" s="137">
        <v>0.225</v>
      </c>
      <c r="CM152" s="137">
        <v>0.044000000000000004</v>
      </c>
      <c r="CN152" s="137">
        <v>0.005</v>
      </c>
      <c r="CO152" s="137">
        <v>0.0</v>
      </c>
      <c r="CP152" s="137"/>
      <c r="CQ152" s="137">
        <v>0.308</v>
      </c>
      <c r="CR152" s="137">
        <v>0.322</v>
      </c>
      <c r="CS152" s="137">
        <v>0.469</v>
      </c>
    </row>
    <row r="153">
      <c r="A153" s="112">
        <f t="shared" si="1"/>
        <v>150</v>
      </c>
      <c r="B153" s="112" t="s">
        <v>51</v>
      </c>
      <c r="C153" s="112" t="s">
        <v>52</v>
      </c>
      <c r="D153" s="117" t="s">
        <v>42</v>
      </c>
      <c r="E153" s="154" t="s">
        <v>2627</v>
      </c>
      <c r="F153" s="115">
        <f t="shared" si="2"/>
        <v>0</v>
      </c>
      <c r="G153" s="115">
        <f t="shared" si="3"/>
        <v>0.2307692308</v>
      </c>
      <c r="H153" s="116">
        <f t="shared" si="4"/>
        <v>0.1730769231</v>
      </c>
      <c r="I153" s="117" t="s">
        <v>594</v>
      </c>
      <c r="J153" s="117" t="s">
        <v>594</v>
      </c>
      <c r="K153" s="117" t="s">
        <v>594</v>
      </c>
      <c r="L153" s="117" t="s">
        <v>594</v>
      </c>
      <c r="M153" s="117" t="s">
        <v>594</v>
      </c>
      <c r="N153" s="117" t="s">
        <v>594</v>
      </c>
      <c r="O153" s="149" t="s">
        <v>1256</v>
      </c>
      <c r="P153" s="185" t="s">
        <v>561</v>
      </c>
      <c r="Q153" s="121" t="s">
        <v>53</v>
      </c>
      <c r="R153" s="121" t="s">
        <v>561</v>
      </c>
      <c r="S153" s="119" t="s">
        <v>53</v>
      </c>
      <c r="T153" s="123" t="s">
        <v>801</v>
      </c>
      <c r="U153" s="119" t="s">
        <v>53</v>
      </c>
      <c r="V153" s="119" t="s">
        <v>53</v>
      </c>
      <c r="W153" s="119" t="s">
        <v>53</v>
      </c>
      <c r="X153" s="149" t="s">
        <v>561</v>
      </c>
      <c r="Y153" s="149" t="s">
        <v>561</v>
      </c>
      <c r="Z153" s="149" t="s">
        <v>561</v>
      </c>
      <c r="AA153" s="149" t="s">
        <v>561</v>
      </c>
      <c r="AB153" s="149" t="s">
        <v>561</v>
      </c>
      <c r="AC153" s="125" t="s">
        <v>561</v>
      </c>
      <c r="AD153" s="149" t="s">
        <v>561</v>
      </c>
      <c r="AE153" s="128" t="s">
        <v>561</v>
      </c>
      <c r="AF153" s="125" t="s">
        <v>561</v>
      </c>
      <c r="AG153" s="121" t="s">
        <v>53</v>
      </c>
      <c r="AH153" s="128" t="s">
        <v>561</v>
      </c>
      <c r="AI153" s="125" t="s">
        <v>53</v>
      </c>
      <c r="AJ153" s="128" t="s">
        <v>561</v>
      </c>
      <c r="AK153" s="125" t="s">
        <v>561</v>
      </c>
      <c r="AL153" s="128" t="s">
        <v>561</v>
      </c>
      <c r="AM153" s="128" t="s">
        <v>561</v>
      </c>
      <c r="AN153" s="128" t="s">
        <v>561</v>
      </c>
      <c r="AO153" s="128" t="s">
        <v>53</v>
      </c>
      <c r="AP153" s="121" t="s">
        <v>561</v>
      </c>
      <c r="AQ153" s="128" t="s">
        <v>53</v>
      </c>
      <c r="AR153" s="128" t="s">
        <v>561</v>
      </c>
      <c r="AS153" s="117" t="s">
        <v>561</v>
      </c>
      <c r="AT153" s="117" t="s">
        <v>561</v>
      </c>
      <c r="AU153" s="117" t="s">
        <v>561</v>
      </c>
      <c r="AV153" s="117" t="s">
        <v>561</v>
      </c>
      <c r="AW153" s="117" t="s">
        <v>561</v>
      </c>
      <c r="AX153" s="117" t="s">
        <v>561</v>
      </c>
      <c r="AY153" s="117" t="s">
        <v>561</v>
      </c>
      <c r="AZ153" s="117" t="s">
        <v>561</v>
      </c>
      <c r="BA153" s="117" t="s">
        <v>561</v>
      </c>
      <c r="BB153" s="117" t="s">
        <v>561</v>
      </c>
      <c r="BC153" s="117" t="s">
        <v>561</v>
      </c>
      <c r="BD153" s="164" t="s">
        <v>1832</v>
      </c>
      <c r="BE153" s="129" t="s">
        <v>821</v>
      </c>
      <c r="BF153" s="130"/>
      <c r="BG153" s="130">
        <f t="shared" si="8"/>
        <v>30450</v>
      </c>
      <c r="BH153" s="131">
        <v>30450.0</v>
      </c>
      <c r="BI153" s="131"/>
      <c r="BJ153" s="132"/>
      <c r="BK153" s="132"/>
      <c r="BL153" s="133"/>
      <c r="BM153" s="133"/>
      <c r="BN153" s="133"/>
      <c r="BO153" s="133" t="s">
        <v>561</v>
      </c>
      <c r="BP153" s="133" t="s">
        <v>2626</v>
      </c>
      <c r="BQ153" s="134"/>
      <c r="BR153" s="150" t="s">
        <v>1569</v>
      </c>
      <c r="BS153" s="181" t="s">
        <v>122</v>
      </c>
      <c r="BT153" s="134"/>
      <c r="BU153" s="137">
        <f t="shared" si="6"/>
        <v>0.32</v>
      </c>
      <c r="BV153" s="138">
        <v>0.6559999999999999</v>
      </c>
      <c r="BW153" s="137">
        <v>0.336</v>
      </c>
      <c r="BX153" s="137"/>
      <c r="BY153" s="137">
        <f t="shared" si="7"/>
        <v>0.306</v>
      </c>
      <c r="BZ153" s="138">
        <v>0.6409999999999999</v>
      </c>
      <c r="CA153" s="137">
        <v>0.335</v>
      </c>
      <c r="CB153" s="137"/>
      <c r="CC153" s="137">
        <v>0.386</v>
      </c>
      <c r="CD153" s="137">
        <v>0.037000000000000005</v>
      </c>
      <c r="CE153" s="138">
        <v>0.5529999999999999</v>
      </c>
      <c r="CF153" s="137">
        <v>0.015</v>
      </c>
      <c r="CG153" s="137">
        <v>0.013000000000000001</v>
      </c>
      <c r="CH153" s="137">
        <v>0.001</v>
      </c>
      <c r="CI153" s="139"/>
      <c r="CJ153" s="141">
        <v>0.40299999999999997</v>
      </c>
      <c r="CK153" s="141">
        <v>0.012</v>
      </c>
      <c r="CL153" s="142">
        <v>0.5710000000000001</v>
      </c>
      <c r="CM153" s="141">
        <v>0.008</v>
      </c>
      <c r="CN153" s="141">
        <v>0.005</v>
      </c>
      <c r="CO153" s="141">
        <v>0.0</v>
      </c>
      <c r="CP153" s="137"/>
      <c r="CQ153" s="137">
        <v>0.228</v>
      </c>
      <c r="CR153" s="137">
        <v>0.322</v>
      </c>
      <c r="CS153" s="137">
        <v>0.273</v>
      </c>
    </row>
    <row r="154">
      <c r="A154" s="112">
        <f t="shared" si="1"/>
        <v>152</v>
      </c>
      <c r="B154" s="112" t="s">
        <v>1238</v>
      </c>
      <c r="C154" s="112" t="s">
        <v>1239</v>
      </c>
      <c r="D154" s="113" t="s">
        <v>1236</v>
      </c>
      <c r="E154" s="186"/>
      <c r="F154" s="115">
        <f t="shared" si="2"/>
        <v>0</v>
      </c>
      <c r="G154" s="115">
        <f t="shared" si="3"/>
        <v>0.225</v>
      </c>
      <c r="H154" s="116">
        <f t="shared" si="4"/>
        <v>0.16875</v>
      </c>
      <c r="I154" s="117" t="s">
        <v>594</v>
      </c>
      <c r="J154" s="117" t="s">
        <v>594</v>
      </c>
      <c r="K154" s="117" t="s">
        <v>594</v>
      </c>
      <c r="L154" s="117" t="s">
        <v>594</v>
      </c>
      <c r="M154" s="117" t="s">
        <v>594</v>
      </c>
      <c r="N154" s="117" t="s">
        <v>594</v>
      </c>
      <c r="O154" s="149" t="s">
        <v>1256</v>
      </c>
      <c r="P154" s="120" t="s">
        <v>53</v>
      </c>
      <c r="Q154" s="121" t="s">
        <v>53</v>
      </c>
      <c r="R154" s="121" t="s">
        <v>561</v>
      </c>
      <c r="S154" s="119" t="s">
        <v>53</v>
      </c>
      <c r="T154" s="119" t="s">
        <v>53</v>
      </c>
      <c r="U154" s="149" t="s">
        <v>561</v>
      </c>
      <c r="V154" s="119" t="s">
        <v>53</v>
      </c>
      <c r="W154" s="119" t="s">
        <v>53</v>
      </c>
      <c r="X154" s="149" t="s">
        <v>561</v>
      </c>
      <c r="Y154" s="149" t="s">
        <v>561</v>
      </c>
      <c r="Z154" s="149" t="s">
        <v>561</v>
      </c>
      <c r="AA154" s="149" t="s">
        <v>561</v>
      </c>
      <c r="AB154" s="149" t="s">
        <v>561</v>
      </c>
      <c r="AC154" s="125" t="s">
        <v>561</v>
      </c>
      <c r="AD154" s="149" t="s">
        <v>561</v>
      </c>
      <c r="AE154" s="128" t="s">
        <v>561</v>
      </c>
      <c r="AF154" s="125" t="s">
        <v>561</v>
      </c>
      <c r="AG154" s="121" t="s">
        <v>53</v>
      </c>
      <c r="AH154" s="128" t="s">
        <v>561</v>
      </c>
      <c r="AI154" s="128" t="s">
        <v>561</v>
      </c>
      <c r="AJ154" s="128" t="s">
        <v>561</v>
      </c>
      <c r="AK154" s="125" t="s">
        <v>561</v>
      </c>
      <c r="AL154" s="128" t="s">
        <v>561</v>
      </c>
      <c r="AM154" s="128" t="s">
        <v>561</v>
      </c>
      <c r="AN154" s="128" t="s">
        <v>561</v>
      </c>
      <c r="AO154" s="128" t="s">
        <v>561</v>
      </c>
      <c r="AP154" s="121" t="s">
        <v>561</v>
      </c>
      <c r="AQ154" s="128" t="s">
        <v>53</v>
      </c>
      <c r="AR154" s="128" t="s">
        <v>561</v>
      </c>
      <c r="AS154" s="117" t="s">
        <v>561</v>
      </c>
      <c r="AT154" s="117" t="s">
        <v>561</v>
      </c>
      <c r="AU154" s="117" t="s">
        <v>561</v>
      </c>
      <c r="AV154" s="117" t="s">
        <v>561</v>
      </c>
      <c r="AW154" s="117" t="s">
        <v>561</v>
      </c>
      <c r="AX154" s="117" t="s">
        <v>561</v>
      </c>
      <c r="AY154" s="117" t="s">
        <v>561</v>
      </c>
      <c r="AZ154" s="117" t="s">
        <v>561</v>
      </c>
      <c r="BA154" s="117" t="s">
        <v>561</v>
      </c>
      <c r="BB154" s="117" t="s">
        <v>53</v>
      </c>
      <c r="BC154" s="117" t="s">
        <v>561</v>
      </c>
      <c r="BD154" s="164" t="s">
        <v>1832</v>
      </c>
      <c r="BE154" s="129" t="s">
        <v>821</v>
      </c>
      <c r="BF154" s="130"/>
      <c r="BG154" s="130">
        <f t="shared" si="8"/>
        <v>0</v>
      </c>
      <c r="BH154" s="140"/>
      <c r="BI154" s="140"/>
      <c r="BJ154" s="132"/>
      <c r="BK154" s="132"/>
      <c r="BL154" s="133"/>
      <c r="BM154" s="133" t="s">
        <v>561</v>
      </c>
      <c r="BN154" s="133"/>
      <c r="BO154" s="133"/>
      <c r="BP154" s="133" t="s">
        <v>1495</v>
      </c>
      <c r="BQ154" s="134"/>
      <c r="BR154" s="135" t="s">
        <v>850</v>
      </c>
      <c r="BS154" s="134"/>
      <c r="BT154" s="134"/>
      <c r="BU154" s="137">
        <f t="shared" si="6"/>
        <v>0.482</v>
      </c>
      <c r="BV154" s="138">
        <v>0.733</v>
      </c>
      <c r="BW154" s="137">
        <v>0.251</v>
      </c>
      <c r="BX154" s="137"/>
      <c r="BY154" s="137">
        <f t="shared" si="7"/>
        <v>0.468</v>
      </c>
      <c r="BZ154" s="138">
        <v>0.718</v>
      </c>
      <c r="CA154" s="137">
        <v>0.25</v>
      </c>
      <c r="CB154" s="137"/>
      <c r="CC154" s="137">
        <v>0.285</v>
      </c>
      <c r="CD154" s="137">
        <v>0.077</v>
      </c>
      <c r="CE154" s="138">
        <v>0.603</v>
      </c>
      <c r="CF154" s="137">
        <v>0.026000000000000002</v>
      </c>
      <c r="CG154" s="137">
        <v>0.015</v>
      </c>
      <c r="CH154" s="137">
        <v>0.001</v>
      </c>
      <c r="CI154" s="139"/>
      <c r="CJ154" s="137">
        <v>0.313</v>
      </c>
      <c r="CK154" s="137">
        <v>0.025</v>
      </c>
      <c r="CL154" s="138">
        <v>0.642</v>
      </c>
      <c r="CM154" s="137">
        <v>0.016</v>
      </c>
      <c r="CN154" s="137">
        <v>0.006</v>
      </c>
      <c r="CO154" s="137">
        <v>0.0</v>
      </c>
      <c r="CP154" s="137"/>
      <c r="CQ154" s="137">
        <v>0.26</v>
      </c>
      <c r="CR154" s="137">
        <v>0.389</v>
      </c>
      <c r="CS154" s="137">
        <v>0.191</v>
      </c>
    </row>
    <row r="155">
      <c r="A155" s="112">
        <f t="shared" si="1"/>
        <v>153</v>
      </c>
      <c r="B155" s="112" t="s">
        <v>1334</v>
      </c>
      <c r="C155" s="112" t="s">
        <v>1335</v>
      </c>
      <c r="D155" s="113" t="s">
        <v>1332</v>
      </c>
      <c r="E155" s="163"/>
      <c r="F155" s="115">
        <f t="shared" si="2"/>
        <v>0</v>
      </c>
      <c r="G155" s="115">
        <f t="shared" si="3"/>
        <v>0.2236842105</v>
      </c>
      <c r="H155" s="116">
        <f t="shared" si="4"/>
        <v>0.1677631579</v>
      </c>
      <c r="I155" s="117" t="s">
        <v>594</v>
      </c>
      <c r="J155" s="117" t="s">
        <v>594</v>
      </c>
      <c r="K155" s="117" t="s">
        <v>594</v>
      </c>
      <c r="L155" s="117" t="s">
        <v>594</v>
      </c>
      <c r="M155" s="117" t="s">
        <v>594</v>
      </c>
      <c r="N155" s="117" t="s">
        <v>594</v>
      </c>
      <c r="O155" s="149" t="s">
        <v>1256</v>
      </c>
      <c r="P155" s="120" t="s">
        <v>53</v>
      </c>
      <c r="Q155" s="121" t="s">
        <v>53</v>
      </c>
      <c r="R155" s="121" t="s">
        <v>561</v>
      </c>
      <c r="S155" s="119" t="s">
        <v>53</v>
      </c>
      <c r="T155" s="119" t="s">
        <v>53</v>
      </c>
      <c r="U155" s="149" t="s">
        <v>561</v>
      </c>
      <c r="V155" s="119" t="s">
        <v>53</v>
      </c>
      <c r="W155" s="119" t="s">
        <v>53</v>
      </c>
      <c r="X155" s="149" t="s">
        <v>561</v>
      </c>
      <c r="Y155" s="149" t="s">
        <v>561</v>
      </c>
      <c r="Z155" s="149" t="s">
        <v>561</v>
      </c>
      <c r="AA155" s="149" t="s">
        <v>561</v>
      </c>
      <c r="AB155" s="149" t="s">
        <v>561</v>
      </c>
      <c r="AC155" s="125" t="s">
        <v>561</v>
      </c>
      <c r="AD155" s="149" t="s">
        <v>561</v>
      </c>
      <c r="AE155" s="128" t="s">
        <v>561</v>
      </c>
      <c r="AF155" s="125" t="s">
        <v>561</v>
      </c>
      <c r="AG155" s="121" t="s">
        <v>53</v>
      </c>
      <c r="AH155" s="128" t="s">
        <v>561</v>
      </c>
      <c r="AI155" s="128" t="s">
        <v>561</v>
      </c>
      <c r="AJ155" s="128" t="s">
        <v>561</v>
      </c>
      <c r="AK155" s="125" t="s">
        <v>561</v>
      </c>
      <c r="AL155" s="128" t="s">
        <v>561</v>
      </c>
      <c r="AM155" s="128" t="s">
        <v>561</v>
      </c>
      <c r="AN155" s="128" t="s">
        <v>561</v>
      </c>
      <c r="AO155" s="128" t="s">
        <v>799</v>
      </c>
      <c r="AP155" s="121" t="s">
        <v>561</v>
      </c>
      <c r="AQ155" s="128" t="s">
        <v>53</v>
      </c>
      <c r="AR155" s="128" t="s">
        <v>561</v>
      </c>
      <c r="AS155" s="117" t="s">
        <v>561</v>
      </c>
      <c r="AT155" s="117" t="s">
        <v>561</v>
      </c>
      <c r="AU155" s="117" t="s">
        <v>561</v>
      </c>
      <c r="AV155" s="117" t="s">
        <v>561</v>
      </c>
      <c r="AW155" s="117" t="s">
        <v>561</v>
      </c>
      <c r="AX155" s="117" t="s">
        <v>561</v>
      </c>
      <c r="AY155" s="117" t="s">
        <v>561</v>
      </c>
      <c r="AZ155" s="117" t="s">
        <v>561</v>
      </c>
      <c r="BA155" s="117" t="s">
        <v>561</v>
      </c>
      <c r="BB155" s="117" t="s">
        <v>600</v>
      </c>
      <c r="BC155" s="117" t="s">
        <v>600</v>
      </c>
      <c r="BD155" s="129" t="s">
        <v>821</v>
      </c>
      <c r="BE155" s="164" t="s">
        <v>1832</v>
      </c>
      <c r="BF155" s="130"/>
      <c r="BG155" s="130">
        <f t="shared" si="8"/>
        <v>108964</v>
      </c>
      <c r="BH155" s="131">
        <v>101964.0</v>
      </c>
      <c r="BI155" s="131"/>
      <c r="BJ155" s="132">
        <f>5000+2000</f>
        <v>7000</v>
      </c>
      <c r="BK155" s="132"/>
      <c r="BL155" s="133"/>
      <c r="BM155" s="133" t="s">
        <v>561</v>
      </c>
      <c r="BN155" s="133" t="s">
        <v>561</v>
      </c>
      <c r="BO155" s="133" t="s">
        <v>561</v>
      </c>
      <c r="BP155" s="133" t="s">
        <v>845</v>
      </c>
      <c r="BQ155" s="134"/>
      <c r="BR155" s="150" t="s">
        <v>1569</v>
      </c>
      <c r="BS155" s="181" t="s">
        <v>2030</v>
      </c>
      <c r="BT155" s="134"/>
      <c r="BU155" s="137">
        <f t="shared" si="6"/>
        <v>0.068</v>
      </c>
      <c r="BV155" s="138">
        <v>0.526</v>
      </c>
      <c r="BW155" s="137">
        <v>0.45799999999999996</v>
      </c>
      <c r="BX155" s="137"/>
      <c r="BY155" s="137">
        <f t="shared" si="7"/>
        <v>0.022</v>
      </c>
      <c r="BZ155" s="138">
        <v>0.48100000000000004</v>
      </c>
      <c r="CA155" s="137">
        <v>0.45899999999999996</v>
      </c>
      <c r="CB155" s="137"/>
      <c r="CC155" s="138">
        <v>0.542</v>
      </c>
      <c r="CD155" s="137">
        <v>0.153</v>
      </c>
      <c r="CE155" s="137">
        <v>0.22399999999999998</v>
      </c>
      <c r="CF155" s="137">
        <v>0.067</v>
      </c>
      <c r="CG155" s="137">
        <v>0.026000000000000002</v>
      </c>
      <c r="CH155" s="137">
        <v>0.003</v>
      </c>
      <c r="CI155" s="139"/>
      <c r="CJ155" s="138">
        <v>0.62</v>
      </c>
      <c r="CK155" s="137">
        <v>0.09699999999999999</v>
      </c>
      <c r="CL155" s="137">
        <v>0.222</v>
      </c>
      <c r="CM155" s="137">
        <v>0.047</v>
      </c>
      <c r="CN155" s="137">
        <v>0.008</v>
      </c>
      <c r="CO155" s="137">
        <v>0.001</v>
      </c>
      <c r="CP155" s="137"/>
      <c r="CQ155" s="137">
        <v>0.354</v>
      </c>
      <c r="CR155" s="137">
        <v>0.382</v>
      </c>
      <c r="CS155" s="137">
        <v>0.38299999999999995</v>
      </c>
    </row>
    <row r="156">
      <c r="A156" s="112">
        <f t="shared" si="1"/>
        <v>154</v>
      </c>
      <c r="B156" s="112" t="s">
        <v>1152</v>
      </c>
      <c r="C156" s="112" t="s">
        <v>1153</v>
      </c>
      <c r="D156" s="113" t="s">
        <v>1148</v>
      </c>
      <c r="E156" s="186"/>
      <c r="F156" s="115">
        <f t="shared" si="2"/>
        <v>0</v>
      </c>
      <c r="G156" s="115">
        <f t="shared" si="3"/>
        <v>0.2162162162</v>
      </c>
      <c r="H156" s="116">
        <f t="shared" si="4"/>
        <v>0.1621621622</v>
      </c>
      <c r="I156" s="117" t="s">
        <v>594</v>
      </c>
      <c r="J156" s="117" t="s">
        <v>594</v>
      </c>
      <c r="K156" s="117" t="s">
        <v>594</v>
      </c>
      <c r="L156" s="117" t="s">
        <v>594</v>
      </c>
      <c r="M156" s="117" t="s">
        <v>594</v>
      </c>
      <c r="N156" s="117" t="s">
        <v>594</v>
      </c>
      <c r="O156" s="149" t="s">
        <v>1256</v>
      </c>
      <c r="P156" s="120" t="s">
        <v>53</v>
      </c>
      <c r="Q156" s="121" t="s">
        <v>801</v>
      </c>
      <c r="R156" s="121" t="s">
        <v>561</v>
      </c>
      <c r="S156" s="119" t="s">
        <v>53</v>
      </c>
      <c r="T156" s="119" t="s">
        <v>53</v>
      </c>
      <c r="U156" s="149" t="s">
        <v>561</v>
      </c>
      <c r="V156" s="149" t="s">
        <v>561</v>
      </c>
      <c r="W156" s="119" t="s">
        <v>53</v>
      </c>
      <c r="X156" s="149" t="s">
        <v>561</v>
      </c>
      <c r="Y156" s="149" t="s">
        <v>561</v>
      </c>
      <c r="Z156" s="149" t="s">
        <v>561</v>
      </c>
      <c r="AA156" s="149" t="s">
        <v>561</v>
      </c>
      <c r="AB156" s="149" t="s">
        <v>561</v>
      </c>
      <c r="AC156" s="125" t="s">
        <v>561</v>
      </c>
      <c r="AD156" s="149" t="s">
        <v>561</v>
      </c>
      <c r="AE156" s="128" t="s">
        <v>561</v>
      </c>
      <c r="AF156" s="125" t="s">
        <v>561</v>
      </c>
      <c r="AG156" s="121" t="s">
        <v>53</v>
      </c>
      <c r="AH156" s="128" t="s">
        <v>561</v>
      </c>
      <c r="AI156" s="125" t="s">
        <v>53</v>
      </c>
      <c r="AJ156" s="128" t="s">
        <v>561</v>
      </c>
      <c r="AK156" s="125" t="s">
        <v>801</v>
      </c>
      <c r="AL156" s="128" t="s">
        <v>561</v>
      </c>
      <c r="AM156" s="128" t="s">
        <v>561</v>
      </c>
      <c r="AN156" s="128" t="s">
        <v>561</v>
      </c>
      <c r="AO156" s="128" t="s">
        <v>53</v>
      </c>
      <c r="AP156" s="121" t="s">
        <v>561</v>
      </c>
      <c r="AQ156" s="128" t="s">
        <v>53</v>
      </c>
      <c r="AR156" s="128" t="s">
        <v>561</v>
      </c>
      <c r="AS156" s="117" t="s">
        <v>561</v>
      </c>
      <c r="AT156" s="117" t="s">
        <v>561</v>
      </c>
      <c r="AU156" s="117" t="s">
        <v>561</v>
      </c>
      <c r="AV156" s="117" t="s">
        <v>561</v>
      </c>
      <c r="AW156" s="117" t="s">
        <v>561</v>
      </c>
      <c r="AX156" s="117" t="s">
        <v>561</v>
      </c>
      <c r="AY156" s="117" t="s">
        <v>561</v>
      </c>
      <c r="AZ156" s="117" t="s">
        <v>561</v>
      </c>
      <c r="BA156" s="117" t="s">
        <v>561</v>
      </c>
      <c r="BB156" s="117" t="s">
        <v>561</v>
      </c>
      <c r="BC156" s="117" t="s">
        <v>600</v>
      </c>
      <c r="BD156" s="164" t="s">
        <v>1832</v>
      </c>
      <c r="BE156" s="129" t="s">
        <v>821</v>
      </c>
      <c r="BF156" s="130"/>
      <c r="BG156" s="130">
        <f t="shared" si="8"/>
        <v>107339</v>
      </c>
      <c r="BH156" s="131">
        <v>105339.0</v>
      </c>
      <c r="BI156" s="131"/>
      <c r="BJ156" s="132">
        <f>2000</f>
        <v>2000</v>
      </c>
      <c r="BK156" s="132"/>
      <c r="BL156" s="133"/>
      <c r="BM156" s="133"/>
      <c r="BN156" s="133" t="s">
        <v>561</v>
      </c>
      <c r="BO156" s="133" t="s">
        <v>561</v>
      </c>
      <c r="BP156" s="133" t="s">
        <v>1432</v>
      </c>
      <c r="BQ156" s="134"/>
      <c r="BR156" s="150" t="s">
        <v>1199</v>
      </c>
      <c r="BS156" s="181" t="s">
        <v>2030</v>
      </c>
      <c r="BT156" s="134"/>
      <c r="BU156" s="137">
        <f t="shared" si="6"/>
        <v>0.427</v>
      </c>
      <c r="BV156" s="138">
        <v>0.71</v>
      </c>
      <c r="BW156" s="137">
        <v>0.28300000000000003</v>
      </c>
      <c r="BX156" s="137"/>
      <c r="BY156" s="137">
        <f t="shared" si="7"/>
        <v>0.492</v>
      </c>
      <c r="BZ156" s="138">
        <v>0.735</v>
      </c>
      <c r="CA156" s="137">
        <v>0.243</v>
      </c>
      <c r="CB156" s="137"/>
      <c r="CC156" s="138">
        <v>0.413</v>
      </c>
      <c r="CD156" s="137">
        <v>0.222</v>
      </c>
      <c r="CE156" s="137">
        <v>0.262</v>
      </c>
      <c r="CF156" s="137">
        <v>0.106</v>
      </c>
      <c r="CG156" s="137">
        <v>0.013999999999999999</v>
      </c>
      <c r="CH156" s="137">
        <v>0.002</v>
      </c>
      <c r="CI156" s="139"/>
      <c r="CJ156" s="138">
        <v>0.452</v>
      </c>
      <c r="CK156" s="137">
        <v>0.21100000000000002</v>
      </c>
      <c r="CL156" s="137">
        <v>0.257</v>
      </c>
      <c r="CM156" s="137">
        <v>0.07200000000000001</v>
      </c>
      <c r="CN156" s="137">
        <v>0.005</v>
      </c>
      <c r="CO156" s="137">
        <v>0.0</v>
      </c>
      <c r="CP156" s="137"/>
      <c r="CQ156" s="137">
        <v>0.249</v>
      </c>
      <c r="CR156" s="137">
        <v>0.335</v>
      </c>
      <c r="CS156" s="137">
        <v>0.3</v>
      </c>
    </row>
    <row r="157">
      <c r="A157" s="112">
        <f t="shared" si="1"/>
        <v>154</v>
      </c>
      <c r="B157" s="112" t="s">
        <v>889</v>
      </c>
      <c r="C157" s="112" t="s">
        <v>890</v>
      </c>
      <c r="D157" s="113" t="s">
        <v>887</v>
      </c>
      <c r="E157" s="186"/>
      <c r="F157" s="115">
        <f t="shared" si="2"/>
        <v>0</v>
      </c>
      <c r="G157" s="115">
        <f t="shared" si="3"/>
        <v>0.2162162162</v>
      </c>
      <c r="H157" s="116">
        <f t="shared" si="4"/>
        <v>0.1621621622</v>
      </c>
      <c r="I157" s="117" t="s">
        <v>594</v>
      </c>
      <c r="J157" s="117" t="s">
        <v>594</v>
      </c>
      <c r="K157" s="117" t="s">
        <v>594</v>
      </c>
      <c r="L157" s="117" t="s">
        <v>594</v>
      </c>
      <c r="M157" s="117" t="s">
        <v>594</v>
      </c>
      <c r="N157" s="117" t="s">
        <v>594</v>
      </c>
      <c r="O157" s="149" t="s">
        <v>1256</v>
      </c>
      <c r="P157" s="185" t="s">
        <v>561</v>
      </c>
      <c r="Q157" s="121" t="s">
        <v>53</v>
      </c>
      <c r="R157" s="121" t="s">
        <v>561</v>
      </c>
      <c r="S157" s="119" t="s">
        <v>53</v>
      </c>
      <c r="T157" s="119" t="s">
        <v>53</v>
      </c>
      <c r="U157" s="119" t="s">
        <v>53</v>
      </c>
      <c r="V157" s="149" t="s">
        <v>561</v>
      </c>
      <c r="W157" s="119" t="s">
        <v>53</v>
      </c>
      <c r="X157" s="149" t="s">
        <v>561</v>
      </c>
      <c r="Y157" s="149" t="s">
        <v>561</v>
      </c>
      <c r="Z157" s="149" t="s">
        <v>561</v>
      </c>
      <c r="AA157" s="149" t="s">
        <v>561</v>
      </c>
      <c r="AB157" s="149" t="s">
        <v>561</v>
      </c>
      <c r="AC157" s="125" t="s">
        <v>561</v>
      </c>
      <c r="AD157" s="149" t="s">
        <v>561</v>
      </c>
      <c r="AE157" s="128" t="s">
        <v>561</v>
      </c>
      <c r="AF157" s="125" t="s">
        <v>561</v>
      </c>
      <c r="AG157" s="121" t="s">
        <v>53</v>
      </c>
      <c r="AH157" s="128" t="s">
        <v>561</v>
      </c>
      <c r="AI157" s="128" t="s">
        <v>561</v>
      </c>
      <c r="AJ157" s="123" t="s">
        <v>801</v>
      </c>
      <c r="AK157" s="125" t="s">
        <v>561</v>
      </c>
      <c r="AL157" s="128" t="s">
        <v>561</v>
      </c>
      <c r="AM157" s="128" t="s">
        <v>561</v>
      </c>
      <c r="AN157" s="128" t="s">
        <v>561</v>
      </c>
      <c r="AO157" s="128" t="s">
        <v>53</v>
      </c>
      <c r="AP157" s="121" t="s">
        <v>561</v>
      </c>
      <c r="AQ157" s="128" t="s">
        <v>53</v>
      </c>
      <c r="AR157" s="128" t="s">
        <v>561</v>
      </c>
      <c r="AS157" s="117" t="s">
        <v>561</v>
      </c>
      <c r="AT157" s="117" t="s">
        <v>561</v>
      </c>
      <c r="AU157" s="117" t="s">
        <v>561</v>
      </c>
      <c r="AV157" s="117" t="s">
        <v>561</v>
      </c>
      <c r="AW157" s="117" t="s">
        <v>561</v>
      </c>
      <c r="AX157" s="117" t="s">
        <v>561</v>
      </c>
      <c r="AY157" s="117" t="s">
        <v>561</v>
      </c>
      <c r="AZ157" s="117" t="s">
        <v>561</v>
      </c>
      <c r="BA157" s="117" t="s">
        <v>561</v>
      </c>
      <c r="BB157" s="117" t="s">
        <v>600</v>
      </c>
      <c r="BC157" s="117" t="s">
        <v>600</v>
      </c>
      <c r="BD157" s="129" t="s">
        <v>821</v>
      </c>
      <c r="BE157" s="129" t="s">
        <v>821</v>
      </c>
      <c r="BF157" s="130"/>
      <c r="BG157" s="130">
        <f t="shared" si="8"/>
        <v>20991</v>
      </c>
      <c r="BH157" s="131">
        <v>16991.0</v>
      </c>
      <c r="BI157" s="131"/>
      <c r="BJ157" s="132">
        <f>2000+2000</f>
        <v>4000</v>
      </c>
      <c r="BK157" s="132"/>
      <c r="BL157" s="133"/>
      <c r="BM157" s="133"/>
      <c r="BN157" s="133" t="s">
        <v>561</v>
      </c>
      <c r="BO157" s="133" t="s">
        <v>561</v>
      </c>
      <c r="BP157" s="133" t="s">
        <v>2631</v>
      </c>
      <c r="BQ157" s="134"/>
      <c r="BR157" s="150" t="s">
        <v>1199</v>
      </c>
      <c r="BS157" s="181" t="s">
        <v>2030</v>
      </c>
      <c r="BT157" s="134"/>
      <c r="BU157" s="137">
        <f t="shared" si="6"/>
        <v>0.082</v>
      </c>
      <c r="BV157" s="138">
        <v>0.53</v>
      </c>
      <c r="BW157" s="137">
        <v>0.44799999999999995</v>
      </c>
      <c r="BX157" s="137"/>
      <c r="BY157" s="137">
        <f t="shared" si="7"/>
        <v>0.105</v>
      </c>
      <c r="BZ157" s="138">
        <v>0.523</v>
      </c>
      <c r="CA157" s="137">
        <v>0.418</v>
      </c>
      <c r="CB157" s="137"/>
      <c r="CC157" s="138">
        <v>0.41600000000000004</v>
      </c>
      <c r="CD157" s="137">
        <v>0.306</v>
      </c>
      <c r="CE157" s="137">
        <v>0.18</v>
      </c>
      <c r="CF157" s="137">
        <v>0.079</v>
      </c>
      <c r="CG157" s="137">
        <v>0.032</v>
      </c>
      <c r="CH157" s="137">
        <v>0.015</v>
      </c>
      <c r="CI157" s="139"/>
      <c r="CJ157" s="138">
        <v>0.49200000000000005</v>
      </c>
      <c r="CK157" s="137">
        <v>0.23199999999999998</v>
      </c>
      <c r="CL157" s="137">
        <v>0.18300000000000002</v>
      </c>
      <c r="CM157" s="137">
        <v>0.062000000000000006</v>
      </c>
      <c r="CN157" s="137">
        <v>0.016</v>
      </c>
      <c r="CO157" s="137">
        <v>0.008</v>
      </c>
      <c r="CP157" s="137"/>
      <c r="CQ157" s="137">
        <v>0.193</v>
      </c>
      <c r="CR157" s="137">
        <v>0.243</v>
      </c>
      <c r="CS157" s="137">
        <v>0.373</v>
      </c>
    </row>
    <row r="158">
      <c r="A158" s="112">
        <f t="shared" si="1"/>
        <v>156</v>
      </c>
      <c r="B158" s="112" t="s">
        <v>151</v>
      </c>
      <c r="C158" s="112" t="s">
        <v>647</v>
      </c>
      <c r="D158" s="113" t="s">
        <v>642</v>
      </c>
      <c r="E158" s="163"/>
      <c r="F158" s="115">
        <f t="shared" si="2"/>
        <v>0</v>
      </c>
      <c r="G158" s="115">
        <f t="shared" si="3"/>
        <v>0.2121212121</v>
      </c>
      <c r="H158" s="116">
        <f t="shared" si="4"/>
        <v>0.1590909091</v>
      </c>
      <c r="I158" s="117" t="s">
        <v>594</v>
      </c>
      <c r="J158" s="117" t="s">
        <v>594</v>
      </c>
      <c r="K158" s="117" t="s">
        <v>594</v>
      </c>
      <c r="L158" s="117" t="s">
        <v>594</v>
      </c>
      <c r="M158" s="117" t="s">
        <v>594</v>
      </c>
      <c r="N158" s="117" t="s">
        <v>594</v>
      </c>
      <c r="O158" s="149" t="s">
        <v>1256</v>
      </c>
      <c r="P158" s="120" t="s">
        <v>53</v>
      </c>
      <c r="Q158" s="121" t="s">
        <v>53</v>
      </c>
      <c r="R158" s="121" t="s">
        <v>561</v>
      </c>
      <c r="S158" s="149" t="s">
        <v>561</v>
      </c>
      <c r="T158" s="119" t="s">
        <v>53</v>
      </c>
      <c r="U158" s="123" t="s">
        <v>801</v>
      </c>
      <c r="V158" s="119" t="s">
        <v>53</v>
      </c>
      <c r="W158" s="119" t="s">
        <v>53</v>
      </c>
      <c r="X158" s="149" t="s">
        <v>561</v>
      </c>
      <c r="Y158" s="149" t="s">
        <v>561</v>
      </c>
      <c r="Z158" s="149" t="s">
        <v>561</v>
      </c>
      <c r="AA158" s="149" t="s">
        <v>561</v>
      </c>
      <c r="AB158" s="149" t="s">
        <v>561</v>
      </c>
      <c r="AC158" s="125" t="s">
        <v>561</v>
      </c>
      <c r="AD158" s="149" t="s">
        <v>561</v>
      </c>
      <c r="AE158" s="128" t="s">
        <v>561</v>
      </c>
      <c r="AF158" s="125" t="s">
        <v>561</v>
      </c>
      <c r="AG158" s="121" t="s">
        <v>561</v>
      </c>
      <c r="AH158" s="128" t="s">
        <v>561</v>
      </c>
      <c r="AI158" s="128" t="s">
        <v>561</v>
      </c>
      <c r="AJ158" s="128" t="s">
        <v>561</v>
      </c>
      <c r="AK158" s="125" t="s">
        <v>561</v>
      </c>
      <c r="AL158" s="128" t="s">
        <v>561</v>
      </c>
      <c r="AM158" s="128" t="s">
        <v>561</v>
      </c>
      <c r="AN158" s="128" t="s">
        <v>561</v>
      </c>
      <c r="AO158" s="128" t="s">
        <v>53</v>
      </c>
      <c r="AP158" s="121" t="s">
        <v>561</v>
      </c>
      <c r="AQ158" s="128" t="s">
        <v>53</v>
      </c>
      <c r="AR158" s="128" t="s">
        <v>561</v>
      </c>
      <c r="AS158" s="117" t="s">
        <v>561</v>
      </c>
      <c r="AT158" s="117" t="s">
        <v>561</v>
      </c>
      <c r="AU158" s="117" t="s">
        <v>561</v>
      </c>
      <c r="AV158" s="117" t="s">
        <v>561</v>
      </c>
      <c r="AW158" s="117" t="s">
        <v>561</v>
      </c>
      <c r="AX158" s="117" t="s">
        <v>600</v>
      </c>
      <c r="AY158" s="117" t="s">
        <v>600</v>
      </c>
      <c r="AZ158" s="117" t="s">
        <v>600</v>
      </c>
      <c r="BA158" s="117" t="s">
        <v>600</v>
      </c>
      <c r="BB158" s="117" t="s">
        <v>600</v>
      </c>
      <c r="BC158" s="117" t="s">
        <v>600</v>
      </c>
      <c r="BD158" s="164" t="s">
        <v>1832</v>
      </c>
      <c r="BE158" s="164" t="s">
        <v>1832</v>
      </c>
      <c r="BF158" s="130"/>
      <c r="BG158" s="130">
        <f t="shared" si="8"/>
        <v>2000</v>
      </c>
      <c r="BH158" s="131"/>
      <c r="BI158" s="131"/>
      <c r="BJ158" s="132">
        <f>2000</f>
        <v>2000</v>
      </c>
      <c r="BK158" s="132"/>
      <c r="BL158" s="133"/>
      <c r="BM158" s="133" t="s">
        <v>561</v>
      </c>
      <c r="BN158" s="133" t="s">
        <v>561</v>
      </c>
      <c r="BO158" s="133"/>
      <c r="BP158" s="133" t="s">
        <v>976</v>
      </c>
      <c r="BQ158" s="134"/>
      <c r="BR158" s="150" t="s">
        <v>1569</v>
      </c>
      <c r="BS158" s="150" t="s">
        <v>135</v>
      </c>
      <c r="BT158" s="134"/>
      <c r="BU158" s="137">
        <f t="shared" si="6"/>
        <v>0.078</v>
      </c>
      <c r="BV158" s="138">
        <v>0.527</v>
      </c>
      <c r="BW158" s="137">
        <v>0.449</v>
      </c>
      <c r="BX158" s="137"/>
      <c r="BY158" s="137">
        <f t="shared" si="7"/>
        <v>0.067</v>
      </c>
      <c r="BZ158" s="138">
        <v>0.496</v>
      </c>
      <c r="CA158" s="137">
        <v>0.429</v>
      </c>
      <c r="CB158" s="137"/>
      <c r="CC158" s="138">
        <v>0.72</v>
      </c>
      <c r="CD158" s="137">
        <v>0.094</v>
      </c>
      <c r="CE158" s="137">
        <v>0.142</v>
      </c>
      <c r="CF158" s="137">
        <v>0.026000000000000002</v>
      </c>
      <c r="CG158" s="137">
        <v>0.02</v>
      </c>
      <c r="CH158" s="137">
        <v>0.001</v>
      </c>
      <c r="CI158" s="139"/>
      <c r="CJ158" s="138">
        <v>0.784</v>
      </c>
      <c r="CK158" s="137">
        <v>0.067</v>
      </c>
      <c r="CL158" s="137">
        <v>0.128</v>
      </c>
      <c r="CM158" s="137">
        <v>0.013999999999999999</v>
      </c>
      <c r="CN158" s="137">
        <v>0.005</v>
      </c>
      <c r="CO158" s="137">
        <v>0.0</v>
      </c>
      <c r="CP158" s="137"/>
      <c r="CQ158" s="137">
        <v>0.23600000000000002</v>
      </c>
      <c r="CR158" s="137">
        <v>0.257</v>
      </c>
      <c r="CS158" s="138">
        <v>0.583</v>
      </c>
    </row>
    <row r="159">
      <c r="A159" s="112">
        <f t="shared" si="1"/>
        <v>157</v>
      </c>
      <c r="B159" s="112" t="s">
        <v>922</v>
      </c>
      <c r="C159" s="112" t="s">
        <v>2452</v>
      </c>
      <c r="D159" s="117" t="s">
        <v>2450</v>
      </c>
      <c r="E159" s="186"/>
      <c r="F159" s="115">
        <f t="shared" si="2"/>
        <v>0</v>
      </c>
      <c r="G159" s="115">
        <f t="shared" si="3"/>
        <v>0.2105263158</v>
      </c>
      <c r="H159" s="116">
        <f t="shared" si="4"/>
        <v>0.1578947368</v>
      </c>
      <c r="I159" s="117" t="s">
        <v>594</v>
      </c>
      <c r="J159" s="117" t="s">
        <v>594</v>
      </c>
      <c r="K159" s="117" t="s">
        <v>594</v>
      </c>
      <c r="L159" s="117" t="s">
        <v>594</v>
      </c>
      <c r="M159" s="117" t="s">
        <v>594</v>
      </c>
      <c r="N159" s="117" t="s">
        <v>594</v>
      </c>
      <c r="O159" s="149" t="s">
        <v>1256</v>
      </c>
      <c r="P159" s="185" t="s">
        <v>561</v>
      </c>
      <c r="Q159" s="121" t="s">
        <v>53</v>
      </c>
      <c r="R159" s="121" t="s">
        <v>561</v>
      </c>
      <c r="S159" s="149" t="s">
        <v>561</v>
      </c>
      <c r="T159" s="119" t="s">
        <v>53</v>
      </c>
      <c r="U159" s="149" t="s">
        <v>561</v>
      </c>
      <c r="V159" s="119" t="s">
        <v>53</v>
      </c>
      <c r="W159" s="119" t="s">
        <v>53</v>
      </c>
      <c r="X159" s="149" t="s">
        <v>561</v>
      </c>
      <c r="Y159" s="149" t="s">
        <v>561</v>
      </c>
      <c r="Z159" s="149" t="s">
        <v>561</v>
      </c>
      <c r="AA159" s="149" t="s">
        <v>561</v>
      </c>
      <c r="AB159" s="149" t="s">
        <v>561</v>
      </c>
      <c r="AC159" s="125" t="s">
        <v>561</v>
      </c>
      <c r="AD159" s="149" t="s">
        <v>561</v>
      </c>
      <c r="AE159" s="128" t="s">
        <v>561</v>
      </c>
      <c r="AF159" s="125" t="s">
        <v>561</v>
      </c>
      <c r="AG159" s="121" t="s">
        <v>53</v>
      </c>
      <c r="AH159" s="128" t="s">
        <v>561</v>
      </c>
      <c r="AI159" s="125" t="s">
        <v>53</v>
      </c>
      <c r="AJ159" s="128" t="s">
        <v>561</v>
      </c>
      <c r="AK159" s="125" t="s">
        <v>561</v>
      </c>
      <c r="AL159" s="128" t="s">
        <v>561</v>
      </c>
      <c r="AM159" s="128" t="s">
        <v>561</v>
      </c>
      <c r="AN159" s="128" t="s">
        <v>561</v>
      </c>
      <c r="AO159" s="128" t="s">
        <v>53</v>
      </c>
      <c r="AP159" s="121" t="s">
        <v>561</v>
      </c>
      <c r="AQ159" s="128" t="s">
        <v>53</v>
      </c>
      <c r="AR159" s="128" t="s">
        <v>561</v>
      </c>
      <c r="AS159" s="117" t="s">
        <v>561</v>
      </c>
      <c r="AT159" s="117" t="s">
        <v>561</v>
      </c>
      <c r="AU159" s="117" t="s">
        <v>561</v>
      </c>
      <c r="AV159" s="117" t="s">
        <v>561</v>
      </c>
      <c r="AW159" s="117" t="s">
        <v>561</v>
      </c>
      <c r="AX159" s="117" t="s">
        <v>561</v>
      </c>
      <c r="AY159" s="117" t="s">
        <v>561</v>
      </c>
      <c r="AZ159" s="117" t="s">
        <v>561</v>
      </c>
      <c r="BA159" s="117" t="s">
        <v>561</v>
      </c>
      <c r="BB159" s="117" t="s">
        <v>600</v>
      </c>
      <c r="BC159" s="117" t="s">
        <v>600</v>
      </c>
      <c r="BD159" s="129" t="s">
        <v>821</v>
      </c>
      <c r="BE159" s="129" t="s">
        <v>821</v>
      </c>
      <c r="BF159" s="130"/>
      <c r="BG159" s="130">
        <f t="shared" si="8"/>
        <v>37300</v>
      </c>
      <c r="BH159" s="131">
        <v>37300.0</v>
      </c>
      <c r="BI159" s="131"/>
      <c r="BJ159" s="132"/>
      <c r="BK159" s="132"/>
      <c r="BL159" s="133"/>
      <c r="BM159" s="133" t="s">
        <v>561</v>
      </c>
      <c r="BN159" s="133"/>
      <c r="BO159" s="133" t="s">
        <v>561</v>
      </c>
      <c r="BP159" s="133" t="s">
        <v>845</v>
      </c>
      <c r="BQ159" s="134"/>
      <c r="BR159" s="150" t="s">
        <v>1569</v>
      </c>
      <c r="BS159" s="181" t="s">
        <v>122</v>
      </c>
      <c r="BT159" s="134"/>
      <c r="BU159" s="137">
        <f t="shared" si="6"/>
        <v>0.126</v>
      </c>
      <c r="BV159" s="142">
        <v>0.552</v>
      </c>
      <c r="BW159" s="141">
        <v>0.426</v>
      </c>
      <c r="BX159" s="141"/>
      <c r="BY159" s="137">
        <f t="shared" si="7"/>
        <v>0.13</v>
      </c>
      <c r="BZ159" s="142">
        <v>0.5379999999999999</v>
      </c>
      <c r="CA159" s="141">
        <v>0.408</v>
      </c>
      <c r="CB159" s="141"/>
      <c r="CC159" s="141">
        <v>0.326</v>
      </c>
      <c r="CD159" s="142">
        <v>0.376</v>
      </c>
      <c r="CE159" s="141">
        <v>0.09</v>
      </c>
      <c r="CF159" s="141">
        <v>0.19399999999999998</v>
      </c>
      <c r="CG159" s="141">
        <v>0.038</v>
      </c>
      <c r="CH159" s="141">
        <v>0.013000000000000001</v>
      </c>
      <c r="CI159" s="139"/>
      <c r="CJ159" s="142">
        <v>0.41600000000000004</v>
      </c>
      <c r="CK159" s="141">
        <v>0.319</v>
      </c>
      <c r="CL159" s="141">
        <v>0.08900000000000001</v>
      </c>
      <c r="CM159" s="141">
        <v>0.152</v>
      </c>
      <c r="CN159" s="141">
        <v>0.012</v>
      </c>
      <c r="CO159" s="141">
        <v>0.005</v>
      </c>
      <c r="CP159" s="141"/>
      <c r="CQ159" s="141">
        <v>0.195</v>
      </c>
      <c r="CR159" s="141">
        <v>0.24100000000000002</v>
      </c>
      <c r="CS159" s="141">
        <v>0.316</v>
      </c>
    </row>
    <row r="160">
      <c r="A160" s="112">
        <f t="shared" si="1"/>
        <v>157</v>
      </c>
      <c r="B160" s="112" t="s">
        <v>2634</v>
      </c>
      <c r="C160" s="112" t="s">
        <v>1062</v>
      </c>
      <c r="D160" s="113" t="s">
        <v>1059</v>
      </c>
      <c r="E160" s="186"/>
      <c r="F160" s="115">
        <f t="shared" si="2"/>
        <v>0</v>
      </c>
      <c r="G160" s="115">
        <f t="shared" si="3"/>
        <v>0.2105263158</v>
      </c>
      <c r="H160" s="116">
        <f t="shared" si="4"/>
        <v>0.1578947368</v>
      </c>
      <c r="I160" s="117" t="s">
        <v>594</v>
      </c>
      <c r="J160" s="117" t="s">
        <v>594</v>
      </c>
      <c r="K160" s="117" t="s">
        <v>594</v>
      </c>
      <c r="L160" s="117" t="s">
        <v>594</v>
      </c>
      <c r="M160" s="117" t="s">
        <v>594</v>
      </c>
      <c r="N160" s="117" t="s">
        <v>594</v>
      </c>
      <c r="O160" s="149" t="s">
        <v>1256</v>
      </c>
      <c r="P160" s="185" t="s">
        <v>561</v>
      </c>
      <c r="Q160" s="121" t="s">
        <v>53</v>
      </c>
      <c r="R160" s="121" t="s">
        <v>561</v>
      </c>
      <c r="S160" s="119" t="s">
        <v>53</v>
      </c>
      <c r="T160" s="119" t="s">
        <v>53</v>
      </c>
      <c r="U160" s="149" t="s">
        <v>561</v>
      </c>
      <c r="V160" s="119" t="s">
        <v>53</v>
      </c>
      <c r="W160" s="119" t="s">
        <v>53</v>
      </c>
      <c r="X160" s="149" t="s">
        <v>561</v>
      </c>
      <c r="Y160" s="149" t="s">
        <v>561</v>
      </c>
      <c r="Z160" s="149" t="s">
        <v>561</v>
      </c>
      <c r="AA160" s="149" t="s">
        <v>561</v>
      </c>
      <c r="AB160" s="149" t="s">
        <v>561</v>
      </c>
      <c r="AC160" s="125" t="s">
        <v>561</v>
      </c>
      <c r="AD160" s="149" t="s">
        <v>561</v>
      </c>
      <c r="AE160" s="128" t="s">
        <v>561</v>
      </c>
      <c r="AF160" s="125" t="s">
        <v>561</v>
      </c>
      <c r="AG160" s="121" t="s">
        <v>53</v>
      </c>
      <c r="AH160" s="128" t="s">
        <v>561</v>
      </c>
      <c r="AI160" s="128" t="s">
        <v>561</v>
      </c>
      <c r="AJ160" s="128" t="s">
        <v>561</v>
      </c>
      <c r="AK160" s="125" t="s">
        <v>561</v>
      </c>
      <c r="AL160" s="128" t="s">
        <v>561</v>
      </c>
      <c r="AM160" s="128" t="s">
        <v>561</v>
      </c>
      <c r="AN160" s="128" t="s">
        <v>561</v>
      </c>
      <c r="AO160" s="128" t="s">
        <v>53</v>
      </c>
      <c r="AP160" s="121" t="s">
        <v>561</v>
      </c>
      <c r="AQ160" s="128" t="s">
        <v>53</v>
      </c>
      <c r="AR160" s="128" t="s">
        <v>561</v>
      </c>
      <c r="AS160" s="117" t="s">
        <v>561</v>
      </c>
      <c r="AT160" s="117" t="s">
        <v>561</v>
      </c>
      <c r="AU160" s="117" t="s">
        <v>561</v>
      </c>
      <c r="AV160" s="117" t="s">
        <v>561</v>
      </c>
      <c r="AW160" s="117" t="s">
        <v>561</v>
      </c>
      <c r="AX160" s="117" t="s">
        <v>561</v>
      </c>
      <c r="AY160" s="117" t="s">
        <v>561</v>
      </c>
      <c r="AZ160" s="117" t="s">
        <v>561</v>
      </c>
      <c r="BA160" s="117" t="s">
        <v>561</v>
      </c>
      <c r="BB160" s="117" t="s">
        <v>600</v>
      </c>
      <c r="BC160" s="117" t="s">
        <v>600</v>
      </c>
      <c r="BD160" s="129" t="s">
        <v>821</v>
      </c>
      <c r="BE160" s="129" t="s">
        <v>821</v>
      </c>
      <c r="BF160" s="130"/>
      <c r="BG160" s="130">
        <f t="shared" si="8"/>
        <v>48901</v>
      </c>
      <c r="BH160" s="131">
        <v>46901.0</v>
      </c>
      <c r="BI160" s="131"/>
      <c r="BJ160" s="132">
        <f>2000</f>
        <v>2000</v>
      </c>
      <c r="BK160" s="132"/>
      <c r="BL160" s="133"/>
      <c r="BM160" s="133"/>
      <c r="BN160" s="133" t="s">
        <v>561</v>
      </c>
      <c r="BO160" s="133" t="s">
        <v>561</v>
      </c>
      <c r="BP160" s="133" t="s">
        <v>2585</v>
      </c>
      <c r="BQ160" s="134"/>
      <c r="BR160" s="150" t="s">
        <v>1569</v>
      </c>
      <c r="BS160" s="181" t="s">
        <v>2030</v>
      </c>
      <c r="BT160" s="134"/>
      <c r="BU160" s="137">
        <f t="shared" si="6"/>
        <v>0.197</v>
      </c>
      <c r="BV160" s="138">
        <v>0.588</v>
      </c>
      <c r="BW160" s="137">
        <v>0.391</v>
      </c>
      <c r="BX160" s="137"/>
      <c r="BY160" s="137">
        <f t="shared" si="7"/>
        <v>0.137</v>
      </c>
      <c r="BZ160" s="138">
        <v>0.536</v>
      </c>
      <c r="CA160" s="137">
        <v>0.39899999999999997</v>
      </c>
      <c r="CB160" s="137"/>
      <c r="CC160" s="138">
        <v>0.7070000000000001</v>
      </c>
      <c r="CD160" s="137">
        <v>0.079</v>
      </c>
      <c r="CE160" s="137">
        <v>0.155</v>
      </c>
      <c r="CF160" s="137">
        <v>0.049</v>
      </c>
      <c r="CG160" s="137">
        <v>0.015</v>
      </c>
      <c r="CH160" s="137">
        <v>0.001</v>
      </c>
      <c r="CI160" s="139"/>
      <c r="CJ160" s="138">
        <v>0.758</v>
      </c>
      <c r="CK160" s="137">
        <v>0.073</v>
      </c>
      <c r="CL160" s="137">
        <v>0.13699999999999998</v>
      </c>
      <c r="CM160" s="137">
        <v>0.026000000000000002</v>
      </c>
      <c r="CN160" s="137">
        <v>0.005</v>
      </c>
      <c r="CO160" s="137">
        <v>0.0</v>
      </c>
      <c r="CP160" s="137"/>
      <c r="CQ160" s="137">
        <v>0.389</v>
      </c>
      <c r="CR160" s="137">
        <v>0.442</v>
      </c>
      <c r="CS160" s="137">
        <v>0.423</v>
      </c>
    </row>
    <row r="161">
      <c r="A161" s="112">
        <f t="shared" si="1"/>
        <v>159</v>
      </c>
      <c r="B161" s="112" t="s">
        <v>793</v>
      </c>
      <c r="C161" s="112" t="s">
        <v>794</v>
      </c>
      <c r="D161" s="113" t="s">
        <v>791</v>
      </c>
      <c r="E161" s="163"/>
      <c r="F161" s="115">
        <f t="shared" si="2"/>
        <v>0</v>
      </c>
      <c r="G161" s="115">
        <f t="shared" si="3"/>
        <v>0.2058823529</v>
      </c>
      <c r="H161" s="116">
        <f t="shared" si="4"/>
        <v>0.1544117647</v>
      </c>
      <c r="I161" s="117" t="s">
        <v>594</v>
      </c>
      <c r="J161" s="117" t="s">
        <v>594</v>
      </c>
      <c r="K161" s="117" t="s">
        <v>594</v>
      </c>
      <c r="L161" s="117" t="s">
        <v>594</v>
      </c>
      <c r="M161" s="117" t="s">
        <v>594</v>
      </c>
      <c r="N161" s="117" t="s">
        <v>594</v>
      </c>
      <c r="O161" s="149" t="s">
        <v>1256</v>
      </c>
      <c r="P161" s="185" t="s">
        <v>561</v>
      </c>
      <c r="Q161" s="121" t="s">
        <v>53</v>
      </c>
      <c r="R161" s="121" t="s">
        <v>561</v>
      </c>
      <c r="S161" s="149" t="s">
        <v>561</v>
      </c>
      <c r="T161" s="119" t="s">
        <v>53</v>
      </c>
      <c r="U161" s="149" t="s">
        <v>561</v>
      </c>
      <c r="V161" s="119" t="s">
        <v>53</v>
      </c>
      <c r="W161" s="119" t="s">
        <v>53</v>
      </c>
      <c r="X161" s="149" t="s">
        <v>561</v>
      </c>
      <c r="Y161" s="149" t="s">
        <v>561</v>
      </c>
      <c r="Z161" s="149" t="s">
        <v>561</v>
      </c>
      <c r="AA161" s="149" t="s">
        <v>561</v>
      </c>
      <c r="AB161" s="149" t="s">
        <v>561</v>
      </c>
      <c r="AC161" s="125" t="s">
        <v>561</v>
      </c>
      <c r="AD161" s="149" t="s">
        <v>561</v>
      </c>
      <c r="AE161" s="128" t="s">
        <v>561</v>
      </c>
      <c r="AF161" s="125" t="s">
        <v>561</v>
      </c>
      <c r="AG161" s="121" t="s">
        <v>53</v>
      </c>
      <c r="AH161" s="128" t="s">
        <v>561</v>
      </c>
      <c r="AI161" s="128" t="s">
        <v>561</v>
      </c>
      <c r="AJ161" s="128" t="s">
        <v>561</v>
      </c>
      <c r="AK161" s="125" t="s">
        <v>561</v>
      </c>
      <c r="AL161" s="128" t="s">
        <v>561</v>
      </c>
      <c r="AM161" s="128" t="s">
        <v>561</v>
      </c>
      <c r="AN161" s="128" t="s">
        <v>561</v>
      </c>
      <c r="AO161" s="128" t="s">
        <v>53</v>
      </c>
      <c r="AP161" s="121" t="s">
        <v>561</v>
      </c>
      <c r="AQ161" s="128" t="s">
        <v>53</v>
      </c>
      <c r="AR161" s="128" t="s">
        <v>561</v>
      </c>
      <c r="AS161" s="117" t="s">
        <v>561</v>
      </c>
      <c r="AT161" s="117" t="s">
        <v>561</v>
      </c>
      <c r="AU161" s="117" t="s">
        <v>561</v>
      </c>
      <c r="AV161" s="117" t="s">
        <v>561</v>
      </c>
      <c r="AW161" s="117" t="s">
        <v>561</v>
      </c>
      <c r="AX161" s="117" t="s">
        <v>600</v>
      </c>
      <c r="AY161" s="117" t="s">
        <v>600</v>
      </c>
      <c r="AZ161" s="117" t="s">
        <v>600</v>
      </c>
      <c r="BA161" s="117" t="s">
        <v>600</v>
      </c>
      <c r="BB161" s="117" t="s">
        <v>600</v>
      </c>
      <c r="BC161" s="117" t="s">
        <v>600</v>
      </c>
      <c r="BD161" s="164" t="s">
        <v>1832</v>
      </c>
      <c r="BE161" s="164" t="s">
        <v>1832</v>
      </c>
      <c r="BF161" s="130"/>
      <c r="BG161" s="130">
        <f t="shared" si="8"/>
        <v>0</v>
      </c>
      <c r="BH161" s="131"/>
      <c r="BI161" s="131"/>
      <c r="BJ161" s="132"/>
      <c r="BK161" s="132"/>
      <c r="BL161" s="133"/>
      <c r="BM161" s="133" t="s">
        <v>561</v>
      </c>
      <c r="BN161" s="133"/>
      <c r="BO161" s="133"/>
      <c r="BP161" s="133" t="s">
        <v>976</v>
      </c>
      <c r="BQ161" s="134"/>
      <c r="BR161" s="150" t="s">
        <v>1569</v>
      </c>
      <c r="BS161" s="134"/>
      <c r="BT161" s="134"/>
      <c r="BU161" s="137">
        <f t="shared" si="6"/>
        <v>0.085</v>
      </c>
      <c r="BV161" s="138">
        <v>0.5329999999999999</v>
      </c>
      <c r="BW161" s="137">
        <v>0.44799999999999995</v>
      </c>
      <c r="BX161" s="137"/>
      <c r="BY161" s="242">
        <f t="shared" si="7"/>
        <v>0.001</v>
      </c>
      <c r="BZ161" s="243">
        <v>0.467</v>
      </c>
      <c r="CA161" s="242">
        <v>0.466</v>
      </c>
      <c r="CB161" s="242"/>
      <c r="CC161" s="138">
        <v>0.74</v>
      </c>
      <c r="CD161" s="137">
        <v>0.08800000000000001</v>
      </c>
      <c r="CE161" s="137">
        <v>0.11699999999999999</v>
      </c>
      <c r="CF161" s="137">
        <v>0.035</v>
      </c>
      <c r="CG161" s="137">
        <v>0.021</v>
      </c>
      <c r="CH161" s="137">
        <v>0.001</v>
      </c>
      <c r="CI161" s="139"/>
      <c r="CJ161" s="138">
        <v>0.797</v>
      </c>
      <c r="CK161" s="137">
        <v>0.059000000000000004</v>
      </c>
      <c r="CL161" s="137">
        <v>0.111</v>
      </c>
      <c r="CM161" s="137">
        <v>0.021</v>
      </c>
      <c r="CN161" s="137">
        <v>0.01</v>
      </c>
      <c r="CO161" s="137">
        <v>0.0</v>
      </c>
      <c r="CP161" s="137"/>
      <c r="CQ161" s="137">
        <v>0.35200000000000004</v>
      </c>
      <c r="CR161" s="137">
        <v>0.391</v>
      </c>
      <c r="CS161" s="137">
        <v>0.485</v>
      </c>
    </row>
    <row r="162">
      <c r="A162" s="112">
        <f t="shared" si="1"/>
        <v>160</v>
      </c>
      <c r="B162" s="112" t="s">
        <v>461</v>
      </c>
      <c r="C162" s="112" t="s">
        <v>462</v>
      </c>
      <c r="D162" s="113" t="s">
        <v>456</v>
      </c>
      <c r="E162" s="163"/>
      <c r="F162" s="115">
        <f t="shared" si="2"/>
        <v>0</v>
      </c>
      <c r="G162" s="115">
        <f t="shared" si="3"/>
        <v>0.2051282051</v>
      </c>
      <c r="H162" s="116">
        <f t="shared" si="4"/>
        <v>0.1538461538</v>
      </c>
      <c r="I162" s="117" t="s">
        <v>594</v>
      </c>
      <c r="J162" s="117" t="s">
        <v>594</v>
      </c>
      <c r="K162" s="117" t="s">
        <v>594</v>
      </c>
      <c r="L162" s="117" t="s">
        <v>594</v>
      </c>
      <c r="M162" s="117" t="s">
        <v>594</v>
      </c>
      <c r="N162" s="117" t="s">
        <v>594</v>
      </c>
      <c r="O162" s="149" t="s">
        <v>1256</v>
      </c>
      <c r="P162" s="185" t="s">
        <v>561</v>
      </c>
      <c r="Q162" s="121" t="s">
        <v>53</v>
      </c>
      <c r="R162" s="121" t="s">
        <v>801</v>
      </c>
      <c r="S162" s="149" t="s">
        <v>561</v>
      </c>
      <c r="T162" s="119" t="s">
        <v>53</v>
      </c>
      <c r="U162" s="119" t="s">
        <v>53</v>
      </c>
      <c r="V162" s="119" t="s">
        <v>53</v>
      </c>
      <c r="W162" s="119" t="s">
        <v>53</v>
      </c>
      <c r="X162" s="149" t="s">
        <v>561</v>
      </c>
      <c r="Y162" s="149" t="s">
        <v>561</v>
      </c>
      <c r="Z162" s="149" t="s">
        <v>561</v>
      </c>
      <c r="AA162" s="149" t="s">
        <v>561</v>
      </c>
      <c r="AB162" s="149" t="s">
        <v>561</v>
      </c>
      <c r="AC162" s="125" t="s">
        <v>561</v>
      </c>
      <c r="AD162" s="149" t="s">
        <v>561</v>
      </c>
      <c r="AE162" s="128" t="s">
        <v>561</v>
      </c>
      <c r="AF162" s="125" t="s">
        <v>561</v>
      </c>
      <c r="AG162" s="121" t="s">
        <v>561</v>
      </c>
      <c r="AH162" s="128" t="s">
        <v>561</v>
      </c>
      <c r="AI162" s="125" t="s">
        <v>53</v>
      </c>
      <c r="AJ162" s="128" t="s">
        <v>561</v>
      </c>
      <c r="AK162" s="125" t="s">
        <v>561</v>
      </c>
      <c r="AL162" s="128" t="s">
        <v>561</v>
      </c>
      <c r="AM162" s="128" t="s">
        <v>561</v>
      </c>
      <c r="AN162" s="128" t="s">
        <v>561</v>
      </c>
      <c r="AO162" s="128" t="s">
        <v>53</v>
      </c>
      <c r="AP162" s="121" t="s">
        <v>561</v>
      </c>
      <c r="AQ162" s="128" t="s">
        <v>53</v>
      </c>
      <c r="AR162" s="128" t="s">
        <v>561</v>
      </c>
      <c r="AS162" s="117" t="s">
        <v>561</v>
      </c>
      <c r="AT162" s="117" t="s">
        <v>561</v>
      </c>
      <c r="AU162" s="117" t="s">
        <v>561</v>
      </c>
      <c r="AV162" s="117" t="s">
        <v>561</v>
      </c>
      <c r="AW162" s="117" t="s">
        <v>561</v>
      </c>
      <c r="AX162" s="117" t="s">
        <v>561</v>
      </c>
      <c r="AY162" s="117" t="s">
        <v>561</v>
      </c>
      <c r="AZ162" s="117" t="s">
        <v>561</v>
      </c>
      <c r="BA162" s="117" t="s">
        <v>561</v>
      </c>
      <c r="BB162" s="117" t="s">
        <v>561</v>
      </c>
      <c r="BC162" s="117" t="s">
        <v>561</v>
      </c>
      <c r="BD162" s="129" t="s">
        <v>821</v>
      </c>
      <c r="BE162" s="164" t="s">
        <v>1832</v>
      </c>
      <c r="BF162" s="130"/>
      <c r="BG162" s="130">
        <f t="shared" si="8"/>
        <v>29360</v>
      </c>
      <c r="BH162" s="131">
        <v>29360.0</v>
      </c>
      <c r="BI162" s="131"/>
      <c r="BJ162" s="132"/>
      <c r="BK162" s="132"/>
      <c r="BL162" s="133"/>
      <c r="BM162" s="133"/>
      <c r="BN162" s="133"/>
      <c r="BO162" s="133" t="s">
        <v>561</v>
      </c>
      <c r="BP162" s="133" t="s">
        <v>1495</v>
      </c>
      <c r="BQ162" s="134"/>
      <c r="BR162" s="134"/>
      <c r="BS162" s="181" t="s">
        <v>122</v>
      </c>
      <c r="BT162" s="134"/>
      <c r="BU162" s="137">
        <f t="shared" si="6"/>
        <v>0.192</v>
      </c>
      <c r="BV162" s="138">
        <v>0.59</v>
      </c>
      <c r="BW162" s="137">
        <v>0.39799999999999996</v>
      </c>
      <c r="BX162" s="137"/>
      <c r="BY162" s="137">
        <f t="shared" si="7"/>
        <v>0.216</v>
      </c>
      <c r="BZ162" s="138">
        <v>0.583</v>
      </c>
      <c r="CA162" s="137">
        <v>0.36700000000000005</v>
      </c>
      <c r="CB162" s="137"/>
      <c r="CC162" s="138">
        <v>0.494</v>
      </c>
      <c r="CD162" s="137">
        <v>0.26</v>
      </c>
      <c r="CE162" s="137">
        <v>0.191</v>
      </c>
      <c r="CF162" s="137">
        <v>0.05</v>
      </c>
      <c r="CG162" s="137">
        <v>0.016</v>
      </c>
      <c r="CH162" s="137">
        <v>0.002</v>
      </c>
      <c r="CI162" s="139"/>
      <c r="CJ162" s="138">
        <v>0.5479999999999999</v>
      </c>
      <c r="CK162" s="137">
        <v>0.22100000000000003</v>
      </c>
      <c r="CL162" s="137">
        <v>0.19100000000000003</v>
      </c>
      <c r="CM162" s="137">
        <v>0.032</v>
      </c>
      <c r="CN162" s="137">
        <v>0.006</v>
      </c>
      <c r="CO162" s="137">
        <v>0.001</v>
      </c>
      <c r="CP162" s="137"/>
      <c r="CQ162" s="137">
        <v>0.365</v>
      </c>
      <c r="CR162" s="137">
        <v>0.47100000000000003</v>
      </c>
      <c r="CS162" s="137">
        <v>0.29</v>
      </c>
    </row>
    <row r="163">
      <c r="A163" s="112">
        <f t="shared" si="1"/>
        <v>161</v>
      </c>
      <c r="B163" s="112" t="s">
        <v>285</v>
      </c>
      <c r="C163" s="112" t="s">
        <v>286</v>
      </c>
      <c r="D163" s="113" t="s">
        <v>281</v>
      </c>
      <c r="E163" s="163"/>
      <c r="F163" s="115">
        <f t="shared" si="2"/>
        <v>0</v>
      </c>
      <c r="G163" s="115">
        <f t="shared" si="3"/>
        <v>0.1923076923</v>
      </c>
      <c r="H163" s="116">
        <f t="shared" si="4"/>
        <v>0.1442307692</v>
      </c>
      <c r="I163" s="117" t="s">
        <v>594</v>
      </c>
      <c r="J163" s="117" t="s">
        <v>594</v>
      </c>
      <c r="K163" s="117" t="s">
        <v>594</v>
      </c>
      <c r="L163" s="117" t="s">
        <v>594</v>
      </c>
      <c r="M163" s="117" t="s">
        <v>594</v>
      </c>
      <c r="N163" s="117" t="s">
        <v>594</v>
      </c>
      <c r="O163" s="149" t="s">
        <v>1256</v>
      </c>
      <c r="P163" s="185" t="s">
        <v>561</v>
      </c>
      <c r="Q163" s="121" t="s">
        <v>53</v>
      </c>
      <c r="R163" s="121" t="s">
        <v>561</v>
      </c>
      <c r="S163" s="119" t="s">
        <v>53</v>
      </c>
      <c r="T163" s="119" t="s">
        <v>53</v>
      </c>
      <c r="U163" s="149" t="s">
        <v>561</v>
      </c>
      <c r="V163" s="119" t="s">
        <v>53</v>
      </c>
      <c r="W163" s="119" t="s">
        <v>53</v>
      </c>
      <c r="X163" s="149" t="s">
        <v>561</v>
      </c>
      <c r="Y163" s="149" t="s">
        <v>561</v>
      </c>
      <c r="Z163" s="149" t="s">
        <v>561</v>
      </c>
      <c r="AA163" s="149" t="s">
        <v>561</v>
      </c>
      <c r="AB163" s="149" t="s">
        <v>561</v>
      </c>
      <c r="AC163" s="125" t="s">
        <v>561</v>
      </c>
      <c r="AD163" s="149" t="s">
        <v>561</v>
      </c>
      <c r="AE163" s="128" t="s">
        <v>561</v>
      </c>
      <c r="AF163" s="125" t="s">
        <v>561</v>
      </c>
      <c r="AG163" s="121" t="s">
        <v>561</v>
      </c>
      <c r="AH163" s="128" t="s">
        <v>561</v>
      </c>
      <c r="AI163" s="128" t="s">
        <v>561</v>
      </c>
      <c r="AJ163" s="128" t="s">
        <v>561</v>
      </c>
      <c r="AK163" s="125" t="s">
        <v>799</v>
      </c>
      <c r="AL163" s="128" t="s">
        <v>561</v>
      </c>
      <c r="AM163" s="128" t="s">
        <v>561</v>
      </c>
      <c r="AN163" s="128" t="s">
        <v>561</v>
      </c>
      <c r="AO163" s="128" t="s">
        <v>53</v>
      </c>
      <c r="AP163" s="121" t="s">
        <v>561</v>
      </c>
      <c r="AQ163" s="128" t="s">
        <v>53</v>
      </c>
      <c r="AR163" s="128" t="s">
        <v>561</v>
      </c>
      <c r="AS163" s="117" t="s">
        <v>561</v>
      </c>
      <c r="AT163" s="117" t="s">
        <v>561</v>
      </c>
      <c r="AU163" s="117" t="s">
        <v>561</v>
      </c>
      <c r="AV163" s="117" t="s">
        <v>561</v>
      </c>
      <c r="AW163" s="117" t="s">
        <v>561</v>
      </c>
      <c r="AX163" s="117" t="s">
        <v>561</v>
      </c>
      <c r="AY163" s="117" t="s">
        <v>561</v>
      </c>
      <c r="AZ163" s="117" t="s">
        <v>561</v>
      </c>
      <c r="BA163" s="117" t="s">
        <v>561</v>
      </c>
      <c r="BB163" s="117" t="s">
        <v>561</v>
      </c>
      <c r="BC163" s="117" t="s">
        <v>600</v>
      </c>
      <c r="BD163" s="129" t="s">
        <v>821</v>
      </c>
      <c r="BE163" s="164" t="s">
        <v>1832</v>
      </c>
      <c r="BF163" s="130"/>
      <c r="BG163" s="130">
        <f t="shared" si="8"/>
        <v>149860</v>
      </c>
      <c r="BH163" s="131">
        <v>145860.0</v>
      </c>
      <c r="BI163" s="131"/>
      <c r="BJ163" s="132">
        <f>2000+2000</f>
        <v>4000</v>
      </c>
      <c r="BK163" s="132"/>
      <c r="BL163" s="133"/>
      <c r="BM163" s="133"/>
      <c r="BN163" s="133" t="s">
        <v>561</v>
      </c>
      <c r="BO163" s="133" t="s">
        <v>561</v>
      </c>
      <c r="BP163" s="133" t="s">
        <v>1432</v>
      </c>
      <c r="BQ163" s="134"/>
      <c r="BR163" s="135" t="s">
        <v>850</v>
      </c>
      <c r="BS163" s="181" t="s">
        <v>2030</v>
      </c>
      <c r="BT163" s="134"/>
      <c r="BU163" s="137">
        <f t="shared" si="6"/>
        <v>0.441</v>
      </c>
      <c r="BV163" s="138">
        <v>0.71</v>
      </c>
      <c r="BW163" s="137">
        <v>0.26899999999999996</v>
      </c>
      <c r="BX163" s="137"/>
      <c r="BY163" s="137">
        <f t="shared" si="7"/>
        <v>0.444</v>
      </c>
      <c r="BZ163" s="138">
        <v>0.6920000000000001</v>
      </c>
      <c r="CA163" s="137">
        <v>0.248</v>
      </c>
      <c r="CB163" s="137"/>
      <c r="CC163" s="138">
        <v>0.575</v>
      </c>
      <c r="CD163" s="137">
        <v>0.155</v>
      </c>
      <c r="CE163" s="137">
        <v>0.048</v>
      </c>
      <c r="CF163" s="137">
        <v>0.205</v>
      </c>
      <c r="CG163" s="137">
        <v>0.018000000000000002</v>
      </c>
      <c r="CH163" s="137">
        <v>0.005</v>
      </c>
      <c r="CI163" s="139"/>
      <c r="CJ163" s="138">
        <v>0.624</v>
      </c>
      <c r="CK163" s="137">
        <v>0.146</v>
      </c>
      <c r="CL163" s="137">
        <v>0.046</v>
      </c>
      <c r="CM163" s="137">
        <v>0.17</v>
      </c>
      <c r="CN163" s="137">
        <v>0.006999999999999999</v>
      </c>
      <c r="CO163" s="137">
        <v>0.001</v>
      </c>
      <c r="CP163" s="137"/>
      <c r="CQ163" s="138">
        <v>0.6409999999999999</v>
      </c>
      <c r="CR163" s="138">
        <v>0.6809999999999999</v>
      </c>
      <c r="CS163" s="137">
        <v>0.19899999999999998</v>
      </c>
    </row>
    <row r="164">
      <c r="A164" s="112">
        <f t="shared" si="1"/>
        <v>162</v>
      </c>
      <c r="B164" s="112" t="s">
        <v>1564</v>
      </c>
      <c r="C164" s="112" t="s">
        <v>1015</v>
      </c>
      <c r="D164" s="113" t="s">
        <v>1013</v>
      </c>
      <c r="E164" s="251" t="s">
        <v>2329</v>
      </c>
      <c r="F164" s="115">
        <f t="shared" si="2"/>
        <v>0</v>
      </c>
      <c r="G164" s="115">
        <f t="shared" si="3"/>
        <v>0.1911764706</v>
      </c>
      <c r="H164" s="116">
        <f t="shared" si="4"/>
        <v>0.1433823529</v>
      </c>
      <c r="I164" s="117" t="s">
        <v>594</v>
      </c>
      <c r="J164" s="117" t="s">
        <v>594</v>
      </c>
      <c r="K164" s="117" t="s">
        <v>594</v>
      </c>
      <c r="L164" s="117" t="s">
        <v>594</v>
      </c>
      <c r="M164" s="117" t="s">
        <v>594</v>
      </c>
      <c r="N164" s="117" t="s">
        <v>594</v>
      </c>
      <c r="O164" s="149" t="s">
        <v>1256</v>
      </c>
      <c r="P164" s="120" t="s">
        <v>53</v>
      </c>
      <c r="Q164" s="121" t="s">
        <v>53</v>
      </c>
      <c r="R164" s="121" t="s">
        <v>561</v>
      </c>
      <c r="S164" s="119" t="s">
        <v>53</v>
      </c>
      <c r="T164" s="119" t="s">
        <v>53</v>
      </c>
      <c r="U164" s="149" t="s">
        <v>561</v>
      </c>
      <c r="V164" s="149" t="s">
        <v>561</v>
      </c>
      <c r="W164" s="119" t="s">
        <v>53</v>
      </c>
      <c r="X164" s="149" t="s">
        <v>561</v>
      </c>
      <c r="Y164" s="149" t="s">
        <v>561</v>
      </c>
      <c r="Z164" s="149" t="s">
        <v>561</v>
      </c>
      <c r="AA164" s="149" t="s">
        <v>561</v>
      </c>
      <c r="AB164" s="149" t="s">
        <v>561</v>
      </c>
      <c r="AC164" s="125" t="s">
        <v>561</v>
      </c>
      <c r="AD164" s="149" t="s">
        <v>561</v>
      </c>
      <c r="AE164" s="128" t="s">
        <v>561</v>
      </c>
      <c r="AF164" s="125" t="s">
        <v>561</v>
      </c>
      <c r="AG164" s="121" t="s">
        <v>561</v>
      </c>
      <c r="AH164" s="128" t="s">
        <v>561</v>
      </c>
      <c r="AI164" s="128" t="s">
        <v>561</v>
      </c>
      <c r="AJ164" s="128" t="s">
        <v>561</v>
      </c>
      <c r="AK164" s="125" t="s">
        <v>799</v>
      </c>
      <c r="AL164" s="128" t="s">
        <v>561</v>
      </c>
      <c r="AM164" s="128" t="s">
        <v>561</v>
      </c>
      <c r="AN164" s="128" t="s">
        <v>561</v>
      </c>
      <c r="AO164" s="128" t="s">
        <v>561</v>
      </c>
      <c r="AP164" s="121" t="s">
        <v>561</v>
      </c>
      <c r="AQ164" s="128" t="s">
        <v>53</v>
      </c>
      <c r="AR164" s="128" t="s">
        <v>561</v>
      </c>
      <c r="AS164" s="117" t="s">
        <v>561</v>
      </c>
      <c r="AT164" s="117" t="s">
        <v>561</v>
      </c>
      <c r="AU164" s="117" t="s">
        <v>561</v>
      </c>
      <c r="AV164" s="117" t="s">
        <v>561</v>
      </c>
      <c r="AW164" s="117" t="s">
        <v>561</v>
      </c>
      <c r="AX164" s="117" t="s">
        <v>600</v>
      </c>
      <c r="AY164" s="117" t="s">
        <v>600</v>
      </c>
      <c r="AZ164" s="117" t="s">
        <v>600</v>
      </c>
      <c r="BA164" s="117" t="s">
        <v>600</v>
      </c>
      <c r="BB164" s="117" t="s">
        <v>600</v>
      </c>
      <c r="BC164" s="117" t="s">
        <v>600</v>
      </c>
      <c r="BD164" s="164" t="s">
        <v>1832</v>
      </c>
      <c r="BE164" s="164" t="s">
        <v>1832</v>
      </c>
      <c r="BF164" s="130"/>
      <c r="BG164" s="130">
        <f t="shared" si="8"/>
        <v>400000</v>
      </c>
      <c r="BH164" s="131"/>
      <c r="BI164" s="252">
        <v>400000.0</v>
      </c>
      <c r="BJ164" s="132"/>
      <c r="BK164" s="132"/>
      <c r="BL164" s="133"/>
      <c r="BM164" s="133"/>
      <c r="BN164" s="133"/>
      <c r="BO164" s="133" t="s">
        <v>561</v>
      </c>
      <c r="BP164" s="133" t="s">
        <v>976</v>
      </c>
      <c r="BQ164" s="134"/>
      <c r="BR164" s="134" t="s">
        <v>850</v>
      </c>
      <c r="BS164" s="181" t="s">
        <v>122</v>
      </c>
      <c r="BT164" s="134"/>
      <c r="BU164" s="137">
        <f t="shared" si="6"/>
        <v>0.712</v>
      </c>
      <c r="BV164" s="138">
        <v>0.851</v>
      </c>
      <c r="BW164" s="137">
        <v>0.139</v>
      </c>
      <c r="BX164" s="137"/>
      <c r="BY164" s="137">
        <f t="shared" si="7"/>
        <v>0.745</v>
      </c>
      <c r="BZ164" s="138">
        <v>0.853</v>
      </c>
      <c r="CA164" s="137">
        <v>0.10800000000000001</v>
      </c>
      <c r="CB164" s="137"/>
      <c r="CC164" s="138">
        <v>0.49700000000000005</v>
      </c>
      <c r="CD164" s="137">
        <v>0.184</v>
      </c>
      <c r="CE164" s="137">
        <v>0.083</v>
      </c>
      <c r="CF164" s="137">
        <v>0.237</v>
      </c>
      <c r="CG164" s="137">
        <v>0.016</v>
      </c>
      <c r="CH164" s="137">
        <v>0.003</v>
      </c>
      <c r="CI164" s="139"/>
      <c r="CJ164" s="138">
        <v>0.5710000000000001</v>
      </c>
      <c r="CK164" s="137">
        <v>0.16899999999999998</v>
      </c>
      <c r="CL164" s="137">
        <v>0.075</v>
      </c>
      <c r="CM164" s="137">
        <v>0.17600000000000002</v>
      </c>
      <c r="CN164" s="137">
        <v>0.004</v>
      </c>
      <c r="CO164" s="137">
        <v>0.001</v>
      </c>
      <c r="CP164" s="137"/>
      <c r="CQ164" s="138">
        <v>0.6</v>
      </c>
      <c r="CR164" s="138">
        <v>0.81</v>
      </c>
      <c r="CS164" s="137">
        <v>0.10800000000000001</v>
      </c>
    </row>
    <row r="165">
      <c r="A165" s="112">
        <f t="shared" si="1"/>
        <v>163</v>
      </c>
      <c r="B165" s="112" t="s">
        <v>541</v>
      </c>
      <c r="C165" s="112" t="s">
        <v>713</v>
      </c>
      <c r="D165" s="113" t="s">
        <v>711</v>
      </c>
      <c r="E165" s="154" t="s">
        <v>2635</v>
      </c>
      <c r="F165" s="115">
        <f t="shared" si="2"/>
        <v>0</v>
      </c>
      <c r="G165" s="115">
        <f t="shared" si="3"/>
        <v>0.1764705882</v>
      </c>
      <c r="H165" s="116">
        <f t="shared" si="4"/>
        <v>0.1323529412</v>
      </c>
      <c r="I165" s="117" t="s">
        <v>594</v>
      </c>
      <c r="J165" s="117" t="s">
        <v>594</v>
      </c>
      <c r="K165" s="117" t="s">
        <v>594</v>
      </c>
      <c r="L165" s="117" t="s">
        <v>594</v>
      </c>
      <c r="M165" s="117" t="s">
        <v>594</v>
      </c>
      <c r="N165" s="117" t="s">
        <v>594</v>
      </c>
      <c r="O165" s="149" t="s">
        <v>1256</v>
      </c>
      <c r="P165" s="185" t="s">
        <v>561</v>
      </c>
      <c r="Q165" s="121" t="s">
        <v>53</v>
      </c>
      <c r="R165" s="121" t="s">
        <v>801</v>
      </c>
      <c r="S165" s="119" t="s">
        <v>53</v>
      </c>
      <c r="T165" s="119" t="s">
        <v>53</v>
      </c>
      <c r="U165" s="149" t="s">
        <v>561</v>
      </c>
      <c r="V165" s="123" t="s">
        <v>801</v>
      </c>
      <c r="W165" s="123" t="s">
        <v>801</v>
      </c>
      <c r="X165" s="123" t="s">
        <v>801</v>
      </c>
      <c r="Y165" s="149" t="s">
        <v>561</v>
      </c>
      <c r="Z165" s="149" t="s">
        <v>561</v>
      </c>
      <c r="AA165" s="149" t="s">
        <v>561</v>
      </c>
      <c r="AB165" s="149" t="s">
        <v>561</v>
      </c>
      <c r="AC165" s="125" t="s">
        <v>561</v>
      </c>
      <c r="AD165" s="149" t="s">
        <v>561</v>
      </c>
      <c r="AE165" s="128" t="s">
        <v>561</v>
      </c>
      <c r="AF165" s="125" t="s">
        <v>561</v>
      </c>
      <c r="AG165" s="121" t="s">
        <v>53</v>
      </c>
      <c r="AH165" s="128" t="s">
        <v>561</v>
      </c>
      <c r="AI165" s="128" t="s">
        <v>561</v>
      </c>
      <c r="AJ165" s="128" t="s">
        <v>561</v>
      </c>
      <c r="AK165" s="125" t="s">
        <v>561</v>
      </c>
      <c r="AL165" s="128" t="s">
        <v>561</v>
      </c>
      <c r="AM165" s="128" t="s">
        <v>561</v>
      </c>
      <c r="AN165" s="128" t="s">
        <v>561</v>
      </c>
      <c r="AO165" s="128" t="s">
        <v>53</v>
      </c>
      <c r="AP165" s="121" t="s">
        <v>561</v>
      </c>
      <c r="AQ165" s="128" t="s">
        <v>53</v>
      </c>
      <c r="AR165" s="128" t="s">
        <v>561</v>
      </c>
      <c r="AS165" s="117" t="s">
        <v>561</v>
      </c>
      <c r="AT165" s="117" t="s">
        <v>561</v>
      </c>
      <c r="AU165" s="117" t="s">
        <v>561</v>
      </c>
      <c r="AV165" s="117" t="s">
        <v>561</v>
      </c>
      <c r="AW165" s="117" t="s">
        <v>561</v>
      </c>
      <c r="AX165" s="117" t="s">
        <v>561</v>
      </c>
      <c r="AY165" s="117" t="s">
        <v>561</v>
      </c>
      <c r="AZ165" s="117" t="s">
        <v>561</v>
      </c>
      <c r="BA165" s="117" t="s">
        <v>561</v>
      </c>
      <c r="BB165" s="117" t="s">
        <v>600</v>
      </c>
      <c r="BC165" s="117" t="s">
        <v>600</v>
      </c>
      <c r="BD165" s="164" t="s">
        <v>1832</v>
      </c>
      <c r="BE165" s="164" t="s">
        <v>1832</v>
      </c>
      <c r="BF165" s="130"/>
      <c r="BG165" s="130">
        <f t="shared" si="8"/>
        <v>172628</v>
      </c>
      <c r="BH165" s="131">
        <v>172628.0</v>
      </c>
      <c r="BI165" s="131"/>
      <c r="BJ165" s="132"/>
      <c r="BK165" s="132"/>
      <c r="BL165" s="133"/>
      <c r="BM165" s="133"/>
      <c r="BN165" s="133" t="s">
        <v>561</v>
      </c>
      <c r="BO165" s="133" t="s">
        <v>561</v>
      </c>
      <c r="BP165" s="133" t="s">
        <v>845</v>
      </c>
      <c r="BQ165" s="134"/>
      <c r="BR165" s="150" t="s">
        <v>1569</v>
      </c>
      <c r="BS165" s="181" t="s">
        <v>2030</v>
      </c>
      <c r="BT165" s="134"/>
      <c r="BU165" s="137">
        <f t="shared" si="6"/>
        <v>0.098</v>
      </c>
      <c r="BV165" s="138">
        <v>0.539</v>
      </c>
      <c r="BW165" s="137">
        <v>0.441</v>
      </c>
      <c r="BX165" s="137"/>
      <c r="BY165" s="137">
        <f t="shared" si="7"/>
        <v>0.012</v>
      </c>
      <c r="BZ165" s="138">
        <v>0.474</v>
      </c>
      <c r="CA165" s="137">
        <v>0.462</v>
      </c>
      <c r="CB165" s="137"/>
      <c r="CC165" s="138">
        <v>0.636</v>
      </c>
      <c r="CD165" s="137">
        <v>0.11599999999999999</v>
      </c>
      <c r="CE165" s="137">
        <v>0.139</v>
      </c>
      <c r="CF165" s="137">
        <v>0.094</v>
      </c>
      <c r="CG165" s="137">
        <v>0.02</v>
      </c>
      <c r="CH165" s="137">
        <v>0.002</v>
      </c>
      <c r="CI165" s="139"/>
      <c r="CJ165" s="138">
        <v>0.72</v>
      </c>
      <c r="CK165" s="137">
        <v>0.073</v>
      </c>
      <c r="CL165" s="137">
        <v>0.126</v>
      </c>
      <c r="CM165" s="137">
        <v>0.071</v>
      </c>
      <c r="CN165" s="137">
        <v>0.006</v>
      </c>
      <c r="CO165" s="137">
        <v>0.001</v>
      </c>
      <c r="CP165" s="137"/>
      <c r="CQ165" s="137">
        <v>0.44299999999999995</v>
      </c>
      <c r="CR165" s="137">
        <v>0.44</v>
      </c>
      <c r="CS165" s="137">
        <v>0.40299999999999997</v>
      </c>
    </row>
    <row r="166">
      <c r="A166" s="112">
        <f t="shared" si="1"/>
        <v>164</v>
      </c>
      <c r="B166" s="112" t="s">
        <v>707</v>
      </c>
      <c r="C166" s="112" t="s">
        <v>708</v>
      </c>
      <c r="D166" s="113" t="s">
        <v>705</v>
      </c>
      <c r="E166" s="163"/>
      <c r="F166" s="115">
        <f t="shared" si="2"/>
        <v>0</v>
      </c>
      <c r="G166" s="115">
        <f t="shared" si="3"/>
        <v>0.175</v>
      </c>
      <c r="H166" s="116">
        <f t="shared" si="4"/>
        <v>0.13125</v>
      </c>
      <c r="I166" s="117" t="s">
        <v>594</v>
      </c>
      <c r="J166" s="117" t="s">
        <v>594</v>
      </c>
      <c r="K166" s="117" t="s">
        <v>594</v>
      </c>
      <c r="L166" s="117" t="s">
        <v>594</v>
      </c>
      <c r="M166" s="117" t="s">
        <v>594</v>
      </c>
      <c r="N166" s="117" t="s">
        <v>594</v>
      </c>
      <c r="O166" s="149" t="s">
        <v>1256</v>
      </c>
      <c r="P166" s="185" t="s">
        <v>561</v>
      </c>
      <c r="Q166" s="121" t="s">
        <v>53</v>
      </c>
      <c r="R166" s="121" t="s">
        <v>561</v>
      </c>
      <c r="S166" s="149" t="s">
        <v>561</v>
      </c>
      <c r="T166" s="119" t="s">
        <v>53</v>
      </c>
      <c r="U166" s="149" t="s">
        <v>561</v>
      </c>
      <c r="V166" s="119" t="s">
        <v>53</v>
      </c>
      <c r="W166" s="119" t="s">
        <v>53</v>
      </c>
      <c r="X166" s="149" t="s">
        <v>561</v>
      </c>
      <c r="Y166" s="149" t="s">
        <v>561</v>
      </c>
      <c r="Z166" s="149" t="s">
        <v>561</v>
      </c>
      <c r="AA166" s="149" t="s">
        <v>561</v>
      </c>
      <c r="AB166" s="149" t="s">
        <v>561</v>
      </c>
      <c r="AC166" s="125" t="s">
        <v>561</v>
      </c>
      <c r="AD166" s="149" t="s">
        <v>561</v>
      </c>
      <c r="AE166" s="128" t="s">
        <v>561</v>
      </c>
      <c r="AF166" s="125" t="s">
        <v>561</v>
      </c>
      <c r="AG166" s="121" t="s">
        <v>53</v>
      </c>
      <c r="AH166" s="128" t="s">
        <v>561</v>
      </c>
      <c r="AI166" s="128" t="s">
        <v>561</v>
      </c>
      <c r="AJ166" s="128" t="s">
        <v>561</v>
      </c>
      <c r="AK166" s="125" t="s">
        <v>561</v>
      </c>
      <c r="AL166" s="128" t="s">
        <v>561</v>
      </c>
      <c r="AM166" s="128" t="s">
        <v>561</v>
      </c>
      <c r="AN166" s="128" t="s">
        <v>561</v>
      </c>
      <c r="AO166" s="128" t="s">
        <v>53</v>
      </c>
      <c r="AP166" s="121" t="s">
        <v>561</v>
      </c>
      <c r="AQ166" s="128" t="s">
        <v>53</v>
      </c>
      <c r="AR166" s="128" t="s">
        <v>561</v>
      </c>
      <c r="AS166" s="117" t="s">
        <v>561</v>
      </c>
      <c r="AT166" s="117" t="s">
        <v>561</v>
      </c>
      <c r="AU166" s="117" t="s">
        <v>561</v>
      </c>
      <c r="AV166" s="117" t="s">
        <v>561</v>
      </c>
      <c r="AW166" s="117" t="s">
        <v>561</v>
      </c>
      <c r="AX166" s="117" t="s">
        <v>561</v>
      </c>
      <c r="AY166" s="117" t="s">
        <v>561</v>
      </c>
      <c r="AZ166" s="117" t="s">
        <v>561</v>
      </c>
      <c r="BA166" s="117" t="s">
        <v>561</v>
      </c>
      <c r="BB166" s="117" t="s">
        <v>561</v>
      </c>
      <c r="BC166" s="117" t="s">
        <v>561</v>
      </c>
      <c r="BD166" s="164" t="s">
        <v>1832</v>
      </c>
      <c r="BE166" s="164" t="s">
        <v>1832</v>
      </c>
      <c r="BF166" s="130"/>
      <c r="BG166" s="130">
        <f t="shared" si="8"/>
        <v>200095</v>
      </c>
      <c r="BH166" s="131">
        <v>198095.0</v>
      </c>
      <c r="BI166" s="131"/>
      <c r="BJ166" s="132">
        <f t="shared" ref="BJ166:BJ167" si="13">2000</f>
        <v>2000</v>
      </c>
      <c r="BK166" s="132"/>
      <c r="BL166" s="133"/>
      <c r="BM166" s="133"/>
      <c r="BN166" s="133" t="s">
        <v>561</v>
      </c>
      <c r="BO166" s="133" t="s">
        <v>561</v>
      </c>
      <c r="BP166" s="133" t="s">
        <v>2636</v>
      </c>
      <c r="BQ166" s="134"/>
      <c r="BR166" s="134"/>
      <c r="BS166" s="181" t="s">
        <v>2030</v>
      </c>
      <c r="BT166" s="134"/>
      <c r="BU166" s="137">
        <f t="shared" si="6"/>
        <v>0.365</v>
      </c>
      <c r="BV166" s="138">
        <v>0.674</v>
      </c>
      <c r="BW166" s="137">
        <v>0.309</v>
      </c>
      <c r="BX166" s="137"/>
      <c r="BY166" s="137">
        <f t="shared" si="7"/>
        <v>0.239</v>
      </c>
      <c r="BZ166" s="138">
        <v>0.5920000000000001</v>
      </c>
      <c r="CA166" s="137">
        <v>0.353</v>
      </c>
      <c r="CB166" s="137"/>
      <c r="CC166" s="138">
        <v>0.457</v>
      </c>
      <c r="CD166" s="137">
        <v>0.06</v>
      </c>
      <c r="CE166" s="137">
        <v>0.43</v>
      </c>
      <c r="CF166" s="137">
        <v>0.042</v>
      </c>
      <c r="CG166" s="137">
        <v>0.022000000000000002</v>
      </c>
      <c r="CH166" s="137">
        <v>0.002</v>
      </c>
      <c r="CI166" s="139"/>
      <c r="CJ166" s="138">
        <v>0.508</v>
      </c>
      <c r="CK166" s="137">
        <v>0.040999999999999995</v>
      </c>
      <c r="CL166" s="137">
        <v>0.408</v>
      </c>
      <c r="CM166" s="137">
        <v>0.03</v>
      </c>
      <c r="CN166" s="137">
        <v>0.01</v>
      </c>
      <c r="CO166" s="137">
        <v>0.0</v>
      </c>
      <c r="CP166" s="137"/>
      <c r="CQ166" s="137">
        <v>0.358</v>
      </c>
      <c r="CR166" s="137">
        <v>0.375</v>
      </c>
      <c r="CS166" s="137">
        <v>0.317</v>
      </c>
    </row>
    <row r="167">
      <c r="A167" s="112">
        <f t="shared" si="1"/>
        <v>164</v>
      </c>
      <c r="B167" s="112" t="s">
        <v>258</v>
      </c>
      <c r="C167" s="112" t="s">
        <v>259</v>
      </c>
      <c r="D167" s="113" t="s">
        <v>253</v>
      </c>
      <c r="E167" s="163"/>
      <c r="F167" s="115">
        <f t="shared" si="2"/>
        <v>0</v>
      </c>
      <c r="G167" s="115">
        <f t="shared" si="3"/>
        <v>0.175</v>
      </c>
      <c r="H167" s="116">
        <f t="shared" si="4"/>
        <v>0.13125</v>
      </c>
      <c r="I167" s="117" t="s">
        <v>594</v>
      </c>
      <c r="J167" s="117" t="s">
        <v>594</v>
      </c>
      <c r="K167" s="117" t="s">
        <v>594</v>
      </c>
      <c r="L167" s="117" t="s">
        <v>594</v>
      </c>
      <c r="M167" s="117" t="s">
        <v>594</v>
      </c>
      <c r="N167" s="117" t="s">
        <v>594</v>
      </c>
      <c r="O167" s="149" t="s">
        <v>1256</v>
      </c>
      <c r="P167" s="120" t="s">
        <v>53</v>
      </c>
      <c r="Q167" s="121" t="s">
        <v>53</v>
      </c>
      <c r="R167" s="121" t="s">
        <v>561</v>
      </c>
      <c r="S167" s="149" t="s">
        <v>561</v>
      </c>
      <c r="T167" s="119" t="s">
        <v>53</v>
      </c>
      <c r="U167" s="149" t="s">
        <v>561</v>
      </c>
      <c r="V167" s="119" t="s">
        <v>53</v>
      </c>
      <c r="W167" s="119" t="s">
        <v>53</v>
      </c>
      <c r="X167" s="149" t="s">
        <v>561</v>
      </c>
      <c r="Y167" s="149" t="s">
        <v>561</v>
      </c>
      <c r="Z167" s="149" t="s">
        <v>561</v>
      </c>
      <c r="AA167" s="149" t="s">
        <v>561</v>
      </c>
      <c r="AB167" s="149" t="s">
        <v>561</v>
      </c>
      <c r="AC167" s="125" t="s">
        <v>561</v>
      </c>
      <c r="AD167" s="149" t="s">
        <v>561</v>
      </c>
      <c r="AE167" s="128" t="s">
        <v>561</v>
      </c>
      <c r="AF167" s="125" t="s">
        <v>561</v>
      </c>
      <c r="AG167" s="121" t="s">
        <v>561</v>
      </c>
      <c r="AH167" s="128" t="s">
        <v>561</v>
      </c>
      <c r="AI167" s="128" t="s">
        <v>561</v>
      </c>
      <c r="AJ167" s="128" t="s">
        <v>561</v>
      </c>
      <c r="AK167" s="125" t="s">
        <v>561</v>
      </c>
      <c r="AL167" s="128" t="s">
        <v>561</v>
      </c>
      <c r="AM167" s="128" t="s">
        <v>561</v>
      </c>
      <c r="AN167" s="128" t="s">
        <v>561</v>
      </c>
      <c r="AO167" s="128" t="s">
        <v>53</v>
      </c>
      <c r="AP167" s="121" t="s">
        <v>561</v>
      </c>
      <c r="AQ167" s="128" t="s">
        <v>53</v>
      </c>
      <c r="AR167" s="128" t="s">
        <v>561</v>
      </c>
      <c r="AS167" s="117" t="s">
        <v>561</v>
      </c>
      <c r="AT167" s="117" t="s">
        <v>561</v>
      </c>
      <c r="AU167" s="117" t="s">
        <v>561</v>
      </c>
      <c r="AV167" s="117" t="s">
        <v>561</v>
      </c>
      <c r="AW167" s="117" t="s">
        <v>561</v>
      </c>
      <c r="AX167" s="117" t="s">
        <v>561</v>
      </c>
      <c r="AY167" s="117" t="s">
        <v>561</v>
      </c>
      <c r="AZ167" s="117" t="s">
        <v>561</v>
      </c>
      <c r="BA167" s="117" t="s">
        <v>561</v>
      </c>
      <c r="BB167" s="117" t="s">
        <v>561</v>
      </c>
      <c r="BC167" s="117" t="s">
        <v>561</v>
      </c>
      <c r="BD167" s="164" t="s">
        <v>1832</v>
      </c>
      <c r="BE167" s="164" t="s">
        <v>1832</v>
      </c>
      <c r="BF167" s="130"/>
      <c r="BG167" s="130">
        <f t="shared" si="8"/>
        <v>27100</v>
      </c>
      <c r="BH167" s="131">
        <v>25100.0</v>
      </c>
      <c r="BI167" s="131"/>
      <c r="BJ167" s="132">
        <f t="shared" si="13"/>
        <v>2000</v>
      </c>
      <c r="BK167" s="132"/>
      <c r="BL167" s="133"/>
      <c r="BM167" s="133"/>
      <c r="BN167" s="133" t="s">
        <v>561</v>
      </c>
      <c r="BO167" s="133" t="s">
        <v>561</v>
      </c>
      <c r="BP167" s="133" t="s">
        <v>1711</v>
      </c>
      <c r="BQ167" s="134"/>
      <c r="BR167" s="135" t="s">
        <v>850</v>
      </c>
      <c r="BS167" s="181" t="s">
        <v>2030</v>
      </c>
      <c r="BT167" s="134"/>
      <c r="BU167" s="137">
        <f t="shared" si="6"/>
        <v>0.408</v>
      </c>
      <c r="BV167" s="138">
        <v>0.695</v>
      </c>
      <c r="BW167" s="137">
        <v>0.287</v>
      </c>
      <c r="BX167" s="137"/>
      <c r="BY167" s="137">
        <f t="shared" si="7"/>
        <v>0.451</v>
      </c>
      <c r="BZ167" s="138">
        <v>0.7</v>
      </c>
      <c r="CA167" s="137">
        <v>0.249</v>
      </c>
      <c r="CB167" s="137"/>
      <c r="CC167" s="138">
        <v>0.5479999999999999</v>
      </c>
      <c r="CD167" s="137">
        <v>0.235</v>
      </c>
      <c r="CE167" s="137">
        <v>0.055999999999999994</v>
      </c>
      <c r="CF167" s="137">
        <v>0.151</v>
      </c>
      <c r="CG167" s="137">
        <v>0.02</v>
      </c>
      <c r="CH167" s="137">
        <v>0.004</v>
      </c>
      <c r="CI167" s="139"/>
      <c r="CJ167" s="138">
        <v>0.61</v>
      </c>
      <c r="CK167" s="137">
        <v>0.201</v>
      </c>
      <c r="CL167" s="137">
        <v>0.055</v>
      </c>
      <c r="CM167" s="137">
        <v>0.12400000000000001</v>
      </c>
      <c r="CN167" s="137">
        <v>0.005</v>
      </c>
      <c r="CO167" s="137">
        <v>0.001</v>
      </c>
      <c r="CP167" s="137"/>
      <c r="CQ167" s="138">
        <v>0.5</v>
      </c>
      <c r="CR167" s="138">
        <v>0.584</v>
      </c>
      <c r="CS167" s="137">
        <v>0.254</v>
      </c>
    </row>
    <row r="168">
      <c r="A168" s="112">
        <f t="shared" si="1"/>
        <v>166</v>
      </c>
      <c r="B168" s="112" t="s">
        <v>841</v>
      </c>
      <c r="C168" s="112" t="s">
        <v>842</v>
      </c>
      <c r="D168" s="113" t="s">
        <v>838</v>
      </c>
      <c r="E168" s="154" t="s">
        <v>2637</v>
      </c>
      <c r="F168" s="115">
        <f t="shared" si="2"/>
        <v>0</v>
      </c>
      <c r="G168" s="115">
        <f t="shared" si="3"/>
        <v>0.1739130435</v>
      </c>
      <c r="H168" s="116">
        <f t="shared" si="4"/>
        <v>0.1304347826</v>
      </c>
      <c r="I168" s="117" t="s">
        <v>594</v>
      </c>
      <c r="J168" s="117" t="s">
        <v>594</v>
      </c>
      <c r="K168" s="117" t="s">
        <v>594</v>
      </c>
      <c r="L168" s="117" t="s">
        <v>594</v>
      </c>
      <c r="M168" s="117" t="s">
        <v>594</v>
      </c>
      <c r="N168" s="117" t="s">
        <v>594</v>
      </c>
      <c r="O168" s="149" t="s">
        <v>1256</v>
      </c>
      <c r="P168" s="185" t="s">
        <v>561</v>
      </c>
      <c r="Q168" s="121" t="s">
        <v>801</v>
      </c>
      <c r="R168" s="121" t="s">
        <v>801</v>
      </c>
      <c r="S168" s="119" t="s">
        <v>53</v>
      </c>
      <c r="T168" s="119" t="s">
        <v>53</v>
      </c>
      <c r="U168" s="123" t="s">
        <v>801</v>
      </c>
      <c r="V168" s="149" t="s">
        <v>561</v>
      </c>
      <c r="W168" s="119" t="s">
        <v>53</v>
      </c>
      <c r="X168" s="149" t="s">
        <v>561</v>
      </c>
      <c r="Y168" s="149" t="s">
        <v>561</v>
      </c>
      <c r="Z168" s="149" t="s">
        <v>561</v>
      </c>
      <c r="AA168" s="123" t="s">
        <v>801</v>
      </c>
      <c r="AB168" s="149" t="s">
        <v>561</v>
      </c>
      <c r="AC168" s="125" t="s">
        <v>561</v>
      </c>
      <c r="AD168" s="149" t="s">
        <v>561</v>
      </c>
      <c r="AE168" s="128" t="s">
        <v>561</v>
      </c>
      <c r="AF168" s="125" t="s">
        <v>801</v>
      </c>
      <c r="AG168" s="121" t="s">
        <v>53</v>
      </c>
      <c r="AH168" s="123" t="s">
        <v>801</v>
      </c>
      <c r="AI168" s="128" t="s">
        <v>561</v>
      </c>
      <c r="AJ168" s="123" t="s">
        <v>801</v>
      </c>
      <c r="AK168" s="125" t="s">
        <v>801</v>
      </c>
      <c r="AL168" s="123" t="s">
        <v>801</v>
      </c>
      <c r="AM168" s="128" t="s">
        <v>801</v>
      </c>
      <c r="AN168" s="128" t="s">
        <v>801</v>
      </c>
      <c r="AO168" s="128" t="s">
        <v>801</v>
      </c>
      <c r="AP168" s="121" t="s">
        <v>801</v>
      </c>
      <c r="AQ168" s="121" t="s">
        <v>801</v>
      </c>
      <c r="AR168" s="128" t="s">
        <v>801</v>
      </c>
      <c r="AS168" s="117" t="s">
        <v>561</v>
      </c>
      <c r="AT168" s="117" t="s">
        <v>561</v>
      </c>
      <c r="AU168" s="117" t="s">
        <v>561</v>
      </c>
      <c r="AV168" s="117" t="s">
        <v>561</v>
      </c>
      <c r="AW168" s="117" t="s">
        <v>561</v>
      </c>
      <c r="AX168" s="117" t="s">
        <v>561</v>
      </c>
      <c r="AY168" s="117" t="s">
        <v>561</v>
      </c>
      <c r="AZ168" s="117" t="s">
        <v>561</v>
      </c>
      <c r="BA168" s="117" t="s">
        <v>561</v>
      </c>
      <c r="BB168" s="117" t="s">
        <v>600</v>
      </c>
      <c r="BC168" s="117" t="s">
        <v>600</v>
      </c>
      <c r="BD168" s="129" t="s">
        <v>821</v>
      </c>
      <c r="BE168" s="129" t="s">
        <v>821</v>
      </c>
      <c r="BF168" s="130"/>
      <c r="BG168" s="130">
        <f t="shared" si="8"/>
        <v>86024</v>
      </c>
      <c r="BH168" s="131">
        <v>86024.0</v>
      </c>
      <c r="BI168" s="131"/>
      <c r="BJ168" s="132"/>
      <c r="BK168" s="132"/>
      <c r="BL168" s="133"/>
      <c r="BM168" s="133"/>
      <c r="BN168" s="133" t="s">
        <v>561</v>
      </c>
      <c r="BO168" s="133" t="s">
        <v>561</v>
      </c>
      <c r="BP168" s="133" t="s">
        <v>845</v>
      </c>
      <c r="BQ168" s="134"/>
      <c r="BR168" s="150" t="s">
        <v>1569</v>
      </c>
      <c r="BS168" s="181" t="s">
        <v>2030</v>
      </c>
      <c r="BT168" s="134"/>
      <c r="BU168" s="137">
        <f t="shared" si="6"/>
        <v>0.21</v>
      </c>
      <c r="BV168" s="138">
        <v>0.595</v>
      </c>
      <c r="BW168" s="137">
        <v>0.385</v>
      </c>
      <c r="BX168" s="137"/>
      <c r="BY168" s="137">
        <f t="shared" si="7"/>
        <v>0.11</v>
      </c>
      <c r="BZ168" s="138">
        <v>0.511</v>
      </c>
      <c r="CA168" s="137">
        <v>0.401</v>
      </c>
      <c r="CB168" s="137"/>
      <c r="CC168" s="138">
        <v>0.758</v>
      </c>
      <c r="CD168" s="137">
        <v>0.043</v>
      </c>
      <c r="CE168" s="137">
        <v>0.091</v>
      </c>
      <c r="CF168" s="137">
        <v>0.08900000000000001</v>
      </c>
      <c r="CG168" s="137">
        <v>0.015</v>
      </c>
      <c r="CH168" s="137">
        <v>0.001</v>
      </c>
      <c r="CI168" s="139"/>
      <c r="CJ168" s="138">
        <v>0.8370000000000001</v>
      </c>
      <c r="CK168" s="137">
        <v>0.023</v>
      </c>
      <c r="CL168" s="137">
        <v>0.069</v>
      </c>
      <c r="CM168" s="137">
        <v>0.062000000000000006</v>
      </c>
      <c r="CN168" s="137">
        <v>0.006999999999999999</v>
      </c>
      <c r="CO168" s="137">
        <v>0.0</v>
      </c>
      <c r="CP168" s="137"/>
      <c r="CQ168" s="138">
        <v>0.495</v>
      </c>
      <c r="CR168" s="138">
        <v>0.518</v>
      </c>
      <c r="CS168" s="137">
        <v>0.40299999999999997</v>
      </c>
    </row>
    <row r="169">
      <c r="A169" s="112">
        <f t="shared" si="1"/>
        <v>167</v>
      </c>
      <c r="B169" s="112" t="s">
        <v>401</v>
      </c>
      <c r="C169" s="112" t="s">
        <v>402</v>
      </c>
      <c r="D169" s="113" t="s">
        <v>394</v>
      </c>
      <c r="E169" s="186"/>
      <c r="F169" s="115">
        <f t="shared" si="2"/>
        <v>0</v>
      </c>
      <c r="G169" s="115">
        <f t="shared" si="3"/>
        <v>0.1724137931</v>
      </c>
      <c r="H169" s="116">
        <f t="shared" si="4"/>
        <v>0.1293103448</v>
      </c>
      <c r="I169" s="117" t="s">
        <v>594</v>
      </c>
      <c r="J169" s="117" t="s">
        <v>594</v>
      </c>
      <c r="K169" s="117" t="s">
        <v>594</v>
      </c>
      <c r="L169" s="117" t="s">
        <v>594</v>
      </c>
      <c r="M169" s="117" t="s">
        <v>594</v>
      </c>
      <c r="N169" s="117" t="s">
        <v>594</v>
      </c>
      <c r="O169" s="149" t="s">
        <v>1256</v>
      </c>
      <c r="P169" s="185" t="s">
        <v>561</v>
      </c>
      <c r="Q169" s="121" t="s">
        <v>561</v>
      </c>
      <c r="R169" s="121" t="s">
        <v>561</v>
      </c>
      <c r="S169" s="149" t="s">
        <v>561</v>
      </c>
      <c r="T169" s="119" t="s">
        <v>53</v>
      </c>
      <c r="U169" s="149" t="s">
        <v>561</v>
      </c>
      <c r="V169" s="149" t="s">
        <v>561</v>
      </c>
      <c r="W169" s="119" t="s">
        <v>53</v>
      </c>
      <c r="X169" s="149" t="s">
        <v>561</v>
      </c>
      <c r="Y169" s="149" t="s">
        <v>561</v>
      </c>
      <c r="Z169" s="128" t="s">
        <v>801</v>
      </c>
      <c r="AA169" s="123" t="s">
        <v>801</v>
      </c>
      <c r="AB169" s="123" t="s">
        <v>801</v>
      </c>
      <c r="AC169" s="125" t="s">
        <v>801</v>
      </c>
      <c r="AD169" s="123" t="s">
        <v>801</v>
      </c>
      <c r="AE169" s="128" t="s">
        <v>561</v>
      </c>
      <c r="AF169" s="125" t="s">
        <v>561</v>
      </c>
      <c r="AG169" s="121" t="s">
        <v>53</v>
      </c>
      <c r="AH169" s="128" t="s">
        <v>561</v>
      </c>
      <c r="AI169" s="128" t="s">
        <v>561</v>
      </c>
      <c r="AJ169" s="128" t="s">
        <v>561</v>
      </c>
      <c r="AK169" s="125" t="s">
        <v>561</v>
      </c>
      <c r="AL169" s="128" t="s">
        <v>561</v>
      </c>
      <c r="AM169" s="128" t="s">
        <v>561</v>
      </c>
      <c r="AN169" s="128" t="s">
        <v>561</v>
      </c>
      <c r="AO169" s="128" t="s">
        <v>53</v>
      </c>
      <c r="AP169" s="121" t="s">
        <v>561</v>
      </c>
      <c r="AQ169" s="128" t="s">
        <v>53</v>
      </c>
      <c r="AR169" s="128" t="s">
        <v>561</v>
      </c>
      <c r="AS169" s="117" t="s">
        <v>561</v>
      </c>
      <c r="AT169" s="117" t="s">
        <v>561</v>
      </c>
      <c r="AU169" s="117" t="s">
        <v>561</v>
      </c>
      <c r="AV169" s="117" t="s">
        <v>561</v>
      </c>
      <c r="AW169" s="117" t="s">
        <v>561</v>
      </c>
      <c r="AX169" s="117" t="s">
        <v>600</v>
      </c>
      <c r="AY169" s="117" t="s">
        <v>600</v>
      </c>
      <c r="AZ169" s="117" t="s">
        <v>600</v>
      </c>
      <c r="BA169" s="117" t="s">
        <v>600</v>
      </c>
      <c r="BB169" s="117" t="s">
        <v>600</v>
      </c>
      <c r="BC169" s="117" t="s">
        <v>600</v>
      </c>
      <c r="BD169" s="129" t="s">
        <v>821</v>
      </c>
      <c r="BE169" s="129" t="s">
        <v>821</v>
      </c>
      <c r="BF169" s="130"/>
      <c r="BG169" s="130">
        <f t="shared" si="8"/>
        <v>2000</v>
      </c>
      <c r="BH169" s="140"/>
      <c r="BI169" s="140"/>
      <c r="BJ169" s="132">
        <f>2000</f>
        <v>2000</v>
      </c>
      <c r="BK169" s="132"/>
      <c r="BL169" s="133"/>
      <c r="BM169" s="133" t="s">
        <v>561</v>
      </c>
      <c r="BN169" s="133" t="s">
        <v>561</v>
      </c>
      <c r="BO169" s="133"/>
      <c r="BP169" s="133" t="s">
        <v>976</v>
      </c>
      <c r="BQ169" s="134"/>
      <c r="BR169" s="150" t="s">
        <v>1569</v>
      </c>
      <c r="BS169" s="150" t="s">
        <v>135</v>
      </c>
      <c r="BT169" s="134"/>
      <c r="BU169" s="137">
        <f t="shared" si="6"/>
        <v>0.045</v>
      </c>
      <c r="BV169" s="138">
        <v>0.508</v>
      </c>
      <c r="BW169" s="137">
        <v>0.46299999999999997</v>
      </c>
      <c r="BX169" s="137"/>
      <c r="BY169" s="137">
        <f t="shared" si="7"/>
        <v>-0.018</v>
      </c>
      <c r="BZ169" s="137">
        <v>0.446</v>
      </c>
      <c r="CA169" s="138">
        <v>0.46399999999999997</v>
      </c>
      <c r="CB169" s="137"/>
      <c r="CC169" s="138">
        <v>0.561</v>
      </c>
      <c r="CD169" s="137">
        <v>0.345</v>
      </c>
      <c r="CE169" s="137">
        <v>0.026000000000000002</v>
      </c>
      <c r="CF169" s="137">
        <v>0.043</v>
      </c>
      <c r="CG169" s="137">
        <v>0.04</v>
      </c>
      <c r="CH169" s="137">
        <v>0.003</v>
      </c>
      <c r="CI169" s="139"/>
      <c r="CJ169" s="138">
        <v>0.65</v>
      </c>
      <c r="CK169" s="137">
        <v>0.284</v>
      </c>
      <c r="CL169" s="137">
        <v>0.021</v>
      </c>
      <c r="CM169" s="137">
        <v>0.03</v>
      </c>
      <c r="CN169" s="137">
        <v>0.012</v>
      </c>
      <c r="CO169" s="137">
        <v>0.001</v>
      </c>
      <c r="CP169" s="137"/>
      <c r="CQ169" s="137">
        <v>0.259</v>
      </c>
      <c r="CR169" s="137">
        <v>0.327</v>
      </c>
      <c r="CS169" s="137">
        <v>0.43700000000000006</v>
      </c>
    </row>
    <row r="170">
      <c r="A170" s="112">
        <f t="shared" si="1"/>
        <v>168</v>
      </c>
      <c r="B170" s="112" t="s">
        <v>652</v>
      </c>
      <c r="C170" s="112" t="s">
        <v>653</v>
      </c>
      <c r="D170" s="113" t="s">
        <v>649</v>
      </c>
      <c r="E170" s="163"/>
      <c r="F170" s="115">
        <f t="shared" si="2"/>
        <v>0</v>
      </c>
      <c r="G170" s="115">
        <f t="shared" si="3"/>
        <v>0.1666666667</v>
      </c>
      <c r="H170" s="116">
        <f t="shared" si="4"/>
        <v>0.125</v>
      </c>
      <c r="I170" s="117" t="s">
        <v>594</v>
      </c>
      <c r="J170" s="117" t="s">
        <v>594</v>
      </c>
      <c r="K170" s="117" t="s">
        <v>594</v>
      </c>
      <c r="L170" s="117" t="s">
        <v>594</v>
      </c>
      <c r="M170" s="117" t="s">
        <v>594</v>
      </c>
      <c r="N170" s="117" t="s">
        <v>594</v>
      </c>
      <c r="O170" s="149" t="s">
        <v>1256</v>
      </c>
      <c r="P170" s="185" t="s">
        <v>561</v>
      </c>
      <c r="Q170" s="121" t="s">
        <v>53</v>
      </c>
      <c r="R170" s="121" t="s">
        <v>561</v>
      </c>
      <c r="S170" s="149" t="s">
        <v>561</v>
      </c>
      <c r="T170" s="119" t="s">
        <v>53</v>
      </c>
      <c r="U170" s="149" t="s">
        <v>561</v>
      </c>
      <c r="V170" s="119" t="s">
        <v>53</v>
      </c>
      <c r="W170" s="119" t="s">
        <v>53</v>
      </c>
      <c r="X170" s="149" t="s">
        <v>561</v>
      </c>
      <c r="Y170" s="149" t="s">
        <v>561</v>
      </c>
      <c r="Z170" s="149" t="s">
        <v>561</v>
      </c>
      <c r="AA170" s="149" t="s">
        <v>561</v>
      </c>
      <c r="AB170" s="149" t="s">
        <v>561</v>
      </c>
      <c r="AC170" s="125" t="s">
        <v>561</v>
      </c>
      <c r="AD170" s="149" t="s">
        <v>561</v>
      </c>
      <c r="AE170" s="128" t="s">
        <v>561</v>
      </c>
      <c r="AF170" s="125" t="s">
        <v>561</v>
      </c>
      <c r="AG170" s="121" t="s">
        <v>561</v>
      </c>
      <c r="AH170" s="128" t="s">
        <v>561</v>
      </c>
      <c r="AI170" s="128" t="s">
        <v>561</v>
      </c>
      <c r="AJ170" s="128" t="s">
        <v>561</v>
      </c>
      <c r="AK170" s="125" t="s">
        <v>561</v>
      </c>
      <c r="AL170" s="128" t="s">
        <v>561</v>
      </c>
      <c r="AM170" s="128" t="s">
        <v>561</v>
      </c>
      <c r="AN170" s="128" t="s">
        <v>561</v>
      </c>
      <c r="AO170" s="128" t="s">
        <v>53</v>
      </c>
      <c r="AP170" s="121" t="s">
        <v>561</v>
      </c>
      <c r="AQ170" s="128" t="s">
        <v>53</v>
      </c>
      <c r="AR170" s="128" t="s">
        <v>561</v>
      </c>
      <c r="AS170" s="117" t="s">
        <v>561</v>
      </c>
      <c r="AT170" s="117" t="s">
        <v>561</v>
      </c>
      <c r="AU170" s="117" t="s">
        <v>561</v>
      </c>
      <c r="AV170" s="117" t="s">
        <v>561</v>
      </c>
      <c r="AW170" s="117" t="s">
        <v>561</v>
      </c>
      <c r="AX170" s="117" t="s">
        <v>561</v>
      </c>
      <c r="AY170" s="117" t="s">
        <v>561</v>
      </c>
      <c r="AZ170" s="117" t="s">
        <v>600</v>
      </c>
      <c r="BA170" s="117" t="s">
        <v>600</v>
      </c>
      <c r="BB170" s="117" t="s">
        <v>600</v>
      </c>
      <c r="BC170" s="117" t="s">
        <v>600</v>
      </c>
      <c r="BD170" s="164" t="s">
        <v>1832</v>
      </c>
      <c r="BE170" s="164" t="s">
        <v>1832</v>
      </c>
      <c r="BF170" s="130"/>
      <c r="BG170" s="130">
        <f t="shared" si="8"/>
        <v>39139</v>
      </c>
      <c r="BH170" s="131">
        <v>39139.0</v>
      </c>
      <c r="BI170" s="131"/>
      <c r="BJ170" s="132"/>
      <c r="BK170" s="132"/>
      <c r="BL170" s="133"/>
      <c r="BM170" s="133"/>
      <c r="BN170" s="133"/>
      <c r="BO170" s="133" t="s">
        <v>561</v>
      </c>
      <c r="BP170" s="133" t="s">
        <v>903</v>
      </c>
      <c r="BQ170" s="134"/>
      <c r="BR170" s="150" t="s">
        <v>1569</v>
      </c>
      <c r="BS170" s="181" t="s">
        <v>122</v>
      </c>
      <c r="BT170" s="134"/>
      <c r="BU170" s="137">
        <f t="shared" si="6"/>
        <v>0.084</v>
      </c>
      <c r="BV170" s="138">
        <v>0.534</v>
      </c>
      <c r="BW170" s="137">
        <v>0.45</v>
      </c>
      <c r="BX170" s="137"/>
      <c r="BY170" s="137">
        <f t="shared" si="7"/>
        <v>0.118</v>
      </c>
      <c r="BZ170" s="138">
        <v>0.53</v>
      </c>
      <c r="CA170" s="137">
        <v>0.41200000000000003</v>
      </c>
      <c r="CB170" s="137"/>
      <c r="CC170" s="138">
        <v>0.632</v>
      </c>
      <c r="CD170" s="137">
        <v>0.14300000000000002</v>
      </c>
      <c r="CE170" s="137">
        <v>0.18899999999999997</v>
      </c>
      <c r="CF170" s="137">
        <v>0.018000000000000002</v>
      </c>
      <c r="CG170" s="137">
        <v>0.021</v>
      </c>
      <c r="CH170" s="137">
        <v>0.001</v>
      </c>
      <c r="CI170" s="139"/>
      <c r="CJ170" s="138">
        <v>0.6759999999999999</v>
      </c>
      <c r="CK170" s="137">
        <v>0.125</v>
      </c>
      <c r="CL170" s="137">
        <v>0.18</v>
      </c>
      <c r="CM170" s="137">
        <v>0.012</v>
      </c>
      <c r="CN170" s="137">
        <v>0.006</v>
      </c>
      <c r="CO170" s="137">
        <v>0.0</v>
      </c>
      <c r="CP170" s="137"/>
      <c r="CQ170" s="137">
        <v>0.24</v>
      </c>
      <c r="CR170" s="137">
        <v>0.27</v>
      </c>
      <c r="CS170" s="137">
        <v>0.494</v>
      </c>
    </row>
    <row r="171">
      <c r="A171" s="112">
        <f t="shared" si="1"/>
        <v>169</v>
      </c>
      <c r="B171" s="112" t="s">
        <v>1048</v>
      </c>
      <c r="C171" s="112" t="s">
        <v>1049</v>
      </c>
      <c r="D171" s="113" t="s">
        <v>1044</v>
      </c>
      <c r="E171" s="163"/>
      <c r="F171" s="115">
        <f t="shared" si="2"/>
        <v>0</v>
      </c>
      <c r="G171" s="115">
        <f t="shared" si="3"/>
        <v>0.1617647059</v>
      </c>
      <c r="H171" s="116">
        <f t="shared" si="4"/>
        <v>0.1213235294</v>
      </c>
      <c r="I171" s="117" t="s">
        <v>594</v>
      </c>
      <c r="J171" s="117" t="s">
        <v>594</v>
      </c>
      <c r="K171" s="117" t="s">
        <v>594</v>
      </c>
      <c r="L171" s="117" t="s">
        <v>594</v>
      </c>
      <c r="M171" s="117" t="s">
        <v>594</v>
      </c>
      <c r="N171" s="117" t="s">
        <v>594</v>
      </c>
      <c r="O171" s="149" t="s">
        <v>1256</v>
      </c>
      <c r="P171" s="185" t="s">
        <v>561</v>
      </c>
      <c r="Q171" s="121" t="s">
        <v>53</v>
      </c>
      <c r="R171" s="121" t="s">
        <v>561</v>
      </c>
      <c r="S171" s="149" t="s">
        <v>561</v>
      </c>
      <c r="T171" s="119" t="s">
        <v>53</v>
      </c>
      <c r="U171" s="149" t="s">
        <v>561</v>
      </c>
      <c r="V171" s="149" t="s">
        <v>561</v>
      </c>
      <c r="W171" s="119" t="s">
        <v>53</v>
      </c>
      <c r="X171" s="149" t="s">
        <v>561</v>
      </c>
      <c r="Y171" s="149" t="s">
        <v>561</v>
      </c>
      <c r="Z171" s="149" t="s">
        <v>561</v>
      </c>
      <c r="AA171" s="149" t="s">
        <v>561</v>
      </c>
      <c r="AB171" s="149" t="s">
        <v>561</v>
      </c>
      <c r="AC171" s="125" t="s">
        <v>561</v>
      </c>
      <c r="AD171" s="149" t="s">
        <v>561</v>
      </c>
      <c r="AE171" s="128" t="s">
        <v>561</v>
      </c>
      <c r="AF171" s="125" t="s">
        <v>561</v>
      </c>
      <c r="AG171" s="121" t="s">
        <v>53</v>
      </c>
      <c r="AH171" s="128" t="s">
        <v>561</v>
      </c>
      <c r="AI171" s="128" t="s">
        <v>561</v>
      </c>
      <c r="AJ171" s="128" t="s">
        <v>561</v>
      </c>
      <c r="AK171" s="125" t="s">
        <v>799</v>
      </c>
      <c r="AL171" s="128" t="s">
        <v>561</v>
      </c>
      <c r="AM171" s="128" t="s">
        <v>561</v>
      </c>
      <c r="AN171" s="128" t="s">
        <v>561</v>
      </c>
      <c r="AO171" s="128" t="s">
        <v>561</v>
      </c>
      <c r="AP171" s="121" t="s">
        <v>561</v>
      </c>
      <c r="AQ171" s="128" t="s">
        <v>53</v>
      </c>
      <c r="AR171" s="128" t="s">
        <v>561</v>
      </c>
      <c r="AS171" s="117" t="s">
        <v>561</v>
      </c>
      <c r="AT171" s="117" t="s">
        <v>561</v>
      </c>
      <c r="AU171" s="117" t="s">
        <v>561</v>
      </c>
      <c r="AV171" s="117" t="s">
        <v>561</v>
      </c>
      <c r="AW171" s="117" t="s">
        <v>561</v>
      </c>
      <c r="AX171" s="117" t="s">
        <v>600</v>
      </c>
      <c r="AY171" s="117" t="s">
        <v>600</v>
      </c>
      <c r="AZ171" s="117" t="s">
        <v>600</v>
      </c>
      <c r="BA171" s="117" t="s">
        <v>600</v>
      </c>
      <c r="BB171" s="117" t="s">
        <v>600</v>
      </c>
      <c r="BC171" s="117" t="s">
        <v>600</v>
      </c>
      <c r="BD171" s="164" t="s">
        <v>1832</v>
      </c>
      <c r="BE171" s="164" t="s">
        <v>1832</v>
      </c>
      <c r="BF171" s="130"/>
      <c r="BG171" s="130">
        <f t="shared" si="8"/>
        <v>45825</v>
      </c>
      <c r="BH171" s="131">
        <v>45825.0</v>
      </c>
      <c r="BI171" s="131"/>
      <c r="BJ171" s="132"/>
      <c r="BK171" s="132"/>
      <c r="BL171" s="133"/>
      <c r="BM171" s="133"/>
      <c r="BN171" s="133"/>
      <c r="BO171" s="133"/>
      <c r="BP171" s="133" t="s">
        <v>2616</v>
      </c>
      <c r="BQ171" s="134"/>
      <c r="BR171" s="150" t="s">
        <v>1569</v>
      </c>
      <c r="BS171" s="134"/>
      <c r="BT171" s="134"/>
      <c r="BU171" s="137">
        <f t="shared" si="6"/>
        <v>0.084</v>
      </c>
      <c r="BV171" s="138">
        <v>0.534</v>
      </c>
      <c r="BW171" s="137">
        <v>0.45</v>
      </c>
      <c r="BX171" s="137"/>
      <c r="BY171" s="137">
        <f t="shared" si="7"/>
        <v>0.009</v>
      </c>
      <c r="BZ171" s="138">
        <v>0.479</v>
      </c>
      <c r="CA171" s="137">
        <v>0.47</v>
      </c>
      <c r="CB171" s="137"/>
      <c r="CC171" s="138">
        <v>0.6609999999999999</v>
      </c>
      <c r="CD171" s="137">
        <v>0.162</v>
      </c>
      <c r="CE171" s="137">
        <v>0.126</v>
      </c>
      <c r="CF171" s="137">
        <v>0.038</v>
      </c>
      <c r="CG171" s="137">
        <v>0.02</v>
      </c>
      <c r="CH171" s="137">
        <v>0.001</v>
      </c>
      <c r="CI171" s="139"/>
      <c r="CJ171" s="138">
        <v>0.7340000000000001</v>
      </c>
      <c r="CK171" s="137">
        <v>0.127</v>
      </c>
      <c r="CL171" s="137">
        <v>0.10800000000000001</v>
      </c>
      <c r="CM171" s="137">
        <v>0.024</v>
      </c>
      <c r="CN171" s="137">
        <v>0.006</v>
      </c>
      <c r="CO171" s="137">
        <v>0.0</v>
      </c>
      <c r="CP171" s="137"/>
      <c r="CQ171" s="137">
        <v>0.331</v>
      </c>
      <c r="CR171" s="137">
        <v>0.359</v>
      </c>
      <c r="CS171" s="137">
        <v>0.47100000000000003</v>
      </c>
    </row>
    <row r="172">
      <c r="A172" s="112">
        <f t="shared" si="1"/>
        <v>170</v>
      </c>
      <c r="B172" s="112" t="s">
        <v>1292</v>
      </c>
      <c r="C172" s="112" t="s">
        <v>1293</v>
      </c>
      <c r="D172" s="113" t="s">
        <v>1287</v>
      </c>
      <c r="E172" s="186"/>
      <c r="F172" s="115">
        <f t="shared" si="2"/>
        <v>0</v>
      </c>
      <c r="G172" s="115">
        <f t="shared" si="3"/>
        <v>0.1578947368</v>
      </c>
      <c r="H172" s="116">
        <f t="shared" si="4"/>
        <v>0.1184210526</v>
      </c>
      <c r="I172" s="117" t="s">
        <v>594</v>
      </c>
      <c r="J172" s="117" t="s">
        <v>594</v>
      </c>
      <c r="K172" s="117" t="s">
        <v>594</v>
      </c>
      <c r="L172" s="117" t="s">
        <v>594</v>
      </c>
      <c r="M172" s="117" t="s">
        <v>594</v>
      </c>
      <c r="N172" s="117" t="s">
        <v>594</v>
      </c>
      <c r="O172" s="149" t="s">
        <v>1256</v>
      </c>
      <c r="P172" s="185" t="s">
        <v>561</v>
      </c>
      <c r="Q172" s="121" t="s">
        <v>561</v>
      </c>
      <c r="R172" s="121" t="s">
        <v>561</v>
      </c>
      <c r="S172" s="149" t="s">
        <v>561</v>
      </c>
      <c r="T172" s="119" t="s">
        <v>53</v>
      </c>
      <c r="U172" s="149" t="s">
        <v>561</v>
      </c>
      <c r="V172" s="119" t="s">
        <v>53</v>
      </c>
      <c r="W172" s="119" t="s">
        <v>53</v>
      </c>
      <c r="X172" s="149" t="s">
        <v>561</v>
      </c>
      <c r="Y172" s="149" t="s">
        <v>561</v>
      </c>
      <c r="Z172" s="149" t="s">
        <v>561</v>
      </c>
      <c r="AA172" s="149" t="s">
        <v>561</v>
      </c>
      <c r="AB172" s="149" t="s">
        <v>561</v>
      </c>
      <c r="AC172" s="125" t="s">
        <v>561</v>
      </c>
      <c r="AD172" s="149" t="s">
        <v>561</v>
      </c>
      <c r="AE172" s="128" t="s">
        <v>561</v>
      </c>
      <c r="AF172" s="125" t="s">
        <v>561</v>
      </c>
      <c r="AG172" s="121" t="s">
        <v>53</v>
      </c>
      <c r="AH172" s="128" t="s">
        <v>561</v>
      </c>
      <c r="AI172" s="128" t="s">
        <v>561</v>
      </c>
      <c r="AJ172" s="128" t="s">
        <v>561</v>
      </c>
      <c r="AK172" s="125" t="s">
        <v>561</v>
      </c>
      <c r="AL172" s="128" t="s">
        <v>561</v>
      </c>
      <c r="AM172" s="128" t="s">
        <v>561</v>
      </c>
      <c r="AN172" s="128" t="s">
        <v>561</v>
      </c>
      <c r="AO172" s="128" t="s">
        <v>53</v>
      </c>
      <c r="AP172" s="121" t="s">
        <v>561</v>
      </c>
      <c r="AQ172" s="128" t="s">
        <v>53</v>
      </c>
      <c r="AR172" s="128" t="s">
        <v>561</v>
      </c>
      <c r="AS172" s="117" t="s">
        <v>561</v>
      </c>
      <c r="AT172" s="117" t="s">
        <v>561</v>
      </c>
      <c r="AU172" s="117" t="s">
        <v>561</v>
      </c>
      <c r="AV172" s="117" t="s">
        <v>561</v>
      </c>
      <c r="AW172" s="117" t="s">
        <v>561</v>
      </c>
      <c r="AX172" s="117" t="s">
        <v>561</v>
      </c>
      <c r="AY172" s="117" t="s">
        <v>561</v>
      </c>
      <c r="AZ172" s="117" t="s">
        <v>561</v>
      </c>
      <c r="BA172" s="117" t="s">
        <v>561</v>
      </c>
      <c r="BB172" s="117" t="s">
        <v>600</v>
      </c>
      <c r="BC172" s="117" t="s">
        <v>600</v>
      </c>
      <c r="BD172" s="129" t="s">
        <v>821</v>
      </c>
      <c r="BE172" s="129" t="s">
        <v>821</v>
      </c>
      <c r="BF172" s="130"/>
      <c r="BG172" s="130">
        <f t="shared" si="8"/>
        <v>50091</v>
      </c>
      <c r="BH172" s="131">
        <v>46091.0</v>
      </c>
      <c r="BI172" s="131"/>
      <c r="BJ172" s="132">
        <f>2000+2000</f>
        <v>4000</v>
      </c>
      <c r="BK172" s="132"/>
      <c r="BL172" s="133"/>
      <c r="BM172" s="133" t="s">
        <v>561</v>
      </c>
      <c r="BN172" s="133" t="s">
        <v>561</v>
      </c>
      <c r="BO172" s="133" t="s">
        <v>561</v>
      </c>
      <c r="BP172" s="133" t="s">
        <v>845</v>
      </c>
      <c r="BQ172" s="134"/>
      <c r="BR172" s="150" t="s">
        <v>1569</v>
      </c>
      <c r="BS172" s="181" t="s">
        <v>2030</v>
      </c>
      <c r="BT172" s="134"/>
      <c r="BU172" s="137">
        <f t="shared" si="6"/>
        <v>0.33</v>
      </c>
      <c r="BV172" s="138">
        <v>0.657</v>
      </c>
      <c r="BW172" s="137">
        <v>0.327</v>
      </c>
      <c r="BX172" s="137"/>
      <c r="BY172" s="137">
        <f t="shared" si="7"/>
        <v>0.261</v>
      </c>
      <c r="BZ172" s="138">
        <v>0.605</v>
      </c>
      <c r="CA172" s="137">
        <v>0.344</v>
      </c>
      <c r="CB172" s="137"/>
      <c r="CC172" s="138">
        <v>0.36200000000000004</v>
      </c>
      <c r="CD172" s="137">
        <v>0.326</v>
      </c>
      <c r="CE172" s="137">
        <v>0.203</v>
      </c>
      <c r="CF172" s="137">
        <v>0.09699999999999999</v>
      </c>
      <c r="CG172" s="137">
        <v>0.027000000000000003</v>
      </c>
      <c r="CH172" s="137">
        <v>0.002</v>
      </c>
      <c r="CI172" s="139"/>
      <c r="CJ172" s="138">
        <v>0.467</v>
      </c>
      <c r="CK172" s="137">
        <v>0.21100000000000002</v>
      </c>
      <c r="CL172" s="137">
        <v>0.23800000000000002</v>
      </c>
      <c r="CM172" s="137">
        <v>0.071</v>
      </c>
      <c r="CN172" s="137">
        <v>0.011000000000000001</v>
      </c>
      <c r="CO172" s="137">
        <v>0.0</v>
      </c>
      <c r="CP172" s="137"/>
      <c r="CQ172" s="137">
        <v>0.371</v>
      </c>
      <c r="CR172" s="138">
        <v>0.547</v>
      </c>
      <c r="CS172" s="137">
        <v>0.212</v>
      </c>
    </row>
    <row r="173">
      <c r="A173" s="112">
        <f t="shared" si="1"/>
        <v>170</v>
      </c>
      <c r="B173" s="112" t="s">
        <v>95</v>
      </c>
      <c r="C173" s="112" t="s">
        <v>2498</v>
      </c>
      <c r="D173" s="117" t="s">
        <v>2497</v>
      </c>
      <c r="E173" s="163"/>
      <c r="F173" s="115">
        <f t="shared" si="2"/>
        <v>0</v>
      </c>
      <c r="G173" s="115">
        <f t="shared" si="3"/>
        <v>0.1578947368</v>
      </c>
      <c r="H173" s="116">
        <f t="shared" si="4"/>
        <v>0.1184210526</v>
      </c>
      <c r="I173" s="117" t="s">
        <v>594</v>
      </c>
      <c r="J173" s="117" t="s">
        <v>594</v>
      </c>
      <c r="K173" s="117" t="s">
        <v>594</v>
      </c>
      <c r="L173" s="117" t="s">
        <v>594</v>
      </c>
      <c r="M173" s="117" t="s">
        <v>594</v>
      </c>
      <c r="N173" s="117" t="s">
        <v>594</v>
      </c>
      <c r="O173" s="149" t="s">
        <v>1256</v>
      </c>
      <c r="P173" s="185" t="s">
        <v>561</v>
      </c>
      <c r="Q173" s="121" t="s">
        <v>53</v>
      </c>
      <c r="R173" s="121" t="s">
        <v>561</v>
      </c>
      <c r="S173" s="149" t="s">
        <v>561</v>
      </c>
      <c r="T173" s="119" t="s">
        <v>53</v>
      </c>
      <c r="U173" s="149" t="s">
        <v>561</v>
      </c>
      <c r="V173" s="149" t="s">
        <v>561</v>
      </c>
      <c r="W173" s="119" t="s">
        <v>53</v>
      </c>
      <c r="X173" s="149" t="s">
        <v>561</v>
      </c>
      <c r="Y173" s="149" t="s">
        <v>561</v>
      </c>
      <c r="Z173" s="119" t="s">
        <v>53</v>
      </c>
      <c r="AA173" s="149" t="s">
        <v>561</v>
      </c>
      <c r="AB173" s="149" t="s">
        <v>561</v>
      </c>
      <c r="AC173" s="125" t="s">
        <v>561</v>
      </c>
      <c r="AD173" s="149" t="s">
        <v>561</v>
      </c>
      <c r="AE173" s="128" t="s">
        <v>561</v>
      </c>
      <c r="AF173" s="125" t="s">
        <v>561</v>
      </c>
      <c r="AG173" s="121" t="s">
        <v>561</v>
      </c>
      <c r="AH173" s="128" t="s">
        <v>561</v>
      </c>
      <c r="AI173" s="128" t="s">
        <v>561</v>
      </c>
      <c r="AJ173" s="128" t="s">
        <v>561</v>
      </c>
      <c r="AK173" s="125" t="s">
        <v>561</v>
      </c>
      <c r="AL173" s="128" t="s">
        <v>561</v>
      </c>
      <c r="AM173" s="128" t="s">
        <v>561</v>
      </c>
      <c r="AN173" s="128" t="s">
        <v>561</v>
      </c>
      <c r="AO173" s="128" t="s">
        <v>53</v>
      </c>
      <c r="AP173" s="121" t="s">
        <v>561</v>
      </c>
      <c r="AQ173" s="128" t="s">
        <v>53</v>
      </c>
      <c r="AR173" s="128" t="s">
        <v>561</v>
      </c>
      <c r="AS173" s="117" t="s">
        <v>561</v>
      </c>
      <c r="AT173" s="117" t="s">
        <v>561</v>
      </c>
      <c r="AU173" s="117" t="s">
        <v>561</v>
      </c>
      <c r="AV173" s="117" t="s">
        <v>561</v>
      </c>
      <c r="AW173" s="117" t="s">
        <v>561</v>
      </c>
      <c r="AX173" s="117" t="s">
        <v>561</v>
      </c>
      <c r="AY173" s="117" t="s">
        <v>561</v>
      </c>
      <c r="AZ173" s="117" t="s">
        <v>561</v>
      </c>
      <c r="BA173" s="117" t="s">
        <v>561</v>
      </c>
      <c r="BB173" s="117" t="s">
        <v>600</v>
      </c>
      <c r="BC173" s="117" t="s">
        <v>600</v>
      </c>
      <c r="BD173" s="164" t="s">
        <v>1832</v>
      </c>
      <c r="BE173" s="164" t="s">
        <v>1832</v>
      </c>
      <c r="BF173" s="130"/>
      <c r="BG173" s="130">
        <f t="shared" si="8"/>
        <v>26741</v>
      </c>
      <c r="BH173" s="131">
        <v>24741.0</v>
      </c>
      <c r="BI173" s="131"/>
      <c r="BJ173" s="132">
        <f>2000</f>
        <v>2000</v>
      </c>
      <c r="BK173" s="132"/>
      <c r="BL173" s="133"/>
      <c r="BM173" s="133" t="s">
        <v>561</v>
      </c>
      <c r="BN173" s="133" t="s">
        <v>561</v>
      </c>
      <c r="BO173" s="133" t="s">
        <v>561</v>
      </c>
      <c r="BP173" s="133" t="s">
        <v>845</v>
      </c>
      <c r="BQ173" s="134"/>
      <c r="BR173" s="135" t="s">
        <v>850</v>
      </c>
      <c r="BS173" s="181" t="s">
        <v>2030</v>
      </c>
      <c r="BT173" s="134"/>
      <c r="BU173" s="137">
        <f t="shared" si="6"/>
        <v>0.114</v>
      </c>
      <c r="BV173" s="142">
        <v>0.546</v>
      </c>
      <c r="BW173" s="141">
        <v>0.43200000000000005</v>
      </c>
      <c r="BX173" s="141"/>
      <c r="BY173" s="137">
        <f t="shared" si="7"/>
        <v>0.056</v>
      </c>
      <c r="BZ173" s="142">
        <v>0.49700000000000005</v>
      </c>
      <c r="CA173" s="141">
        <v>0.441</v>
      </c>
      <c r="CB173" s="141"/>
      <c r="CC173" s="142">
        <v>0.61</v>
      </c>
      <c r="CD173" s="141">
        <v>0.245</v>
      </c>
      <c r="CE173" s="141">
        <v>0.033</v>
      </c>
      <c r="CF173" s="141">
        <v>0.091</v>
      </c>
      <c r="CG173" s="141">
        <v>0.027999999999999997</v>
      </c>
      <c r="CH173" s="141">
        <v>0.009000000000000001</v>
      </c>
      <c r="CI173" s="139"/>
      <c r="CJ173" s="142">
        <v>0.67</v>
      </c>
      <c r="CK173" s="141">
        <v>0.20600000000000002</v>
      </c>
      <c r="CL173" s="141">
        <v>0.032</v>
      </c>
      <c r="CM173" s="141">
        <v>0.07400000000000001</v>
      </c>
      <c r="CN173" s="141">
        <v>0.008</v>
      </c>
      <c r="CO173" s="141">
        <v>0.004</v>
      </c>
      <c r="CP173" s="141"/>
      <c r="CQ173" s="141">
        <v>0.456</v>
      </c>
      <c r="CR173" s="142">
        <v>0.5379999999999999</v>
      </c>
      <c r="CS173" s="141">
        <v>0.31</v>
      </c>
    </row>
    <row r="174">
      <c r="A174" s="112">
        <f t="shared" si="1"/>
        <v>170</v>
      </c>
      <c r="B174" s="112" t="s">
        <v>805</v>
      </c>
      <c r="C174" s="112" t="s">
        <v>806</v>
      </c>
      <c r="D174" s="113" t="s">
        <v>803</v>
      </c>
      <c r="E174" s="186"/>
      <c r="F174" s="115">
        <f t="shared" si="2"/>
        <v>0</v>
      </c>
      <c r="G174" s="115">
        <f t="shared" si="3"/>
        <v>0.1578947368</v>
      </c>
      <c r="H174" s="116">
        <f t="shared" si="4"/>
        <v>0.1184210526</v>
      </c>
      <c r="I174" s="117" t="s">
        <v>594</v>
      </c>
      <c r="J174" s="117" t="s">
        <v>594</v>
      </c>
      <c r="K174" s="117" t="s">
        <v>594</v>
      </c>
      <c r="L174" s="117" t="s">
        <v>594</v>
      </c>
      <c r="M174" s="117" t="s">
        <v>594</v>
      </c>
      <c r="N174" s="117" t="s">
        <v>594</v>
      </c>
      <c r="O174" s="149" t="s">
        <v>1256</v>
      </c>
      <c r="P174" s="185" t="s">
        <v>561</v>
      </c>
      <c r="Q174" s="121" t="s">
        <v>53</v>
      </c>
      <c r="R174" s="121" t="s">
        <v>561</v>
      </c>
      <c r="S174" s="149" t="s">
        <v>561</v>
      </c>
      <c r="T174" s="119" t="s">
        <v>53</v>
      </c>
      <c r="U174" s="149" t="s">
        <v>561</v>
      </c>
      <c r="V174" s="149" t="s">
        <v>561</v>
      </c>
      <c r="W174" s="119" t="s">
        <v>53</v>
      </c>
      <c r="X174" s="149" t="s">
        <v>561</v>
      </c>
      <c r="Y174" s="149" t="s">
        <v>561</v>
      </c>
      <c r="Z174" s="149" t="s">
        <v>561</v>
      </c>
      <c r="AA174" s="149" t="s">
        <v>561</v>
      </c>
      <c r="AB174" s="149" t="s">
        <v>561</v>
      </c>
      <c r="AC174" s="125" t="s">
        <v>561</v>
      </c>
      <c r="AD174" s="149" t="s">
        <v>561</v>
      </c>
      <c r="AE174" s="128" t="s">
        <v>561</v>
      </c>
      <c r="AF174" s="125" t="s">
        <v>561</v>
      </c>
      <c r="AG174" s="121" t="s">
        <v>53</v>
      </c>
      <c r="AH174" s="128" t="s">
        <v>561</v>
      </c>
      <c r="AI174" s="128" t="s">
        <v>561</v>
      </c>
      <c r="AJ174" s="128" t="s">
        <v>561</v>
      </c>
      <c r="AK174" s="125" t="s">
        <v>561</v>
      </c>
      <c r="AL174" s="128" t="s">
        <v>561</v>
      </c>
      <c r="AM174" s="128" t="s">
        <v>561</v>
      </c>
      <c r="AN174" s="128" t="s">
        <v>561</v>
      </c>
      <c r="AO174" s="128" t="s">
        <v>53</v>
      </c>
      <c r="AP174" s="121" t="s">
        <v>561</v>
      </c>
      <c r="AQ174" s="128" t="s">
        <v>53</v>
      </c>
      <c r="AR174" s="128" t="s">
        <v>561</v>
      </c>
      <c r="AS174" s="117" t="s">
        <v>561</v>
      </c>
      <c r="AT174" s="117" t="s">
        <v>561</v>
      </c>
      <c r="AU174" s="117" t="s">
        <v>561</v>
      </c>
      <c r="AV174" s="117" t="s">
        <v>561</v>
      </c>
      <c r="AW174" s="117" t="s">
        <v>561</v>
      </c>
      <c r="AX174" s="117" t="s">
        <v>561</v>
      </c>
      <c r="AY174" s="117" t="s">
        <v>561</v>
      </c>
      <c r="AZ174" s="117" t="s">
        <v>561</v>
      </c>
      <c r="BA174" s="117" t="s">
        <v>561</v>
      </c>
      <c r="BB174" s="117" t="s">
        <v>600</v>
      </c>
      <c r="BC174" s="117" t="s">
        <v>600</v>
      </c>
      <c r="BD174" s="129" t="s">
        <v>821</v>
      </c>
      <c r="BE174" s="129" t="s">
        <v>821</v>
      </c>
      <c r="BF174" s="130"/>
      <c r="BG174" s="130">
        <f t="shared" si="8"/>
        <v>24706</v>
      </c>
      <c r="BH174" s="131">
        <v>20706.0</v>
      </c>
      <c r="BI174" s="131"/>
      <c r="BJ174" s="132">
        <f t="shared" ref="BJ174:BJ175" si="14">2000+2000</f>
        <v>4000</v>
      </c>
      <c r="BK174" s="132"/>
      <c r="BL174" s="133"/>
      <c r="BM174" s="133"/>
      <c r="BN174" s="133" t="s">
        <v>561</v>
      </c>
      <c r="BO174" s="133" t="s">
        <v>561</v>
      </c>
      <c r="BP174" s="133" t="s">
        <v>845</v>
      </c>
      <c r="BQ174" s="134"/>
      <c r="BR174" s="150" t="s">
        <v>1569</v>
      </c>
      <c r="BS174" s="181" t="s">
        <v>2030</v>
      </c>
      <c r="BT174" s="134"/>
      <c r="BU174" s="242">
        <f t="shared" si="6"/>
        <v>0.005</v>
      </c>
      <c r="BV174" s="243">
        <v>0.494</v>
      </c>
      <c r="BW174" s="242">
        <v>0.489</v>
      </c>
      <c r="BX174" s="242"/>
      <c r="BY174" s="137">
        <f t="shared" si="7"/>
        <v>-0.038</v>
      </c>
      <c r="BZ174" s="137">
        <v>0.451</v>
      </c>
      <c r="CA174" s="138">
        <v>0.489</v>
      </c>
      <c r="CB174" s="138"/>
      <c r="CC174" s="138">
        <v>0.82</v>
      </c>
      <c r="CD174" s="137">
        <v>0.048</v>
      </c>
      <c r="CE174" s="137">
        <v>0.068</v>
      </c>
      <c r="CF174" s="137">
        <v>0.038</v>
      </c>
      <c r="CG174" s="137">
        <v>0.022000000000000002</v>
      </c>
      <c r="CH174" s="137">
        <v>0.001</v>
      </c>
      <c r="CI174" s="139"/>
      <c r="CJ174" s="138">
        <v>0.865</v>
      </c>
      <c r="CK174" s="137">
        <v>0.042</v>
      </c>
      <c r="CL174" s="137">
        <v>0.06</v>
      </c>
      <c r="CM174" s="137">
        <v>0.022000000000000002</v>
      </c>
      <c r="CN174" s="137">
        <v>0.01</v>
      </c>
      <c r="CO174" s="137">
        <v>0.0</v>
      </c>
      <c r="CP174" s="137"/>
      <c r="CQ174" s="137">
        <v>0.349</v>
      </c>
      <c r="CR174" s="137">
        <v>0.349</v>
      </c>
      <c r="CS174" s="138">
        <v>0.563</v>
      </c>
    </row>
    <row r="175">
      <c r="A175" s="112">
        <f t="shared" si="1"/>
        <v>170</v>
      </c>
      <c r="B175" s="112" t="s">
        <v>817</v>
      </c>
      <c r="C175" s="112" t="s">
        <v>818</v>
      </c>
      <c r="D175" s="113" t="s">
        <v>814</v>
      </c>
      <c r="E175" s="163"/>
      <c r="F175" s="115">
        <f t="shared" si="2"/>
        <v>0</v>
      </c>
      <c r="G175" s="115">
        <f t="shared" si="3"/>
        <v>0.1578947368</v>
      </c>
      <c r="H175" s="116">
        <f t="shared" si="4"/>
        <v>0.1184210526</v>
      </c>
      <c r="I175" s="117" t="s">
        <v>594</v>
      </c>
      <c r="J175" s="117" t="s">
        <v>594</v>
      </c>
      <c r="K175" s="117" t="s">
        <v>594</v>
      </c>
      <c r="L175" s="117" t="s">
        <v>594</v>
      </c>
      <c r="M175" s="117" t="s">
        <v>594</v>
      </c>
      <c r="N175" s="117" t="s">
        <v>594</v>
      </c>
      <c r="O175" s="149" t="s">
        <v>1256</v>
      </c>
      <c r="P175" s="120" t="s">
        <v>53</v>
      </c>
      <c r="Q175" s="121" t="s">
        <v>53</v>
      </c>
      <c r="R175" s="121" t="s">
        <v>561</v>
      </c>
      <c r="S175" s="149" t="s">
        <v>561</v>
      </c>
      <c r="T175" s="119" t="s">
        <v>53</v>
      </c>
      <c r="U175" s="149" t="s">
        <v>561</v>
      </c>
      <c r="V175" s="119" t="s">
        <v>53</v>
      </c>
      <c r="W175" s="119" t="s">
        <v>53</v>
      </c>
      <c r="X175" s="149" t="s">
        <v>561</v>
      </c>
      <c r="Y175" s="149" t="s">
        <v>561</v>
      </c>
      <c r="Z175" s="149" t="s">
        <v>561</v>
      </c>
      <c r="AA175" s="149" t="s">
        <v>561</v>
      </c>
      <c r="AB175" s="149" t="s">
        <v>561</v>
      </c>
      <c r="AC175" s="125" t="s">
        <v>561</v>
      </c>
      <c r="AD175" s="149" t="s">
        <v>561</v>
      </c>
      <c r="AE175" s="128" t="s">
        <v>561</v>
      </c>
      <c r="AF175" s="125" t="s">
        <v>561</v>
      </c>
      <c r="AG175" s="121" t="s">
        <v>561</v>
      </c>
      <c r="AH175" s="128" t="s">
        <v>561</v>
      </c>
      <c r="AI175" s="128" t="s">
        <v>561</v>
      </c>
      <c r="AJ175" s="128" t="s">
        <v>561</v>
      </c>
      <c r="AK175" s="125" t="s">
        <v>561</v>
      </c>
      <c r="AL175" s="128" t="s">
        <v>561</v>
      </c>
      <c r="AM175" s="128" t="s">
        <v>561</v>
      </c>
      <c r="AN175" s="128" t="s">
        <v>561</v>
      </c>
      <c r="AO175" s="128" t="s">
        <v>53</v>
      </c>
      <c r="AP175" s="121" t="s">
        <v>561</v>
      </c>
      <c r="AQ175" s="128" t="s">
        <v>561</v>
      </c>
      <c r="AR175" s="128" t="s">
        <v>561</v>
      </c>
      <c r="AS175" s="117" t="s">
        <v>561</v>
      </c>
      <c r="AT175" s="117" t="s">
        <v>561</v>
      </c>
      <c r="AU175" s="117" t="s">
        <v>561</v>
      </c>
      <c r="AV175" s="117" t="s">
        <v>561</v>
      </c>
      <c r="AW175" s="117" t="s">
        <v>561</v>
      </c>
      <c r="AX175" s="117" t="s">
        <v>561</v>
      </c>
      <c r="AY175" s="117" t="s">
        <v>561</v>
      </c>
      <c r="AZ175" s="117" t="s">
        <v>561</v>
      </c>
      <c r="BA175" s="117" t="s">
        <v>561</v>
      </c>
      <c r="BB175" s="117" t="s">
        <v>600</v>
      </c>
      <c r="BC175" s="117" t="s">
        <v>600</v>
      </c>
      <c r="BD175" s="164" t="s">
        <v>1832</v>
      </c>
      <c r="BE175" s="164" t="s">
        <v>1832</v>
      </c>
      <c r="BF175" s="130"/>
      <c r="BG175" s="130">
        <f t="shared" si="8"/>
        <v>4932335</v>
      </c>
      <c r="BH175" s="131">
        <v>704992.0</v>
      </c>
      <c r="BI175" s="131">
        <v>4219823.0</v>
      </c>
      <c r="BJ175" s="132">
        <f t="shared" si="14"/>
        <v>4000</v>
      </c>
      <c r="BK175" s="132">
        <v>3520.0</v>
      </c>
      <c r="BL175" s="133"/>
      <c r="BM175" s="133"/>
      <c r="BN175" s="133" t="s">
        <v>561</v>
      </c>
      <c r="BO175" s="133" t="s">
        <v>561</v>
      </c>
      <c r="BP175" s="133" t="s">
        <v>845</v>
      </c>
      <c r="BQ175" s="134"/>
      <c r="BR175" s="150" t="s">
        <v>1569</v>
      </c>
      <c r="BS175" s="181" t="s">
        <v>2030</v>
      </c>
      <c r="BT175" s="134"/>
      <c r="BU175" s="137">
        <f t="shared" si="6"/>
        <v>0.199</v>
      </c>
      <c r="BV175" s="138">
        <v>0.593</v>
      </c>
      <c r="BW175" s="137">
        <v>0.39399999999999996</v>
      </c>
      <c r="BX175" s="137"/>
      <c r="BY175" s="137">
        <f t="shared" si="7"/>
        <v>0.139</v>
      </c>
      <c r="BZ175" s="138">
        <v>0.545</v>
      </c>
      <c r="CA175" s="137">
        <v>0.406</v>
      </c>
      <c r="CB175" s="137"/>
      <c r="CC175" s="138">
        <v>0.7090000000000001</v>
      </c>
      <c r="CD175" s="137">
        <v>0.045</v>
      </c>
      <c r="CE175" s="137">
        <v>0.136</v>
      </c>
      <c r="CF175" s="137">
        <v>0.091</v>
      </c>
      <c r="CG175" s="137">
        <v>0.015</v>
      </c>
      <c r="CH175" s="137">
        <v>0.001</v>
      </c>
      <c r="CI175" s="139"/>
      <c r="CJ175" s="138">
        <v>0.7590000000000001</v>
      </c>
      <c r="CK175" s="137">
        <v>0.028999999999999998</v>
      </c>
      <c r="CL175" s="137">
        <v>0.147</v>
      </c>
      <c r="CM175" s="137">
        <v>0.055</v>
      </c>
      <c r="CN175" s="137">
        <v>0.008</v>
      </c>
      <c r="CO175" s="137">
        <v>0.001</v>
      </c>
      <c r="CP175" s="137"/>
      <c r="CQ175" s="137">
        <v>0.47700000000000004</v>
      </c>
      <c r="CR175" s="137">
        <v>0.483</v>
      </c>
      <c r="CS175" s="137">
        <v>0.392</v>
      </c>
    </row>
    <row r="176">
      <c r="A176" s="112">
        <f t="shared" si="1"/>
        <v>174</v>
      </c>
      <c r="B176" s="112" t="s">
        <v>1689</v>
      </c>
      <c r="C176" s="112" t="s">
        <v>2432</v>
      </c>
      <c r="D176" s="113" t="s">
        <v>2431</v>
      </c>
      <c r="E176" s="186"/>
      <c r="F176" s="115">
        <f t="shared" si="2"/>
        <v>0</v>
      </c>
      <c r="G176" s="115">
        <f t="shared" si="3"/>
        <v>0.15625</v>
      </c>
      <c r="H176" s="116">
        <f t="shared" si="4"/>
        <v>0.1171875</v>
      </c>
      <c r="I176" s="117" t="s">
        <v>594</v>
      </c>
      <c r="J176" s="117" t="s">
        <v>594</v>
      </c>
      <c r="K176" s="117" t="s">
        <v>594</v>
      </c>
      <c r="L176" s="117" t="s">
        <v>594</v>
      </c>
      <c r="M176" s="117" t="s">
        <v>594</v>
      </c>
      <c r="N176" s="117" t="s">
        <v>594</v>
      </c>
      <c r="O176" s="149" t="s">
        <v>1256</v>
      </c>
      <c r="P176" s="185" t="s">
        <v>561</v>
      </c>
      <c r="Q176" s="121" t="s">
        <v>53</v>
      </c>
      <c r="R176" s="121" t="s">
        <v>561</v>
      </c>
      <c r="S176" s="119" t="s">
        <v>53</v>
      </c>
      <c r="T176" s="123" t="s">
        <v>801</v>
      </c>
      <c r="U176" s="119" t="s">
        <v>53</v>
      </c>
      <c r="V176" s="149" t="s">
        <v>561</v>
      </c>
      <c r="W176" s="149" t="s">
        <v>561</v>
      </c>
      <c r="X176" s="149" t="s">
        <v>561</v>
      </c>
      <c r="Y176" s="149" t="s">
        <v>561</v>
      </c>
      <c r="Z176" s="149" t="s">
        <v>561</v>
      </c>
      <c r="AA176" s="149" t="s">
        <v>561</v>
      </c>
      <c r="AB176" s="149" t="s">
        <v>561</v>
      </c>
      <c r="AC176" s="125" t="s">
        <v>561</v>
      </c>
      <c r="AD176" s="149" t="s">
        <v>561</v>
      </c>
      <c r="AE176" s="128" t="s">
        <v>561</v>
      </c>
      <c r="AF176" s="125" t="s">
        <v>561</v>
      </c>
      <c r="AG176" s="121" t="s">
        <v>561</v>
      </c>
      <c r="AH176" s="128" t="s">
        <v>561</v>
      </c>
      <c r="AI176" s="128" t="s">
        <v>561</v>
      </c>
      <c r="AJ176" s="128" t="s">
        <v>561</v>
      </c>
      <c r="AK176" s="125" t="s">
        <v>561</v>
      </c>
      <c r="AL176" s="128" t="s">
        <v>561</v>
      </c>
      <c r="AM176" s="128" t="s">
        <v>561</v>
      </c>
      <c r="AN176" s="128" t="s">
        <v>561</v>
      </c>
      <c r="AO176" s="128" t="s">
        <v>53</v>
      </c>
      <c r="AP176" s="121" t="s">
        <v>561</v>
      </c>
      <c r="AQ176" s="128" t="s">
        <v>53</v>
      </c>
      <c r="AR176" s="128" t="s">
        <v>561</v>
      </c>
      <c r="AS176" s="117" t="s">
        <v>561</v>
      </c>
      <c r="AT176" s="117" t="s">
        <v>801</v>
      </c>
      <c r="AU176" s="117" t="s">
        <v>561</v>
      </c>
      <c r="AV176" s="117" t="s">
        <v>561</v>
      </c>
      <c r="AW176" s="117" t="s">
        <v>561</v>
      </c>
      <c r="AX176" s="117" t="s">
        <v>600</v>
      </c>
      <c r="AY176" s="117" t="s">
        <v>600</v>
      </c>
      <c r="AZ176" s="117" t="s">
        <v>600</v>
      </c>
      <c r="BA176" s="117" t="s">
        <v>600</v>
      </c>
      <c r="BB176" s="117" t="s">
        <v>600</v>
      </c>
      <c r="BC176" s="117" t="s">
        <v>600</v>
      </c>
      <c r="BD176" s="129" t="s">
        <v>821</v>
      </c>
      <c r="BE176" s="129" t="s">
        <v>821</v>
      </c>
      <c r="BF176" s="130"/>
      <c r="BG176" s="130">
        <f t="shared" si="8"/>
        <v>0</v>
      </c>
      <c r="BH176" s="131"/>
      <c r="BI176" s="131"/>
      <c r="BJ176" s="132"/>
      <c r="BK176" s="132"/>
      <c r="BL176" s="133"/>
      <c r="BM176" s="133"/>
      <c r="BN176" s="133"/>
      <c r="BO176" s="133"/>
      <c r="BP176" s="133" t="s">
        <v>2616</v>
      </c>
      <c r="BQ176" s="134"/>
      <c r="BR176" s="181" t="s">
        <v>2602</v>
      </c>
      <c r="BS176" s="134"/>
      <c r="BT176" s="134"/>
      <c r="BU176" s="137">
        <f t="shared" si="6"/>
        <v>-0.101</v>
      </c>
      <c r="BV176" s="141">
        <v>0.43</v>
      </c>
      <c r="BW176" s="142">
        <v>0.531</v>
      </c>
      <c r="BX176" s="142"/>
      <c r="BY176" s="137">
        <f t="shared" si="7"/>
        <v>-0.152</v>
      </c>
      <c r="BZ176" s="141">
        <v>0.376</v>
      </c>
      <c r="CA176" s="142">
        <v>0.528</v>
      </c>
      <c r="CB176" s="142"/>
      <c r="CC176" s="142">
        <v>0.615</v>
      </c>
      <c r="CD176" s="141">
        <v>0.06</v>
      </c>
      <c r="CE176" s="141">
        <v>0.043</v>
      </c>
      <c r="CF176" s="141">
        <v>0.078</v>
      </c>
      <c r="CG176" s="141">
        <v>0.191</v>
      </c>
      <c r="CH176" s="141">
        <v>0.02</v>
      </c>
      <c r="CI176" s="139"/>
      <c r="CJ176" s="138">
        <v>0.6609999999999999</v>
      </c>
      <c r="CK176" s="137">
        <v>0.059000000000000004</v>
      </c>
      <c r="CL176" s="137">
        <v>0.038</v>
      </c>
      <c r="CM176" s="137">
        <v>0.055</v>
      </c>
      <c r="CN176" s="137">
        <v>0.16899999999999998</v>
      </c>
      <c r="CO176" s="137">
        <v>0.011000000000000001</v>
      </c>
      <c r="CP176" s="141"/>
      <c r="CQ176" s="141">
        <v>0.3</v>
      </c>
      <c r="CR176" s="141">
        <v>0.364</v>
      </c>
      <c r="CS176" s="141">
        <v>0.42100000000000004</v>
      </c>
    </row>
    <row r="177">
      <c r="A177" s="112">
        <f t="shared" si="1"/>
        <v>174</v>
      </c>
      <c r="B177" s="112" t="s">
        <v>492</v>
      </c>
      <c r="C177" s="112" t="s">
        <v>493</v>
      </c>
      <c r="D177" s="113" t="s">
        <v>488</v>
      </c>
      <c r="E177" s="163"/>
      <c r="F177" s="115">
        <f t="shared" si="2"/>
        <v>0</v>
      </c>
      <c r="G177" s="115">
        <f t="shared" si="3"/>
        <v>0.15625</v>
      </c>
      <c r="H177" s="116">
        <f t="shared" si="4"/>
        <v>0.1171875</v>
      </c>
      <c r="I177" s="117" t="s">
        <v>594</v>
      </c>
      <c r="J177" s="117" t="s">
        <v>594</v>
      </c>
      <c r="K177" s="117" t="s">
        <v>594</v>
      </c>
      <c r="L177" s="117" t="s">
        <v>594</v>
      </c>
      <c r="M177" s="117" t="s">
        <v>594</v>
      </c>
      <c r="N177" s="117" t="s">
        <v>594</v>
      </c>
      <c r="O177" s="149" t="s">
        <v>1256</v>
      </c>
      <c r="P177" s="185" t="s">
        <v>561</v>
      </c>
      <c r="Q177" s="121" t="s">
        <v>53</v>
      </c>
      <c r="R177" s="121" t="s">
        <v>561</v>
      </c>
      <c r="S177" s="121" t="s">
        <v>801</v>
      </c>
      <c r="T177" s="119" t="s">
        <v>53</v>
      </c>
      <c r="U177" s="119" t="s">
        <v>53</v>
      </c>
      <c r="V177" s="123" t="s">
        <v>801</v>
      </c>
      <c r="W177" s="123" t="s">
        <v>801</v>
      </c>
      <c r="X177" s="149" t="s">
        <v>561</v>
      </c>
      <c r="Y177" s="149" t="s">
        <v>561</v>
      </c>
      <c r="Z177" s="149" t="s">
        <v>561</v>
      </c>
      <c r="AA177" s="149" t="s">
        <v>561</v>
      </c>
      <c r="AB177" s="123" t="s">
        <v>801</v>
      </c>
      <c r="AC177" s="125" t="s">
        <v>801</v>
      </c>
      <c r="AD177" s="123" t="s">
        <v>801</v>
      </c>
      <c r="AE177" s="125" t="s">
        <v>801</v>
      </c>
      <c r="AF177" s="125" t="s">
        <v>561</v>
      </c>
      <c r="AG177" s="121" t="s">
        <v>561</v>
      </c>
      <c r="AH177" s="128" t="s">
        <v>561</v>
      </c>
      <c r="AI177" s="125" t="s">
        <v>53</v>
      </c>
      <c r="AJ177" s="128" t="s">
        <v>561</v>
      </c>
      <c r="AK177" s="125" t="s">
        <v>561</v>
      </c>
      <c r="AL177" s="128" t="s">
        <v>561</v>
      </c>
      <c r="AM177" s="128" t="s">
        <v>561</v>
      </c>
      <c r="AN177" s="128" t="s">
        <v>561</v>
      </c>
      <c r="AO177" s="128" t="s">
        <v>561</v>
      </c>
      <c r="AP177" s="121" t="s">
        <v>561</v>
      </c>
      <c r="AQ177" s="128" t="s">
        <v>561</v>
      </c>
      <c r="AR177" s="121" t="s">
        <v>53</v>
      </c>
      <c r="AS177" s="117" t="s">
        <v>561</v>
      </c>
      <c r="AT177" s="117" t="s">
        <v>561</v>
      </c>
      <c r="AU177" s="117" t="s">
        <v>561</v>
      </c>
      <c r="AV177" s="117" t="s">
        <v>561</v>
      </c>
      <c r="AW177" s="117" t="s">
        <v>561</v>
      </c>
      <c r="AX177" s="117" t="s">
        <v>561</v>
      </c>
      <c r="AY177" s="117" t="s">
        <v>561</v>
      </c>
      <c r="AZ177" s="117" t="s">
        <v>561</v>
      </c>
      <c r="BA177" s="117" t="s">
        <v>801</v>
      </c>
      <c r="BB177" s="117" t="s">
        <v>561</v>
      </c>
      <c r="BC177" s="117" t="s">
        <v>561</v>
      </c>
      <c r="BD177" s="164" t="s">
        <v>1832</v>
      </c>
      <c r="BE177" s="164" t="s">
        <v>1832</v>
      </c>
      <c r="BF177" s="130"/>
      <c r="BG177" s="130">
        <f t="shared" si="8"/>
        <v>11650</v>
      </c>
      <c r="BH177" s="131">
        <v>11650.0</v>
      </c>
      <c r="BI177" s="131"/>
      <c r="BJ177" s="132"/>
      <c r="BK177" s="132"/>
      <c r="BL177" s="133"/>
      <c r="BM177" s="133"/>
      <c r="BN177" s="133"/>
      <c r="BO177" s="133" t="s">
        <v>561</v>
      </c>
      <c r="BP177" s="133" t="s">
        <v>2626</v>
      </c>
      <c r="BQ177" s="134"/>
      <c r="BR177" s="135" t="s">
        <v>850</v>
      </c>
      <c r="BS177" s="181" t="s">
        <v>122</v>
      </c>
      <c r="BT177" s="134"/>
      <c r="BU177" s="137">
        <f t="shared" si="6"/>
        <v>0.491</v>
      </c>
      <c r="BV177" s="138">
        <v>0.743</v>
      </c>
      <c r="BW177" s="137">
        <v>0.252</v>
      </c>
      <c r="BX177" s="137"/>
      <c r="BY177" s="137">
        <f t="shared" si="7"/>
        <v>0.634</v>
      </c>
      <c r="BZ177" s="138">
        <v>0.8059999999999999</v>
      </c>
      <c r="CA177" s="137">
        <v>0.172</v>
      </c>
      <c r="CB177" s="137"/>
      <c r="CC177" s="137">
        <v>0.182</v>
      </c>
      <c r="CD177" s="137">
        <v>0.385</v>
      </c>
      <c r="CE177" s="138">
        <v>0.42200000000000004</v>
      </c>
      <c r="CF177" s="137">
        <v>0.022000000000000002</v>
      </c>
      <c r="CG177" s="137">
        <v>0.009000000000000001</v>
      </c>
      <c r="CH177" s="137">
        <v>0.001</v>
      </c>
      <c r="CI177" s="139"/>
      <c r="CJ177" s="137">
        <v>0.185</v>
      </c>
      <c r="CK177" s="137">
        <v>0.32299999999999995</v>
      </c>
      <c r="CL177" s="138">
        <v>0.47200000000000003</v>
      </c>
      <c r="CM177" s="137">
        <v>0.013999999999999999</v>
      </c>
      <c r="CN177" s="137">
        <v>0.003</v>
      </c>
      <c r="CO177" s="137">
        <v>0.001</v>
      </c>
      <c r="CP177" s="137"/>
      <c r="CQ177" s="137">
        <v>0.27699999999999997</v>
      </c>
      <c r="CR177" s="138">
        <v>0.518</v>
      </c>
      <c r="CS177" s="137">
        <v>0.08900000000000001</v>
      </c>
    </row>
    <row r="178">
      <c r="A178" s="112">
        <f t="shared" si="1"/>
        <v>176</v>
      </c>
      <c r="B178" s="112" t="s">
        <v>191</v>
      </c>
      <c r="C178" s="112" t="s">
        <v>192</v>
      </c>
      <c r="D178" s="113" t="s">
        <v>187</v>
      </c>
      <c r="E178" s="163"/>
      <c r="F178" s="115">
        <f t="shared" si="2"/>
        <v>0</v>
      </c>
      <c r="G178" s="115">
        <f t="shared" si="3"/>
        <v>0.1538461538</v>
      </c>
      <c r="H178" s="116">
        <f t="shared" si="4"/>
        <v>0.1153846154</v>
      </c>
      <c r="I178" s="117" t="s">
        <v>594</v>
      </c>
      <c r="J178" s="117" t="s">
        <v>594</v>
      </c>
      <c r="K178" s="117" t="s">
        <v>594</v>
      </c>
      <c r="L178" s="117" t="s">
        <v>594</v>
      </c>
      <c r="M178" s="117" t="s">
        <v>594</v>
      </c>
      <c r="N178" s="117" t="s">
        <v>594</v>
      </c>
      <c r="O178" s="149" t="s">
        <v>1256</v>
      </c>
      <c r="P178" s="185" t="s">
        <v>561</v>
      </c>
      <c r="Q178" s="121" t="s">
        <v>561</v>
      </c>
      <c r="R178" s="121" t="s">
        <v>561</v>
      </c>
      <c r="S178" s="149" t="s">
        <v>561</v>
      </c>
      <c r="T178" s="119" t="s">
        <v>53</v>
      </c>
      <c r="U178" s="149" t="s">
        <v>561</v>
      </c>
      <c r="V178" s="149" t="s">
        <v>561</v>
      </c>
      <c r="W178" s="119" t="s">
        <v>53</v>
      </c>
      <c r="X178" s="149" t="s">
        <v>561</v>
      </c>
      <c r="Y178" s="149" t="s">
        <v>561</v>
      </c>
      <c r="Z178" s="149" t="s">
        <v>561</v>
      </c>
      <c r="AA178" s="149" t="s">
        <v>561</v>
      </c>
      <c r="AB178" s="149" t="s">
        <v>561</v>
      </c>
      <c r="AC178" s="125" t="s">
        <v>561</v>
      </c>
      <c r="AD178" s="149" t="s">
        <v>561</v>
      </c>
      <c r="AE178" s="128" t="s">
        <v>561</v>
      </c>
      <c r="AF178" s="125" t="s">
        <v>561</v>
      </c>
      <c r="AG178" s="121" t="s">
        <v>53</v>
      </c>
      <c r="AH178" s="128" t="s">
        <v>561</v>
      </c>
      <c r="AI178" s="125" t="s">
        <v>53</v>
      </c>
      <c r="AJ178" s="128" t="s">
        <v>561</v>
      </c>
      <c r="AK178" s="125" t="s">
        <v>561</v>
      </c>
      <c r="AL178" s="128" t="s">
        <v>561</v>
      </c>
      <c r="AM178" s="128" t="s">
        <v>561</v>
      </c>
      <c r="AN178" s="128" t="s">
        <v>561</v>
      </c>
      <c r="AO178" s="128" t="s">
        <v>53</v>
      </c>
      <c r="AP178" s="121" t="s">
        <v>561</v>
      </c>
      <c r="AQ178" s="128" t="s">
        <v>53</v>
      </c>
      <c r="AR178" s="128" t="s">
        <v>561</v>
      </c>
      <c r="AS178" s="117" t="s">
        <v>561</v>
      </c>
      <c r="AT178" s="117" t="s">
        <v>561</v>
      </c>
      <c r="AU178" s="117" t="s">
        <v>561</v>
      </c>
      <c r="AV178" s="117" t="s">
        <v>561</v>
      </c>
      <c r="AW178" s="117" t="s">
        <v>561</v>
      </c>
      <c r="AX178" s="117" t="s">
        <v>561</v>
      </c>
      <c r="AY178" s="117" t="s">
        <v>561</v>
      </c>
      <c r="AZ178" s="117" t="s">
        <v>561</v>
      </c>
      <c r="BA178" s="117" t="s">
        <v>561</v>
      </c>
      <c r="BB178" s="117" t="s">
        <v>561</v>
      </c>
      <c r="BC178" s="117" t="s">
        <v>600</v>
      </c>
      <c r="BD178" s="164" t="s">
        <v>1832</v>
      </c>
      <c r="BE178" s="164" t="s">
        <v>1832</v>
      </c>
      <c r="BF178" s="130"/>
      <c r="BG178" s="130">
        <f t="shared" si="8"/>
        <v>95600</v>
      </c>
      <c r="BH178" s="131">
        <v>95600.0</v>
      </c>
      <c r="BI178" s="131"/>
      <c r="BJ178" s="132"/>
      <c r="BK178" s="132"/>
      <c r="BL178" s="133"/>
      <c r="BM178" s="133"/>
      <c r="BN178" s="133"/>
      <c r="BO178" s="133" t="s">
        <v>561</v>
      </c>
      <c r="BP178" s="133" t="s">
        <v>1207</v>
      </c>
      <c r="BQ178" s="134"/>
      <c r="BR178" s="150" t="s">
        <v>1199</v>
      </c>
      <c r="BS178" s="181" t="s">
        <v>122</v>
      </c>
      <c r="BT178" s="134"/>
      <c r="BU178" s="137">
        <f t="shared" si="6"/>
        <v>0.396</v>
      </c>
      <c r="BV178" s="138">
        <v>0.687</v>
      </c>
      <c r="BW178" s="137">
        <v>0.29100000000000004</v>
      </c>
      <c r="BX178" s="137"/>
      <c r="BY178" s="137">
        <f t="shared" si="7"/>
        <v>0.394</v>
      </c>
      <c r="BZ178" s="138">
        <v>0.664</v>
      </c>
      <c r="CA178" s="137">
        <v>0.27</v>
      </c>
      <c r="CB178" s="137"/>
      <c r="CC178" s="138">
        <v>0.517</v>
      </c>
      <c r="CD178" s="137">
        <v>0.22</v>
      </c>
      <c r="CE178" s="137">
        <v>0.032</v>
      </c>
      <c r="CF178" s="137">
        <v>0.209</v>
      </c>
      <c r="CG178" s="137">
        <v>0.031</v>
      </c>
      <c r="CH178" s="137">
        <v>0.008</v>
      </c>
      <c r="CI178" s="139"/>
      <c r="CJ178" s="138">
        <v>0.599</v>
      </c>
      <c r="CK178" s="137">
        <v>0.179</v>
      </c>
      <c r="CL178" s="137">
        <v>0.027999999999999997</v>
      </c>
      <c r="CM178" s="137">
        <v>0.172</v>
      </c>
      <c r="CN178" s="137">
        <v>0.01</v>
      </c>
      <c r="CO178" s="137">
        <v>0.004</v>
      </c>
      <c r="CP178" s="137"/>
      <c r="CQ178" s="137">
        <v>0.452</v>
      </c>
      <c r="CR178" s="138">
        <v>0.5</v>
      </c>
      <c r="CS178" s="137">
        <v>0.3</v>
      </c>
    </row>
    <row r="179">
      <c r="A179" s="112">
        <f t="shared" si="1"/>
        <v>177</v>
      </c>
      <c r="B179" s="112" t="s">
        <v>534</v>
      </c>
      <c r="C179" s="112" t="s">
        <v>535</v>
      </c>
      <c r="D179" s="113" t="s">
        <v>527</v>
      </c>
      <c r="E179" s="163"/>
      <c r="F179" s="115">
        <f t="shared" si="2"/>
        <v>0</v>
      </c>
      <c r="G179" s="115">
        <f t="shared" si="3"/>
        <v>0.1486486486</v>
      </c>
      <c r="H179" s="116">
        <f t="shared" si="4"/>
        <v>0.1114864865</v>
      </c>
      <c r="I179" s="117" t="s">
        <v>594</v>
      </c>
      <c r="J179" s="117" t="s">
        <v>594</v>
      </c>
      <c r="K179" s="117" t="s">
        <v>594</v>
      </c>
      <c r="L179" s="117" t="s">
        <v>594</v>
      </c>
      <c r="M179" s="117" t="s">
        <v>594</v>
      </c>
      <c r="N179" s="117" t="s">
        <v>594</v>
      </c>
      <c r="O179" s="149" t="s">
        <v>1256</v>
      </c>
      <c r="P179" s="185" t="s">
        <v>561</v>
      </c>
      <c r="Q179" s="121" t="s">
        <v>53</v>
      </c>
      <c r="R179" s="121" t="s">
        <v>561</v>
      </c>
      <c r="S179" s="149" t="s">
        <v>561</v>
      </c>
      <c r="T179" s="119" t="s">
        <v>53</v>
      </c>
      <c r="U179" s="149" t="s">
        <v>561</v>
      </c>
      <c r="V179" s="149" t="s">
        <v>561</v>
      </c>
      <c r="W179" s="119" t="s">
        <v>53</v>
      </c>
      <c r="X179" s="149" t="s">
        <v>561</v>
      </c>
      <c r="Y179" s="149" t="s">
        <v>561</v>
      </c>
      <c r="Z179" s="149" t="s">
        <v>561</v>
      </c>
      <c r="AA179" s="149" t="s">
        <v>561</v>
      </c>
      <c r="AB179" s="149" t="s">
        <v>561</v>
      </c>
      <c r="AC179" s="125" t="s">
        <v>561</v>
      </c>
      <c r="AD179" s="149" t="s">
        <v>561</v>
      </c>
      <c r="AE179" s="128" t="s">
        <v>561</v>
      </c>
      <c r="AF179" s="125" t="s">
        <v>561</v>
      </c>
      <c r="AG179" s="121" t="s">
        <v>561</v>
      </c>
      <c r="AH179" s="128" t="s">
        <v>561</v>
      </c>
      <c r="AI179" s="128" t="s">
        <v>561</v>
      </c>
      <c r="AJ179" s="128" t="s">
        <v>561</v>
      </c>
      <c r="AK179" s="125" t="s">
        <v>799</v>
      </c>
      <c r="AL179" s="128" t="s">
        <v>561</v>
      </c>
      <c r="AM179" s="128" t="s">
        <v>561</v>
      </c>
      <c r="AN179" s="128" t="s">
        <v>561</v>
      </c>
      <c r="AO179" s="128" t="s">
        <v>53</v>
      </c>
      <c r="AP179" s="121" t="s">
        <v>561</v>
      </c>
      <c r="AQ179" s="128" t="s">
        <v>53</v>
      </c>
      <c r="AR179" s="128" t="s">
        <v>561</v>
      </c>
      <c r="AS179" s="117" t="s">
        <v>561</v>
      </c>
      <c r="AT179" s="117" t="s">
        <v>561</v>
      </c>
      <c r="AU179" s="117" t="s">
        <v>801</v>
      </c>
      <c r="AV179" s="117" t="s">
        <v>561</v>
      </c>
      <c r="AW179" s="117" t="s">
        <v>561</v>
      </c>
      <c r="AX179" s="117" t="s">
        <v>561</v>
      </c>
      <c r="AY179" s="117" t="s">
        <v>561</v>
      </c>
      <c r="AZ179" s="117" t="s">
        <v>561</v>
      </c>
      <c r="BA179" s="117" t="s">
        <v>561</v>
      </c>
      <c r="BB179" s="117" t="s">
        <v>600</v>
      </c>
      <c r="BC179" s="117" t="s">
        <v>600</v>
      </c>
      <c r="BD179" s="129" t="s">
        <v>821</v>
      </c>
      <c r="BE179" s="164" t="s">
        <v>1832</v>
      </c>
      <c r="BF179" s="130"/>
      <c r="BG179" s="130">
        <f t="shared" si="8"/>
        <v>75718</v>
      </c>
      <c r="BH179" s="131">
        <v>71718.0</v>
      </c>
      <c r="BI179" s="131"/>
      <c r="BJ179" s="132">
        <f>2000+2000</f>
        <v>4000</v>
      </c>
      <c r="BK179" s="132"/>
      <c r="BL179" s="133"/>
      <c r="BM179" s="133"/>
      <c r="BN179" s="133" t="s">
        <v>561</v>
      </c>
      <c r="BO179" s="133" t="s">
        <v>561</v>
      </c>
      <c r="BP179" s="133" t="s">
        <v>845</v>
      </c>
      <c r="BQ179" s="134"/>
      <c r="BR179" s="150" t="s">
        <v>1569</v>
      </c>
      <c r="BS179" s="181" t="s">
        <v>2030</v>
      </c>
      <c r="BT179" s="134"/>
      <c r="BU179" s="137">
        <f t="shared" si="6"/>
        <v>0.258</v>
      </c>
      <c r="BV179" s="138">
        <v>0.623</v>
      </c>
      <c r="BW179" s="137">
        <v>0.365</v>
      </c>
      <c r="BX179" s="137"/>
      <c r="BY179" s="137">
        <f t="shared" si="7"/>
        <v>0.14</v>
      </c>
      <c r="BZ179" s="138">
        <v>0.551</v>
      </c>
      <c r="CA179" s="137">
        <v>0.41100000000000003</v>
      </c>
      <c r="CB179" s="137"/>
      <c r="CC179" s="138">
        <v>0.32799999999999996</v>
      </c>
      <c r="CD179" s="137">
        <v>0.213</v>
      </c>
      <c r="CE179" s="137">
        <v>0.298</v>
      </c>
      <c r="CF179" s="137">
        <v>0.159</v>
      </c>
      <c r="CG179" s="137">
        <v>0.021</v>
      </c>
      <c r="CH179" s="137">
        <v>0.002</v>
      </c>
      <c r="CI179" s="139"/>
      <c r="CJ179" s="138">
        <v>0.43700000000000006</v>
      </c>
      <c r="CK179" s="137">
        <v>0.11199999999999999</v>
      </c>
      <c r="CL179" s="137">
        <v>0.326</v>
      </c>
      <c r="CM179" s="137">
        <v>0.11699999999999999</v>
      </c>
      <c r="CN179" s="137">
        <v>0.006</v>
      </c>
      <c r="CO179" s="137">
        <v>0.0</v>
      </c>
      <c r="CP179" s="137"/>
      <c r="CQ179" s="137">
        <v>0.397</v>
      </c>
      <c r="CR179" s="137">
        <v>0.48200000000000004</v>
      </c>
      <c r="CS179" s="137">
        <v>0.226</v>
      </c>
    </row>
    <row r="180">
      <c r="A180" s="112">
        <f t="shared" si="1"/>
        <v>178</v>
      </c>
      <c r="B180" s="112" t="s">
        <v>827</v>
      </c>
      <c r="C180" s="112" t="s">
        <v>828</v>
      </c>
      <c r="D180" s="113" t="s">
        <v>825</v>
      </c>
      <c r="E180" s="163"/>
      <c r="F180" s="115">
        <f t="shared" si="2"/>
        <v>0</v>
      </c>
      <c r="G180" s="115">
        <f t="shared" si="3"/>
        <v>0.1470588235</v>
      </c>
      <c r="H180" s="116">
        <f t="shared" si="4"/>
        <v>0.1102941176</v>
      </c>
      <c r="I180" s="117" t="s">
        <v>594</v>
      </c>
      <c r="J180" s="117" t="s">
        <v>594</v>
      </c>
      <c r="K180" s="117" t="s">
        <v>594</v>
      </c>
      <c r="L180" s="117" t="s">
        <v>594</v>
      </c>
      <c r="M180" s="117" t="s">
        <v>594</v>
      </c>
      <c r="N180" s="117" t="s">
        <v>594</v>
      </c>
      <c r="O180" s="149" t="s">
        <v>1256</v>
      </c>
      <c r="P180" s="185" t="s">
        <v>561</v>
      </c>
      <c r="Q180" s="121" t="s">
        <v>53</v>
      </c>
      <c r="R180" s="121" t="s">
        <v>561</v>
      </c>
      <c r="S180" s="149" t="s">
        <v>561</v>
      </c>
      <c r="T180" s="119" t="s">
        <v>53</v>
      </c>
      <c r="U180" s="149" t="s">
        <v>561</v>
      </c>
      <c r="V180" s="149" t="s">
        <v>561</v>
      </c>
      <c r="W180" s="119" t="s">
        <v>53</v>
      </c>
      <c r="X180" s="149" t="s">
        <v>561</v>
      </c>
      <c r="Y180" s="149" t="s">
        <v>561</v>
      </c>
      <c r="Z180" s="149" t="s">
        <v>561</v>
      </c>
      <c r="AA180" s="149" t="s">
        <v>561</v>
      </c>
      <c r="AB180" s="149" t="s">
        <v>561</v>
      </c>
      <c r="AC180" s="125" t="s">
        <v>561</v>
      </c>
      <c r="AD180" s="149" t="s">
        <v>561</v>
      </c>
      <c r="AE180" s="128" t="s">
        <v>561</v>
      </c>
      <c r="AF180" s="125" t="s">
        <v>561</v>
      </c>
      <c r="AG180" s="121" t="s">
        <v>561</v>
      </c>
      <c r="AH180" s="128" t="s">
        <v>561</v>
      </c>
      <c r="AI180" s="128" t="s">
        <v>561</v>
      </c>
      <c r="AJ180" s="128" t="s">
        <v>561</v>
      </c>
      <c r="AK180" s="125" t="s">
        <v>561</v>
      </c>
      <c r="AL180" s="128" t="s">
        <v>561</v>
      </c>
      <c r="AM180" s="128" t="s">
        <v>561</v>
      </c>
      <c r="AN180" s="128" t="s">
        <v>561</v>
      </c>
      <c r="AO180" s="128" t="s">
        <v>53</v>
      </c>
      <c r="AP180" s="121" t="s">
        <v>561</v>
      </c>
      <c r="AQ180" s="128" t="s">
        <v>53</v>
      </c>
      <c r="AR180" s="128" t="s">
        <v>561</v>
      </c>
      <c r="AS180" s="117" t="s">
        <v>561</v>
      </c>
      <c r="AT180" s="117" t="s">
        <v>561</v>
      </c>
      <c r="AU180" s="117" t="s">
        <v>561</v>
      </c>
      <c r="AV180" s="117" t="s">
        <v>561</v>
      </c>
      <c r="AW180" s="117" t="s">
        <v>561</v>
      </c>
      <c r="AX180" s="117" t="s">
        <v>600</v>
      </c>
      <c r="AY180" s="117" t="s">
        <v>600</v>
      </c>
      <c r="AZ180" s="117" t="s">
        <v>600</v>
      </c>
      <c r="BA180" s="117" t="s">
        <v>600</v>
      </c>
      <c r="BB180" s="117" t="s">
        <v>600</v>
      </c>
      <c r="BC180" s="117" t="s">
        <v>600</v>
      </c>
      <c r="BD180" s="164" t="s">
        <v>1832</v>
      </c>
      <c r="BE180" s="164" t="s">
        <v>1832</v>
      </c>
      <c r="BF180" s="130"/>
      <c r="BG180" s="130">
        <f t="shared" si="8"/>
        <v>-4329831</v>
      </c>
      <c r="BH180" s="131">
        <v>-159300.0</v>
      </c>
      <c r="BI180" s="131">
        <v>-4168531.0</v>
      </c>
      <c r="BJ180" s="132">
        <f>-2000</f>
        <v>-2000</v>
      </c>
      <c r="BK180" s="132"/>
      <c r="BL180" s="133"/>
      <c r="BM180" s="133"/>
      <c r="BN180" s="133"/>
      <c r="BO180" s="133"/>
      <c r="BP180" s="133" t="s">
        <v>976</v>
      </c>
      <c r="BQ180" s="134"/>
      <c r="BR180" s="150" t="s">
        <v>1199</v>
      </c>
      <c r="BS180" s="134"/>
      <c r="BT180" s="134"/>
      <c r="BU180" s="137">
        <f t="shared" si="6"/>
        <v>0.496</v>
      </c>
      <c r="BV180" s="138">
        <v>0.742</v>
      </c>
      <c r="BW180" s="137">
        <v>0.24600000000000002</v>
      </c>
      <c r="BX180" s="137"/>
      <c r="BY180" s="137">
        <f t="shared" si="7"/>
        <v>0.514</v>
      </c>
      <c r="BZ180" s="138">
        <v>0.741</v>
      </c>
      <c r="CA180" s="137">
        <v>0.22699999999999998</v>
      </c>
      <c r="CB180" s="137"/>
      <c r="CC180" s="137">
        <v>0.395</v>
      </c>
      <c r="CD180" s="137">
        <v>0.08800000000000001</v>
      </c>
      <c r="CE180" s="138">
        <v>0.469</v>
      </c>
      <c r="CF180" s="137">
        <v>0.035</v>
      </c>
      <c r="CG180" s="137">
        <v>0.021</v>
      </c>
      <c r="CH180" s="137">
        <v>0.001</v>
      </c>
      <c r="CI180" s="139"/>
      <c r="CJ180" s="137">
        <v>0.42200000000000004</v>
      </c>
      <c r="CK180" s="137">
        <v>0.057999999999999996</v>
      </c>
      <c r="CL180" s="138">
        <v>0.489</v>
      </c>
      <c r="CM180" s="137">
        <v>0.021</v>
      </c>
      <c r="CN180" s="137">
        <v>0.008</v>
      </c>
      <c r="CO180" s="137">
        <v>0.001</v>
      </c>
      <c r="CP180" s="137"/>
      <c r="CQ180" s="137">
        <v>0.205</v>
      </c>
      <c r="CR180" s="137">
        <v>0.28</v>
      </c>
      <c r="CS180" s="137">
        <v>0.304</v>
      </c>
    </row>
    <row r="181">
      <c r="A181" s="112">
        <f t="shared" si="1"/>
        <v>179</v>
      </c>
      <c r="B181" s="112" t="s">
        <v>248</v>
      </c>
      <c r="C181" s="112" t="s">
        <v>990</v>
      </c>
      <c r="D181" s="113" t="s">
        <v>986</v>
      </c>
      <c r="E181" s="186"/>
      <c r="F181" s="115">
        <f t="shared" si="2"/>
        <v>0</v>
      </c>
      <c r="G181" s="115">
        <f t="shared" si="3"/>
        <v>0.1447368421</v>
      </c>
      <c r="H181" s="116">
        <f t="shared" si="4"/>
        <v>0.1085526316</v>
      </c>
      <c r="I181" s="117" t="s">
        <v>594</v>
      </c>
      <c r="J181" s="117" t="s">
        <v>594</v>
      </c>
      <c r="K181" s="117" t="s">
        <v>594</v>
      </c>
      <c r="L181" s="117" t="s">
        <v>594</v>
      </c>
      <c r="M181" s="117" t="s">
        <v>594</v>
      </c>
      <c r="N181" s="117" t="s">
        <v>594</v>
      </c>
      <c r="O181" s="149" t="s">
        <v>1256</v>
      </c>
      <c r="P181" s="120" t="s">
        <v>53</v>
      </c>
      <c r="Q181" s="121" t="s">
        <v>53</v>
      </c>
      <c r="R181" s="121" t="s">
        <v>561</v>
      </c>
      <c r="S181" s="149" t="s">
        <v>561</v>
      </c>
      <c r="T181" s="149" t="s">
        <v>561</v>
      </c>
      <c r="U181" s="149" t="s">
        <v>561</v>
      </c>
      <c r="V181" s="149" t="s">
        <v>561</v>
      </c>
      <c r="W181" s="119" t="s">
        <v>53</v>
      </c>
      <c r="X181" s="149" t="s">
        <v>561</v>
      </c>
      <c r="Y181" s="149" t="s">
        <v>561</v>
      </c>
      <c r="Z181" s="149" t="s">
        <v>561</v>
      </c>
      <c r="AA181" s="149" t="s">
        <v>561</v>
      </c>
      <c r="AB181" s="149" t="s">
        <v>561</v>
      </c>
      <c r="AC181" s="125" t="s">
        <v>561</v>
      </c>
      <c r="AD181" s="123" t="s">
        <v>801</v>
      </c>
      <c r="AE181" s="128" t="s">
        <v>561</v>
      </c>
      <c r="AF181" s="125" t="s">
        <v>561</v>
      </c>
      <c r="AG181" s="121" t="s">
        <v>561</v>
      </c>
      <c r="AH181" s="128" t="s">
        <v>561</v>
      </c>
      <c r="AI181" s="128" t="s">
        <v>561</v>
      </c>
      <c r="AJ181" s="128" t="s">
        <v>561</v>
      </c>
      <c r="AK181" s="125" t="s">
        <v>799</v>
      </c>
      <c r="AL181" s="128" t="s">
        <v>561</v>
      </c>
      <c r="AM181" s="128" t="s">
        <v>561</v>
      </c>
      <c r="AN181" s="128" t="s">
        <v>561</v>
      </c>
      <c r="AO181" s="128" t="s">
        <v>53</v>
      </c>
      <c r="AP181" s="121" t="s">
        <v>561</v>
      </c>
      <c r="AQ181" s="128" t="s">
        <v>53</v>
      </c>
      <c r="AR181" s="128" t="s">
        <v>561</v>
      </c>
      <c r="AS181" s="117" t="s">
        <v>561</v>
      </c>
      <c r="AT181" s="117" t="s">
        <v>561</v>
      </c>
      <c r="AU181" s="117" t="s">
        <v>561</v>
      </c>
      <c r="AV181" s="117" t="s">
        <v>561</v>
      </c>
      <c r="AW181" s="117" t="s">
        <v>561</v>
      </c>
      <c r="AX181" s="117" t="s">
        <v>561</v>
      </c>
      <c r="AY181" s="117" t="s">
        <v>561</v>
      </c>
      <c r="AZ181" s="117" t="s">
        <v>561</v>
      </c>
      <c r="BA181" s="117" t="s">
        <v>561</v>
      </c>
      <c r="BB181" s="117" t="s">
        <v>561</v>
      </c>
      <c r="BC181" s="117" t="s">
        <v>600</v>
      </c>
      <c r="BD181" s="164" t="s">
        <v>1832</v>
      </c>
      <c r="BE181" s="129" t="s">
        <v>821</v>
      </c>
      <c r="BF181" s="130"/>
      <c r="BG181" s="130">
        <f t="shared" si="8"/>
        <v>166100</v>
      </c>
      <c r="BH181" s="131">
        <v>162100.0</v>
      </c>
      <c r="BI181" s="131"/>
      <c r="BJ181" s="132">
        <f>2000+2000</f>
        <v>4000</v>
      </c>
      <c r="BK181" s="132"/>
      <c r="BL181" s="133"/>
      <c r="BM181" s="133"/>
      <c r="BN181" s="133" t="s">
        <v>561</v>
      </c>
      <c r="BO181" s="133" t="s">
        <v>561</v>
      </c>
      <c r="BP181" s="133" t="s">
        <v>1311</v>
      </c>
      <c r="BQ181" s="134"/>
      <c r="BR181" s="135" t="s">
        <v>850</v>
      </c>
      <c r="BS181" s="181" t="s">
        <v>2030</v>
      </c>
      <c r="BT181" s="134"/>
      <c r="BU181" s="137">
        <f t="shared" si="6"/>
        <v>0.303</v>
      </c>
      <c r="BV181" s="138">
        <v>0.647</v>
      </c>
      <c r="BW181" s="137">
        <v>0.344</v>
      </c>
      <c r="BX181" s="137"/>
      <c r="BY181" s="137">
        <f t="shared" si="7"/>
        <v>0.406</v>
      </c>
      <c r="BZ181" s="138">
        <v>0.687</v>
      </c>
      <c r="CA181" s="137">
        <v>0.281</v>
      </c>
      <c r="CB181" s="137"/>
      <c r="CC181" s="137">
        <v>0.25</v>
      </c>
      <c r="CD181" s="137">
        <v>0.228</v>
      </c>
      <c r="CE181" s="137">
        <v>0.052000000000000005</v>
      </c>
      <c r="CF181" s="138">
        <v>0.47200000000000003</v>
      </c>
      <c r="CG181" s="137">
        <v>0.015</v>
      </c>
      <c r="CH181" s="137">
        <v>0.002</v>
      </c>
      <c r="CI181" s="139"/>
      <c r="CJ181" s="138">
        <v>0.36</v>
      </c>
      <c r="CK181" s="137">
        <v>0.215</v>
      </c>
      <c r="CL181" s="137">
        <v>0.057</v>
      </c>
      <c r="CM181" s="137">
        <v>0.358</v>
      </c>
      <c r="CN181" s="137">
        <v>0.006</v>
      </c>
      <c r="CO181" s="137">
        <v>0.001</v>
      </c>
      <c r="CP181" s="137"/>
      <c r="CQ181" s="137">
        <v>0.37</v>
      </c>
      <c r="CR181" s="137">
        <v>0.47100000000000003</v>
      </c>
      <c r="CS181" s="137">
        <v>0.191</v>
      </c>
    </row>
    <row r="182">
      <c r="A182" s="112">
        <f t="shared" si="1"/>
        <v>180</v>
      </c>
      <c r="B182" s="112" t="s">
        <v>1188</v>
      </c>
      <c r="C182" s="112" t="s">
        <v>1189</v>
      </c>
      <c r="D182" s="113" t="s">
        <v>1186</v>
      </c>
      <c r="E182" s="186"/>
      <c r="F182" s="115">
        <f t="shared" si="2"/>
        <v>0</v>
      </c>
      <c r="G182" s="115">
        <f t="shared" si="3"/>
        <v>0.1351351351</v>
      </c>
      <c r="H182" s="116">
        <f t="shared" si="4"/>
        <v>0.1013513514</v>
      </c>
      <c r="I182" s="117" t="s">
        <v>594</v>
      </c>
      <c r="J182" s="117" t="s">
        <v>594</v>
      </c>
      <c r="K182" s="117" t="s">
        <v>594</v>
      </c>
      <c r="L182" s="117" t="s">
        <v>594</v>
      </c>
      <c r="M182" s="117" t="s">
        <v>594</v>
      </c>
      <c r="N182" s="117" t="s">
        <v>594</v>
      </c>
      <c r="O182" s="149" t="s">
        <v>1256</v>
      </c>
      <c r="P182" s="185" t="s">
        <v>561</v>
      </c>
      <c r="Q182" s="121" t="s">
        <v>53</v>
      </c>
      <c r="R182" s="121" t="s">
        <v>561</v>
      </c>
      <c r="S182" s="121" t="s">
        <v>801</v>
      </c>
      <c r="T182" s="119" t="s">
        <v>53</v>
      </c>
      <c r="U182" s="119" t="s">
        <v>53</v>
      </c>
      <c r="V182" s="149" t="s">
        <v>561</v>
      </c>
      <c r="W182" s="149" t="s">
        <v>561</v>
      </c>
      <c r="X182" s="149" t="s">
        <v>561</v>
      </c>
      <c r="Y182" s="149" t="s">
        <v>561</v>
      </c>
      <c r="Z182" s="149" t="s">
        <v>561</v>
      </c>
      <c r="AA182" s="149" t="s">
        <v>561</v>
      </c>
      <c r="AB182" s="149" t="s">
        <v>561</v>
      </c>
      <c r="AC182" s="125" t="s">
        <v>561</v>
      </c>
      <c r="AD182" s="149" t="s">
        <v>561</v>
      </c>
      <c r="AE182" s="128" t="s">
        <v>561</v>
      </c>
      <c r="AF182" s="125" t="s">
        <v>561</v>
      </c>
      <c r="AG182" s="121" t="s">
        <v>561</v>
      </c>
      <c r="AH182" s="128" t="s">
        <v>561</v>
      </c>
      <c r="AI182" s="128" t="s">
        <v>561</v>
      </c>
      <c r="AJ182" s="128" t="s">
        <v>561</v>
      </c>
      <c r="AK182" s="125" t="s">
        <v>561</v>
      </c>
      <c r="AL182" s="128" t="s">
        <v>561</v>
      </c>
      <c r="AM182" s="128" t="s">
        <v>561</v>
      </c>
      <c r="AN182" s="128" t="s">
        <v>561</v>
      </c>
      <c r="AO182" s="128" t="s">
        <v>53</v>
      </c>
      <c r="AP182" s="121" t="s">
        <v>561</v>
      </c>
      <c r="AQ182" s="128" t="s">
        <v>53</v>
      </c>
      <c r="AR182" s="128" t="s">
        <v>561</v>
      </c>
      <c r="AS182" s="117" t="s">
        <v>561</v>
      </c>
      <c r="AT182" s="117" t="s">
        <v>561</v>
      </c>
      <c r="AU182" s="117" t="s">
        <v>561</v>
      </c>
      <c r="AV182" s="117" t="s">
        <v>561</v>
      </c>
      <c r="AW182" s="117" t="s">
        <v>561</v>
      </c>
      <c r="AX182" s="117" t="s">
        <v>561</v>
      </c>
      <c r="AY182" s="117" t="s">
        <v>561</v>
      </c>
      <c r="AZ182" s="117" t="s">
        <v>801</v>
      </c>
      <c r="BA182" s="117" t="s">
        <v>561</v>
      </c>
      <c r="BB182" s="117" t="s">
        <v>561</v>
      </c>
      <c r="BC182" s="117" t="s">
        <v>600</v>
      </c>
      <c r="BD182" s="129" t="s">
        <v>821</v>
      </c>
      <c r="BE182" s="129" t="s">
        <v>821</v>
      </c>
      <c r="BF182" s="130"/>
      <c r="BG182" s="130">
        <f t="shared" si="8"/>
        <v>39272</v>
      </c>
      <c r="BH182" s="131">
        <v>37272.0</v>
      </c>
      <c r="BI182" s="131"/>
      <c r="BJ182" s="132">
        <f>2000</f>
        <v>2000</v>
      </c>
      <c r="BK182" s="132"/>
      <c r="BL182" s="133"/>
      <c r="BM182" s="133" t="s">
        <v>561</v>
      </c>
      <c r="BN182" s="133"/>
      <c r="BO182" s="133" t="s">
        <v>561</v>
      </c>
      <c r="BP182" s="133" t="s">
        <v>1311</v>
      </c>
      <c r="BQ182" s="134"/>
      <c r="BR182" s="135" t="s">
        <v>850</v>
      </c>
      <c r="BS182" s="181" t="s">
        <v>122</v>
      </c>
      <c r="BT182" s="134"/>
      <c r="BU182" s="137">
        <f t="shared" si="6"/>
        <v>-0.029</v>
      </c>
      <c r="BV182" s="137">
        <v>0.48</v>
      </c>
      <c r="BW182" s="138">
        <v>0.509</v>
      </c>
      <c r="BX182" s="138"/>
      <c r="BY182" s="137">
        <f t="shared" si="7"/>
        <v>-0.081</v>
      </c>
      <c r="BZ182" s="137">
        <v>0.444</v>
      </c>
      <c r="CA182" s="138">
        <v>0.525</v>
      </c>
      <c r="CB182" s="138"/>
      <c r="CC182" s="138">
        <v>0.782</v>
      </c>
      <c r="CD182" s="137">
        <v>0.109</v>
      </c>
      <c r="CE182" s="137">
        <v>0.077</v>
      </c>
      <c r="CF182" s="137">
        <v>0.024</v>
      </c>
      <c r="CG182" s="137">
        <v>0.013999999999999999</v>
      </c>
      <c r="CH182" s="137">
        <v>0.001</v>
      </c>
      <c r="CI182" s="139"/>
      <c r="CJ182" s="138">
        <v>0.8340000000000001</v>
      </c>
      <c r="CK182" s="137">
        <v>0.085</v>
      </c>
      <c r="CL182" s="137">
        <v>0.059000000000000004</v>
      </c>
      <c r="CM182" s="137">
        <v>0.016</v>
      </c>
      <c r="CN182" s="137">
        <v>0.004</v>
      </c>
      <c r="CO182" s="137">
        <v>0.001</v>
      </c>
      <c r="CP182" s="137"/>
      <c r="CQ182" s="137">
        <v>0.255</v>
      </c>
      <c r="CR182" s="137">
        <v>0.265</v>
      </c>
      <c r="CS182" s="138">
        <v>0.613</v>
      </c>
    </row>
    <row r="183">
      <c r="A183" s="112">
        <f t="shared" si="1"/>
        <v>180</v>
      </c>
      <c r="B183" s="112" t="s">
        <v>426</v>
      </c>
      <c r="C183" s="112" t="s">
        <v>2461</v>
      </c>
      <c r="D183" s="117" t="s">
        <v>2460</v>
      </c>
      <c r="E183" s="163"/>
      <c r="F183" s="115">
        <f t="shared" si="2"/>
        <v>0</v>
      </c>
      <c r="G183" s="115">
        <f t="shared" si="3"/>
        <v>0.1351351351</v>
      </c>
      <c r="H183" s="116">
        <f t="shared" si="4"/>
        <v>0.1013513514</v>
      </c>
      <c r="I183" s="117" t="s">
        <v>594</v>
      </c>
      <c r="J183" s="117" t="s">
        <v>594</v>
      </c>
      <c r="K183" s="117" t="s">
        <v>594</v>
      </c>
      <c r="L183" s="117" t="s">
        <v>594</v>
      </c>
      <c r="M183" s="117" t="s">
        <v>594</v>
      </c>
      <c r="N183" s="117" t="s">
        <v>594</v>
      </c>
      <c r="O183" s="149" t="s">
        <v>1256</v>
      </c>
      <c r="P183" s="185" t="s">
        <v>561</v>
      </c>
      <c r="Q183" s="121" t="s">
        <v>53</v>
      </c>
      <c r="R183" s="121" t="s">
        <v>561</v>
      </c>
      <c r="S183" s="149" t="s">
        <v>561</v>
      </c>
      <c r="T183" s="119" t="s">
        <v>53</v>
      </c>
      <c r="U183" s="149" t="s">
        <v>561</v>
      </c>
      <c r="V183" s="119" t="s">
        <v>53</v>
      </c>
      <c r="W183" s="119" t="s">
        <v>53</v>
      </c>
      <c r="X183" s="149" t="s">
        <v>561</v>
      </c>
      <c r="Y183" s="149" t="s">
        <v>561</v>
      </c>
      <c r="Z183" s="149" t="s">
        <v>561</v>
      </c>
      <c r="AA183" s="149" t="s">
        <v>561</v>
      </c>
      <c r="AB183" s="149" t="s">
        <v>561</v>
      </c>
      <c r="AC183" s="125" t="s">
        <v>561</v>
      </c>
      <c r="AD183" s="123" t="s">
        <v>801</v>
      </c>
      <c r="AE183" s="128" t="s">
        <v>561</v>
      </c>
      <c r="AF183" s="125" t="s">
        <v>561</v>
      </c>
      <c r="AG183" s="121" t="s">
        <v>561</v>
      </c>
      <c r="AH183" s="128" t="s">
        <v>561</v>
      </c>
      <c r="AI183" s="128" t="s">
        <v>561</v>
      </c>
      <c r="AJ183" s="128" t="s">
        <v>561</v>
      </c>
      <c r="AK183" s="125" t="s">
        <v>561</v>
      </c>
      <c r="AL183" s="123" t="s">
        <v>801</v>
      </c>
      <c r="AM183" s="128" t="s">
        <v>561</v>
      </c>
      <c r="AN183" s="128" t="s">
        <v>561</v>
      </c>
      <c r="AO183" s="128" t="s">
        <v>561</v>
      </c>
      <c r="AP183" s="121" t="s">
        <v>561</v>
      </c>
      <c r="AQ183" s="128" t="s">
        <v>53</v>
      </c>
      <c r="AR183" s="128" t="s">
        <v>801</v>
      </c>
      <c r="AS183" s="117" t="s">
        <v>561</v>
      </c>
      <c r="AT183" s="117" t="s">
        <v>561</v>
      </c>
      <c r="AU183" s="117" t="s">
        <v>561</v>
      </c>
      <c r="AV183" s="117" t="s">
        <v>561</v>
      </c>
      <c r="AW183" s="117" t="s">
        <v>561</v>
      </c>
      <c r="AX183" s="117" t="s">
        <v>561</v>
      </c>
      <c r="AY183" s="117" t="s">
        <v>561</v>
      </c>
      <c r="AZ183" s="117" t="s">
        <v>561</v>
      </c>
      <c r="BA183" s="117" t="s">
        <v>561</v>
      </c>
      <c r="BB183" s="117" t="s">
        <v>561</v>
      </c>
      <c r="BC183" s="117" t="s">
        <v>561</v>
      </c>
      <c r="BD183" s="164" t="s">
        <v>1832</v>
      </c>
      <c r="BE183" s="164" t="s">
        <v>1832</v>
      </c>
      <c r="BF183" s="130"/>
      <c r="BG183" s="130">
        <f t="shared" si="8"/>
        <v>95800</v>
      </c>
      <c r="BH183" s="131">
        <v>95800.0</v>
      </c>
      <c r="BI183" s="131"/>
      <c r="BJ183" s="132"/>
      <c r="BK183" s="132"/>
      <c r="BL183" s="133"/>
      <c r="BM183" s="133"/>
      <c r="BN183" s="133"/>
      <c r="BO183" s="133" t="s">
        <v>561</v>
      </c>
      <c r="BP183" s="133" t="s">
        <v>1867</v>
      </c>
      <c r="BQ183" s="134"/>
      <c r="BR183" s="181" t="s">
        <v>2665</v>
      </c>
      <c r="BS183" s="181" t="s">
        <v>122</v>
      </c>
      <c r="BT183" s="134"/>
      <c r="BU183" s="137">
        <f t="shared" si="6"/>
        <v>0.203</v>
      </c>
      <c r="BV183" s="142">
        <v>0.591</v>
      </c>
      <c r="BW183" s="141">
        <v>0.38799999999999996</v>
      </c>
      <c r="BX183" s="141"/>
      <c r="BY183" s="137">
        <f t="shared" si="7"/>
        <v>0.217</v>
      </c>
      <c r="BZ183" s="142">
        <v>0.5820000000000001</v>
      </c>
      <c r="CA183" s="141">
        <v>0.365</v>
      </c>
      <c r="CB183" s="141"/>
      <c r="CC183" s="141">
        <v>0.212</v>
      </c>
      <c r="CD183" s="142">
        <v>0.607</v>
      </c>
      <c r="CE183" s="141">
        <v>0.057999999999999996</v>
      </c>
      <c r="CF183" s="141">
        <v>0.113</v>
      </c>
      <c r="CG183" s="141">
        <v>0.043</v>
      </c>
      <c r="CH183" s="141">
        <v>0.004</v>
      </c>
      <c r="CI183" s="139"/>
      <c r="CJ183" s="141">
        <v>0.27899999999999997</v>
      </c>
      <c r="CK183" s="142">
        <v>0.543</v>
      </c>
      <c r="CL183" s="141">
        <v>0.063</v>
      </c>
      <c r="CM183" s="141">
        <v>0.098</v>
      </c>
      <c r="CN183" s="141">
        <v>0.012</v>
      </c>
      <c r="CO183" s="141">
        <v>0.002</v>
      </c>
      <c r="CP183" s="141"/>
      <c r="CQ183" s="141">
        <v>0.149</v>
      </c>
      <c r="CR183" s="141">
        <v>0.254</v>
      </c>
      <c r="CS183" s="141">
        <v>0.20800000000000002</v>
      </c>
    </row>
    <row r="184">
      <c r="A184" s="112">
        <f t="shared" si="1"/>
        <v>182</v>
      </c>
      <c r="B184" s="112" t="s">
        <v>586</v>
      </c>
      <c r="C184" s="112" t="s">
        <v>1386</v>
      </c>
      <c r="D184" s="113" t="s">
        <v>1383</v>
      </c>
      <c r="E184" s="186"/>
      <c r="F184" s="115">
        <f t="shared" si="2"/>
        <v>0</v>
      </c>
      <c r="G184" s="115">
        <f t="shared" si="3"/>
        <v>0.1315789474</v>
      </c>
      <c r="H184" s="116">
        <f t="shared" si="4"/>
        <v>0.09868421053</v>
      </c>
      <c r="I184" s="117" t="s">
        <v>594</v>
      </c>
      <c r="J184" s="117" t="s">
        <v>594</v>
      </c>
      <c r="K184" s="117" t="s">
        <v>594</v>
      </c>
      <c r="L184" s="117" t="s">
        <v>594</v>
      </c>
      <c r="M184" s="117" t="s">
        <v>594</v>
      </c>
      <c r="N184" s="117" t="s">
        <v>594</v>
      </c>
      <c r="O184" s="149" t="s">
        <v>1256</v>
      </c>
      <c r="P184" s="185" t="s">
        <v>561</v>
      </c>
      <c r="Q184" s="121" t="s">
        <v>53</v>
      </c>
      <c r="R184" s="121" t="s">
        <v>561</v>
      </c>
      <c r="S184" s="149" t="s">
        <v>561</v>
      </c>
      <c r="T184" s="119" t="s">
        <v>53</v>
      </c>
      <c r="U184" s="149" t="s">
        <v>561</v>
      </c>
      <c r="V184" s="149" t="s">
        <v>561</v>
      </c>
      <c r="W184" s="119" t="s">
        <v>53</v>
      </c>
      <c r="X184" s="149" t="s">
        <v>561</v>
      </c>
      <c r="Y184" s="149" t="s">
        <v>561</v>
      </c>
      <c r="Z184" s="149" t="s">
        <v>561</v>
      </c>
      <c r="AA184" s="149" t="s">
        <v>561</v>
      </c>
      <c r="AB184" s="149" t="s">
        <v>561</v>
      </c>
      <c r="AC184" s="125" t="s">
        <v>561</v>
      </c>
      <c r="AD184" s="149" t="s">
        <v>561</v>
      </c>
      <c r="AE184" s="128" t="s">
        <v>561</v>
      </c>
      <c r="AF184" s="125" t="s">
        <v>561</v>
      </c>
      <c r="AG184" s="121" t="s">
        <v>53</v>
      </c>
      <c r="AH184" s="128" t="s">
        <v>561</v>
      </c>
      <c r="AI184" s="128" t="s">
        <v>561</v>
      </c>
      <c r="AJ184" s="128" t="s">
        <v>561</v>
      </c>
      <c r="AK184" s="125" t="s">
        <v>561</v>
      </c>
      <c r="AL184" s="128" t="s">
        <v>561</v>
      </c>
      <c r="AM184" s="128" t="s">
        <v>561</v>
      </c>
      <c r="AN184" s="128" t="s">
        <v>561</v>
      </c>
      <c r="AO184" s="128" t="s">
        <v>561</v>
      </c>
      <c r="AP184" s="121" t="s">
        <v>561</v>
      </c>
      <c r="AQ184" s="128" t="s">
        <v>53</v>
      </c>
      <c r="AR184" s="128" t="s">
        <v>561</v>
      </c>
      <c r="AS184" s="117" t="s">
        <v>561</v>
      </c>
      <c r="AT184" s="117" t="s">
        <v>561</v>
      </c>
      <c r="AU184" s="117" t="s">
        <v>561</v>
      </c>
      <c r="AV184" s="117" t="s">
        <v>561</v>
      </c>
      <c r="AW184" s="117" t="s">
        <v>561</v>
      </c>
      <c r="AX184" s="117" t="s">
        <v>561</v>
      </c>
      <c r="AY184" s="117" t="s">
        <v>561</v>
      </c>
      <c r="AZ184" s="117" t="s">
        <v>561</v>
      </c>
      <c r="BA184" s="117" t="s">
        <v>561</v>
      </c>
      <c r="BB184" s="117" t="s">
        <v>600</v>
      </c>
      <c r="BC184" s="117" t="s">
        <v>600</v>
      </c>
      <c r="BD184" s="164" t="s">
        <v>1832</v>
      </c>
      <c r="BE184" s="129" t="s">
        <v>821</v>
      </c>
      <c r="BF184" s="130"/>
      <c r="BG184" s="130">
        <f t="shared" si="8"/>
        <v>52844</v>
      </c>
      <c r="BH184" s="131">
        <v>48844.0</v>
      </c>
      <c r="BI184" s="131"/>
      <c r="BJ184" s="132">
        <f>2000+2000</f>
        <v>4000</v>
      </c>
      <c r="BK184" s="132"/>
      <c r="BL184" s="133"/>
      <c r="BM184" s="133" t="s">
        <v>561</v>
      </c>
      <c r="BN184" s="133" t="s">
        <v>561</v>
      </c>
      <c r="BO184" s="133" t="s">
        <v>561</v>
      </c>
      <c r="BP184" s="133" t="s">
        <v>845</v>
      </c>
      <c r="BQ184" s="134"/>
      <c r="BR184" s="150" t="s">
        <v>1569</v>
      </c>
      <c r="BS184" s="181" t="s">
        <v>2030</v>
      </c>
      <c r="BT184" s="134"/>
      <c r="BU184" s="137">
        <f t="shared" si="6"/>
        <v>0.067</v>
      </c>
      <c r="BV184" s="138">
        <v>0.52</v>
      </c>
      <c r="BW184" s="137">
        <v>0.45299999999999996</v>
      </c>
      <c r="BX184" s="137"/>
      <c r="BY184" s="137">
        <f t="shared" si="7"/>
        <v>0.032</v>
      </c>
      <c r="BZ184" s="138">
        <v>0.47700000000000004</v>
      </c>
      <c r="CA184" s="137">
        <v>0.445</v>
      </c>
      <c r="CB184" s="137"/>
      <c r="CC184" s="138">
        <v>0.728</v>
      </c>
      <c r="CD184" s="137">
        <v>0.08800000000000001</v>
      </c>
      <c r="CE184" s="137">
        <v>0.028999999999999998</v>
      </c>
      <c r="CF184" s="137">
        <v>0.11199999999999999</v>
      </c>
      <c r="CG184" s="137">
        <v>0.032</v>
      </c>
      <c r="CH184" s="137">
        <v>0.01</v>
      </c>
      <c r="CI184" s="139"/>
      <c r="CJ184" s="138">
        <v>0.8240000000000001</v>
      </c>
      <c r="CK184" s="137">
        <v>0.057999999999999996</v>
      </c>
      <c r="CL184" s="137">
        <v>0.022000000000000002</v>
      </c>
      <c r="CM184" s="137">
        <v>0.069</v>
      </c>
      <c r="CN184" s="137">
        <v>0.019</v>
      </c>
      <c r="CO184" s="137">
        <v>0.003</v>
      </c>
      <c r="CP184" s="137"/>
      <c r="CQ184" s="137">
        <v>0.385</v>
      </c>
      <c r="CR184" s="137">
        <v>0.373</v>
      </c>
      <c r="CS184" s="138">
        <v>0.516</v>
      </c>
    </row>
    <row r="185">
      <c r="A185" s="112">
        <f t="shared" si="1"/>
        <v>182</v>
      </c>
      <c r="B185" s="112" t="s">
        <v>73</v>
      </c>
      <c r="C185" s="112" t="s">
        <v>74</v>
      </c>
      <c r="D185" s="113" t="s">
        <v>69</v>
      </c>
      <c r="E185" s="186"/>
      <c r="F185" s="115">
        <f t="shared" si="2"/>
        <v>0</v>
      </c>
      <c r="G185" s="115">
        <f t="shared" si="3"/>
        <v>0.1315789474</v>
      </c>
      <c r="H185" s="116">
        <f t="shared" si="4"/>
        <v>0.09868421053</v>
      </c>
      <c r="I185" s="117" t="s">
        <v>594</v>
      </c>
      <c r="J185" s="117" t="s">
        <v>594</v>
      </c>
      <c r="K185" s="117" t="s">
        <v>594</v>
      </c>
      <c r="L185" s="117" t="s">
        <v>594</v>
      </c>
      <c r="M185" s="117" t="s">
        <v>594</v>
      </c>
      <c r="N185" s="117" t="s">
        <v>594</v>
      </c>
      <c r="O185" s="149" t="s">
        <v>1256</v>
      </c>
      <c r="P185" s="185" t="s">
        <v>561</v>
      </c>
      <c r="Q185" s="121" t="s">
        <v>53</v>
      </c>
      <c r="R185" s="121" t="s">
        <v>561</v>
      </c>
      <c r="S185" s="149" t="s">
        <v>561</v>
      </c>
      <c r="T185" s="119" t="s">
        <v>53</v>
      </c>
      <c r="U185" s="149" t="s">
        <v>561</v>
      </c>
      <c r="V185" s="149" t="s">
        <v>561</v>
      </c>
      <c r="W185" s="119" t="s">
        <v>53</v>
      </c>
      <c r="X185" s="149" t="s">
        <v>561</v>
      </c>
      <c r="Y185" s="149" t="s">
        <v>561</v>
      </c>
      <c r="Z185" s="149" t="s">
        <v>561</v>
      </c>
      <c r="AA185" s="149" t="s">
        <v>561</v>
      </c>
      <c r="AB185" s="149" t="s">
        <v>561</v>
      </c>
      <c r="AC185" s="125" t="s">
        <v>561</v>
      </c>
      <c r="AD185" s="149" t="s">
        <v>561</v>
      </c>
      <c r="AE185" s="128" t="s">
        <v>561</v>
      </c>
      <c r="AF185" s="125" t="s">
        <v>561</v>
      </c>
      <c r="AG185" s="121" t="s">
        <v>561</v>
      </c>
      <c r="AH185" s="128" t="s">
        <v>561</v>
      </c>
      <c r="AI185" s="128" t="s">
        <v>561</v>
      </c>
      <c r="AJ185" s="128" t="s">
        <v>561</v>
      </c>
      <c r="AK185" s="125" t="s">
        <v>561</v>
      </c>
      <c r="AL185" s="128" t="s">
        <v>561</v>
      </c>
      <c r="AM185" s="128" t="s">
        <v>561</v>
      </c>
      <c r="AN185" s="128" t="s">
        <v>561</v>
      </c>
      <c r="AO185" s="128" t="s">
        <v>53</v>
      </c>
      <c r="AP185" s="121" t="s">
        <v>561</v>
      </c>
      <c r="AQ185" s="128" t="s">
        <v>53</v>
      </c>
      <c r="AR185" s="128" t="s">
        <v>561</v>
      </c>
      <c r="AS185" s="117" t="s">
        <v>561</v>
      </c>
      <c r="AT185" s="117" t="s">
        <v>561</v>
      </c>
      <c r="AU185" s="117" t="s">
        <v>561</v>
      </c>
      <c r="AV185" s="117" t="s">
        <v>561</v>
      </c>
      <c r="AW185" s="117" t="s">
        <v>561</v>
      </c>
      <c r="AX185" s="117" t="s">
        <v>561</v>
      </c>
      <c r="AY185" s="117" t="s">
        <v>561</v>
      </c>
      <c r="AZ185" s="117" t="s">
        <v>561</v>
      </c>
      <c r="BA185" s="117" t="s">
        <v>561</v>
      </c>
      <c r="BB185" s="117" t="s">
        <v>600</v>
      </c>
      <c r="BC185" s="117" t="s">
        <v>600</v>
      </c>
      <c r="BD185" s="164" t="s">
        <v>1832</v>
      </c>
      <c r="BE185" s="129" t="s">
        <v>821</v>
      </c>
      <c r="BF185" s="130"/>
      <c r="BG185" s="130">
        <f t="shared" si="8"/>
        <v>51625</v>
      </c>
      <c r="BH185" s="131">
        <v>51625.0</v>
      </c>
      <c r="BI185" s="131"/>
      <c r="BJ185" s="132"/>
      <c r="BK185" s="132"/>
      <c r="BL185" s="133"/>
      <c r="BM185" s="133"/>
      <c r="BN185" s="133"/>
      <c r="BO185" s="133" t="s">
        <v>561</v>
      </c>
      <c r="BP185" s="133" t="s">
        <v>845</v>
      </c>
      <c r="BQ185" s="134"/>
      <c r="BR185" s="150" t="s">
        <v>1569</v>
      </c>
      <c r="BS185" s="181" t="s">
        <v>122</v>
      </c>
      <c r="BT185" s="134"/>
      <c r="BU185" s="137">
        <f t="shared" si="6"/>
        <v>0.103</v>
      </c>
      <c r="BV185" s="138">
        <v>0.542</v>
      </c>
      <c r="BW185" s="137">
        <v>0.439</v>
      </c>
      <c r="BX185" s="137"/>
      <c r="BY185" s="137">
        <f t="shared" si="7"/>
        <v>0.024</v>
      </c>
      <c r="BZ185" s="138">
        <v>0.465</v>
      </c>
      <c r="CA185" s="137">
        <v>0.441</v>
      </c>
      <c r="CB185" s="137"/>
      <c r="CC185" s="138">
        <v>0.594</v>
      </c>
      <c r="CD185" s="137">
        <v>0.231</v>
      </c>
      <c r="CE185" s="137">
        <v>0.066</v>
      </c>
      <c r="CF185" s="137">
        <v>0.073</v>
      </c>
      <c r="CG185" s="137">
        <v>0.043</v>
      </c>
      <c r="CH185" s="137">
        <v>0.006</v>
      </c>
      <c r="CI185" s="139"/>
      <c r="CJ185" s="138">
        <v>0.6709999999999999</v>
      </c>
      <c r="CK185" s="137">
        <v>0.189</v>
      </c>
      <c r="CL185" s="137">
        <v>0.068</v>
      </c>
      <c r="CM185" s="137">
        <v>0.04</v>
      </c>
      <c r="CN185" s="137">
        <v>0.027000000000000003</v>
      </c>
      <c r="CO185" s="137">
        <v>0.003</v>
      </c>
      <c r="CP185" s="137"/>
      <c r="CQ185" s="137">
        <v>0.354</v>
      </c>
      <c r="CR185" s="137">
        <v>0.39299999999999996</v>
      </c>
      <c r="CS185" s="137">
        <v>0.40700000000000003</v>
      </c>
    </row>
    <row r="186">
      <c r="A186" s="112">
        <f t="shared" si="1"/>
        <v>184</v>
      </c>
      <c r="B186" s="112" t="s">
        <v>275</v>
      </c>
      <c r="C186" s="112" t="s">
        <v>276</v>
      </c>
      <c r="D186" s="113" t="s">
        <v>271</v>
      </c>
      <c r="E186" s="163"/>
      <c r="F186" s="115">
        <f t="shared" si="2"/>
        <v>0</v>
      </c>
      <c r="G186" s="115">
        <f t="shared" si="3"/>
        <v>0.1282051282</v>
      </c>
      <c r="H186" s="116">
        <f t="shared" si="4"/>
        <v>0.09615384615</v>
      </c>
      <c r="I186" s="117" t="s">
        <v>594</v>
      </c>
      <c r="J186" s="117" t="s">
        <v>594</v>
      </c>
      <c r="K186" s="117" t="s">
        <v>594</v>
      </c>
      <c r="L186" s="117" t="s">
        <v>594</v>
      </c>
      <c r="M186" s="117" t="s">
        <v>594</v>
      </c>
      <c r="N186" s="117" t="s">
        <v>594</v>
      </c>
      <c r="O186" s="149" t="s">
        <v>1256</v>
      </c>
      <c r="P186" s="185" t="s">
        <v>561</v>
      </c>
      <c r="Q186" s="121" t="s">
        <v>561</v>
      </c>
      <c r="R186" s="121" t="s">
        <v>561</v>
      </c>
      <c r="S186" s="149" t="s">
        <v>561</v>
      </c>
      <c r="T186" s="119" t="s">
        <v>53</v>
      </c>
      <c r="U186" s="149" t="s">
        <v>561</v>
      </c>
      <c r="V186" s="119" t="s">
        <v>53</v>
      </c>
      <c r="W186" s="119" t="s">
        <v>53</v>
      </c>
      <c r="X186" s="149" t="s">
        <v>561</v>
      </c>
      <c r="Y186" s="149" t="s">
        <v>561</v>
      </c>
      <c r="Z186" s="149" t="s">
        <v>561</v>
      </c>
      <c r="AA186" s="149" t="s">
        <v>561</v>
      </c>
      <c r="AB186" s="149" t="s">
        <v>561</v>
      </c>
      <c r="AC186" s="125" t="s">
        <v>561</v>
      </c>
      <c r="AD186" s="149" t="s">
        <v>561</v>
      </c>
      <c r="AE186" s="128" t="s">
        <v>561</v>
      </c>
      <c r="AF186" s="125" t="s">
        <v>561</v>
      </c>
      <c r="AG186" s="121" t="s">
        <v>561</v>
      </c>
      <c r="AH186" s="128" t="s">
        <v>561</v>
      </c>
      <c r="AI186" s="128" t="s">
        <v>561</v>
      </c>
      <c r="AJ186" s="128" t="s">
        <v>561</v>
      </c>
      <c r="AK186" s="125" t="s">
        <v>561</v>
      </c>
      <c r="AL186" s="128" t="s">
        <v>561</v>
      </c>
      <c r="AM186" s="128" t="s">
        <v>561</v>
      </c>
      <c r="AN186" s="128" t="s">
        <v>561</v>
      </c>
      <c r="AO186" s="128" t="s">
        <v>53</v>
      </c>
      <c r="AP186" s="121" t="s">
        <v>561</v>
      </c>
      <c r="AQ186" s="128" t="s">
        <v>53</v>
      </c>
      <c r="AR186" s="128" t="s">
        <v>561</v>
      </c>
      <c r="AS186" s="117" t="s">
        <v>561</v>
      </c>
      <c r="AT186" s="117" t="s">
        <v>561</v>
      </c>
      <c r="AU186" s="117" t="s">
        <v>561</v>
      </c>
      <c r="AV186" s="117" t="s">
        <v>561</v>
      </c>
      <c r="AW186" s="117" t="s">
        <v>561</v>
      </c>
      <c r="AX186" s="117" t="s">
        <v>561</v>
      </c>
      <c r="AY186" s="117" t="s">
        <v>561</v>
      </c>
      <c r="AZ186" s="117" t="s">
        <v>561</v>
      </c>
      <c r="BA186" s="117" t="s">
        <v>561</v>
      </c>
      <c r="BB186" s="117" t="s">
        <v>561</v>
      </c>
      <c r="BC186" s="117" t="s">
        <v>600</v>
      </c>
      <c r="BD186" s="164" t="s">
        <v>1832</v>
      </c>
      <c r="BE186" s="164" t="s">
        <v>1832</v>
      </c>
      <c r="BF186" s="130"/>
      <c r="BG186" s="130">
        <f t="shared" si="8"/>
        <v>70693</v>
      </c>
      <c r="BH186" s="131">
        <v>70693.0</v>
      </c>
      <c r="BI186" s="131"/>
      <c r="BJ186" s="268"/>
      <c r="BK186" s="268"/>
      <c r="BL186" s="133"/>
      <c r="BM186" s="133"/>
      <c r="BN186" s="133"/>
      <c r="BO186" s="133" t="s">
        <v>561</v>
      </c>
      <c r="BP186" s="133" t="s">
        <v>1432</v>
      </c>
      <c r="BQ186" s="134"/>
      <c r="BR186" s="150" t="s">
        <v>1569</v>
      </c>
      <c r="BS186" s="181" t="s">
        <v>122</v>
      </c>
      <c r="BT186" s="134"/>
      <c r="BU186" s="137">
        <f t="shared" si="6"/>
        <v>0.276</v>
      </c>
      <c r="BV186" s="138">
        <v>0.627</v>
      </c>
      <c r="BW186" s="137">
        <v>0.35100000000000003</v>
      </c>
      <c r="BX186" s="137"/>
      <c r="BY186" s="137">
        <f t="shared" si="7"/>
        <v>0.346</v>
      </c>
      <c r="BZ186" s="138">
        <v>0.6459999999999999</v>
      </c>
      <c r="CA186" s="137">
        <v>0.3</v>
      </c>
      <c r="CB186" s="137"/>
      <c r="CC186" s="137">
        <v>0.17</v>
      </c>
      <c r="CD186" s="138">
        <v>0.612</v>
      </c>
      <c r="CE186" s="137">
        <v>0.076</v>
      </c>
      <c r="CF186" s="137">
        <v>0.139</v>
      </c>
      <c r="CG186" s="137">
        <v>0.039</v>
      </c>
      <c r="CH186" s="137">
        <v>0.005</v>
      </c>
      <c r="CI186" s="139"/>
      <c r="CJ186" s="137">
        <v>0.227</v>
      </c>
      <c r="CK186" s="138">
        <v>0.5760000000000001</v>
      </c>
      <c r="CL186" s="137">
        <v>0.084</v>
      </c>
      <c r="CM186" s="137">
        <v>0.099</v>
      </c>
      <c r="CN186" s="137">
        <v>0.009000000000000001</v>
      </c>
      <c r="CO186" s="137">
        <v>0.003</v>
      </c>
      <c r="CP186" s="137"/>
      <c r="CQ186" s="137">
        <v>0.207</v>
      </c>
      <c r="CR186" s="137">
        <v>0.278</v>
      </c>
      <c r="CS186" s="137">
        <v>0.16399999999999998</v>
      </c>
    </row>
    <row r="187">
      <c r="A187" s="112">
        <f t="shared" si="1"/>
        <v>184</v>
      </c>
      <c r="B187" s="112" t="s">
        <v>363</v>
      </c>
      <c r="C187" s="112" t="s">
        <v>364</v>
      </c>
      <c r="D187" s="113" t="s">
        <v>359</v>
      </c>
      <c r="E187" s="163"/>
      <c r="F187" s="115">
        <f t="shared" si="2"/>
        <v>0</v>
      </c>
      <c r="G187" s="115">
        <f t="shared" si="3"/>
        <v>0.1282051282</v>
      </c>
      <c r="H187" s="116">
        <f t="shared" si="4"/>
        <v>0.09615384615</v>
      </c>
      <c r="I187" s="117" t="s">
        <v>594</v>
      </c>
      <c r="J187" s="117" t="s">
        <v>594</v>
      </c>
      <c r="K187" s="117" t="s">
        <v>594</v>
      </c>
      <c r="L187" s="117" t="s">
        <v>594</v>
      </c>
      <c r="M187" s="117" t="s">
        <v>594</v>
      </c>
      <c r="N187" s="117" t="s">
        <v>594</v>
      </c>
      <c r="O187" s="149" t="s">
        <v>1256</v>
      </c>
      <c r="P187" s="120" t="s">
        <v>53</v>
      </c>
      <c r="Q187" s="121" t="s">
        <v>53</v>
      </c>
      <c r="R187" s="121" t="s">
        <v>561</v>
      </c>
      <c r="S187" s="149" t="s">
        <v>561</v>
      </c>
      <c r="T187" s="149" t="s">
        <v>561</v>
      </c>
      <c r="U187" s="149" t="s">
        <v>561</v>
      </c>
      <c r="V187" s="149" t="s">
        <v>561</v>
      </c>
      <c r="W187" s="119" t="s">
        <v>53</v>
      </c>
      <c r="X187" s="149" t="s">
        <v>561</v>
      </c>
      <c r="Y187" s="149" t="s">
        <v>561</v>
      </c>
      <c r="Z187" s="149" t="s">
        <v>561</v>
      </c>
      <c r="AA187" s="149" t="s">
        <v>561</v>
      </c>
      <c r="AB187" s="149" t="s">
        <v>561</v>
      </c>
      <c r="AC187" s="125" t="s">
        <v>561</v>
      </c>
      <c r="AD187" s="149" t="s">
        <v>561</v>
      </c>
      <c r="AE187" s="128" t="s">
        <v>561</v>
      </c>
      <c r="AF187" s="125" t="s">
        <v>561</v>
      </c>
      <c r="AG187" s="121" t="s">
        <v>561</v>
      </c>
      <c r="AH187" s="128" t="s">
        <v>561</v>
      </c>
      <c r="AI187" s="125" t="s">
        <v>53</v>
      </c>
      <c r="AJ187" s="128" t="s">
        <v>561</v>
      </c>
      <c r="AK187" s="125" t="s">
        <v>561</v>
      </c>
      <c r="AL187" s="128" t="s">
        <v>561</v>
      </c>
      <c r="AM187" s="128" t="s">
        <v>561</v>
      </c>
      <c r="AN187" s="128" t="s">
        <v>561</v>
      </c>
      <c r="AO187" s="128" t="s">
        <v>53</v>
      </c>
      <c r="AP187" s="121" t="s">
        <v>561</v>
      </c>
      <c r="AQ187" s="128" t="s">
        <v>561</v>
      </c>
      <c r="AR187" s="128" t="s">
        <v>561</v>
      </c>
      <c r="AS187" s="117" t="s">
        <v>561</v>
      </c>
      <c r="AT187" s="117" t="s">
        <v>561</v>
      </c>
      <c r="AU187" s="117" t="s">
        <v>561</v>
      </c>
      <c r="AV187" s="117" t="s">
        <v>561</v>
      </c>
      <c r="AW187" s="117" t="s">
        <v>561</v>
      </c>
      <c r="AX187" s="117" t="s">
        <v>561</v>
      </c>
      <c r="AY187" s="117" t="s">
        <v>561</v>
      </c>
      <c r="AZ187" s="117" t="s">
        <v>561</v>
      </c>
      <c r="BA187" s="117" t="s">
        <v>561</v>
      </c>
      <c r="BB187" s="117" t="s">
        <v>561</v>
      </c>
      <c r="BC187" s="117" t="s">
        <v>600</v>
      </c>
      <c r="BD187" s="164" t="s">
        <v>1832</v>
      </c>
      <c r="BE187" s="164" t="s">
        <v>1832</v>
      </c>
      <c r="BF187" s="130"/>
      <c r="BG187" s="130">
        <f t="shared" si="8"/>
        <v>181200</v>
      </c>
      <c r="BH187" s="131">
        <v>175200.0</v>
      </c>
      <c r="BI187" s="131"/>
      <c r="BJ187" s="132">
        <f>4000+2000</f>
        <v>6000</v>
      </c>
      <c r="BK187" s="132"/>
      <c r="BL187" s="133"/>
      <c r="BM187" s="133"/>
      <c r="BN187" s="133" t="s">
        <v>561</v>
      </c>
      <c r="BO187" s="133" t="s">
        <v>561</v>
      </c>
      <c r="BP187" s="133" t="s">
        <v>1311</v>
      </c>
      <c r="BQ187" s="134"/>
      <c r="BR187" s="150" t="s">
        <v>1199</v>
      </c>
      <c r="BS187" s="181" t="s">
        <v>2030</v>
      </c>
      <c r="BT187" s="134"/>
      <c r="BU187" s="137">
        <f t="shared" si="6"/>
        <v>0.369</v>
      </c>
      <c r="BV187" s="138">
        <v>0.674</v>
      </c>
      <c r="BW187" s="137">
        <v>0.305</v>
      </c>
      <c r="BX187" s="137"/>
      <c r="BY187" s="137">
        <f t="shared" si="7"/>
        <v>0.466</v>
      </c>
      <c r="BZ187" s="138">
        <v>0.7070000000000001</v>
      </c>
      <c r="CA187" s="137">
        <v>0.24100000000000002</v>
      </c>
      <c r="CB187" s="137"/>
      <c r="CC187" s="137">
        <v>0.153</v>
      </c>
      <c r="CD187" s="138">
        <v>0.5720000000000001</v>
      </c>
      <c r="CE187" s="137">
        <v>0.094</v>
      </c>
      <c r="CF187" s="137">
        <v>0.183</v>
      </c>
      <c r="CG187" s="137">
        <v>0.033</v>
      </c>
      <c r="CH187" s="137">
        <v>0.011000000000000001</v>
      </c>
      <c r="CI187" s="139"/>
      <c r="CJ187" s="137">
        <v>0.203</v>
      </c>
      <c r="CK187" s="138">
        <v>0.509</v>
      </c>
      <c r="CL187" s="137">
        <v>0.10300000000000001</v>
      </c>
      <c r="CM187" s="137">
        <v>0.167</v>
      </c>
      <c r="CN187" s="137">
        <v>0.004</v>
      </c>
      <c r="CO187" s="137">
        <v>0.006</v>
      </c>
      <c r="CP187" s="137"/>
      <c r="CQ187" s="137">
        <v>0.21600000000000003</v>
      </c>
      <c r="CR187" s="137">
        <v>0.34</v>
      </c>
      <c r="CS187" s="137">
        <v>0.134</v>
      </c>
    </row>
    <row r="188">
      <c r="A188" s="112">
        <f t="shared" si="1"/>
        <v>186</v>
      </c>
      <c r="B188" s="112" t="s">
        <v>1098</v>
      </c>
      <c r="C188" s="112" t="s">
        <v>1099</v>
      </c>
      <c r="D188" s="113" t="s">
        <v>1096</v>
      </c>
      <c r="E188" s="163"/>
      <c r="F188" s="115">
        <f t="shared" si="2"/>
        <v>0</v>
      </c>
      <c r="G188" s="115">
        <f t="shared" si="3"/>
        <v>0.125</v>
      </c>
      <c r="H188" s="116">
        <f t="shared" si="4"/>
        <v>0.09375</v>
      </c>
      <c r="I188" s="117" t="s">
        <v>594</v>
      </c>
      <c r="J188" s="117" t="s">
        <v>594</v>
      </c>
      <c r="K188" s="117" t="s">
        <v>594</v>
      </c>
      <c r="L188" s="117" t="s">
        <v>594</v>
      </c>
      <c r="M188" s="117" t="s">
        <v>594</v>
      </c>
      <c r="N188" s="117" t="s">
        <v>594</v>
      </c>
      <c r="O188" s="149" t="s">
        <v>1256</v>
      </c>
      <c r="P188" s="185" t="s">
        <v>561</v>
      </c>
      <c r="Q188" s="121" t="s">
        <v>53</v>
      </c>
      <c r="R188" s="121" t="s">
        <v>561</v>
      </c>
      <c r="S188" s="119" t="s">
        <v>53</v>
      </c>
      <c r="T188" s="123" t="s">
        <v>801</v>
      </c>
      <c r="U188" s="149" t="s">
        <v>561</v>
      </c>
      <c r="V188" s="149" t="s">
        <v>561</v>
      </c>
      <c r="W188" s="119" t="s">
        <v>53</v>
      </c>
      <c r="X188" s="123" t="s">
        <v>801</v>
      </c>
      <c r="Y188" s="149" t="s">
        <v>561</v>
      </c>
      <c r="Z188" s="149" t="s">
        <v>561</v>
      </c>
      <c r="AA188" s="149" t="s">
        <v>561</v>
      </c>
      <c r="AB188" s="149" t="s">
        <v>561</v>
      </c>
      <c r="AC188" s="125" t="s">
        <v>561</v>
      </c>
      <c r="AD188" s="149" t="s">
        <v>561</v>
      </c>
      <c r="AE188" s="128" t="s">
        <v>561</v>
      </c>
      <c r="AF188" s="125" t="s">
        <v>561</v>
      </c>
      <c r="AG188" s="121" t="s">
        <v>561</v>
      </c>
      <c r="AH188" s="128" t="s">
        <v>561</v>
      </c>
      <c r="AI188" s="128" t="s">
        <v>561</v>
      </c>
      <c r="AJ188" s="128" t="s">
        <v>561</v>
      </c>
      <c r="AK188" s="125" t="s">
        <v>561</v>
      </c>
      <c r="AL188" s="128" t="s">
        <v>561</v>
      </c>
      <c r="AM188" s="128" t="s">
        <v>561</v>
      </c>
      <c r="AN188" s="128" t="s">
        <v>561</v>
      </c>
      <c r="AO188" s="128" t="s">
        <v>561</v>
      </c>
      <c r="AP188" s="121" t="s">
        <v>561</v>
      </c>
      <c r="AQ188" s="128" t="s">
        <v>53</v>
      </c>
      <c r="AR188" s="128" t="s">
        <v>561</v>
      </c>
      <c r="AS188" s="117" t="s">
        <v>561</v>
      </c>
      <c r="AT188" s="117" t="s">
        <v>561</v>
      </c>
      <c r="AU188" s="117" t="s">
        <v>561</v>
      </c>
      <c r="AV188" s="117" t="s">
        <v>561</v>
      </c>
      <c r="AW188" s="117" t="s">
        <v>561</v>
      </c>
      <c r="AX188" s="117" t="s">
        <v>600</v>
      </c>
      <c r="AY188" s="117" t="s">
        <v>600</v>
      </c>
      <c r="AZ188" s="117" t="s">
        <v>600</v>
      </c>
      <c r="BA188" s="117" t="s">
        <v>600</v>
      </c>
      <c r="BB188" s="117" t="s">
        <v>600</v>
      </c>
      <c r="BC188" s="117" t="s">
        <v>600</v>
      </c>
      <c r="BD188" s="164" t="s">
        <v>1832</v>
      </c>
      <c r="BE188" s="164" t="s">
        <v>1832</v>
      </c>
      <c r="BF188" s="130"/>
      <c r="BG188" s="130">
        <f t="shared" si="8"/>
        <v>9250</v>
      </c>
      <c r="BH188" s="131">
        <v>7250.0</v>
      </c>
      <c r="BI188" s="131"/>
      <c r="BJ188" s="132">
        <f t="shared" ref="BJ188:BJ189" si="15">2000</f>
        <v>2000</v>
      </c>
      <c r="BK188" s="132"/>
      <c r="BL188" s="133"/>
      <c r="BM188" s="133"/>
      <c r="BN188" s="133" t="s">
        <v>561</v>
      </c>
      <c r="BO188" s="133"/>
      <c r="BP188" s="133" t="s">
        <v>976</v>
      </c>
      <c r="BQ188" s="134"/>
      <c r="BR188" s="181" t="s">
        <v>2691</v>
      </c>
      <c r="BS188" s="150" t="s">
        <v>135</v>
      </c>
      <c r="BT188" s="134"/>
      <c r="BU188" s="137">
        <f t="shared" si="6"/>
        <v>0.017</v>
      </c>
      <c r="BV188" s="138">
        <v>0.501</v>
      </c>
      <c r="BW188" s="137">
        <v>0.484</v>
      </c>
      <c r="BX188" s="137"/>
      <c r="BY188" s="137">
        <f t="shared" si="7"/>
        <v>-0.024</v>
      </c>
      <c r="BZ188" s="137">
        <v>0.466</v>
      </c>
      <c r="CA188" s="138">
        <v>0.49</v>
      </c>
      <c r="CB188" s="138"/>
      <c r="CC188" s="138">
        <v>0.618</v>
      </c>
      <c r="CD188" s="137">
        <v>0.11199999999999999</v>
      </c>
      <c r="CE188" s="137">
        <v>0.22</v>
      </c>
      <c r="CF188" s="137">
        <v>0.033</v>
      </c>
      <c r="CG188" s="137">
        <v>0.022000000000000002</v>
      </c>
      <c r="CH188" s="137">
        <v>0.002</v>
      </c>
      <c r="CI188" s="139"/>
      <c r="CJ188" s="138">
        <v>0.6709999999999999</v>
      </c>
      <c r="CK188" s="137">
        <v>0.054000000000000006</v>
      </c>
      <c r="CL188" s="137">
        <v>0.24600000000000002</v>
      </c>
      <c r="CM188" s="137">
        <v>0.018000000000000002</v>
      </c>
      <c r="CN188" s="137">
        <v>0.011000000000000001</v>
      </c>
      <c r="CO188" s="137">
        <v>0.001</v>
      </c>
      <c r="CP188" s="137"/>
      <c r="CQ188" s="137">
        <v>0.345</v>
      </c>
      <c r="CR188" s="137">
        <v>0.401</v>
      </c>
      <c r="CS188" s="137">
        <v>0.402</v>
      </c>
    </row>
    <row r="189">
      <c r="A189" s="112">
        <f t="shared" si="1"/>
        <v>187</v>
      </c>
      <c r="B189" s="112" t="s">
        <v>64</v>
      </c>
      <c r="C189" s="112" t="s">
        <v>65</v>
      </c>
      <c r="D189" s="113" t="s">
        <v>57</v>
      </c>
      <c r="E189" s="163"/>
      <c r="F189" s="115">
        <f t="shared" si="2"/>
        <v>0</v>
      </c>
      <c r="G189" s="115">
        <f t="shared" si="3"/>
        <v>0.1176470588</v>
      </c>
      <c r="H189" s="116">
        <f t="shared" si="4"/>
        <v>0.08823529412</v>
      </c>
      <c r="I189" s="117" t="s">
        <v>594</v>
      </c>
      <c r="J189" s="117" t="s">
        <v>594</v>
      </c>
      <c r="K189" s="117" t="s">
        <v>594</v>
      </c>
      <c r="L189" s="117" t="s">
        <v>594</v>
      </c>
      <c r="M189" s="117" t="s">
        <v>594</v>
      </c>
      <c r="N189" s="117" t="s">
        <v>594</v>
      </c>
      <c r="O189" s="149" t="s">
        <v>1256</v>
      </c>
      <c r="P189" s="185" t="s">
        <v>561</v>
      </c>
      <c r="Q189" s="121" t="s">
        <v>801</v>
      </c>
      <c r="R189" s="121" t="s">
        <v>561</v>
      </c>
      <c r="S189" s="121" t="s">
        <v>801</v>
      </c>
      <c r="T189" s="119" t="s">
        <v>53</v>
      </c>
      <c r="U189" s="149" t="s">
        <v>561</v>
      </c>
      <c r="V189" s="149" t="s">
        <v>561</v>
      </c>
      <c r="W189" s="119" t="s">
        <v>53</v>
      </c>
      <c r="X189" s="123" t="s">
        <v>801</v>
      </c>
      <c r="Y189" s="149" t="s">
        <v>561</v>
      </c>
      <c r="Z189" s="149" t="s">
        <v>561</v>
      </c>
      <c r="AA189" s="149" t="s">
        <v>561</v>
      </c>
      <c r="AB189" s="149" t="s">
        <v>561</v>
      </c>
      <c r="AC189" s="125" t="s">
        <v>561</v>
      </c>
      <c r="AD189" s="149" t="s">
        <v>561</v>
      </c>
      <c r="AE189" s="128" t="s">
        <v>561</v>
      </c>
      <c r="AF189" s="125" t="s">
        <v>561</v>
      </c>
      <c r="AG189" s="121" t="s">
        <v>561</v>
      </c>
      <c r="AH189" s="128" t="s">
        <v>561</v>
      </c>
      <c r="AI189" s="128" t="s">
        <v>561</v>
      </c>
      <c r="AJ189" s="128" t="s">
        <v>561</v>
      </c>
      <c r="AK189" s="125" t="s">
        <v>561</v>
      </c>
      <c r="AL189" s="128" t="s">
        <v>561</v>
      </c>
      <c r="AM189" s="128" t="s">
        <v>561</v>
      </c>
      <c r="AN189" s="128" t="s">
        <v>561</v>
      </c>
      <c r="AO189" s="128" t="s">
        <v>53</v>
      </c>
      <c r="AP189" s="121" t="s">
        <v>561</v>
      </c>
      <c r="AQ189" s="128" t="s">
        <v>53</v>
      </c>
      <c r="AR189" s="128" t="s">
        <v>561</v>
      </c>
      <c r="AS189" s="117" t="s">
        <v>561</v>
      </c>
      <c r="AT189" s="117" t="s">
        <v>561</v>
      </c>
      <c r="AU189" s="117" t="s">
        <v>801</v>
      </c>
      <c r="AV189" s="117" t="s">
        <v>561</v>
      </c>
      <c r="AW189" s="117" t="s">
        <v>561</v>
      </c>
      <c r="AX189" s="117" t="s">
        <v>561</v>
      </c>
      <c r="AY189" s="117" t="s">
        <v>561</v>
      </c>
      <c r="AZ189" s="117" t="s">
        <v>561</v>
      </c>
      <c r="BA189" s="117" t="s">
        <v>561</v>
      </c>
      <c r="BB189" s="117" t="s">
        <v>801</v>
      </c>
      <c r="BC189" s="117" t="s">
        <v>600</v>
      </c>
      <c r="BD189" s="129" t="s">
        <v>821</v>
      </c>
      <c r="BE189" s="164" t="s">
        <v>1832</v>
      </c>
      <c r="BF189" s="130"/>
      <c r="BG189" s="130">
        <f t="shared" si="8"/>
        <v>31150</v>
      </c>
      <c r="BH189" s="131">
        <v>29150.0</v>
      </c>
      <c r="BI189" s="131"/>
      <c r="BJ189" s="132">
        <f t="shared" si="15"/>
        <v>2000</v>
      </c>
      <c r="BK189" s="132"/>
      <c r="BL189" s="133"/>
      <c r="BM189" s="133"/>
      <c r="BN189" s="133" t="s">
        <v>561</v>
      </c>
      <c r="BO189" s="133" t="s">
        <v>561</v>
      </c>
      <c r="BP189" s="133" t="s">
        <v>1432</v>
      </c>
      <c r="BQ189" s="134"/>
      <c r="BR189" s="135" t="s">
        <v>850</v>
      </c>
      <c r="BS189" s="181" t="s">
        <v>2030</v>
      </c>
      <c r="BT189" s="134"/>
      <c r="BU189" s="137">
        <f t="shared" si="6"/>
        <v>0.506</v>
      </c>
      <c r="BV189" s="138">
        <v>0.745</v>
      </c>
      <c r="BW189" s="137">
        <v>0.239</v>
      </c>
      <c r="BX189" s="137"/>
      <c r="BY189" s="137">
        <f t="shared" si="7"/>
        <v>0.499</v>
      </c>
      <c r="BZ189" s="138">
        <v>0.7140000000000001</v>
      </c>
      <c r="CA189" s="137">
        <v>0.215</v>
      </c>
      <c r="CB189" s="137"/>
      <c r="CC189" s="137">
        <v>0.23800000000000002</v>
      </c>
      <c r="CD189" s="138">
        <v>0.5820000000000001</v>
      </c>
      <c r="CE189" s="137">
        <v>0.11900000000000001</v>
      </c>
      <c r="CF189" s="137">
        <v>0.038</v>
      </c>
      <c r="CG189" s="137">
        <v>0.051</v>
      </c>
      <c r="CH189" s="137">
        <v>0.005</v>
      </c>
      <c r="CI189" s="139"/>
      <c r="CJ189" s="137">
        <v>0.3</v>
      </c>
      <c r="CK189" s="138">
        <v>0.518</v>
      </c>
      <c r="CL189" s="137">
        <v>0.12</v>
      </c>
      <c r="CM189" s="137">
        <v>0.027000000000000003</v>
      </c>
      <c r="CN189" s="137">
        <v>0.031000000000000003</v>
      </c>
      <c r="CO189" s="137">
        <v>0.001</v>
      </c>
      <c r="CP189" s="137"/>
      <c r="CQ189" s="137">
        <v>0.161</v>
      </c>
      <c r="CR189" s="137">
        <v>0.315</v>
      </c>
      <c r="CS189" s="137">
        <v>0.205</v>
      </c>
    </row>
    <row r="190">
      <c r="A190" s="112">
        <f t="shared" si="1"/>
        <v>188</v>
      </c>
      <c r="B190" s="112" t="s">
        <v>461</v>
      </c>
      <c r="C190" s="112" t="s">
        <v>1089</v>
      </c>
      <c r="D190" s="113" t="s">
        <v>1086</v>
      </c>
      <c r="E190" s="163"/>
      <c r="F190" s="115">
        <f t="shared" si="2"/>
        <v>0</v>
      </c>
      <c r="G190" s="115">
        <f t="shared" si="3"/>
        <v>0.1111111111</v>
      </c>
      <c r="H190" s="116">
        <f t="shared" si="4"/>
        <v>0.08333333333</v>
      </c>
      <c r="I190" s="117" t="s">
        <v>594</v>
      </c>
      <c r="J190" s="117" t="s">
        <v>594</v>
      </c>
      <c r="K190" s="117" t="s">
        <v>594</v>
      </c>
      <c r="L190" s="117" t="s">
        <v>594</v>
      </c>
      <c r="M190" s="117" t="s">
        <v>594</v>
      </c>
      <c r="N190" s="117" t="s">
        <v>594</v>
      </c>
      <c r="O190" s="149" t="s">
        <v>1256</v>
      </c>
      <c r="P190" s="185" t="s">
        <v>561</v>
      </c>
      <c r="Q190" s="121" t="s">
        <v>53</v>
      </c>
      <c r="R190" s="121" t="s">
        <v>561</v>
      </c>
      <c r="S190" s="149" t="s">
        <v>561</v>
      </c>
      <c r="T190" s="119" t="s">
        <v>53</v>
      </c>
      <c r="U190" s="149" t="s">
        <v>561</v>
      </c>
      <c r="V190" s="149" t="s">
        <v>561</v>
      </c>
      <c r="W190" s="119" t="s">
        <v>53</v>
      </c>
      <c r="X190" s="149" t="s">
        <v>561</v>
      </c>
      <c r="Y190" s="149" t="s">
        <v>561</v>
      </c>
      <c r="Z190" s="149" t="s">
        <v>561</v>
      </c>
      <c r="AA190" s="149" t="s">
        <v>561</v>
      </c>
      <c r="AB190" s="149" t="s">
        <v>561</v>
      </c>
      <c r="AC190" s="125" t="s">
        <v>561</v>
      </c>
      <c r="AD190" s="149" t="s">
        <v>561</v>
      </c>
      <c r="AE190" s="128" t="s">
        <v>561</v>
      </c>
      <c r="AF190" s="125" t="s">
        <v>561</v>
      </c>
      <c r="AG190" s="121" t="s">
        <v>561</v>
      </c>
      <c r="AH190" s="128" t="s">
        <v>561</v>
      </c>
      <c r="AI190" s="128" t="s">
        <v>561</v>
      </c>
      <c r="AJ190" s="128" t="s">
        <v>561</v>
      </c>
      <c r="AK190" s="125" t="s">
        <v>561</v>
      </c>
      <c r="AL190" s="128" t="s">
        <v>561</v>
      </c>
      <c r="AM190" s="128" t="s">
        <v>561</v>
      </c>
      <c r="AN190" s="128" t="s">
        <v>561</v>
      </c>
      <c r="AO190" s="128" t="s">
        <v>561</v>
      </c>
      <c r="AP190" s="121" t="s">
        <v>561</v>
      </c>
      <c r="AQ190" s="128" t="s">
        <v>53</v>
      </c>
      <c r="AR190" s="128" t="s">
        <v>561</v>
      </c>
      <c r="AS190" s="117" t="s">
        <v>561</v>
      </c>
      <c r="AT190" s="117" t="s">
        <v>561</v>
      </c>
      <c r="AU190" s="117" t="s">
        <v>561</v>
      </c>
      <c r="AV190" s="117" t="s">
        <v>561</v>
      </c>
      <c r="AW190" s="117" t="s">
        <v>561</v>
      </c>
      <c r="AX190" s="117" t="s">
        <v>561</v>
      </c>
      <c r="AY190" s="117" t="s">
        <v>561</v>
      </c>
      <c r="AZ190" s="117" t="s">
        <v>600</v>
      </c>
      <c r="BA190" s="117" t="s">
        <v>600</v>
      </c>
      <c r="BB190" s="117" t="s">
        <v>600</v>
      </c>
      <c r="BC190" s="117" t="s">
        <v>600</v>
      </c>
      <c r="BD190" s="164" t="s">
        <v>1832</v>
      </c>
      <c r="BE190" s="164" t="s">
        <v>1832</v>
      </c>
      <c r="BF190" s="130"/>
      <c r="BG190" s="130">
        <f t="shared" si="8"/>
        <v>396690</v>
      </c>
      <c r="BH190" s="131">
        <v>391690.0</v>
      </c>
      <c r="BI190" s="131"/>
      <c r="BJ190" s="132">
        <f>2000+3000</f>
        <v>5000</v>
      </c>
      <c r="BK190" s="132"/>
      <c r="BL190" s="133"/>
      <c r="BM190" s="133"/>
      <c r="BN190" s="133" t="s">
        <v>561</v>
      </c>
      <c r="BO190" s="133" t="s">
        <v>561</v>
      </c>
      <c r="BP190" s="133" t="s">
        <v>903</v>
      </c>
      <c r="BQ190" s="134"/>
      <c r="BR190" s="150" t="s">
        <v>1569</v>
      </c>
      <c r="BS190" s="181" t="s">
        <v>2030</v>
      </c>
      <c r="BT190" s="134"/>
      <c r="BU190" s="137">
        <f t="shared" si="6"/>
        <v>0.124</v>
      </c>
      <c r="BV190" s="138">
        <v>0.556</v>
      </c>
      <c r="BW190" s="137">
        <v>0.43200000000000005</v>
      </c>
      <c r="BX190" s="137"/>
      <c r="BY190" s="137">
        <f t="shared" si="7"/>
        <v>0.105</v>
      </c>
      <c r="BZ190" s="138">
        <v>0.534</v>
      </c>
      <c r="CA190" s="137">
        <v>0.429</v>
      </c>
      <c r="CB190" s="137"/>
      <c r="CC190" s="138">
        <v>0.547</v>
      </c>
      <c r="CD190" s="137">
        <v>0.08</v>
      </c>
      <c r="CE190" s="137">
        <v>0.317</v>
      </c>
      <c r="CF190" s="137">
        <v>0.043</v>
      </c>
      <c r="CG190" s="137">
        <v>0.021</v>
      </c>
      <c r="CH190" s="137">
        <v>0.001</v>
      </c>
      <c r="CI190" s="139"/>
      <c r="CJ190" s="138">
        <v>0.6</v>
      </c>
      <c r="CK190" s="137">
        <v>0.04</v>
      </c>
      <c r="CL190" s="137">
        <v>0.324</v>
      </c>
      <c r="CM190" s="137">
        <v>0.025</v>
      </c>
      <c r="CN190" s="137">
        <v>0.009000000000000001</v>
      </c>
      <c r="CO190" s="137">
        <v>0.0</v>
      </c>
      <c r="CP190" s="137"/>
      <c r="CQ190" s="137">
        <v>0.318</v>
      </c>
      <c r="CR190" s="137">
        <v>0.36700000000000005</v>
      </c>
      <c r="CS190" s="137">
        <v>0.38</v>
      </c>
    </row>
    <row r="191">
      <c r="A191" s="112">
        <f t="shared" si="1"/>
        <v>189</v>
      </c>
      <c r="B191" s="112" t="s">
        <v>258</v>
      </c>
      <c r="C191" s="112" t="s">
        <v>624</v>
      </c>
      <c r="D191" s="113" t="s">
        <v>622</v>
      </c>
      <c r="E191" s="163"/>
      <c r="F191" s="115">
        <f t="shared" si="2"/>
        <v>0</v>
      </c>
      <c r="G191" s="115">
        <f t="shared" si="3"/>
        <v>0.1052631579</v>
      </c>
      <c r="H191" s="116">
        <f t="shared" si="4"/>
        <v>0.07894736842</v>
      </c>
      <c r="I191" s="117" t="s">
        <v>594</v>
      </c>
      <c r="J191" s="117" t="s">
        <v>594</v>
      </c>
      <c r="K191" s="117" t="s">
        <v>594</v>
      </c>
      <c r="L191" s="117" t="s">
        <v>594</v>
      </c>
      <c r="M191" s="117" t="s">
        <v>594</v>
      </c>
      <c r="N191" s="117" t="s">
        <v>594</v>
      </c>
      <c r="O191" s="149" t="s">
        <v>1256</v>
      </c>
      <c r="P191" s="120" t="s">
        <v>53</v>
      </c>
      <c r="Q191" s="121" t="s">
        <v>561</v>
      </c>
      <c r="R191" s="121" t="s">
        <v>561</v>
      </c>
      <c r="S191" s="149" t="s">
        <v>561</v>
      </c>
      <c r="T191" s="119" t="s">
        <v>53</v>
      </c>
      <c r="U191" s="149" t="s">
        <v>561</v>
      </c>
      <c r="V191" s="149" t="s">
        <v>561</v>
      </c>
      <c r="W191" s="119" t="s">
        <v>53</v>
      </c>
      <c r="X191" s="149" t="s">
        <v>561</v>
      </c>
      <c r="Y191" s="149" t="s">
        <v>561</v>
      </c>
      <c r="Z191" s="149" t="s">
        <v>561</v>
      </c>
      <c r="AA191" s="149" t="s">
        <v>561</v>
      </c>
      <c r="AB191" s="149" t="s">
        <v>561</v>
      </c>
      <c r="AC191" s="125" t="s">
        <v>561</v>
      </c>
      <c r="AD191" s="149" t="s">
        <v>561</v>
      </c>
      <c r="AE191" s="128" t="s">
        <v>561</v>
      </c>
      <c r="AF191" s="125" t="s">
        <v>561</v>
      </c>
      <c r="AG191" s="121" t="s">
        <v>561</v>
      </c>
      <c r="AH191" s="128" t="s">
        <v>561</v>
      </c>
      <c r="AI191" s="125" t="s">
        <v>801</v>
      </c>
      <c r="AJ191" s="128" t="s">
        <v>561</v>
      </c>
      <c r="AK191" s="125" t="s">
        <v>561</v>
      </c>
      <c r="AL191" s="128" t="s">
        <v>561</v>
      </c>
      <c r="AM191" s="128" t="s">
        <v>561</v>
      </c>
      <c r="AN191" s="128" t="s">
        <v>561</v>
      </c>
      <c r="AO191" s="128" t="s">
        <v>561</v>
      </c>
      <c r="AP191" s="121" t="s">
        <v>561</v>
      </c>
      <c r="AQ191" s="128" t="s">
        <v>53</v>
      </c>
      <c r="AR191" s="128" t="s">
        <v>561</v>
      </c>
      <c r="AS191" s="117" t="s">
        <v>561</v>
      </c>
      <c r="AT191" s="117" t="s">
        <v>561</v>
      </c>
      <c r="AU191" s="117" t="s">
        <v>561</v>
      </c>
      <c r="AV191" s="117" t="s">
        <v>561</v>
      </c>
      <c r="AW191" s="117" t="s">
        <v>561</v>
      </c>
      <c r="AX191" s="117" t="s">
        <v>561</v>
      </c>
      <c r="AY191" s="117" t="s">
        <v>561</v>
      </c>
      <c r="AZ191" s="117" t="s">
        <v>561</v>
      </c>
      <c r="BA191" s="117" t="s">
        <v>561</v>
      </c>
      <c r="BB191" s="117" t="s">
        <v>561</v>
      </c>
      <c r="BC191" s="117" t="s">
        <v>600</v>
      </c>
      <c r="BD191" s="164" t="s">
        <v>1832</v>
      </c>
      <c r="BE191" s="164" t="s">
        <v>1832</v>
      </c>
      <c r="BF191" s="130"/>
      <c r="BG191" s="130">
        <f t="shared" si="8"/>
        <v>179011</v>
      </c>
      <c r="BH191" s="131">
        <v>175011.0</v>
      </c>
      <c r="BI191" s="131"/>
      <c r="BJ191" s="132">
        <f>2000+2000</f>
        <v>4000</v>
      </c>
      <c r="BK191" s="132"/>
      <c r="BL191" s="133"/>
      <c r="BM191" s="133"/>
      <c r="BN191" s="133" t="s">
        <v>561</v>
      </c>
      <c r="BO191" s="133" t="s">
        <v>561</v>
      </c>
      <c r="BP191" s="133" t="s">
        <v>2709</v>
      </c>
      <c r="BQ191" s="134"/>
      <c r="BR191" s="150" t="s">
        <v>1569</v>
      </c>
      <c r="BS191" s="181" t="s">
        <v>2030</v>
      </c>
      <c r="BT191" s="134"/>
      <c r="BU191" s="137">
        <f t="shared" si="6"/>
        <v>0.259</v>
      </c>
      <c r="BV191" s="138">
        <v>0.62</v>
      </c>
      <c r="BW191" s="137">
        <v>0.361</v>
      </c>
      <c r="BX191" s="137"/>
      <c r="BY191" s="137">
        <f t="shared" si="7"/>
        <v>0.228</v>
      </c>
      <c r="BZ191" s="138">
        <v>0.5770000000000001</v>
      </c>
      <c r="CA191" s="137">
        <v>0.349</v>
      </c>
      <c r="CB191" s="137"/>
      <c r="CC191" s="138">
        <v>0.616</v>
      </c>
      <c r="CD191" s="137">
        <v>0.212</v>
      </c>
      <c r="CE191" s="137">
        <v>0.071</v>
      </c>
      <c r="CF191" s="137">
        <v>0.087</v>
      </c>
      <c r="CG191" s="137">
        <v>0.022000000000000002</v>
      </c>
      <c r="CH191" s="137">
        <v>0.002</v>
      </c>
      <c r="CI191" s="139"/>
      <c r="CJ191" s="138">
        <v>0.718</v>
      </c>
      <c r="CK191" s="137">
        <v>0.138</v>
      </c>
      <c r="CL191" s="137">
        <v>0.07200000000000001</v>
      </c>
      <c r="CM191" s="137">
        <v>0.064</v>
      </c>
      <c r="CN191" s="137">
        <v>0.005</v>
      </c>
      <c r="CO191" s="137">
        <v>0.0</v>
      </c>
      <c r="CP191" s="137"/>
      <c r="CQ191" s="137">
        <v>0.45399999999999996</v>
      </c>
      <c r="CR191" s="138">
        <v>0.527</v>
      </c>
      <c r="CS191" s="137">
        <v>0.33899999999999997</v>
      </c>
    </row>
    <row r="192">
      <c r="A192" s="112">
        <f t="shared" si="1"/>
        <v>190</v>
      </c>
      <c r="B192" s="112" t="s">
        <v>652</v>
      </c>
      <c r="C192" s="112" t="s">
        <v>927</v>
      </c>
      <c r="D192" s="113" t="s">
        <v>925</v>
      </c>
      <c r="E192" s="163"/>
      <c r="F192" s="115">
        <f t="shared" si="2"/>
        <v>0</v>
      </c>
      <c r="G192" s="115">
        <f t="shared" si="3"/>
        <v>0.1</v>
      </c>
      <c r="H192" s="116">
        <f t="shared" si="4"/>
        <v>0.075</v>
      </c>
      <c r="I192" s="117" t="s">
        <v>594</v>
      </c>
      <c r="J192" s="117" t="s">
        <v>594</v>
      </c>
      <c r="K192" s="117" t="s">
        <v>594</v>
      </c>
      <c r="L192" s="117" t="s">
        <v>594</v>
      </c>
      <c r="M192" s="117" t="s">
        <v>594</v>
      </c>
      <c r="N192" s="117" t="s">
        <v>594</v>
      </c>
      <c r="O192" s="149" t="s">
        <v>1256</v>
      </c>
      <c r="P192" s="120" t="s">
        <v>53</v>
      </c>
      <c r="Q192" s="121" t="s">
        <v>53</v>
      </c>
      <c r="R192" s="121" t="s">
        <v>561</v>
      </c>
      <c r="S192" s="149" t="s">
        <v>561</v>
      </c>
      <c r="T192" s="149" t="s">
        <v>561</v>
      </c>
      <c r="U192" s="149" t="s">
        <v>561</v>
      </c>
      <c r="V192" s="149" t="s">
        <v>561</v>
      </c>
      <c r="W192" s="149" t="s">
        <v>561</v>
      </c>
      <c r="X192" s="149" t="s">
        <v>561</v>
      </c>
      <c r="Y192" s="149" t="s">
        <v>561</v>
      </c>
      <c r="Z192" s="149" t="s">
        <v>561</v>
      </c>
      <c r="AA192" s="149" t="s">
        <v>561</v>
      </c>
      <c r="AB192" s="149" t="s">
        <v>561</v>
      </c>
      <c r="AC192" s="125" t="s">
        <v>561</v>
      </c>
      <c r="AD192" s="149" t="s">
        <v>561</v>
      </c>
      <c r="AE192" s="128" t="s">
        <v>561</v>
      </c>
      <c r="AF192" s="125" t="s">
        <v>561</v>
      </c>
      <c r="AG192" s="121" t="s">
        <v>561</v>
      </c>
      <c r="AH192" s="128" t="s">
        <v>561</v>
      </c>
      <c r="AI192" s="128" t="s">
        <v>561</v>
      </c>
      <c r="AJ192" s="128" t="s">
        <v>561</v>
      </c>
      <c r="AK192" s="125" t="s">
        <v>561</v>
      </c>
      <c r="AL192" s="128" t="s">
        <v>561</v>
      </c>
      <c r="AM192" s="128" t="s">
        <v>561</v>
      </c>
      <c r="AN192" s="128" t="s">
        <v>561</v>
      </c>
      <c r="AO192" s="128" t="s">
        <v>53</v>
      </c>
      <c r="AP192" s="121" t="s">
        <v>561</v>
      </c>
      <c r="AQ192" s="128" t="s">
        <v>53</v>
      </c>
      <c r="AR192" s="128" t="s">
        <v>561</v>
      </c>
      <c r="AS192" s="117" t="s">
        <v>561</v>
      </c>
      <c r="AT192" s="117" t="s">
        <v>561</v>
      </c>
      <c r="AU192" s="117" t="s">
        <v>561</v>
      </c>
      <c r="AV192" s="117" t="s">
        <v>561</v>
      </c>
      <c r="AW192" s="117" t="s">
        <v>561</v>
      </c>
      <c r="AX192" s="117" t="s">
        <v>561</v>
      </c>
      <c r="AY192" s="117" t="s">
        <v>561</v>
      </c>
      <c r="AZ192" s="117" t="s">
        <v>561</v>
      </c>
      <c r="BA192" s="117" t="s">
        <v>561</v>
      </c>
      <c r="BB192" s="117" t="s">
        <v>561</v>
      </c>
      <c r="BC192" s="117" t="s">
        <v>561</v>
      </c>
      <c r="BD192" s="129" t="s">
        <v>821</v>
      </c>
      <c r="BE192" s="164" t="s">
        <v>1832</v>
      </c>
      <c r="BF192" s="130"/>
      <c r="BG192" s="130">
        <f t="shared" si="8"/>
        <v>26252</v>
      </c>
      <c r="BH192" s="131">
        <v>26252.0</v>
      </c>
      <c r="BI192" s="131"/>
      <c r="BJ192" s="132"/>
      <c r="BK192" s="132"/>
      <c r="BL192" s="133"/>
      <c r="BM192" s="133"/>
      <c r="BN192" s="133"/>
      <c r="BO192" s="133" t="s">
        <v>561</v>
      </c>
      <c r="BP192" s="133" t="s">
        <v>2717</v>
      </c>
      <c r="BQ192" s="134"/>
      <c r="BR192" s="135" t="s">
        <v>850</v>
      </c>
      <c r="BS192" s="181" t="s">
        <v>122</v>
      </c>
      <c r="BT192" s="134"/>
      <c r="BU192" s="137">
        <f t="shared" si="6"/>
        <v>0.193</v>
      </c>
      <c r="BV192" s="138">
        <v>0.59</v>
      </c>
      <c r="BW192" s="137">
        <v>0.397</v>
      </c>
      <c r="BX192" s="137"/>
      <c r="BY192" s="137">
        <f t="shared" si="7"/>
        <v>0.19</v>
      </c>
      <c r="BZ192" s="138">
        <v>0.579</v>
      </c>
      <c r="CA192" s="137">
        <v>0.389</v>
      </c>
      <c r="CB192" s="137"/>
      <c r="CC192" s="138">
        <v>0.452</v>
      </c>
      <c r="CD192" s="137">
        <v>0.221</v>
      </c>
      <c r="CE192" s="137">
        <v>0.127</v>
      </c>
      <c r="CF192" s="137">
        <v>0.19699999999999998</v>
      </c>
      <c r="CG192" s="137">
        <v>0.013999999999999999</v>
      </c>
      <c r="CH192" s="137">
        <v>0.001</v>
      </c>
      <c r="CI192" s="139"/>
      <c r="CJ192" s="138">
        <v>0.557</v>
      </c>
      <c r="CK192" s="137">
        <v>0.17500000000000002</v>
      </c>
      <c r="CL192" s="137">
        <v>0.129</v>
      </c>
      <c r="CM192" s="137">
        <v>0.133</v>
      </c>
      <c r="CN192" s="137">
        <v>0.004</v>
      </c>
      <c r="CO192" s="137">
        <v>0.0</v>
      </c>
      <c r="CP192" s="137"/>
      <c r="CQ192" s="137">
        <v>0.402</v>
      </c>
      <c r="CR192" s="137">
        <v>0.41</v>
      </c>
      <c r="CS192" s="137">
        <v>0.32899999999999996</v>
      </c>
    </row>
    <row r="193">
      <c r="A193" s="112">
        <f t="shared" si="1"/>
        <v>191</v>
      </c>
      <c r="B193" s="112" t="s">
        <v>911</v>
      </c>
      <c r="C193" s="112" t="s">
        <v>912</v>
      </c>
      <c r="D193" s="113" t="s">
        <v>906</v>
      </c>
      <c r="E193" s="163"/>
      <c r="F193" s="115">
        <f t="shared" si="2"/>
        <v>0</v>
      </c>
      <c r="G193" s="115">
        <f t="shared" si="3"/>
        <v>0.09459459459</v>
      </c>
      <c r="H193" s="116">
        <f t="shared" si="4"/>
        <v>0.07094594595</v>
      </c>
      <c r="I193" s="117" t="s">
        <v>594</v>
      </c>
      <c r="J193" s="117" t="s">
        <v>594</v>
      </c>
      <c r="K193" s="117" t="s">
        <v>594</v>
      </c>
      <c r="L193" s="117" t="s">
        <v>594</v>
      </c>
      <c r="M193" s="117" t="s">
        <v>594</v>
      </c>
      <c r="N193" s="117" t="s">
        <v>594</v>
      </c>
      <c r="O193" s="149" t="s">
        <v>1256</v>
      </c>
      <c r="P193" s="120" t="s">
        <v>53</v>
      </c>
      <c r="Q193" s="121" t="s">
        <v>53</v>
      </c>
      <c r="R193" s="121" t="s">
        <v>561</v>
      </c>
      <c r="S193" s="149" t="s">
        <v>561</v>
      </c>
      <c r="T193" s="149" t="s">
        <v>561</v>
      </c>
      <c r="U193" s="149" t="s">
        <v>561</v>
      </c>
      <c r="V193" s="149" t="s">
        <v>561</v>
      </c>
      <c r="W193" s="123" t="s">
        <v>801</v>
      </c>
      <c r="X193" s="149" t="s">
        <v>561</v>
      </c>
      <c r="Y193" s="149" t="s">
        <v>561</v>
      </c>
      <c r="Z193" s="149" t="s">
        <v>561</v>
      </c>
      <c r="AA193" s="149" t="s">
        <v>561</v>
      </c>
      <c r="AB193" s="149" t="s">
        <v>561</v>
      </c>
      <c r="AC193" s="125" t="s">
        <v>561</v>
      </c>
      <c r="AD193" s="149" t="s">
        <v>561</v>
      </c>
      <c r="AE193" s="128" t="s">
        <v>561</v>
      </c>
      <c r="AF193" s="125" t="s">
        <v>561</v>
      </c>
      <c r="AG193" s="121" t="s">
        <v>561</v>
      </c>
      <c r="AH193" s="123" t="s">
        <v>801</v>
      </c>
      <c r="AI193" s="128" t="s">
        <v>561</v>
      </c>
      <c r="AJ193" s="128" t="s">
        <v>561</v>
      </c>
      <c r="AK193" s="125" t="s">
        <v>561</v>
      </c>
      <c r="AL193" s="128" t="s">
        <v>561</v>
      </c>
      <c r="AM193" s="128" t="s">
        <v>561</v>
      </c>
      <c r="AN193" s="128" t="s">
        <v>561</v>
      </c>
      <c r="AO193" s="128" t="s">
        <v>799</v>
      </c>
      <c r="AP193" s="121" t="s">
        <v>561</v>
      </c>
      <c r="AQ193" s="128" t="s">
        <v>53</v>
      </c>
      <c r="AR193" s="128" t="s">
        <v>561</v>
      </c>
      <c r="AS193" s="117" t="s">
        <v>561</v>
      </c>
      <c r="AT193" s="117" t="s">
        <v>561</v>
      </c>
      <c r="AU193" s="117" t="s">
        <v>561</v>
      </c>
      <c r="AV193" s="117" t="s">
        <v>561</v>
      </c>
      <c r="AW193" s="117" t="s">
        <v>561</v>
      </c>
      <c r="AX193" s="117" t="s">
        <v>561</v>
      </c>
      <c r="AY193" s="117" t="s">
        <v>561</v>
      </c>
      <c r="AZ193" s="117" t="s">
        <v>561</v>
      </c>
      <c r="BA193" s="117" t="s">
        <v>561</v>
      </c>
      <c r="BB193" s="117" t="s">
        <v>561</v>
      </c>
      <c r="BC193" s="117" t="s">
        <v>600</v>
      </c>
      <c r="BD193" s="164" t="s">
        <v>1832</v>
      </c>
      <c r="BE193" s="164" t="s">
        <v>1832</v>
      </c>
      <c r="BF193" s="130"/>
      <c r="BG193" s="130">
        <f t="shared" si="8"/>
        <v>75472</v>
      </c>
      <c r="BH193" s="131">
        <v>73472.0</v>
      </c>
      <c r="BI193" s="131"/>
      <c r="BJ193" s="132">
        <f>2000</f>
        <v>2000</v>
      </c>
      <c r="BK193" s="132"/>
      <c r="BL193" s="133"/>
      <c r="BM193" s="133"/>
      <c r="BN193" s="133"/>
      <c r="BO193" s="133" t="s">
        <v>561</v>
      </c>
      <c r="BP193" s="133" t="s">
        <v>2582</v>
      </c>
      <c r="BQ193" s="134"/>
      <c r="BR193" s="150" t="s">
        <v>1199</v>
      </c>
      <c r="BS193" s="181" t="s">
        <v>122</v>
      </c>
      <c r="BT193" s="134"/>
      <c r="BU193" s="137">
        <f t="shared" si="6"/>
        <v>0.244</v>
      </c>
      <c r="BV193" s="138">
        <v>0.615</v>
      </c>
      <c r="BW193" s="137">
        <v>0.371</v>
      </c>
      <c r="BX193" s="137"/>
      <c r="BY193" s="137">
        <f t="shared" si="7"/>
        <v>0.233</v>
      </c>
      <c r="BZ193" s="138">
        <v>0.6</v>
      </c>
      <c r="CA193" s="137">
        <v>0.36700000000000005</v>
      </c>
      <c r="CB193" s="137"/>
      <c r="CC193" s="138">
        <v>0.631</v>
      </c>
      <c r="CD193" s="137">
        <v>0.126</v>
      </c>
      <c r="CE193" s="137">
        <v>0.17800000000000002</v>
      </c>
      <c r="CF193" s="137">
        <v>0.06</v>
      </c>
      <c r="CG193" s="137">
        <v>0.016</v>
      </c>
      <c r="CH193" s="137">
        <v>0.002</v>
      </c>
      <c r="CI193" s="139"/>
      <c r="CJ193" s="138">
        <v>0.682</v>
      </c>
      <c r="CK193" s="137">
        <v>0.10300000000000001</v>
      </c>
      <c r="CL193" s="137">
        <v>0.168</v>
      </c>
      <c r="CM193" s="137">
        <v>0.042</v>
      </c>
      <c r="CN193" s="137">
        <v>0.004</v>
      </c>
      <c r="CO193" s="137">
        <v>0.0</v>
      </c>
      <c r="CP193" s="137"/>
      <c r="CQ193" s="137">
        <v>0.321</v>
      </c>
      <c r="CR193" s="137">
        <v>0.353</v>
      </c>
      <c r="CS193" s="137">
        <v>0.441</v>
      </c>
    </row>
    <row r="194">
      <c r="A194" s="112">
        <f t="shared" si="1"/>
        <v>192</v>
      </c>
      <c r="B194" s="112" t="s">
        <v>833</v>
      </c>
      <c r="C194" s="112" t="s">
        <v>835</v>
      </c>
      <c r="D194" s="113" t="s">
        <v>830</v>
      </c>
      <c r="E194" s="163"/>
      <c r="F194" s="115">
        <f t="shared" si="2"/>
        <v>0</v>
      </c>
      <c r="G194" s="115">
        <f t="shared" si="3"/>
        <v>0.08108108108</v>
      </c>
      <c r="H194" s="116">
        <f t="shared" si="4"/>
        <v>0.06081081081</v>
      </c>
      <c r="I194" s="117" t="s">
        <v>594</v>
      </c>
      <c r="J194" s="117" t="s">
        <v>594</v>
      </c>
      <c r="K194" s="117" t="s">
        <v>594</v>
      </c>
      <c r="L194" s="117" t="s">
        <v>594</v>
      </c>
      <c r="M194" s="117" t="s">
        <v>594</v>
      </c>
      <c r="N194" s="117" t="s">
        <v>594</v>
      </c>
      <c r="O194" s="149" t="s">
        <v>1256</v>
      </c>
      <c r="P194" s="120" t="s">
        <v>53</v>
      </c>
      <c r="Q194" s="121" t="s">
        <v>53</v>
      </c>
      <c r="R194" s="121" t="s">
        <v>561</v>
      </c>
      <c r="S194" s="149" t="s">
        <v>561</v>
      </c>
      <c r="T194" s="119" t="s">
        <v>53</v>
      </c>
      <c r="U194" s="149" t="s">
        <v>561</v>
      </c>
      <c r="V194" s="149" t="s">
        <v>561</v>
      </c>
      <c r="W194" s="149" t="s">
        <v>561</v>
      </c>
      <c r="X194" s="149" t="s">
        <v>561</v>
      </c>
      <c r="Y194" s="149" t="s">
        <v>561</v>
      </c>
      <c r="Z194" s="149" t="s">
        <v>561</v>
      </c>
      <c r="AA194" s="149" t="s">
        <v>561</v>
      </c>
      <c r="AB194" s="149" t="s">
        <v>561</v>
      </c>
      <c r="AC194" s="125" t="s">
        <v>561</v>
      </c>
      <c r="AD194" s="149" t="s">
        <v>561</v>
      </c>
      <c r="AE194" s="128" t="s">
        <v>561</v>
      </c>
      <c r="AF194" s="125" t="s">
        <v>561</v>
      </c>
      <c r="AG194" s="121" t="s">
        <v>561</v>
      </c>
      <c r="AH194" s="128" t="s">
        <v>561</v>
      </c>
      <c r="AI194" s="128" t="s">
        <v>561</v>
      </c>
      <c r="AJ194" s="123" t="s">
        <v>801</v>
      </c>
      <c r="AK194" s="125" t="s">
        <v>561</v>
      </c>
      <c r="AL194" s="128" t="s">
        <v>561</v>
      </c>
      <c r="AM194" s="128" t="s">
        <v>561</v>
      </c>
      <c r="AN194" s="128" t="s">
        <v>561</v>
      </c>
      <c r="AO194" s="128" t="s">
        <v>561</v>
      </c>
      <c r="AP194" s="121" t="s">
        <v>561</v>
      </c>
      <c r="AQ194" s="128" t="s">
        <v>561</v>
      </c>
      <c r="AR194" s="128" t="s">
        <v>561</v>
      </c>
      <c r="AS194" s="117" t="s">
        <v>561</v>
      </c>
      <c r="AT194" s="117" t="s">
        <v>561</v>
      </c>
      <c r="AU194" s="117" t="s">
        <v>561</v>
      </c>
      <c r="AV194" s="117" t="s">
        <v>561</v>
      </c>
      <c r="AW194" s="117" t="s">
        <v>561</v>
      </c>
      <c r="AX194" s="117" t="s">
        <v>561</v>
      </c>
      <c r="AY194" s="117" t="s">
        <v>561</v>
      </c>
      <c r="AZ194" s="117" t="s">
        <v>561</v>
      </c>
      <c r="BA194" s="117" t="s">
        <v>561</v>
      </c>
      <c r="BB194" s="117" t="s">
        <v>600</v>
      </c>
      <c r="BC194" s="117" t="s">
        <v>600</v>
      </c>
      <c r="BD194" s="164" t="s">
        <v>1832</v>
      </c>
      <c r="BE194" s="164" t="s">
        <v>1832</v>
      </c>
      <c r="BF194" s="130"/>
      <c r="BG194" s="130">
        <f t="shared" si="8"/>
        <v>80701</v>
      </c>
      <c r="BH194" s="131">
        <v>76701.0</v>
      </c>
      <c r="BI194" s="131"/>
      <c r="BJ194" s="132">
        <f>2000+2000</f>
        <v>4000</v>
      </c>
      <c r="BK194" s="132"/>
      <c r="BL194" s="133"/>
      <c r="BM194" s="133"/>
      <c r="BN194" s="133" t="s">
        <v>561</v>
      </c>
      <c r="BO194" s="133" t="s">
        <v>561</v>
      </c>
      <c r="BP194" s="133" t="s">
        <v>845</v>
      </c>
      <c r="BQ194" s="134"/>
      <c r="BR194" s="150" t="s">
        <v>1569</v>
      </c>
      <c r="BS194" s="181" t="s">
        <v>2030</v>
      </c>
      <c r="BT194" s="134"/>
      <c r="BU194" s="137">
        <f t="shared" si="6"/>
        <v>0.071</v>
      </c>
      <c r="BV194" s="138">
        <v>0.525</v>
      </c>
      <c r="BW194" s="137">
        <v>0.45399999999999996</v>
      </c>
      <c r="BX194" s="137"/>
      <c r="BY194" s="137">
        <f t="shared" si="7"/>
        <v>-0.01</v>
      </c>
      <c r="BZ194" s="137">
        <v>0.45</v>
      </c>
      <c r="CA194" s="138">
        <v>0.46</v>
      </c>
      <c r="CB194" s="138"/>
      <c r="CC194" s="138">
        <v>0.79</v>
      </c>
      <c r="CD194" s="137">
        <v>0.064</v>
      </c>
      <c r="CE194" s="137">
        <v>0.061</v>
      </c>
      <c r="CF194" s="137">
        <v>0.062</v>
      </c>
      <c r="CG194" s="137">
        <v>0.018000000000000002</v>
      </c>
      <c r="CH194" s="137">
        <v>0.001</v>
      </c>
      <c r="CI194" s="139"/>
      <c r="CJ194" s="138">
        <v>0.8590000000000001</v>
      </c>
      <c r="CK194" s="137">
        <v>0.038</v>
      </c>
      <c r="CL194" s="137">
        <v>0.048</v>
      </c>
      <c r="CM194" s="137">
        <v>0.044000000000000004</v>
      </c>
      <c r="CN194" s="137">
        <v>0.008</v>
      </c>
      <c r="CO194" s="137">
        <v>0.0</v>
      </c>
      <c r="CP194" s="137"/>
      <c r="CQ194" s="137">
        <v>0.409</v>
      </c>
      <c r="CR194" s="137">
        <v>0.424</v>
      </c>
      <c r="CS194" s="137">
        <v>0.494</v>
      </c>
    </row>
    <row r="195">
      <c r="A195" s="112">
        <f t="shared" si="1"/>
        <v>192</v>
      </c>
      <c r="B195" s="112" t="s">
        <v>541</v>
      </c>
      <c r="C195" s="112" t="s">
        <v>348</v>
      </c>
      <c r="D195" s="113" t="s">
        <v>537</v>
      </c>
      <c r="E195" s="186"/>
      <c r="F195" s="115">
        <f t="shared" si="2"/>
        <v>0</v>
      </c>
      <c r="G195" s="115">
        <f t="shared" si="3"/>
        <v>0.08108108108</v>
      </c>
      <c r="H195" s="116">
        <f t="shared" si="4"/>
        <v>0.06081081081</v>
      </c>
      <c r="I195" s="117" t="s">
        <v>594</v>
      </c>
      <c r="J195" s="117" t="s">
        <v>594</v>
      </c>
      <c r="K195" s="117" t="s">
        <v>594</v>
      </c>
      <c r="L195" s="117" t="s">
        <v>594</v>
      </c>
      <c r="M195" s="117" t="s">
        <v>594</v>
      </c>
      <c r="N195" s="117" t="s">
        <v>594</v>
      </c>
      <c r="O195" s="149" t="s">
        <v>1256</v>
      </c>
      <c r="P195" s="120" t="s">
        <v>53</v>
      </c>
      <c r="Q195" s="121" t="s">
        <v>801</v>
      </c>
      <c r="R195" s="121" t="s">
        <v>801</v>
      </c>
      <c r="S195" s="121" t="s">
        <v>801</v>
      </c>
      <c r="T195" s="149" t="s">
        <v>561</v>
      </c>
      <c r="U195" s="149" t="s">
        <v>561</v>
      </c>
      <c r="V195" s="149" t="s">
        <v>561</v>
      </c>
      <c r="W195" s="149" t="s">
        <v>561</v>
      </c>
      <c r="X195" s="149" t="s">
        <v>561</v>
      </c>
      <c r="Y195" s="149" t="s">
        <v>561</v>
      </c>
      <c r="Z195" s="149" t="s">
        <v>561</v>
      </c>
      <c r="AA195" s="149" t="s">
        <v>561</v>
      </c>
      <c r="AB195" s="149" t="s">
        <v>561</v>
      </c>
      <c r="AC195" s="125" t="s">
        <v>561</v>
      </c>
      <c r="AD195" s="149" t="s">
        <v>561</v>
      </c>
      <c r="AE195" s="128" t="s">
        <v>561</v>
      </c>
      <c r="AF195" s="125" t="s">
        <v>561</v>
      </c>
      <c r="AG195" s="121" t="s">
        <v>561</v>
      </c>
      <c r="AH195" s="128" t="s">
        <v>561</v>
      </c>
      <c r="AI195" s="128" t="s">
        <v>561</v>
      </c>
      <c r="AJ195" s="128" t="s">
        <v>561</v>
      </c>
      <c r="AK195" s="125" t="s">
        <v>561</v>
      </c>
      <c r="AL195" s="128" t="s">
        <v>561</v>
      </c>
      <c r="AM195" s="128" t="s">
        <v>561</v>
      </c>
      <c r="AN195" s="128" t="s">
        <v>561</v>
      </c>
      <c r="AO195" s="128" t="s">
        <v>53</v>
      </c>
      <c r="AP195" s="121" t="s">
        <v>561</v>
      </c>
      <c r="AQ195" s="128" t="s">
        <v>53</v>
      </c>
      <c r="AR195" s="128" t="s">
        <v>561</v>
      </c>
      <c r="AS195" s="117" t="s">
        <v>561</v>
      </c>
      <c r="AT195" s="117" t="s">
        <v>561</v>
      </c>
      <c r="AU195" s="117" t="s">
        <v>561</v>
      </c>
      <c r="AV195" s="117" t="s">
        <v>561</v>
      </c>
      <c r="AW195" s="117" t="s">
        <v>561</v>
      </c>
      <c r="AX195" s="117" t="s">
        <v>561</v>
      </c>
      <c r="AY195" s="117" t="s">
        <v>561</v>
      </c>
      <c r="AZ195" s="117" t="s">
        <v>561</v>
      </c>
      <c r="BA195" s="117" t="s">
        <v>561</v>
      </c>
      <c r="BB195" s="117" t="s">
        <v>561</v>
      </c>
      <c r="BC195" s="117" t="s">
        <v>561</v>
      </c>
      <c r="BD195" s="164" t="s">
        <v>1832</v>
      </c>
      <c r="BE195" s="129" t="s">
        <v>821</v>
      </c>
      <c r="BF195" s="130"/>
      <c r="BG195" s="130">
        <f t="shared" si="8"/>
        <v>52700</v>
      </c>
      <c r="BH195" s="131">
        <v>50700.0</v>
      </c>
      <c r="BI195" s="131"/>
      <c r="BJ195" s="132">
        <f t="shared" ref="BJ195:BJ196" si="16">2000</f>
        <v>2000</v>
      </c>
      <c r="BK195" s="132"/>
      <c r="BL195" s="133"/>
      <c r="BM195" s="133"/>
      <c r="BN195" s="133" t="s">
        <v>561</v>
      </c>
      <c r="BO195" s="133" t="s">
        <v>561</v>
      </c>
      <c r="BP195" s="133" t="s">
        <v>1400</v>
      </c>
      <c r="BQ195" s="134"/>
      <c r="BR195" s="150" t="s">
        <v>1569</v>
      </c>
      <c r="BS195" s="181" t="s">
        <v>2030</v>
      </c>
      <c r="BT195" s="134"/>
      <c r="BU195" s="137">
        <f t="shared" si="6"/>
        <v>0.604</v>
      </c>
      <c r="BV195" s="138">
        <v>0.797</v>
      </c>
      <c r="BW195" s="137">
        <v>0.193</v>
      </c>
      <c r="BX195" s="137"/>
      <c r="BY195" s="137">
        <f t="shared" si="7"/>
        <v>0.546</v>
      </c>
      <c r="BZ195" s="138">
        <v>0.762</v>
      </c>
      <c r="CA195" s="137">
        <v>0.21600000000000003</v>
      </c>
      <c r="CB195" s="137"/>
      <c r="CC195" s="137">
        <v>0.188</v>
      </c>
      <c r="CD195" s="137">
        <v>0.105</v>
      </c>
      <c r="CE195" s="138">
        <v>0.667</v>
      </c>
      <c r="CF195" s="137">
        <v>0.038</v>
      </c>
      <c r="CG195" s="137">
        <v>0.017</v>
      </c>
      <c r="CH195" s="137">
        <v>0.001</v>
      </c>
      <c r="CI195" s="139"/>
      <c r="CJ195" s="137">
        <v>0.23199999999999998</v>
      </c>
      <c r="CK195" s="137">
        <v>0.057999999999999996</v>
      </c>
      <c r="CL195" s="138">
        <v>0.6729999999999999</v>
      </c>
      <c r="CM195" s="137">
        <v>0.028999999999999998</v>
      </c>
      <c r="CN195" s="137">
        <v>0.006</v>
      </c>
      <c r="CO195" s="137">
        <v>0.0</v>
      </c>
      <c r="CP195" s="137"/>
      <c r="CQ195" s="137">
        <v>0.28600000000000003</v>
      </c>
      <c r="CR195" s="137">
        <v>0.282</v>
      </c>
      <c r="CS195" s="137">
        <v>0.16699999999999998</v>
      </c>
    </row>
    <row r="196">
      <c r="A196" s="112">
        <f t="shared" si="1"/>
        <v>194</v>
      </c>
      <c r="B196" s="112" t="s">
        <v>643</v>
      </c>
      <c r="C196" s="112" t="s">
        <v>897</v>
      </c>
      <c r="D196" s="113" t="s">
        <v>894</v>
      </c>
      <c r="E196" s="163"/>
      <c r="F196" s="115">
        <f t="shared" si="2"/>
        <v>0</v>
      </c>
      <c r="G196" s="115">
        <f t="shared" si="3"/>
        <v>0.07894736842</v>
      </c>
      <c r="H196" s="116">
        <f t="shared" si="4"/>
        <v>0.05921052632</v>
      </c>
      <c r="I196" s="117" t="s">
        <v>594</v>
      </c>
      <c r="J196" s="117" t="s">
        <v>594</v>
      </c>
      <c r="K196" s="117" t="s">
        <v>594</v>
      </c>
      <c r="L196" s="117" t="s">
        <v>594</v>
      </c>
      <c r="M196" s="117" t="s">
        <v>594</v>
      </c>
      <c r="N196" s="117" t="s">
        <v>594</v>
      </c>
      <c r="O196" s="149" t="s">
        <v>1256</v>
      </c>
      <c r="P196" s="185" t="s">
        <v>561</v>
      </c>
      <c r="Q196" s="121" t="s">
        <v>53</v>
      </c>
      <c r="R196" s="121" t="s">
        <v>561</v>
      </c>
      <c r="S196" s="149" t="s">
        <v>561</v>
      </c>
      <c r="T196" s="149" t="s">
        <v>561</v>
      </c>
      <c r="U196" s="149" t="s">
        <v>561</v>
      </c>
      <c r="V196" s="149" t="s">
        <v>561</v>
      </c>
      <c r="W196" s="119" t="s">
        <v>53</v>
      </c>
      <c r="X196" s="149" t="s">
        <v>561</v>
      </c>
      <c r="Y196" s="149" t="s">
        <v>561</v>
      </c>
      <c r="Z196" s="149" t="s">
        <v>561</v>
      </c>
      <c r="AA196" s="149" t="s">
        <v>561</v>
      </c>
      <c r="AB196" s="149" t="s">
        <v>561</v>
      </c>
      <c r="AC196" s="125" t="s">
        <v>561</v>
      </c>
      <c r="AD196" s="149" t="s">
        <v>561</v>
      </c>
      <c r="AE196" s="128" t="s">
        <v>561</v>
      </c>
      <c r="AF196" s="125" t="s">
        <v>561</v>
      </c>
      <c r="AG196" s="121" t="s">
        <v>561</v>
      </c>
      <c r="AH196" s="128" t="s">
        <v>561</v>
      </c>
      <c r="AI196" s="128" t="s">
        <v>561</v>
      </c>
      <c r="AJ196" s="128" t="s">
        <v>561</v>
      </c>
      <c r="AK196" s="125" t="s">
        <v>561</v>
      </c>
      <c r="AL196" s="128" t="s">
        <v>561</v>
      </c>
      <c r="AM196" s="128" t="s">
        <v>561</v>
      </c>
      <c r="AN196" s="128" t="s">
        <v>561</v>
      </c>
      <c r="AO196" s="128" t="s">
        <v>561</v>
      </c>
      <c r="AP196" s="121" t="s">
        <v>561</v>
      </c>
      <c r="AQ196" s="128" t="s">
        <v>53</v>
      </c>
      <c r="AR196" s="128" t="s">
        <v>561</v>
      </c>
      <c r="AS196" s="117" t="s">
        <v>561</v>
      </c>
      <c r="AT196" s="117" t="s">
        <v>561</v>
      </c>
      <c r="AU196" s="117" t="s">
        <v>561</v>
      </c>
      <c r="AV196" s="117" t="s">
        <v>561</v>
      </c>
      <c r="AW196" s="117" t="s">
        <v>561</v>
      </c>
      <c r="AX196" s="117" t="s">
        <v>561</v>
      </c>
      <c r="AY196" s="117" t="s">
        <v>561</v>
      </c>
      <c r="AZ196" s="117" t="s">
        <v>561</v>
      </c>
      <c r="BA196" s="117" t="s">
        <v>561</v>
      </c>
      <c r="BB196" s="117" t="s">
        <v>600</v>
      </c>
      <c r="BC196" s="117" t="s">
        <v>600</v>
      </c>
      <c r="BD196" s="164" t="s">
        <v>1832</v>
      </c>
      <c r="BE196" s="164" t="s">
        <v>1832</v>
      </c>
      <c r="BF196" s="130"/>
      <c r="BG196" s="130">
        <f t="shared" si="8"/>
        <v>146027</v>
      </c>
      <c r="BH196" s="131">
        <v>144027.0</v>
      </c>
      <c r="BI196" s="131"/>
      <c r="BJ196" s="132">
        <f t="shared" si="16"/>
        <v>2000</v>
      </c>
      <c r="BK196" s="132"/>
      <c r="BL196" s="133"/>
      <c r="BM196" s="133"/>
      <c r="BN196" s="133" t="s">
        <v>561</v>
      </c>
      <c r="BO196" s="133" t="s">
        <v>561</v>
      </c>
      <c r="BP196" s="133" t="s">
        <v>845</v>
      </c>
      <c r="BQ196" s="134"/>
      <c r="BR196" s="150" t="s">
        <v>1569</v>
      </c>
      <c r="BS196" s="181" t="s">
        <v>2030</v>
      </c>
      <c r="BT196" s="134"/>
      <c r="BU196" s="137">
        <f t="shared" si="6"/>
        <v>0.06</v>
      </c>
      <c r="BV196" s="138">
        <v>0.522</v>
      </c>
      <c r="BW196" s="137">
        <v>0.462</v>
      </c>
      <c r="BX196" s="137"/>
      <c r="BY196" s="137">
        <f t="shared" si="7"/>
        <v>-0.016</v>
      </c>
      <c r="BZ196" s="137">
        <v>0.45899999999999996</v>
      </c>
      <c r="CA196" s="138">
        <v>0.475</v>
      </c>
      <c r="CB196" s="138"/>
      <c r="CC196" s="138">
        <v>0.89</v>
      </c>
      <c r="CD196" s="137">
        <v>0.035</v>
      </c>
      <c r="CE196" s="137">
        <v>0.021</v>
      </c>
      <c r="CF196" s="137">
        <v>0.03</v>
      </c>
      <c r="CG196" s="137">
        <v>0.016</v>
      </c>
      <c r="CH196" s="137">
        <v>0.001</v>
      </c>
      <c r="CI196" s="139"/>
      <c r="CJ196" s="138">
        <v>0.929</v>
      </c>
      <c r="CK196" s="137">
        <v>0.027000000000000003</v>
      </c>
      <c r="CL196" s="137">
        <v>0.016</v>
      </c>
      <c r="CM196" s="137">
        <v>0.022000000000000002</v>
      </c>
      <c r="CN196" s="137">
        <v>0.006</v>
      </c>
      <c r="CO196" s="137">
        <v>0.0</v>
      </c>
      <c r="CP196" s="137"/>
      <c r="CQ196" s="137">
        <v>0.38</v>
      </c>
      <c r="CR196" s="137">
        <v>0.38299999999999995</v>
      </c>
      <c r="CS196" s="138">
        <v>0.573</v>
      </c>
    </row>
    <row r="197">
      <c r="A197" s="112">
        <f t="shared" si="1"/>
        <v>195</v>
      </c>
      <c r="B197" s="112" t="s">
        <v>73</v>
      </c>
      <c r="C197" s="112" t="s">
        <v>1107</v>
      </c>
      <c r="D197" s="113" t="s">
        <v>1104</v>
      </c>
      <c r="E197" s="163"/>
      <c r="F197" s="115">
        <f t="shared" si="2"/>
        <v>0</v>
      </c>
      <c r="G197" s="115">
        <f t="shared" si="3"/>
        <v>0.05882352941</v>
      </c>
      <c r="H197" s="116">
        <f t="shared" si="4"/>
        <v>0.04411764706</v>
      </c>
      <c r="I197" s="117" t="s">
        <v>594</v>
      </c>
      <c r="J197" s="117" t="s">
        <v>594</v>
      </c>
      <c r="K197" s="117" t="s">
        <v>594</v>
      </c>
      <c r="L197" s="117" t="s">
        <v>594</v>
      </c>
      <c r="M197" s="117" t="s">
        <v>594</v>
      </c>
      <c r="N197" s="117" t="s">
        <v>594</v>
      </c>
      <c r="O197" s="149" t="s">
        <v>1256</v>
      </c>
      <c r="P197" s="185" t="s">
        <v>561</v>
      </c>
      <c r="Q197" s="121" t="s">
        <v>53</v>
      </c>
      <c r="R197" s="121" t="s">
        <v>561</v>
      </c>
      <c r="S197" s="149" t="s">
        <v>561</v>
      </c>
      <c r="T197" s="119" t="s">
        <v>53</v>
      </c>
      <c r="U197" s="149" t="s">
        <v>561</v>
      </c>
      <c r="V197" s="149" t="s">
        <v>561</v>
      </c>
      <c r="W197" s="149" t="s">
        <v>561</v>
      </c>
      <c r="X197" s="149" t="s">
        <v>561</v>
      </c>
      <c r="Y197" s="149" t="s">
        <v>561</v>
      </c>
      <c r="Z197" s="149" t="s">
        <v>561</v>
      </c>
      <c r="AA197" s="149" t="s">
        <v>561</v>
      </c>
      <c r="AB197" s="149" t="s">
        <v>561</v>
      </c>
      <c r="AC197" s="125" t="s">
        <v>561</v>
      </c>
      <c r="AD197" s="149" t="s">
        <v>561</v>
      </c>
      <c r="AE197" s="128" t="s">
        <v>561</v>
      </c>
      <c r="AF197" s="125" t="s">
        <v>561</v>
      </c>
      <c r="AG197" s="121" t="s">
        <v>561</v>
      </c>
      <c r="AH197" s="128" t="s">
        <v>561</v>
      </c>
      <c r="AI197" s="128" t="s">
        <v>561</v>
      </c>
      <c r="AJ197" s="128" t="s">
        <v>561</v>
      </c>
      <c r="AK197" s="125" t="s">
        <v>561</v>
      </c>
      <c r="AL197" s="128" t="s">
        <v>561</v>
      </c>
      <c r="AM197" s="128" t="s">
        <v>561</v>
      </c>
      <c r="AN197" s="128" t="s">
        <v>561</v>
      </c>
      <c r="AO197" s="128" t="s">
        <v>561</v>
      </c>
      <c r="AP197" s="121" t="s">
        <v>561</v>
      </c>
      <c r="AQ197" s="128" t="s">
        <v>561</v>
      </c>
      <c r="AR197" s="128" t="s">
        <v>561</v>
      </c>
      <c r="AS197" s="117" t="s">
        <v>561</v>
      </c>
      <c r="AT197" s="117" t="s">
        <v>561</v>
      </c>
      <c r="AU197" s="117" t="s">
        <v>561</v>
      </c>
      <c r="AV197" s="117" t="s">
        <v>561</v>
      </c>
      <c r="AW197" s="117" t="s">
        <v>561</v>
      </c>
      <c r="AX197" s="117" t="s">
        <v>600</v>
      </c>
      <c r="AY197" s="117" t="s">
        <v>600</v>
      </c>
      <c r="AZ197" s="117" t="s">
        <v>600</v>
      </c>
      <c r="BA197" s="117" t="s">
        <v>600</v>
      </c>
      <c r="BB197" s="117" t="s">
        <v>600</v>
      </c>
      <c r="BC197" s="117" t="s">
        <v>600</v>
      </c>
      <c r="BD197" s="164" t="s">
        <v>1832</v>
      </c>
      <c r="BE197" s="164" t="s">
        <v>1832</v>
      </c>
      <c r="BF197" s="130"/>
      <c r="BG197" s="130">
        <f t="shared" si="8"/>
        <v>0</v>
      </c>
      <c r="BH197" s="131"/>
      <c r="BI197" s="131"/>
      <c r="BJ197" s="132"/>
      <c r="BK197" s="132"/>
      <c r="BL197" s="133"/>
      <c r="BM197" s="133"/>
      <c r="BN197" s="133" t="s">
        <v>561</v>
      </c>
      <c r="BO197" s="133"/>
      <c r="BP197" s="133" t="s">
        <v>976</v>
      </c>
      <c r="BQ197" s="134"/>
      <c r="BR197" s="150" t="s">
        <v>1569</v>
      </c>
      <c r="BS197" s="150" t="s">
        <v>135</v>
      </c>
      <c r="BT197" s="134"/>
      <c r="BU197" s="137">
        <f t="shared" si="6"/>
        <v>0.085</v>
      </c>
      <c r="BV197" s="138">
        <v>0.535</v>
      </c>
      <c r="BW197" s="137">
        <v>0.45</v>
      </c>
      <c r="BX197" s="137"/>
      <c r="BY197" s="137">
        <f t="shared" si="7"/>
        <v>0.04</v>
      </c>
      <c r="BZ197" s="138">
        <v>0.49700000000000005</v>
      </c>
      <c r="CA197" s="137">
        <v>0.457</v>
      </c>
      <c r="CB197" s="137"/>
      <c r="CC197" s="138">
        <v>0.7020000000000001</v>
      </c>
      <c r="CD197" s="137">
        <v>0.033</v>
      </c>
      <c r="CE197" s="137">
        <v>0.19699999999999998</v>
      </c>
      <c r="CF197" s="137">
        <v>0.05</v>
      </c>
      <c r="CG197" s="137">
        <v>0.016</v>
      </c>
      <c r="CH197" s="137">
        <v>0.001</v>
      </c>
      <c r="CI197" s="139"/>
      <c r="CJ197" s="138">
        <v>0.747</v>
      </c>
      <c r="CK197" s="137">
        <v>0.021</v>
      </c>
      <c r="CL197" s="137">
        <v>0.19899999999999998</v>
      </c>
      <c r="CM197" s="137">
        <v>0.026000000000000002</v>
      </c>
      <c r="CN197" s="137">
        <v>0.005</v>
      </c>
      <c r="CO197" s="137">
        <v>0.001</v>
      </c>
      <c r="CP197" s="137"/>
      <c r="CQ197" s="137">
        <v>0.436</v>
      </c>
      <c r="CR197" s="137">
        <v>0.483</v>
      </c>
      <c r="CS197" s="137">
        <v>0.386</v>
      </c>
    </row>
    <row r="198">
      <c r="A198" s="112">
        <f t="shared" si="1"/>
        <v>196</v>
      </c>
      <c r="B198" s="112" t="s">
        <v>885</v>
      </c>
      <c r="C198" s="112" t="s">
        <v>144</v>
      </c>
      <c r="D198" s="113" t="s">
        <v>883</v>
      </c>
      <c r="E198" s="163"/>
      <c r="F198" s="115">
        <f t="shared" si="2"/>
        <v>0</v>
      </c>
      <c r="G198" s="115">
        <f t="shared" si="3"/>
        <v>0.05714285714</v>
      </c>
      <c r="H198" s="116">
        <f t="shared" si="4"/>
        <v>0.04285714286</v>
      </c>
      <c r="I198" s="117" t="s">
        <v>594</v>
      </c>
      <c r="J198" s="117" t="s">
        <v>594</v>
      </c>
      <c r="K198" s="117" t="s">
        <v>594</v>
      </c>
      <c r="L198" s="117" t="s">
        <v>594</v>
      </c>
      <c r="M198" s="117" t="s">
        <v>594</v>
      </c>
      <c r="N198" s="117" t="s">
        <v>594</v>
      </c>
      <c r="O198" s="149" t="s">
        <v>1256</v>
      </c>
      <c r="P198" s="185" t="s">
        <v>561</v>
      </c>
      <c r="Q198" s="121" t="s">
        <v>561</v>
      </c>
      <c r="R198" s="121" t="s">
        <v>561</v>
      </c>
      <c r="S198" s="149" t="s">
        <v>561</v>
      </c>
      <c r="T198" s="149" t="s">
        <v>561</v>
      </c>
      <c r="U198" s="149" t="s">
        <v>561</v>
      </c>
      <c r="V198" s="149" t="s">
        <v>561</v>
      </c>
      <c r="W198" s="119" t="s">
        <v>53</v>
      </c>
      <c r="X198" s="149" t="s">
        <v>561</v>
      </c>
      <c r="Y198" s="149" t="s">
        <v>561</v>
      </c>
      <c r="Z198" s="128" t="s">
        <v>801</v>
      </c>
      <c r="AA198" s="123" t="s">
        <v>801</v>
      </c>
      <c r="AB198" s="149" t="s">
        <v>561</v>
      </c>
      <c r="AC198" s="125" t="s">
        <v>561</v>
      </c>
      <c r="AD198" s="149" t="s">
        <v>561</v>
      </c>
      <c r="AE198" s="128" t="s">
        <v>561</v>
      </c>
      <c r="AF198" s="125" t="s">
        <v>561</v>
      </c>
      <c r="AG198" s="121" t="s">
        <v>561</v>
      </c>
      <c r="AH198" s="128" t="s">
        <v>561</v>
      </c>
      <c r="AI198" s="128" t="s">
        <v>561</v>
      </c>
      <c r="AJ198" s="128" t="s">
        <v>561</v>
      </c>
      <c r="AK198" s="125" t="s">
        <v>561</v>
      </c>
      <c r="AL198" s="128" t="s">
        <v>561</v>
      </c>
      <c r="AM198" s="128" t="s">
        <v>801</v>
      </c>
      <c r="AN198" s="128" t="s">
        <v>561</v>
      </c>
      <c r="AO198" s="128" t="s">
        <v>561</v>
      </c>
      <c r="AP198" s="121" t="s">
        <v>561</v>
      </c>
      <c r="AQ198" s="128" t="s">
        <v>53</v>
      </c>
      <c r="AR198" s="128" t="s">
        <v>561</v>
      </c>
      <c r="AS198" s="117" t="s">
        <v>561</v>
      </c>
      <c r="AT198" s="117" t="s">
        <v>561</v>
      </c>
      <c r="AU198" s="117" t="s">
        <v>561</v>
      </c>
      <c r="AV198" s="117" t="s">
        <v>561</v>
      </c>
      <c r="AW198" s="117" t="s">
        <v>561</v>
      </c>
      <c r="AX198" s="117" t="s">
        <v>561</v>
      </c>
      <c r="AY198" s="117" t="s">
        <v>561</v>
      </c>
      <c r="AZ198" s="117" t="s">
        <v>561</v>
      </c>
      <c r="BA198" s="117" t="s">
        <v>561</v>
      </c>
      <c r="BB198" s="117" t="s">
        <v>600</v>
      </c>
      <c r="BC198" s="117" t="s">
        <v>600</v>
      </c>
      <c r="BD198" s="164" t="s">
        <v>1832</v>
      </c>
      <c r="BE198" s="164" t="s">
        <v>1832</v>
      </c>
      <c r="BF198" s="130"/>
      <c r="BG198" s="130">
        <f t="shared" si="8"/>
        <v>66354</v>
      </c>
      <c r="BH198" s="131">
        <v>62354.0</v>
      </c>
      <c r="BI198" s="131"/>
      <c r="BJ198" s="132">
        <f>2000+2000</f>
        <v>4000</v>
      </c>
      <c r="BK198" s="132"/>
      <c r="BL198" s="133"/>
      <c r="BM198" s="133"/>
      <c r="BN198" s="133" t="s">
        <v>561</v>
      </c>
      <c r="BO198" s="133" t="s">
        <v>561</v>
      </c>
      <c r="BP198" s="133" t="s">
        <v>845</v>
      </c>
      <c r="BQ198" s="134"/>
      <c r="BR198" s="150" t="s">
        <v>1569</v>
      </c>
      <c r="BS198" s="181" t="s">
        <v>2030</v>
      </c>
      <c r="BT198" s="134"/>
      <c r="BU198" s="137">
        <f t="shared" si="6"/>
        <v>0.067</v>
      </c>
      <c r="BV198" s="138">
        <v>0.524</v>
      </c>
      <c r="BW198" s="137">
        <v>0.457</v>
      </c>
      <c r="BX198" s="137"/>
      <c r="BY198" s="137">
        <f t="shared" si="7"/>
        <v>0.067</v>
      </c>
      <c r="BZ198" s="138">
        <v>0.505</v>
      </c>
      <c r="CA198" s="137">
        <v>0.43799999999999994</v>
      </c>
      <c r="CB198" s="137"/>
      <c r="CC198" s="138">
        <v>0.47100000000000003</v>
      </c>
      <c r="CD198" s="137">
        <v>0.188</v>
      </c>
      <c r="CE198" s="137">
        <v>0.113</v>
      </c>
      <c r="CF198" s="137">
        <v>0.20800000000000002</v>
      </c>
      <c r="CG198" s="137">
        <v>0.023</v>
      </c>
      <c r="CH198" s="137">
        <v>0.02</v>
      </c>
      <c r="CI198" s="139"/>
      <c r="CJ198" s="138">
        <v>0.54</v>
      </c>
      <c r="CK198" s="137">
        <v>0.17</v>
      </c>
      <c r="CL198" s="137">
        <v>0.106</v>
      </c>
      <c r="CM198" s="137">
        <v>0.157</v>
      </c>
      <c r="CN198" s="137">
        <v>0.009000000000000001</v>
      </c>
      <c r="CO198" s="137">
        <v>0.008</v>
      </c>
      <c r="CP198" s="137"/>
      <c r="CQ198" s="137">
        <v>0.313</v>
      </c>
      <c r="CR198" s="137">
        <v>0.35200000000000004</v>
      </c>
      <c r="CS198" s="137">
        <v>0.35</v>
      </c>
    </row>
    <row r="199">
      <c r="A199" s="112">
        <f t="shared" si="1"/>
        <v>196</v>
      </c>
      <c r="B199" s="112" t="s">
        <v>1036</v>
      </c>
      <c r="C199" s="112" t="s">
        <v>276</v>
      </c>
      <c r="D199" s="113" t="s">
        <v>1034</v>
      </c>
      <c r="E199" s="190" t="s">
        <v>2329</v>
      </c>
      <c r="F199" s="115">
        <f t="shared" si="2"/>
        <v>0</v>
      </c>
      <c r="G199" s="115">
        <f t="shared" si="3"/>
        <v>0.05714285714</v>
      </c>
      <c r="H199" s="116">
        <f t="shared" si="4"/>
        <v>0.04285714286</v>
      </c>
      <c r="I199" s="117" t="s">
        <v>594</v>
      </c>
      <c r="J199" s="117" t="s">
        <v>594</v>
      </c>
      <c r="K199" s="117" t="s">
        <v>594</v>
      </c>
      <c r="L199" s="117" t="s">
        <v>594</v>
      </c>
      <c r="M199" s="117" t="s">
        <v>594</v>
      </c>
      <c r="N199" s="117" t="s">
        <v>594</v>
      </c>
      <c r="O199" s="149" t="s">
        <v>1256</v>
      </c>
      <c r="P199" s="120" t="s">
        <v>53</v>
      </c>
      <c r="Q199" s="121" t="s">
        <v>801</v>
      </c>
      <c r="R199" s="121" t="s">
        <v>561</v>
      </c>
      <c r="S199" s="149" t="s">
        <v>561</v>
      </c>
      <c r="T199" s="149" t="s">
        <v>561</v>
      </c>
      <c r="U199" s="149" t="s">
        <v>561</v>
      </c>
      <c r="V199" s="149" t="s">
        <v>561</v>
      </c>
      <c r="W199" s="149" t="s">
        <v>561</v>
      </c>
      <c r="X199" s="149" t="s">
        <v>561</v>
      </c>
      <c r="Y199" s="149" t="s">
        <v>561</v>
      </c>
      <c r="Z199" s="149" t="s">
        <v>561</v>
      </c>
      <c r="AA199" s="149" t="s">
        <v>561</v>
      </c>
      <c r="AB199" s="149" t="s">
        <v>561</v>
      </c>
      <c r="AC199" s="125" t="s">
        <v>561</v>
      </c>
      <c r="AD199" s="149" t="s">
        <v>561</v>
      </c>
      <c r="AE199" s="128" t="s">
        <v>561</v>
      </c>
      <c r="AF199" s="125" t="s">
        <v>561</v>
      </c>
      <c r="AG199" s="121" t="s">
        <v>561</v>
      </c>
      <c r="AH199" s="128" t="s">
        <v>561</v>
      </c>
      <c r="AI199" s="128" t="s">
        <v>561</v>
      </c>
      <c r="AJ199" s="128" t="s">
        <v>561</v>
      </c>
      <c r="AK199" s="125" t="s">
        <v>561</v>
      </c>
      <c r="AL199" s="128" t="s">
        <v>561</v>
      </c>
      <c r="AM199" s="128" t="s">
        <v>561</v>
      </c>
      <c r="AN199" s="128" t="s">
        <v>561</v>
      </c>
      <c r="AO199" s="128" t="s">
        <v>561</v>
      </c>
      <c r="AP199" s="306" t="s">
        <v>561</v>
      </c>
      <c r="AQ199" s="128" t="s">
        <v>53</v>
      </c>
      <c r="AR199" s="128" t="s">
        <v>561</v>
      </c>
      <c r="AS199" s="117" t="s">
        <v>561</v>
      </c>
      <c r="AT199" s="117" t="s">
        <v>561</v>
      </c>
      <c r="AU199" s="117" t="s">
        <v>561</v>
      </c>
      <c r="AV199" s="117" t="s">
        <v>561</v>
      </c>
      <c r="AW199" s="117" t="s">
        <v>561</v>
      </c>
      <c r="AX199" s="117" t="s">
        <v>561</v>
      </c>
      <c r="AY199" s="117" t="s">
        <v>561</v>
      </c>
      <c r="AZ199" s="117" t="s">
        <v>600</v>
      </c>
      <c r="BA199" s="117" t="s">
        <v>600</v>
      </c>
      <c r="BB199" s="117" t="s">
        <v>600</v>
      </c>
      <c r="BC199" s="117" t="s">
        <v>600</v>
      </c>
      <c r="BD199" s="164" t="s">
        <v>1832</v>
      </c>
      <c r="BE199" s="164" t="s">
        <v>1832</v>
      </c>
      <c r="BF199" s="130"/>
      <c r="BG199" s="130">
        <f t="shared" si="8"/>
        <v>586544</v>
      </c>
      <c r="BH199" s="131">
        <v>521593.0</v>
      </c>
      <c r="BI199" s="131"/>
      <c r="BJ199" s="132">
        <f>5000+2000</f>
        <v>7000</v>
      </c>
      <c r="BK199" s="132">
        <f>3000+54951</f>
        <v>57951</v>
      </c>
      <c r="BL199" s="133"/>
      <c r="BM199" s="133"/>
      <c r="BN199" s="133" t="s">
        <v>561</v>
      </c>
      <c r="BO199" s="133" t="s">
        <v>561</v>
      </c>
      <c r="BP199" s="133" t="s">
        <v>903</v>
      </c>
      <c r="BQ199" s="134"/>
      <c r="BR199" s="135" t="s">
        <v>850</v>
      </c>
      <c r="BS199" s="181" t="s">
        <v>2030</v>
      </c>
      <c r="BT199" s="134"/>
      <c r="BU199" s="137">
        <f t="shared" si="6"/>
        <v>0.7</v>
      </c>
      <c r="BV199" s="138">
        <v>0.847</v>
      </c>
      <c r="BW199" s="137">
        <v>0.147</v>
      </c>
      <c r="BX199" s="137"/>
      <c r="BY199" s="137">
        <f t="shared" si="7"/>
        <v>0.817</v>
      </c>
      <c r="BZ199" s="138">
        <v>0.898</v>
      </c>
      <c r="CA199" s="137">
        <v>0.081</v>
      </c>
      <c r="CB199" s="137"/>
      <c r="CC199" s="137">
        <v>0.10300000000000001</v>
      </c>
      <c r="CD199" s="138">
        <v>0.535</v>
      </c>
      <c r="CE199" s="137">
        <v>0.406</v>
      </c>
      <c r="CF199" s="137">
        <v>0.042</v>
      </c>
      <c r="CG199" s="137">
        <v>0.028999999999999998</v>
      </c>
      <c r="CH199" s="137">
        <v>0.004</v>
      </c>
      <c r="CI199" s="139"/>
      <c r="CJ199" s="137">
        <v>0.125</v>
      </c>
      <c r="CK199" s="138">
        <v>0.508</v>
      </c>
      <c r="CL199" s="137">
        <v>0.336</v>
      </c>
      <c r="CM199" s="137">
        <v>0.026000000000000002</v>
      </c>
      <c r="CN199" s="137">
        <v>0.004</v>
      </c>
      <c r="CO199" s="137">
        <v>0.001</v>
      </c>
      <c r="CP199" s="137"/>
      <c r="CQ199" s="137">
        <v>0.204</v>
      </c>
      <c r="CR199" s="137">
        <v>0.486</v>
      </c>
      <c r="CS199" s="137">
        <v>0.064</v>
      </c>
    </row>
    <row r="200">
      <c r="A200" s="112">
        <f t="shared" si="1"/>
        <v>198</v>
      </c>
      <c r="B200" s="112" t="s">
        <v>1303</v>
      </c>
      <c r="C200" s="112" t="s">
        <v>2789</v>
      </c>
      <c r="D200" s="113" t="s">
        <v>1300</v>
      </c>
      <c r="E200" s="163"/>
      <c r="F200" s="115">
        <f t="shared" si="2"/>
        <v>0</v>
      </c>
      <c r="G200" s="115">
        <f t="shared" si="3"/>
        <v>0.05555555556</v>
      </c>
      <c r="H200" s="116">
        <f t="shared" si="4"/>
        <v>0.04166666667</v>
      </c>
      <c r="I200" s="117" t="s">
        <v>594</v>
      </c>
      <c r="J200" s="117" t="s">
        <v>594</v>
      </c>
      <c r="K200" s="117" t="s">
        <v>594</v>
      </c>
      <c r="L200" s="117" t="s">
        <v>594</v>
      </c>
      <c r="M200" s="117" t="s">
        <v>594</v>
      </c>
      <c r="N200" s="117" t="s">
        <v>594</v>
      </c>
      <c r="O200" s="149" t="s">
        <v>1256</v>
      </c>
      <c r="P200" s="185" t="s">
        <v>561</v>
      </c>
      <c r="Q200" s="121" t="s">
        <v>561</v>
      </c>
      <c r="R200" s="121" t="s">
        <v>561</v>
      </c>
      <c r="S200" s="149" t="s">
        <v>561</v>
      </c>
      <c r="T200" s="149" t="s">
        <v>561</v>
      </c>
      <c r="U200" s="149" t="s">
        <v>561</v>
      </c>
      <c r="V200" s="149" t="s">
        <v>561</v>
      </c>
      <c r="W200" s="123" t="s">
        <v>801</v>
      </c>
      <c r="X200" s="149" t="s">
        <v>561</v>
      </c>
      <c r="Y200" s="149" t="s">
        <v>561</v>
      </c>
      <c r="Z200" s="149" t="s">
        <v>561</v>
      </c>
      <c r="AA200" s="149" t="s">
        <v>561</v>
      </c>
      <c r="AB200" s="149" t="s">
        <v>561</v>
      </c>
      <c r="AC200" s="125" t="s">
        <v>561</v>
      </c>
      <c r="AD200" s="149" t="s">
        <v>561</v>
      </c>
      <c r="AE200" s="128" t="s">
        <v>561</v>
      </c>
      <c r="AF200" s="125" t="s">
        <v>561</v>
      </c>
      <c r="AG200" s="121" t="s">
        <v>561</v>
      </c>
      <c r="AH200" s="128" t="s">
        <v>561</v>
      </c>
      <c r="AI200" s="128" t="s">
        <v>561</v>
      </c>
      <c r="AJ200" s="128" t="s">
        <v>561</v>
      </c>
      <c r="AK200" s="125" t="s">
        <v>561</v>
      </c>
      <c r="AL200" s="128" t="s">
        <v>561</v>
      </c>
      <c r="AM200" s="128" t="s">
        <v>561</v>
      </c>
      <c r="AN200" s="128" t="s">
        <v>561</v>
      </c>
      <c r="AO200" s="128" t="s">
        <v>53</v>
      </c>
      <c r="AP200" s="121" t="s">
        <v>561</v>
      </c>
      <c r="AQ200" s="128" t="s">
        <v>53</v>
      </c>
      <c r="AR200" s="128" t="s">
        <v>561</v>
      </c>
      <c r="AS200" s="117" t="s">
        <v>801</v>
      </c>
      <c r="AT200" s="117" t="s">
        <v>561</v>
      </c>
      <c r="AU200" s="117" t="s">
        <v>561</v>
      </c>
      <c r="AV200" s="117" t="s">
        <v>561</v>
      </c>
      <c r="AW200" s="117" t="s">
        <v>561</v>
      </c>
      <c r="AX200" s="117" t="s">
        <v>561</v>
      </c>
      <c r="AY200" s="117" t="s">
        <v>561</v>
      </c>
      <c r="AZ200" s="117" t="s">
        <v>561</v>
      </c>
      <c r="BA200" s="117" t="s">
        <v>801</v>
      </c>
      <c r="BB200" s="117" t="s">
        <v>561</v>
      </c>
      <c r="BC200" s="117" t="s">
        <v>600</v>
      </c>
      <c r="BD200" s="164" t="s">
        <v>1832</v>
      </c>
      <c r="BE200" s="164" t="s">
        <v>1832</v>
      </c>
      <c r="BF200" s="130"/>
      <c r="BG200" s="130">
        <f t="shared" si="8"/>
        <v>68757</v>
      </c>
      <c r="BH200" s="131">
        <v>68757.0</v>
      </c>
      <c r="BI200" s="131"/>
      <c r="BJ200" s="132"/>
      <c r="BK200" s="132"/>
      <c r="BL200" s="133"/>
      <c r="BM200" s="133"/>
      <c r="BN200" s="133"/>
      <c r="BO200" s="133" t="s">
        <v>561</v>
      </c>
      <c r="BP200" s="133" t="s">
        <v>1207</v>
      </c>
      <c r="BQ200" s="214"/>
      <c r="BR200" s="181" t="s">
        <v>2665</v>
      </c>
      <c r="BS200" s="181" t="s">
        <v>122</v>
      </c>
      <c r="BT200" s="134"/>
      <c r="BU200" s="137">
        <f t="shared" si="6"/>
        <v>0.155</v>
      </c>
      <c r="BV200" s="138">
        <v>0.573</v>
      </c>
      <c r="BW200" s="137">
        <v>0.418</v>
      </c>
      <c r="BX200" s="137"/>
      <c r="BY200" s="137">
        <f t="shared" si="7"/>
        <v>0.362</v>
      </c>
      <c r="BZ200" s="138">
        <v>0.6609999999999999</v>
      </c>
      <c r="CA200" s="137">
        <v>0.299</v>
      </c>
      <c r="CB200" s="137"/>
      <c r="CC200" s="137">
        <v>0.095</v>
      </c>
      <c r="CD200" s="138">
        <v>0.885</v>
      </c>
      <c r="CE200" s="137">
        <v>0.008</v>
      </c>
      <c r="CF200" s="137">
        <v>0.009000000000000001</v>
      </c>
      <c r="CG200" s="137">
        <v>0.015</v>
      </c>
      <c r="CH200" s="137">
        <v>0.001</v>
      </c>
      <c r="CI200" s="139"/>
      <c r="CJ200" s="137">
        <v>0.11800000000000001</v>
      </c>
      <c r="CK200" s="138">
        <v>0.868</v>
      </c>
      <c r="CL200" s="137">
        <v>0.006</v>
      </c>
      <c r="CM200" s="137">
        <v>0.005</v>
      </c>
      <c r="CN200" s="137">
        <v>0.002</v>
      </c>
      <c r="CO200" s="137">
        <v>0.0</v>
      </c>
      <c r="CP200" s="137"/>
      <c r="CQ200" s="137">
        <v>0.17</v>
      </c>
      <c r="CR200" s="137">
        <v>0.32799999999999996</v>
      </c>
      <c r="CS200" s="137">
        <v>0.079</v>
      </c>
    </row>
    <row r="201">
      <c r="A201" s="112">
        <f t="shared" si="1"/>
        <v>199</v>
      </c>
      <c r="B201" s="112" t="s">
        <v>444</v>
      </c>
      <c r="C201" s="112" t="s">
        <v>445</v>
      </c>
      <c r="D201" s="113" t="s">
        <v>441</v>
      </c>
      <c r="E201" s="163"/>
      <c r="F201" s="115">
        <f t="shared" si="2"/>
        <v>0</v>
      </c>
      <c r="G201" s="115">
        <f t="shared" si="3"/>
        <v>0.05128205128</v>
      </c>
      <c r="H201" s="116">
        <f t="shared" si="4"/>
        <v>0.03846153846</v>
      </c>
      <c r="I201" s="117" t="s">
        <v>594</v>
      </c>
      <c r="J201" s="117" t="s">
        <v>594</v>
      </c>
      <c r="K201" s="117" t="s">
        <v>594</v>
      </c>
      <c r="L201" s="117" t="s">
        <v>594</v>
      </c>
      <c r="M201" s="117" t="s">
        <v>594</v>
      </c>
      <c r="N201" s="117" t="s">
        <v>594</v>
      </c>
      <c r="O201" s="149" t="s">
        <v>1256</v>
      </c>
      <c r="P201" s="185" t="s">
        <v>561</v>
      </c>
      <c r="Q201" s="121" t="s">
        <v>53</v>
      </c>
      <c r="R201" s="121" t="s">
        <v>561</v>
      </c>
      <c r="S201" s="119" t="s">
        <v>53</v>
      </c>
      <c r="T201" s="149" t="s">
        <v>561</v>
      </c>
      <c r="U201" s="149" t="s">
        <v>561</v>
      </c>
      <c r="V201" s="149" t="s">
        <v>561</v>
      </c>
      <c r="W201" s="149" t="s">
        <v>561</v>
      </c>
      <c r="X201" s="149" t="s">
        <v>561</v>
      </c>
      <c r="Y201" s="149" t="s">
        <v>561</v>
      </c>
      <c r="Z201" s="149" t="s">
        <v>561</v>
      </c>
      <c r="AA201" s="149" t="s">
        <v>561</v>
      </c>
      <c r="AB201" s="149" t="s">
        <v>561</v>
      </c>
      <c r="AC201" s="125" t="s">
        <v>561</v>
      </c>
      <c r="AD201" s="149" t="s">
        <v>561</v>
      </c>
      <c r="AE201" s="128" t="s">
        <v>561</v>
      </c>
      <c r="AF201" s="125" t="s">
        <v>561</v>
      </c>
      <c r="AG201" s="121" t="s">
        <v>561</v>
      </c>
      <c r="AH201" s="128" t="s">
        <v>561</v>
      </c>
      <c r="AI201" s="128" t="s">
        <v>561</v>
      </c>
      <c r="AJ201" s="128" t="s">
        <v>561</v>
      </c>
      <c r="AK201" s="125" t="s">
        <v>561</v>
      </c>
      <c r="AL201" s="128" t="s">
        <v>561</v>
      </c>
      <c r="AM201" s="128" t="s">
        <v>561</v>
      </c>
      <c r="AN201" s="128" t="s">
        <v>561</v>
      </c>
      <c r="AO201" s="128" t="s">
        <v>561</v>
      </c>
      <c r="AP201" s="121" t="s">
        <v>561</v>
      </c>
      <c r="AQ201" s="128" t="s">
        <v>561</v>
      </c>
      <c r="AR201" s="128" t="s">
        <v>561</v>
      </c>
      <c r="AS201" s="117" t="s">
        <v>561</v>
      </c>
      <c r="AT201" s="117" t="s">
        <v>561</v>
      </c>
      <c r="AU201" s="117" t="s">
        <v>561</v>
      </c>
      <c r="AV201" s="117" t="s">
        <v>561</v>
      </c>
      <c r="AW201" s="117" t="s">
        <v>561</v>
      </c>
      <c r="AX201" s="117" t="s">
        <v>561</v>
      </c>
      <c r="AY201" s="117" t="s">
        <v>561</v>
      </c>
      <c r="AZ201" s="117" t="s">
        <v>561</v>
      </c>
      <c r="BA201" s="117" t="s">
        <v>561</v>
      </c>
      <c r="BB201" s="117" t="s">
        <v>561</v>
      </c>
      <c r="BC201" s="117" t="s">
        <v>600</v>
      </c>
      <c r="BD201" s="164" t="s">
        <v>1832</v>
      </c>
      <c r="BE201" s="164" t="s">
        <v>1832</v>
      </c>
      <c r="BF201" s="130"/>
      <c r="BG201" s="130">
        <f t="shared" si="8"/>
        <v>17615</v>
      </c>
      <c r="BH201" s="131">
        <v>17600.0</v>
      </c>
      <c r="BI201" s="131"/>
      <c r="BJ201" s="132">
        <f>15</f>
        <v>15</v>
      </c>
      <c r="BK201" s="132"/>
      <c r="BL201" s="133"/>
      <c r="BM201" s="133"/>
      <c r="BN201" s="133"/>
      <c r="BO201" s="133" t="s">
        <v>561</v>
      </c>
      <c r="BP201" s="133" t="s">
        <v>1207</v>
      </c>
      <c r="BQ201" s="134"/>
      <c r="BR201" s="150" t="s">
        <v>1199</v>
      </c>
      <c r="BS201" s="181" t="s">
        <v>122</v>
      </c>
      <c r="BT201" s="134"/>
      <c r="BU201" s="137">
        <f t="shared" si="6"/>
        <v>0.174</v>
      </c>
      <c r="BV201" s="138">
        <v>0.5820000000000001</v>
      </c>
      <c r="BW201" s="137">
        <v>0.408</v>
      </c>
      <c r="BX201" s="137"/>
      <c r="BY201" s="137">
        <f t="shared" si="7"/>
        <v>0.263</v>
      </c>
      <c r="BZ201" s="138">
        <v>0.61</v>
      </c>
      <c r="CA201" s="137">
        <v>0.34700000000000003</v>
      </c>
      <c r="CB201" s="137"/>
      <c r="CC201" s="137">
        <v>0.32299999999999995</v>
      </c>
      <c r="CD201" s="138">
        <v>0.5</v>
      </c>
      <c r="CE201" s="137">
        <v>0.13</v>
      </c>
      <c r="CF201" s="137">
        <v>0.052000000000000005</v>
      </c>
      <c r="CG201" s="137">
        <v>0.019</v>
      </c>
      <c r="CH201" s="137">
        <v>0.003</v>
      </c>
      <c r="CI201" s="139"/>
      <c r="CJ201" s="137">
        <v>0.375</v>
      </c>
      <c r="CK201" s="138">
        <v>0.479</v>
      </c>
      <c r="CL201" s="137">
        <v>0.098</v>
      </c>
      <c r="CM201" s="137">
        <v>0.038</v>
      </c>
      <c r="CN201" s="137">
        <v>0.005</v>
      </c>
      <c r="CO201" s="137">
        <v>0.001</v>
      </c>
      <c r="CP201" s="137"/>
      <c r="CQ201" s="137">
        <v>0.28800000000000003</v>
      </c>
      <c r="CR201" s="137">
        <v>0.34700000000000003</v>
      </c>
      <c r="CS201" s="137">
        <v>0.245</v>
      </c>
    </row>
    <row r="202">
      <c r="A202" s="112">
        <f t="shared" si="1"/>
        <v>199</v>
      </c>
      <c r="B202" s="112" t="s">
        <v>503</v>
      </c>
      <c r="C202" s="112" t="s">
        <v>504</v>
      </c>
      <c r="D202" s="113" t="s">
        <v>497</v>
      </c>
      <c r="E202" s="190" t="s">
        <v>2329</v>
      </c>
      <c r="F202" s="115">
        <f t="shared" si="2"/>
        <v>0</v>
      </c>
      <c r="G202" s="115">
        <f t="shared" si="3"/>
        <v>0.05128205128</v>
      </c>
      <c r="H202" s="116">
        <f t="shared" si="4"/>
        <v>0.03846153846</v>
      </c>
      <c r="I202" s="117" t="s">
        <v>594</v>
      </c>
      <c r="J202" s="117" t="s">
        <v>594</v>
      </c>
      <c r="K202" s="117" t="s">
        <v>594</v>
      </c>
      <c r="L202" s="117" t="s">
        <v>594</v>
      </c>
      <c r="M202" s="117" t="s">
        <v>594</v>
      </c>
      <c r="N202" s="117" t="s">
        <v>594</v>
      </c>
      <c r="O202" s="149" t="s">
        <v>1256</v>
      </c>
      <c r="P202" s="156" t="s">
        <v>801</v>
      </c>
      <c r="Q202" s="121" t="s">
        <v>561</v>
      </c>
      <c r="R202" s="121" t="s">
        <v>561</v>
      </c>
      <c r="S202" s="149" t="s">
        <v>561</v>
      </c>
      <c r="T202" s="119" t="s">
        <v>53</v>
      </c>
      <c r="U202" s="149" t="s">
        <v>561</v>
      </c>
      <c r="V202" s="149" t="s">
        <v>561</v>
      </c>
      <c r="W202" s="119" t="s">
        <v>53</v>
      </c>
      <c r="X202" s="149" t="s">
        <v>561</v>
      </c>
      <c r="Y202" s="149" t="s">
        <v>561</v>
      </c>
      <c r="Z202" s="149" t="s">
        <v>561</v>
      </c>
      <c r="AA202" s="149" t="s">
        <v>561</v>
      </c>
      <c r="AB202" s="149" t="s">
        <v>561</v>
      </c>
      <c r="AC202" s="125" t="s">
        <v>561</v>
      </c>
      <c r="AD202" s="149" t="s">
        <v>561</v>
      </c>
      <c r="AE202" s="128" t="s">
        <v>561</v>
      </c>
      <c r="AF202" s="125" t="s">
        <v>561</v>
      </c>
      <c r="AG202" s="121" t="s">
        <v>561</v>
      </c>
      <c r="AH202" s="128" t="s">
        <v>561</v>
      </c>
      <c r="AI202" s="128" t="s">
        <v>561</v>
      </c>
      <c r="AJ202" s="128" t="s">
        <v>561</v>
      </c>
      <c r="AK202" s="125" t="s">
        <v>561</v>
      </c>
      <c r="AL202" s="128" t="s">
        <v>561</v>
      </c>
      <c r="AM202" s="128" t="s">
        <v>561</v>
      </c>
      <c r="AN202" s="128" t="s">
        <v>561</v>
      </c>
      <c r="AO202" s="128" t="s">
        <v>561</v>
      </c>
      <c r="AP202" s="121" t="s">
        <v>561</v>
      </c>
      <c r="AQ202" s="128" t="s">
        <v>561</v>
      </c>
      <c r="AR202" s="128" t="s">
        <v>561</v>
      </c>
      <c r="AS202" s="117" t="s">
        <v>561</v>
      </c>
      <c r="AT202" s="117" t="s">
        <v>561</v>
      </c>
      <c r="AU202" s="117" t="s">
        <v>561</v>
      </c>
      <c r="AV202" s="117" t="s">
        <v>561</v>
      </c>
      <c r="AW202" s="117" t="s">
        <v>561</v>
      </c>
      <c r="AX202" s="117" t="s">
        <v>561</v>
      </c>
      <c r="AY202" s="117" t="s">
        <v>561</v>
      </c>
      <c r="AZ202" s="117" t="s">
        <v>561</v>
      </c>
      <c r="BA202" s="117" t="s">
        <v>561</v>
      </c>
      <c r="BB202" s="117" t="s">
        <v>561</v>
      </c>
      <c r="BC202" s="117" t="s">
        <v>561</v>
      </c>
      <c r="BD202" s="164" t="s">
        <v>1832</v>
      </c>
      <c r="BE202" s="164" t="s">
        <v>1832</v>
      </c>
      <c r="BF202" s="130"/>
      <c r="BG202" s="130">
        <f t="shared" si="8"/>
        <v>174840</v>
      </c>
      <c r="BH202" s="131">
        <v>170825.0</v>
      </c>
      <c r="BI202" s="131"/>
      <c r="BJ202" s="132">
        <f>2015+2000</f>
        <v>4015</v>
      </c>
      <c r="BK202" s="132"/>
      <c r="BL202" s="133"/>
      <c r="BM202" s="133"/>
      <c r="BN202" s="133" t="s">
        <v>561</v>
      </c>
      <c r="BO202" s="133" t="s">
        <v>561</v>
      </c>
      <c r="BP202" s="133" t="s">
        <v>1867</v>
      </c>
      <c r="BQ202" s="134"/>
      <c r="BR202" s="150" t="s">
        <v>1569</v>
      </c>
      <c r="BS202" s="181" t="s">
        <v>2030</v>
      </c>
      <c r="BT202" s="134"/>
      <c r="BU202" s="137">
        <f t="shared" si="6"/>
        <v>0.2</v>
      </c>
      <c r="BV202" s="138">
        <v>0.597</v>
      </c>
      <c r="BW202" s="137">
        <v>0.397</v>
      </c>
      <c r="BX202" s="137"/>
      <c r="BY202" s="137">
        <f t="shared" si="7"/>
        <v>0.284</v>
      </c>
      <c r="BZ202" s="138">
        <v>0.627</v>
      </c>
      <c r="CA202" s="137">
        <v>0.34299999999999997</v>
      </c>
      <c r="CB202" s="137"/>
      <c r="CC202" s="137">
        <v>0.344</v>
      </c>
      <c r="CD202" s="138">
        <v>0.423</v>
      </c>
      <c r="CE202" s="137">
        <v>0.175</v>
      </c>
      <c r="CF202" s="137">
        <v>0.06</v>
      </c>
      <c r="CG202" s="137">
        <v>0.013000000000000001</v>
      </c>
      <c r="CH202" s="137">
        <v>0.002</v>
      </c>
      <c r="CI202" s="139"/>
      <c r="CJ202" s="138">
        <v>0.405</v>
      </c>
      <c r="CK202" s="137">
        <v>0.37200000000000005</v>
      </c>
      <c r="CL202" s="137">
        <v>0.16899999999999998</v>
      </c>
      <c r="CM202" s="137">
        <v>0.044000000000000004</v>
      </c>
      <c r="CN202" s="137">
        <v>0.004</v>
      </c>
      <c r="CO202" s="137">
        <v>0.001</v>
      </c>
      <c r="CP202" s="137"/>
      <c r="CQ202" s="137">
        <v>0.374</v>
      </c>
      <c r="CR202" s="137">
        <v>0.4</v>
      </c>
      <c r="CS202" s="137">
        <v>0.243</v>
      </c>
    </row>
    <row r="203">
      <c r="A203" s="112">
        <f t="shared" si="1"/>
        <v>201</v>
      </c>
      <c r="B203" s="112" t="s">
        <v>1272</v>
      </c>
      <c r="C203" s="112" t="s">
        <v>1273</v>
      </c>
      <c r="D203" s="113" t="s">
        <v>1270</v>
      </c>
      <c r="E203" s="163"/>
      <c r="F203" s="115">
        <f t="shared" si="2"/>
        <v>0</v>
      </c>
      <c r="G203" s="115">
        <f t="shared" si="3"/>
        <v>0.05</v>
      </c>
      <c r="H203" s="116">
        <f t="shared" si="4"/>
        <v>0.0375</v>
      </c>
      <c r="I203" s="117" t="s">
        <v>594</v>
      </c>
      <c r="J203" s="117" t="s">
        <v>594</v>
      </c>
      <c r="K203" s="117" t="s">
        <v>594</v>
      </c>
      <c r="L203" s="117" t="s">
        <v>594</v>
      </c>
      <c r="M203" s="117" t="s">
        <v>594</v>
      </c>
      <c r="N203" s="117" t="s">
        <v>594</v>
      </c>
      <c r="O203" s="149" t="s">
        <v>1256</v>
      </c>
      <c r="P203" s="185" t="s">
        <v>561</v>
      </c>
      <c r="Q203" s="121" t="s">
        <v>561</v>
      </c>
      <c r="R203" s="121" t="s">
        <v>561</v>
      </c>
      <c r="S203" s="149" t="s">
        <v>561</v>
      </c>
      <c r="T203" s="149" t="s">
        <v>561</v>
      </c>
      <c r="U203" s="149" t="s">
        <v>561</v>
      </c>
      <c r="V203" s="149" t="s">
        <v>561</v>
      </c>
      <c r="W203" s="149" t="s">
        <v>561</v>
      </c>
      <c r="X203" s="149" t="s">
        <v>561</v>
      </c>
      <c r="Y203" s="149" t="s">
        <v>561</v>
      </c>
      <c r="Z203" s="149" t="s">
        <v>561</v>
      </c>
      <c r="AA203" s="149" t="s">
        <v>561</v>
      </c>
      <c r="AB203" s="149" t="s">
        <v>561</v>
      </c>
      <c r="AC203" s="125" t="s">
        <v>561</v>
      </c>
      <c r="AD203" s="149" t="s">
        <v>561</v>
      </c>
      <c r="AE203" s="128" t="s">
        <v>561</v>
      </c>
      <c r="AF203" s="125" t="s">
        <v>561</v>
      </c>
      <c r="AG203" s="121" t="s">
        <v>561</v>
      </c>
      <c r="AH203" s="128" t="s">
        <v>561</v>
      </c>
      <c r="AI203" s="128" t="s">
        <v>561</v>
      </c>
      <c r="AJ203" s="128" t="s">
        <v>561</v>
      </c>
      <c r="AK203" s="125" t="s">
        <v>561</v>
      </c>
      <c r="AL203" s="128" t="s">
        <v>561</v>
      </c>
      <c r="AM203" s="128" t="s">
        <v>561</v>
      </c>
      <c r="AN203" s="128" t="s">
        <v>561</v>
      </c>
      <c r="AO203" s="128" t="s">
        <v>53</v>
      </c>
      <c r="AP203" s="121" t="s">
        <v>561</v>
      </c>
      <c r="AQ203" s="128" t="s">
        <v>53</v>
      </c>
      <c r="AR203" s="128" t="s">
        <v>561</v>
      </c>
      <c r="AS203" s="117" t="s">
        <v>561</v>
      </c>
      <c r="AT203" s="117" t="s">
        <v>561</v>
      </c>
      <c r="AU203" s="117" t="s">
        <v>561</v>
      </c>
      <c r="AV203" s="117" t="s">
        <v>561</v>
      </c>
      <c r="AW203" s="117" t="s">
        <v>561</v>
      </c>
      <c r="AX203" s="117" t="s">
        <v>561</v>
      </c>
      <c r="AY203" s="117" t="s">
        <v>561</v>
      </c>
      <c r="AZ203" s="117" t="s">
        <v>561</v>
      </c>
      <c r="BA203" s="117" t="s">
        <v>561</v>
      </c>
      <c r="BB203" s="117" t="s">
        <v>561</v>
      </c>
      <c r="BC203" s="117" t="s">
        <v>561</v>
      </c>
      <c r="BD203" s="129" t="s">
        <v>821</v>
      </c>
      <c r="BE203" s="164" t="s">
        <v>1832</v>
      </c>
      <c r="BF203" s="130"/>
      <c r="BG203" s="130">
        <f t="shared" si="8"/>
        <v>2189095</v>
      </c>
      <c r="BH203" s="131">
        <v>337481.0</v>
      </c>
      <c r="BI203" s="131">
        <v>1849614.0</v>
      </c>
      <c r="BJ203" s="132">
        <f>2000</f>
        <v>2000</v>
      </c>
      <c r="BK203" s="132"/>
      <c r="BL203" s="133"/>
      <c r="BM203" s="133"/>
      <c r="BN203" s="133"/>
      <c r="BO203" s="133" t="s">
        <v>561</v>
      </c>
      <c r="BP203" s="133" t="s">
        <v>1867</v>
      </c>
      <c r="BQ203" s="134"/>
      <c r="BR203" s="181" t="s">
        <v>2665</v>
      </c>
      <c r="BS203" s="181" t="s">
        <v>122</v>
      </c>
      <c r="BT203" s="134"/>
      <c r="BU203" s="137">
        <f t="shared" si="6"/>
        <v>0.07</v>
      </c>
      <c r="BV203" s="138">
        <v>0.529</v>
      </c>
      <c r="BW203" s="137">
        <v>0.45899999999999996</v>
      </c>
      <c r="BX203" s="137"/>
      <c r="BY203" s="137">
        <f t="shared" si="7"/>
        <v>0.191</v>
      </c>
      <c r="BZ203" s="138">
        <v>0.574</v>
      </c>
      <c r="CA203" s="137">
        <v>0.38299999999999995</v>
      </c>
      <c r="CB203" s="137"/>
      <c r="CC203" s="137">
        <v>0.193</v>
      </c>
      <c r="CD203" s="138">
        <v>0.7290000000000001</v>
      </c>
      <c r="CE203" s="137">
        <v>0.057</v>
      </c>
      <c r="CF203" s="137">
        <v>0.016</v>
      </c>
      <c r="CG203" s="137">
        <v>0.022000000000000002</v>
      </c>
      <c r="CH203" s="137">
        <v>0.002</v>
      </c>
      <c r="CI203" s="139"/>
      <c r="CJ203" s="137">
        <v>0.231</v>
      </c>
      <c r="CK203" s="138">
        <v>0.696</v>
      </c>
      <c r="CL203" s="137">
        <v>0.057</v>
      </c>
      <c r="CM203" s="137">
        <v>0.01</v>
      </c>
      <c r="CN203" s="137">
        <v>0.005</v>
      </c>
      <c r="CO203" s="137">
        <v>0.0</v>
      </c>
      <c r="CP203" s="137"/>
      <c r="CQ203" s="137">
        <v>0.185</v>
      </c>
      <c r="CR203" s="137">
        <v>0.305</v>
      </c>
      <c r="CS203" s="137">
        <v>0.16</v>
      </c>
    </row>
    <row r="204">
      <c r="A204" s="112">
        <f t="shared" si="1"/>
        <v>202</v>
      </c>
      <c r="B204" s="112" t="s">
        <v>1786</v>
      </c>
      <c r="C204" s="112" t="s">
        <v>2790</v>
      </c>
      <c r="D204" s="113" t="s">
        <v>1960</v>
      </c>
      <c r="E204" s="163"/>
      <c r="F204" s="115">
        <f t="shared" si="2"/>
        <v>0</v>
      </c>
      <c r="G204" s="115">
        <f t="shared" si="3"/>
        <v>0.04761904762</v>
      </c>
      <c r="H204" s="116">
        <f t="shared" si="4"/>
        <v>0.03571428571</v>
      </c>
      <c r="I204" s="117" t="s">
        <v>594</v>
      </c>
      <c r="J204" s="117" t="s">
        <v>594</v>
      </c>
      <c r="K204" s="117" t="s">
        <v>594</v>
      </c>
      <c r="L204" s="117" t="s">
        <v>594</v>
      </c>
      <c r="M204" s="117" t="s">
        <v>594</v>
      </c>
      <c r="N204" s="117" t="s">
        <v>594</v>
      </c>
      <c r="O204" s="149" t="s">
        <v>1256</v>
      </c>
      <c r="P204" s="185" t="s">
        <v>561</v>
      </c>
      <c r="Q204" s="121" t="s">
        <v>561</v>
      </c>
      <c r="R204" s="121" t="s">
        <v>561</v>
      </c>
      <c r="S204" s="149" t="s">
        <v>561</v>
      </c>
      <c r="T204" s="119" t="s">
        <v>53</v>
      </c>
      <c r="U204" s="149" t="s">
        <v>561</v>
      </c>
      <c r="V204" s="149" t="s">
        <v>561</v>
      </c>
      <c r="W204" s="149" t="s">
        <v>561</v>
      </c>
      <c r="X204" s="149" t="s">
        <v>561</v>
      </c>
      <c r="Y204" s="149" t="s">
        <v>561</v>
      </c>
      <c r="Z204" s="149" t="s">
        <v>561</v>
      </c>
      <c r="AA204" s="149" t="s">
        <v>561</v>
      </c>
      <c r="AB204" s="149" t="s">
        <v>561</v>
      </c>
      <c r="AC204" s="125" t="s">
        <v>561</v>
      </c>
      <c r="AD204" s="149" t="s">
        <v>561</v>
      </c>
      <c r="AE204" s="128" t="s">
        <v>561</v>
      </c>
      <c r="AF204" s="117" t="s">
        <v>600</v>
      </c>
      <c r="AG204" s="117" t="s">
        <v>600</v>
      </c>
      <c r="AH204" s="117" t="s">
        <v>600</v>
      </c>
      <c r="AI204" s="117" t="s">
        <v>600</v>
      </c>
      <c r="AJ204" s="117" t="s">
        <v>600</v>
      </c>
      <c r="AK204" s="117" t="s">
        <v>600</v>
      </c>
      <c r="AL204" s="117" t="s">
        <v>600</v>
      </c>
      <c r="AM204" s="117" t="s">
        <v>600</v>
      </c>
      <c r="AN204" s="117" t="s">
        <v>600</v>
      </c>
      <c r="AO204" s="117" t="s">
        <v>600</v>
      </c>
      <c r="AP204" s="117" t="s">
        <v>600</v>
      </c>
      <c r="AQ204" s="117" t="s">
        <v>600</v>
      </c>
      <c r="AR204" s="117" t="s">
        <v>600</v>
      </c>
      <c r="AS204" s="117" t="s">
        <v>600</v>
      </c>
      <c r="AT204" s="117" t="s">
        <v>600</v>
      </c>
      <c r="AU204" s="117" t="s">
        <v>600</v>
      </c>
      <c r="AV204" s="117" t="s">
        <v>600</v>
      </c>
      <c r="AW204" s="117" t="s">
        <v>600</v>
      </c>
      <c r="AX204" s="117" t="s">
        <v>561</v>
      </c>
      <c r="AY204" s="117" t="s">
        <v>561</v>
      </c>
      <c r="AZ204" s="117" t="s">
        <v>561</v>
      </c>
      <c r="BA204" s="117" t="s">
        <v>561</v>
      </c>
      <c r="BB204" s="117" t="s">
        <v>561</v>
      </c>
      <c r="BC204" s="313" t="s">
        <v>600</v>
      </c>
      <c r="BD204" s="117" t="s">
        <v>600</v>
      </c>
      <c r="BE204" s="117" t="s">
        <v>600</v>
      </c>
      <c r="BF204" s="130"/>
      <c r="BG204" s="314" t="s">
        <v>600</v>
      </c>
      <c r="BH204" s="314" t="s">
        <v>600</v>
      </c>
      <c r="BI204" s="314" t="s">
        <v>600</v>
      </c>
      <c r="BJ204" s="314" t="s">
        <v>600</v>
      </c>
      <c r="BK204" s="314" t="s">
        <v>600</v>
      </c>
      <c r="BL204" s="314" t="s">
        <v>600</v>
      </c>
      <c r="BM204" s="314" t="s">
        <v>600</v>
      </c>
      <c r="BN204" s="314" t="s">
        <v>600</v>
      </c>
      <c r="BO204" s="314" t="s">
        <v>600</v>
      </c>
      <c r="BP204" s="133"/>
      <c r="BQ204" s="134"/>
      <c r="BR204" s="150"/>
      <c r="BS204" s="181"/>
      <c r="BT204" s="134"/>
      <c r="BU204" s="134"/>
      <c r="BV204" s="138"/>
      <c r="BW204" s="137"/>
      <c r="BX204" s="137"/>
      <c r="BY204" s="134"/>
      <c r="BZ204" s="138"/>
      <c r="CA204" s="137"/>
      <c r="CB204" s="137"/>
      <c r="CC204" s="137"/>
      <c r="CD204" s="138"/>
      <c r="CE204" s="137"/>
      <c r="CF204" s="137"/>
      <c r="CG204" s="137"/>
      <c r="CH204" s="137"/>
      <c r="CI204" s="139"/>
      <c r="CJ204" s="138"/>
      <c r="CK204" s="137"/>
      <c r="CL204" s="137"/>
      <c r="CM204" s="137"/>
      <c r="CN204" s="137"/>
      <c r="CO204" s="137"/>
      <c r="CP204" s="137"/>
      <c r="CQ204" s="137"/>
      <c r="CR204" s="137"/>
      <c r="CS204" s="137"/>
    </row>
    <row r="205">
      <c r="A205" s="112">
        <f t="shared" si="1"/>
        <v>203</v>
      </c>
      <c r="B205" s="112" t="s">
        <v>1369</v>
      </c>
      <c r="C205" s="112" t="s">
        <v>2791</v>
      </c>
      <c r="D205" s="113" t="s">
        <v>1367</v>
      </c>
      <c r="E205" s="163"/>
      <c r="F205" s="115">
        <f t="shared" si="2"/>
        <v>0</v>
      </c>
      <c r="G205" s="115">
        <f t="shared" si="3"/>
        <v>0.02941176471</v>
      </c>
      <c r="H205" s="116">
        <f t="shared" si="4"/>
        <v>0.02205882353</v>
      </c>
      <c r="I205" s="117" t="s">
        <v>594</v>
      </c>
      <c r="J205" s="117" t="s">
        <v>594</v>
      </c>
      <c r="K205" s="117" t="s">
        <v>594</v>
      </c>
      <c r="L205" s="117" t="s">
        <v>594</v>
      </c>
      <c r="M205" s="117" t="s">
        <v>594</v>
      </c>
      <c r="N205" s="117" t="s">
        <v>594</v>
      </c>
      <c r="O205" s="149" t="s">
        <v>1256</v>
      </c>
      <c r="P205" s="185" t="s">
        <v>561</v>
      </c>
      <c r="Q205" s="121" t="s">
        <v>561</v>
      </c>
      <c r="R205" s="121" t="s">
        <v>561</v>
      </c>
      <c r="S205" s="149" t="s">
        <v>561</v>
      </c>
      <c r="T205" s="149" t="s">
        <v>561</v>
      </c>
      <c r="U205" s="149" t="s">
        <v>561</v>
      </c>
      <c r="V205" s="149" t="s">
        <v>561</v>
      </c>
      <c r="W205" s="149" t="s">
        <v>561</v>
      </c>
      <c r="X205" s="149" t="s">
        <v>561</v>
      </c>
      <c r="Y205" s="149" t="s">
        <v>561</v>
      </c>
      <c r="Z205" s="149" t="s">
        <v>561</v>
      </c>
      <c r="AA205" s="149" t="s">
        <v>561</v>
      </c>
      <c r="AB205" s="149" t="s">
        <v>561</v>
      </c>
      <c r="AC205" s="125" t="s">
        <v>561</v>
      </c>
      <c r="AD205" s="149" t="s">
        <v>561</v>
      </c>
      <c r="AE205" s="128" t="s">
        <v>561</v>
      </c>
      <c r="AF205" s="125" t="s">
        <v>561</v>
      </c>
      <c r="AG205" s="121" t="s">
        <v>561</v>
      </c>
      <c r="AH205" s="128" t="s">
        <v>561</v>
      </c>
      <c r="AI205" s="128" t="s">
        <v>561</v>
      </c>
      <c r="AJ205" s="128" t="s">
        <v>561</v>
      </c>
      <c r="AK205" s="125" t="s">
        <v>561</v>
      </c>
      <c r="AL205" s="128" t="s">
        <v>561</v>
      </c>
      <c r="AM205" s="128" t="s">
        <v>561</v>
      </c>
      <c r="AN205" s="128" t="s">
        <v>561</v>
      </c>
      <c r="AO205" s="128" t="s">
        <v>561</v>
      </c>
      <c r="AP205" s="121" t="s">
        <v>561</v>
      </c>
      <c r="AQ205" s="128" t="s">
        <v>53</v>
      </c>
      <c r="AR205" s="128" t="s">
        <v>561</v>
      </c>
      <c r="AS205" s="117" t="s">
        <v>561</v>
      </c>
      <c r="AT205" s="117" t="s">
        <v>561</v>
      </c>
      <c r="AU205" s="117" t="s">
        <v>561</v>
      </c>
      <c r="AV205" s="117" t="s">
        <v>561</v>
      </c>
      <c r="AW205" s="117" t="s">
        <v>561</v>
      </c>
      <c r="AX205" s="117" t="s">
        <v>600</v>
      </c>
      <c r="AY205" s="117" t="s">
        <v>600</v>
      </c>
      <c r="AZ205" s="117" t="s">
        <v>600</v>
      </c>
      <c r="BA205" s="117" t="s">
        <v>600</v>
      </c>
      <c r="BB205" s="117" t="s">
        <v>600</v>
      </c>
      <c r="BC205" s="117" t="s">
        <v>600</v>
      </c>
      <c r="BD205" s="129" t="s">
        <v>821</v>
      </c>
      <c r="BE205" s="164" t="s">
        <v>1832</v>
      </c>
      <c r="BF205" s="130"/>
      <c r="BG205" s="130">
        <f t="shared" ref="BG205:BG210" si="17">SUM(BH205:BK205)</f>
        <v>0</v>
      </c>
      <c r="BH205" s="131"/>
      <c r="BI205" s="131"/>
      <c r="BJ205" s="132"/>
      <c r="BK205" s="132"/>
      <c r="BL205" s="133"/>
      <c r="BM205" s="133"/>
      <c r="BN205" s="133"/>
      <c r="BO205" s="133"/>
      <c r="BP205" s="133" t="s">
        <v>976</v>
      </c>
      <c r="BQ205" s="214"/>
      <c r="BR205" s="181" t="s">
        <v>2602</v>
      </c>
      <c r="BS205" s="134"/>
      <c r="BT205" s="134"/>
      <c r="BU205" s="137">
        <f t="shared" ref="BU205:BU210" si="18">BV205-BW205</f>
        <v>-0.042</v>
      </c>
      <c r="BV205" s="137">
        <v>0.466</v>
      </c>
      <c r="BW205" s="138">
        <v>0.508</v>
      </c>
      <c r="BX205" s="138"/>
      <c r="BY205" s="137">
        <f t="shared" ref="BY205:BY210" si="19">BZ205-CA205</f>
        <v>-0.076</v>
      </c>
      <c r="BZ205" s="137">
        <v>0.424</v>
      </c>
      <c r="CA205" s="138">
        <v>0.5</v>
      </c>
      <c r="CB205" s="138"/>
      <c r="CC205" s="138">
        <v>0.784</v>
      </c>
      <c r="CD205" s="137">
        <v>0.08900000000000001</v>
      </c>
      <c r="CE205" s="137">
        <v>0.025</v>
      </c>
      <c r="CF205" s="137">
        <v>0.051</v>
      </c>
      <c r="CG205" s="137">
        <v>0.039</v>
      </c>
      <c r="CH205" s="137">
        <v>0.012</v>
      </c>
      <c r="CI205" s="139"/>
      <c r="CJ205" s="138">
        <v>0.856</v>
      </c>
      <c r="CK205" s="137">
        <v>0.055</v>
      </c>
      <c r="CL205" s="137">
        <v>0.021</v>
      </c>
      <c r="CM205" s="137">
        <v>0.038</v>
      </c>
      <c r="CN205" s="137">
        <v>0.022000000000000002</v>
      </c>
      <c r="CO205" s="137">
        <v>0.003</v>
      </c>
      <c r="CP205" s="137"/>
      <c r="CQ205" s="137">
        <v>0.268</v>
      </c>
      <c r="CR205" s="137">
        <v>0.26899999999999996</v>
      </c>
      <c r="CS205" s="138">
        <v>0.626</v>
      </c>
    </row>
    <row r="206">
      <c r="A206" s="112">
        <f t="shared" si="1"/>
        <v>204</v>
      </c>
      <c r="B206" s="112" t="s">
        <v>476</v>
      </c>
      <c r="C206" s="112" t="s">
        <v>477</v>
      </c>
      <c r="D206" s="113" t="s">
        <v>472</v>
      </c>
      <c r="E206" s="163"/>
      <c r="F206" s="115">
        <f t="shared" si="2"/>
        <v>0</v>
      </c>
      <c r="G206" s="115">
        <f t="shared" si="3"/>
        <v>0.02857142857</v>
      </c>
      <c r="H206" s="116">
        <f t="shared" si="4"/>
        <v>0.02142857143</v>
      </c>
      <c r="I206" s="117" t="s">
        <v>594</v>
      </c>
      <c r="J206" s="117" t="s">
        <v>594</v>
      </c>
      <c r="K206" s="117" t="s">
        <v>594</v>
      </c>
      <c r="L206" s="117" t="s">
        <v>594</v>
      </c>
      <c r="M206" s="117" t="s">
        <v>594</v>
      </c>
      <c r="N206" s="117" t="s">
        <v>594</v>
      </c>
      <c r="O206" s="149" t="s">
        <v>1256</v>
      </c>
      <c r="P206" s="185" t="s">
        <v>561</v>
      </c>
      <c r="Q206" s="121" t="s">
        <v>801</v>
      </c>
      <c r="R206" s="121" t="s">
        <v>561</v>
      </c>
      <c r="S206" s="149" t="s">
        <v>561</v>
      </c>
      <c r="T206" s="119" t="s">
        <v>53</v>
      </c>
      <c r="U206" s="149" t="s">
        <v>561</v>
      </c>
      <c r="V206" s="149" t="s">
        <v>561</v>
      </c>
      <c r="W206" s="149" t="s">
        <v>561</v>
      </c>
      <c r="X206" s="149" t="s">
        <v>561</v>
      </c>
      <c r="Y206" s="149" t="s">
        <v>561</v>
      </c>
      <c r="Z206" s="149" t="s">
        <v>561</v>
      </c>
      <c r="AA206" s="149" t="s">
        <v>561</v>
      </c>
      <c r="AB206" s="149" t="s">
        <v>561</v>
      </c>
      <c r="AC206" s="125" t="s">
        <v>561</v>
      </c>
      <c r="AD206" s="123" t="s">
        <v>801</v>
      </c>
      <c r="AE206" s="125" t="s">
        <v>801</v>
      </c>
      <c r="AF206" s="125" t="s">
        <v>561</v>
      </c>
      <c r="AG206" s="121" t="s">
        <v>561</v>
      </c>
      <c r="AH206" s="128" t="s">
        <v>561</v>
      </c>
      <c r="AI206" s="128" t="s">
        <v>561</v>
      </c>
      <c r="AJ206" s="128" t="s">
        <v>561</v>
      </c>
      <c r="AK206" s="125" t="s">
        <v>561</v>
      </c>
      <c r="AL206" s="128" t="s">
        <v>561</v>
      </c>
      <c r="AM206" s="128" t="s">
        <v>561</v>
      </c>
      <c r="AN206" s="128" t="s">
        <v>561</v>
      </c>
      <c r="AO206" s="128" t="s">
        <v>561</v>
      </c>
      <c r="AP206" s="121" t="s">
        <v>561</v>
      </c>
      <c r="AQ206" s="128" t="s">
        <v>561</v>
      </c>
      <c r="AR206" s="128" t="s">
        <v>561</v>
      </c>
      <c r="AS206" s="117" t="s">
        <v>561</v>
      </c>
      <c r="AT206" s="117" t="s">
        <v>561</v>
      </c>
      <c r="AU206" s="117" t="s">
        <v>561</v>
      </c>
      <c r="AV206" s="117" t="s">
        <v>561</v>
      </c>
      <c r="AW206" s="117" t="s">
        <v>801</v>
      </c>
      <c r="AX206" s="117" t="s">
        <v>561</v>
      </c>
      <c r="AY206" s="117" t="s">
        <v>561</v>
      </c>
      <c r="AZ206" s="117" t="s">
        <v>561</v>
      </c>
      <c r="BA206" s="117" t="s">
        <v>561</v>
      </c>
      <c r="BB206" s="117" t="s">
        <v>561</v>
      </c>
      <c r="BC206" s="117" t="s">
        <v>600</v>
      </c>
      <c r="BD206" s="129" t="s">
        <v>821</v>
      </c>
      <c r="BE206" s="164" t="s">
        <v>1832</v>
      </c>
      <c r="BF206" s="130"/>
      <c r="BG206" s="130">
        <f t="shared" si="17"/>
        <v>95945</v>
      </c>
      <c r="BH206" s="131">
        <v>91930.0</v>
      </c>
      <c r="BI206" s="131"/>
      <c r="BJ206" s="132">
        <f>2015+2000</f>
        <v>4015</v>
      </c>
      <c r="BK206" s="132"/>
      <c r="BL206" s="133"/>
      <c r="BM206" s="133"/>
      <c r="BN206" s="133" t="s">
        <v>561</v>
      </c>
      <c r="BO206" s="133" t="s">
        <v>561</v>
      </c>
      <c r="BP206" s="133" t="s">
        <v>1311</v>
      </c>
      <c r="BQ206" s="134"/>
      <c r="BR206" s="135" t="s">
        <v>850</v>
      </c>
      <c r="BS206" s="181" t="s">
        <v>2030</v>
      </c>
      <c r="BT206" s="134"/>
      <c r="BU206" s="137">
        <f t="shared" si="18"/>
        <v>0.176</v>
      </c>
      <c r="BV206" s="138">
        <v>0.585</v>
      </c>
      <c r="BW206" s="137">
        <v>0.409</v>
      </c>
      <c r="BX206" s="137"/>
      <c r="BY206" s="137">
        <f t="shared" si="19"/>
        <v>0.202</v>
      </c>
      <c r="BZ206" s="138">
        <v>0.5870000000000001</v>
      </c>
      <c r="CA206" s="137">
        <v>0.385</v>
      </c>
      <c r="CB206" s="137"/>
      <c r="CC206" s="138">
        <v>0.5529999999999999</v>
      </c>
      <c r="CD206" s="137">
        <v>0.247</v>
      </c>
      <c r="CE206" s="137">
        <v>0.159</v>
      </c>
      <c r="CF206" s="137">
        <v>0.033</v>
      </c>
      <c r="CG206" s="137">
        <v>0.015</v>
      </c>
      <c r="CH206" s="137">
        <v>0.002</v>
      </c>
      <c r="CI206" s="139"/>
      <c r="CJ206" s="138">
        <v>0.639</v>
      </c>
      <c r="CK206" s="137">
        <v>0.185</v>
      </c>
      <c r="CL206" s="137">
        <v>0.14300000000000002</v>
      </c>
      <c r="CM206" s="137">
        <v>0.026000000000000002</v>
      </c>
      <c r="CN206" s="137">
        <v>0.005</v>
      </c>
      <c r="CO206" s="137">
        <v>0.001</v>
      </c>
      <c r="CP206" s="137"/>
      <c r="CQ206" s="137">
        <v>0.34700000000000003</v>
      </c>
      <c r="CR206" s="137">
        <v>0.434</v>
      </c>
      <c r="CS206" s="137">
        <v>0.361</v>
      </c>
    </row>
    <row r="207">
      <c r="A207" s="112">
        <f t="shared" si="1"/>
        <v>205</v>
      </c>
      <c r="B207" s="112" t="s">
        <v>911</v>
      </c>
      <c r="C207" s="112" t="s">
        <v>607</v>
      </c>
      <c r="D207" s="113" t="s">
        <v>1070</v>
      </c>
      <c r="E207" s="163"/>
      <c r="F207" s="115">
        <f t="shared" si="2"/>
        <v>0</v>
      </c>
      <c r="G207" s="115">
        <f t="shared" si="3"/>
        <v>0</v>
      </c>
      <c r="H207" s="116">
        <f t="shared" si="4"/>
        <v>0</v>
      </c>
      <c r="I207" s="117" t="s">
        <v>594</v>
      </c>
      <c r="J207" s="117" t="s">
        <v>594</v>
      </c>
      <c r="K207" s="117" t="s">
        <v>594</v>
      </c>
      <c r="L207" s="117" t="s">
        <v>594</v>
      </c>
      <c r="M207" s="117" t="s">
        <v>594</v>
      </c>
      <c r="N207" s="117" t="s">
        <v>594</v>
      </c>
      <c r="O207" s="149" t="s">
        <v>1256</v>
      </c>
      <c r="P207" s="185" t="s">
        <v>561</v>
      </c>
      <c r="Q207" s="121" t="s">
        <v>561</v>
      </c>
      <c r="R207" s="121" t="s">
        <v>561</v>
      </c>
      <c r="S207" s="149" t="s">
        <v>561</v>
      </c>
      <c r="T207" s="149" t="s">
        <v>561</v>
      </c>
      <c r="U207" s="149" t="s">
        <v>561</v>
      </c>
      <c r="V207" s="149" t="s">
        <v>561</v>
      </c>
      <c r="W207" s="149" t="s">
        <v>561</v>
      </c>
      <c r="X207" s="149" t="s">
        <v>561</v>
      </c>
      <c r="Y207" s="149" t="s">
        <v>561</v>
      </c>
      <c r="Z207" s="149" t="s">
        <v>561</v>
      </c>
      <c r="AA207" s="149" t="s">
        <v>561</v>
      </c>
      <c r="AB207" s="149" t="s">
        <v>561</v>
      </c>
      <c r="AC207" s="125" t="s">
        <v>561</v>
      </c>
      <c r="AD207" s="149" t="s">
        <v>561</v>
      </c>
      <c r="AE207" s="128" t="s">
        <v>561</v>
      </c>
      <c r="AF207" s="125" t="s">
        <v>561</v>
      </c>
      <c r="AG207" s="121" t="s">
        <v>561</v>
      </c>
      <c r="AH207" s="128" t="s">
        <v>561</v>
      </c>
      <c r="AI207" s="128" t="s">
        <v>561</v>
      </c>
      <c r="AJ207" s="128" t="s">
        <v>561</v>
      </c>
      <c r="AK207" s="125" t="s">
        <v>561</v>
      </c>
      <c r="AL207" s="128" t="s">
        <v>561</v>
      </c>
      <c r="AM207" s="128" t="s">
        <v>561</v>
      </c>
      <c r="AN207" s="128" t="s">
        <v>561</v>
      </c>
      <c r="AO207" s="128" t="s">
        <v>561</v>
      </c>
      <c r="AP207" s="121" t="s">
        <v>561</v>
      </c>
      <c r="AQ207" s="128" t="s">
        <v>561</v>
      </c>
      <c r="AR207" s="128" t="s">
        <v>561</v>
      </c>
      <c r="AS207" s="117" t="s">
        <v>561</v>
      </c>
      <c r="AT207" s="117" t="s">
        <v>561</v>
      </c>
      <c r="AU207" s="117" t="s">
        <v>801</v>
      </c>
      <c r="AV207" s="117" t="s">
        <v>561</v>
      </c>
      <c r="AW207" s="117" t="s">
        <v>561</v>
      </c>
      <c r="AX207" s="117" t="s">
        <v>600</v>
      </c>
      <c r="AY207" s="117" t="s">
        <v>600</v>
      </c>
      <c r="AZ207" s="117" t="s">
        <v>600</v>
      </c>
      <c r="BA207" s="117" t="s">
        <v>600</v>
      </c>
      <c r="BB207" s="117" t="s">
        <v>600</v>
      </c>
      <c r="BC207" s="117" t="s">
        <v>600</v>
      </c>
      <c r="BD207" s="129" t="s">
        <v>821</v>
      </c>
      <c r="BE207" s="164" t="s">
        <v>1832</v>
      </c>
      <c r="BF207" s="130"/>
      <c r="BG207" s="130">
        <f t="shared" si="17"/>
        <v>2736225</v>
      </c>
      <c r="BH207" s="131">
        <v>205935.0</v>
      </c>
      <c r="BI207" s="131">
        <v>2438050.0</v>
      </c>
      <c r="BJ207" s="132">
        <f>2000</f>
        <v>2000</v>
      </c>
      <c r="BK207" s="132">
        <v>90240.0</v>
      </c>
      <c r="BL207" s="133"/>
      <c r="BM207" s="133"/>
      <c r="BN207" s="133" t="s">
        <v>561</v>
      </c>
      <c r="BO207" s="133" t="s">
        <v>561</v>
      </c>
      <c r="BP207" s="133" t="s">
        <v>976</v>
      </c>
      <c r="BQ207" s="134"/>
      <c r="BR207" s="150" t="s">
        <v>1569</v>
      </c>
      <c r="BS207" s="181" t="s">
        <v>2030</v>
      </c>
      <c r="BT207" s="134"/>
      <c r="BU207" s="137">
        <f t="shared" si="18"/>
        <v>0.073</v>
      </c>
      <c r="BV207" s="138">
        <v>0.532</v>
      </c>
      <c r="BW207" s="137">
        <v>0.45899999999999996</v>
      </c>
      <c r="BX207" s="137"/>
      <c r="BY207" s="137">
        <f t="shared" si="19"/>
        <v>0.098</v>
      </c>
      <c r="BZ207" s="138">
        <v>0.536</v>
      </c>
      <c r="CA207" s="137">
        <v>0.43799999999999994</v>
      </c>
      <c r="CB207" s="137"/>
      <c r="CC207" s="138">
        <v>0.501</v>
      </c>
      <c r="CD207" s="137">
        <v>0.059000000000000004</v>
      </c>
      <c r="CE207" s="137">
        <v>0.41200000000000003</v>
      </c>
      <c r="CF207" s="137">
        <v>0.013000000000000001</v>
      </c>
      <c r="CG207" s="137">
        <v>0.022000000000000002</v>
      </c>
      <c r="CH207" s="137">
        <v>0.001</v>
      </c>
      <c r="CI207" s="139"/>
      <c r="CJ207" s="138">
        <v>0.525</v>
      </c>
      <c r="CK207" s="137">
        <v>0.027000000000000003</v>
      </c>
      <c r="CL207" s="137">
        <v>0.428</v>
      </c>
      <c r="CM207" s="137">
        <v>0.008</v>
      </c>
      <c r="CN207" s="137">
        <v>0.012</v>
      </c>
      <c r="CO207" s="137">
        <v>0.0</v>
      </c>
      <c r="CP207" s="137"/>
      <c r="CQ207" s="137">
        <v>0.20800000000000002</v>
      </c>
      <c r="CR207" s="137">
        <v>0.26899999999999996</v>
      </c>
      <c r="CS207" s="137">
        <v>0.384</v>
      </c>
    </row>
    <row r="208">
      <c r="A208" s="112">
        <f t="shared" si="1"/>
        <v>205</v>
      </c>
      <c r="B208" s="112" t="s">
        <v>88</v>
      </c>
      <c r="C208" s="112" t="s">
        <v>2507</v>
      </c>
      <c r="D208" s="113" t="s">
        <v>2506</v>
      </c>
      <c r="E208" s="163"/>
      <c r="F208" s="115">
        <f t="shared" si="2"/>
        <v>0</v>
      </c>
      <c r="G208" s="115">
        <f t="shared" si="3"/>
        <v>0</v>
      </c>
      <c r="H208" s="116">
        <f t="shared" si="4"/>
        <v>0</v>
      </c>
      <c r="I208" s="117" t="s">
        <v>594</v>
      </c>
      <c r="J208" s="117" t="s">
        <v>594</v>
      </c>
      <c r="K208" s="117" t="s">
        <v>594</v>
      </c>
      <c r="L208" s="117" t="s">
        <v>594</v>
      </c>
      <c r="M208" s="117" t="s">
        <v>594</v>
      </c>
      <c r="N208" s="117" t="s">
        <v>594</v>
      </c>
      <c r="O208" s="149" t="s">
        <v>1256</v>
      </c>
      <c r="P208" s="185" t="s">
        <v>561</v>
      </c>
      <c r="Q208" s="121" t="s">
        <v>561</v>
      </c>
      <c r="R208" s="121" t="s">
        <v>561</v>
      </c>
      <c r="S208" s="149" t="s">
        <v>561</v>
      </c>
      <c r="T208" s="149" t="s">
        <v>561</v>
      </c>
      <c r="U208" s="149" t="s">
        <v>561</v>
      </c>
      <c r="V208" s="149" t="s">
        <v>561</v>
      </c>
      <c r="W208" s="149" t="s">
        <v>561</v>
      </c>
      <c r="X208" s="149" t="s">
        <v>561</v>
      </c>
      <c r="Y208" s="149" t="s">
        <v>561</v>
      </c>
      <c r="Z208" s="149" t="s">
        <v>561</v>
      </c>
      <c r="AA208" s="149" t="s">
        <v>561</v>
      </c>
      <c r="AB208" s="149" t="s">
        <v>561</v>
      </c>
      <c r="AC208" s="125" t="s">
        <v>561</v>
      </c>
      <c r="AD208" s="149" t="s">
        <v>561</v>
      </c>
      <c r="AE208" s="128" t="s">
        <v>561</v>
      </c>
      <c r="AF208" s="125" t="s">
        <v>561</v>
      </c>
      <c r="AG208" s="121" t="s">
        <v>561</v>
      </c>
      <c r="AH208" s="128" t="s">
        <v>561</v>
      </c>
      <c r="AI208" s="128" t="s">
        <v>561</v>
      </c>
      <c r="AJ208" s="128" t="s">
        <v>561</v>
      </c>
      <c r="AK208" s="125" t="s">
        <v>561</v>
      </c>
      <c r="AL208" s="128" t="s">
        <v>561</v>
      </c>
      <c r="AM208" s="128" t="s">
        <v>561</v>
      </c>
      <c r="AN208" s="128" t="s">
        <v>561</v>
      </c>
      <c r="AO208" s="128" t="s">
        <v>561</v>
      </c>
      <c r="AP208" s="121" t="s">
        <v>561</v>
      </c>
      <c r="AQ208" s="128" t="s">
        <v>561</v>
      </c>
      <c r="AR208" s="128" t="s">
        <v>561</v>
      </c>
      <c r="AS208" s="117" t="s">
        <v>561</v>
      </c>
      <c r="AT208" s="117" t="s">
        <v>561</v>
      </c>
      <c r="AU208" s="117" t="s">
        <v>561</v>
      </c>
      <c r="AV208" s="117" t="s">
        <v>561</v>
      </c>
      <c r="AW208" s="117" t="s">
        <v>561</v>
      </c>
      <c r="AX208" s="117" t="s">
        <v>561</v>
      </c>
      <c r="AY208" s="117" t="s">
        <v>561</v>
      </c>
      <c r="AZ208" s="117" t="s">
        <v>561</v>
      </c>
      <c r="BA208" s="117" t="s">
        <v>561</v>
      </c>
      <c r="BB208" s="117" t="s">
        <v>600</v>
      </c>
      <c r="BC208" s="117" t="s">
        <v>600</v>
      </c>
      <c r="BD208" s="164" t="s">
        <v>1832</v>
      </c>
      <c r="BE208" s="164" t="s">
        <v>1832</v>
      </c>
      <c r="BF208" s="130"/>
      <c r="BG208" s="130">
        <f t="shared" si="17"/>
        <v>135010</v>
      </c>
      <c r="BH208" s="131">
        <v>130010.0</v>
      </c>
      <c r="BI208" s="131"/>
      <c r="BJ208" s="132">
        <f>2000+3000</f>
        <v>5000</v>
      </c>
      <c r="BK208" s="132"/>
      <c r="BL208" s="133"/>
      <c r="BM208" s="133"/>
      <c r="BN208" s="133" t="s">
        <v>561</v>
      </c>
      <c r="BO208" s="133" t="s">
        <v>561</v>
      </c>
      <c r="BP208" s="133" t="s">
        <v>845</v>
      </c>
      <c r="BQ208" s="134"/>
      <c r="BR208" s="181" t="s">
        <v>2602</v>
      </c>
      <c r="BS208" s="181" t="s">
        <v>2030</v>
      </c>
      <c r="BT208" s="134"/>
      <c r="BU208" s="137">
        <f t="shared" si="18"/>
        <v>-0.061</v>
      </c>
      <c r="BV208" s="141">
        <v>0.455</v>
      </c>
      <c r="BW208" s="142">
        <v>0.516</v>
      </c>
      <c r="BX208" s="142"/>
      <c r="BY208" s="137">
        <f t="shared" si="19"/>
        <v>-0.09</v>
      </c>
      <c r="BZ208" s="141">
        <v>0.41600000000000004</v>
      </c>
      <c r="CA208" s="142">
        <v>0.506</v>
      </c>
      <c r="CB208" s="142"/>
      <c r="CC208" s="142">
        <v>0.9229999999999999</v>
      </c>
      <c r="CD208" s="141">
        <v>0.013999999999999999</v>
      </c>
      <c r="CE208" s="141">
        <v>0.016</v>
      </c>
      <c r="CF208" s="141">
        <v>0.012</v>
      </c>
      <c r="CG208" s="141">
        <v>0.027000000000000003</v>
      </c>
      <c r="CH208" s="141">
        <v>0.001</v>
      </c>
      <c r="CI208" s="139"/>
      <c r="CJ208" s="138">
        <v>0.953</v>
      </c>
      <c r="CK208" s="137">
        <v>0.012</v>
      </c>
      <c r="CL208" s="137">
        <v>0.008</v>
      </c>
      <c r="CM208" s="137">
        <v>0.006999999999999999</v>
      </c>
      <c r="CN208" s="137">
        <v>0.019</v>
      </c>
      <c r="CO208" s="137">
        <v>0.0</v>
      </c>
      <c r="CP208" s="141"/>
      <c r="CQ208" s="141">
        <v>0.258</v>
      </c>
      <c r="CR208" s="141">
        <v>0.257</v>
      </c>
      <c r="CS208" s="142">
        <v>0.7090000000000001</v>
      </c>
    </row>
    <row r="209">
      <c r="A209" s="112">
        <f t="shared" si="1"/>
        <v>205</v>
      </c>
      <c r="B209" s="112" t="s">
        <v>922</v>
      </c>
      <c r="C209" s="112" t="s">
        <v>923</v>
      </c>
      <c r="D209" s="113" t="s">
        <v>919</v>
      </c>
      <c r="E209" s="190" t="s">
        <v>2329</v>
      </c>
      <c r="F209" s="115">
        <f t="shared" si="2"/>
        <v>0</v>
      </c>
      <c r="G209" s="115">
        <f t="shared" si="3"/>
        <v>0</v>
      </c>
      <c r="H209" s="116">
        <f t="shared" si="4"/>
        <v>0</v>
      </c>
      <c r="I209" s="117" t="s">
        <v>594</v>
      </c>
      <c r="J209" s="117" t="s">
        <v>594</v>
      </c>
      <c r="K209" s="117" t="s">
        <v>594</v>
      </c>
      <c r="L209" s="117" t="s">
        <v>594</v>
      </c>
      <c r="M209" s="117" t="s">
        <v>594</v>
      </c>
      <c r="N209" s="117" t="s">
        <v>594</v>
      </c>
      <c r="O209" s="149" t="s">
        <v>1256</v>
      </c>
      <c r="P209" s="185" t="s">
        <v>561</v>
      </c>
      <c r="Q209" s="121" t="s">
        <v>801</v>
      </c>
      <c r="R209" s="121" t="s">
        <v>801</v>
      </c>
      <c r="S209" s="149" t="s">
        <v>561</v>
      </c>
      <c r="T209" s="149" t="s">
        <v>561</v>
      </c>
      <c r="U209" s="149" t="s">
        <v>561</v>
      </c>
      <c r="V209" s="149" t="s">
        <v>561</v>
      </c>
      <c r="W209" s="149" t="s">
        <v>561</v>
      </c>
      <c r="X209" s="149" t="s">
        <v>561</v>
      </c>
      <c r="Y209" s="149" t="s">
        <v>561</v>
      </c>
      <c r="Z209" s="149" t="s">
        <v>561</v>
      </c>
      <c r="AA209" s="149" t="s">
        <v>561</v>
      </c>
      <c r="AB209" s="149" t="s">
        <v>561</v>
      </c>
      <c r="AC209" s="125" t="s">
        <v>561</v>
      </c>
      <c r="AD209" s="149" t="s">
        <v>561</v>
      </c>
      <c r="AE209" s="128" t="s">
        <v>561</v>
      </c>
      <c r="AF209" s="125" t="s">
        <v>561</v>
      </c>
      <c r="AG209" s="121" t="s">
        <v>561</v>
      </c>
      <c r="AH209" s="128" t="s">
        <v>561</v>
      </c>
      <c r="AI209" s="128" t="s">
        <v>561</v>
      </c>
      <c r="AJ209" s="128" t="s">
        <v>561</v>
      </c>
      <c r="AK209" s="125" t="s">
        <v>561</v>
      </c>
      <c r="AL209" s="128" t="s">
        <v>561</v>
      </c>
      <c r="AM209" s="128" t="s">
        <v>561</v>
      </c>
      <c r="AN209" s="128" t="s">
        <v>801</v>
      </c>
      <c r="AO209" s="128" t="s">
        <v>561</v>
      </c>
      <c r="AP209" s="121" t="s">
        <v>561</v>
      </c>
      <c r="AQ209" s="128" t="s">
        <v>561</v>
      </c>
      <c r="AR209" s="128" t="s">
        <v>801</v>
      </c>
      <c r="AS209" s="117" t="s">
        <v>561</v>
      </c>
      <c r="AT209" s="117" t="s">
        <v>561</v>
      </c>
      <c r="AU209" s="117" t="s">
        <v>561</v>
      </c>
      <c r="AV209" s="117" t="s">
        <v>801</v>
      </c>
      <c r="AW209" s="117" t="s">
        <v>561</v>
      </c>
      <c r="AX209" s="117" t="s">
        <v>561</v>
      </c>
      <c r="AY209" s="117" t="s">
        <v>561</v>
      </c>
      <c r="AZ209" s="117" t="s">
        <v>561</v>
      </c>
      <c r="BA209" s="117" t="s">
        <v>561</v>
      </c>
      <c r="BB209" s="117" t="s">
        <v>561</v>
      </c>
      <c r="BC209" s="117" t="s">
        <v>600</v>
      </c>
      <c r="BD209" s="164" t="s">
        <v>1832</v>
      </c>
      <c r="BE209" s="164" t="s">
        <v>1832</v>
      </c>
      <c r="BF209" s="130"/>
      <c r="BG209" s="130">
        <f t="shared" si="17"/>
        <v>411180</v>
      </c>
      <c r="BH209" s="131">
        <v>407180.0</v>
      </c>
      <c r="BI209" s="131"/>
      <c r="BJ209" s="132">
        <f>2000+2000</f>
        <v>4000</v>
      </c>
      <c r="BK209" s="132"/>
      <c r="BL209" s="133"/>
      <c r="BM209" s="133"/>
      <c r="BN209" s="133" t="s">
        <v>561</v>
      </c>
      <c r="BO209" s="133" t="s">
        <v>561</v>
      </c>
      <c r="BP209" s="133" t="s">
        <v>1207</v>
      </c>
      <c r="BQ209" s="134"/>
      <c r="BR209" s="181" t="s">
        <v>2665</v>
      </c>
      <c r="BS209" s="181" t="s">
        <v>2030</v>
      </c>
      <c r="BT209" s="134"/>
      <c r="BU209" s="137">
        <f t="shared" si="18"/>
        <v>0.124</v>
      </c>
      <c r="BV209" s="138">
        <v>0.556</v>
      </c>
      <c r="BW209" s="137">
        <v>0.43200000000000005</v>
      </c>
      <c r="BX209" s="137"/>
      <c r="BY209" s="137">
        <f t="shared" si="19"/>
        <v>0.077</v>
      </c>
      <c r="BZ209" s="138">
        <v>0.522</v>
      </c>
      <c r="CA209" s="137">
        <v>0.445</v>
      </c>
      <c r="CB209" s="137"/>
      <c r="CC209" s="138">
        <v>0.612</v>
      </c>
      <c r="CD209" s="137">
        <v>0.149</v>
      </c>
      <c r="CE209" s="137">
        <v>0.07</v>
      </c>
      <c r="CF209" s="137">
        <v>0.16699999999999998</v>
      </c>
      <c r="CG209" s="137">
        <v>0.011000000000000001</v>
      </c>
      <c r="CH209" s="137">
        <v>0.001</v>
      </c>
      <c r="CI209" s="139"/>
      <c r="CJ209" s="138">
        <v>0.6829999999999999</v>
      </c>
      <c r="CK209" s="137">
        <v>0.12400000000000001</v>
      </c>
      <c r="CL209" s="137">
        <v>0.061</v>
      </c>
      <c r="CM209" s="137">
        <v>0.126</v>
      </c>
      <c r="CN209" s="137">
        <v>0.004</v>
      </c>
      <c r="CO209" s="137">
        <v>0.0</v>
      </c>
      <c r="CP209" s="137"/>
      <c r="CQ209" s="138">
        <v>0.523</v>
      </c>
      <c r="CR209" s="138">
        <v>0.528</v>
      </c>
      <c r="CS209" s="137">
        <v>0.32299999999999995</v>
      </c>
    </row>
    <row r="210">
      <c r="A210" s="112">
        <f t="shared" si="1"/>
        <v>205</v>
      </c>
      <c r="B210" s="112" t="s">
        <v>88</v>
      </c>
      <c r="C210" s="112" t="s">
        <v>484</v>
      </c>
      <c r="D210" s="113" t="s">
        <v>479</v>
      </c>
      <c r="E210" s="190" t="s">
        <v>2329</v>
      </c>
      <c r="F210" s="115">
        <f t="shared" si="2"/>
        <v>0</v>
      </c>
      <c r="G210" s="115">
        <f t="shared" si="3"/>
        <v>0</v>
      </c>
      <c r="H210" s="116">
        <f t="shared" si="4"/>
        <v>0</v>
      </c>
      <c r="I210" s="117" t="s">
        <v>594</v>
      </c>
      <c r="J210" s="117" t="s">
        <v>594</v>
      </c>
      <c r="K210" s="117" t="s">
        <v>594</v>
      </c>
      <c r="L210" s="117" t="s">
        <v>594</v>
      </c>
      <c r="M210" s="117" t="s">
        <v>594</v>
      </c>
      <c r="N210" s="117" t="s">
        <v>594</v>
      </c>
      <c r="O210" s="149" t="s">
        <v>1256</v>
      </c>
      <c r="P210" s="185" t="s">
        <v>561</v>
      </c>
      <c r="Q210" s="121" t="s">
        <v>561</v>
      </c>
      <c r="R210" s="121" t="s">
        <v>561</v>
      </c>
      <c r="S210" s="149" t="s">
        <v>561</v>
      </c>
      <c r="T210" s="149" t="s">
        <v>561</v>
      </c>
      <c r="U210" s="149" t="s">
        <v>561</v>
      </c>
      <c r="V210" s="149" t="s">
        <v>561</v>
      </c>
      <c r="W210" s="149" t="s">
        <v>561</v>
      </c>
      <c r="X210" s="149" t="s">
        <v>561</v>
      </c>
      <c r="Y210" s="149" t="s">
        <v>561</v>
      </c>
      <c r="Z210" s="149" t="s">
        <v>561</v>
      </c>
      <c r="AA210" s="149" t="s">
        <v>561</v>
      </c>
      <c r="AB210" s="149" t="s">
        <v>561</v>
      </c>
      <c r="AC210" s="125" t="s">
        <v>561</v>
      </c>
      <c r="AD210" s="149" t="s">
        <v>561</v>
      </c>
      <c r="AE210" s="128" t="s">
        <v>561</v>
      </c>
      <c r="AF210" s="125" t="s">
        <v>561</v>
      </c>
      <c r="AG210" s="121" t="s">
        <v>561</v>
      </c>
      <c r="AH210" s="128" t="s">
        <v>561</v>
      </c>
      <c r="AI210" s="128" t="s">
        <v>561</v>
      </c>
      <c r="AJ210" s="128" t="s">
        <v>561</v>
      </c>
      <c r="AK210" s="125" t="s">
        <v>561</v>
      </c>
      <c r="AL210" s="128" t="s">
        <v>561</v>
      </c>
      <c r="AM210" s="128" t="s">
        <v>561</v>
      </c>
      <c r="AN210" s="128" t="s">
        <v>561</v>
      </c>
      <c r="AO210" s="128" t="s">
        <v>561</v>
      </c>
      <c r="AP210" s="121" t="s">
        <v>561</v>
      </c>
      <c r="AQ210" s="128" t="s">
        <v>561</v>
      </c>
      <c r="AR210" s="128" t="s">
        <v>561</v>
      </c>
      <c r="AS210" s="117" t="s">
        <v>561</v>
      </c>
      <c r="AT210" s="117" t="s">
        <v>801</v>
      </c>
      <c r="AU210" s="117" t="s">
        <v>561</v>
      </c>
      <c r="AV210" s="117" t="s">
        <v>561</v>
      </c>
      <c r="AW210" s="117" t="s">
        <v>561</v>
      </c>
      <c r="AX210" s="117" t="s">
        <v>600</v>
      </c>
      <c r="AY210" s="117" t="s">
        <v>600</v>
      </c>
      <c r="AZ210" s="117" t="s">
        <v>600</v>
      </c>
      <c r="BA210" s="117" t="s">
        <v>600</v>
      </c>
      <c r="BB210" s="117" t="s">
        <v>600</v>
      </c>
      <c r="BC210" s="117" t="s">
        <v>600</v>
      </c>
      <c r="BD210" s="129" t="s">
        <v>821</v>
      </c>
      <c r="BE210" s="164" t="s">
        <v>1832</v>
      </c>
      <c r="BF210" s="130"/>
      <c r="BG210" s="130">
        <f t="shared" si="17"/>
        <v>66450</v>
      </c>
      <c r="BH210" s="131">
        <v>64450.0</v>
      </c>
      <c r="BI210" s="131"/>
      <c r="BJ210" s="132">
        <f>2000</f>
        <v>2000</v>
      </c>
      <c r="BK210" s="132"/>
      <c r="BL210" s="133"/>
      <c r="BM210" s="133"/>
      <c r="BN210" s="133" t="s">
        <v>561</v>
      </c>
      <c r="BO210" s="133"/>
      <c r="BP210" s="133" t="s">
        <v>976</v>
      </c>
      <c r="BQ210" s="134"/>
      <c r="BR210" s="150" t="s">
        <v>1569</v>
      </c>
      <c r="BS210" s="150" t="s">
        <v>135</v>
      </c>
      <c r="BT210" s="134"/>
      <c r="BU210" s="137">
        <f t="shared" si="18"/>
        <v>0.132</v>
      </c>
      <c r="BV210" s="138">
        <v>0.563</v>
      </c>
      <c r="BW210" s="137">
        <v>0.431</v>
      </c>
      <c r="BX210" s="137"/>
      <c r="BY210" s="137">
        <f t="shared" si="19"/>
        <v>0.142</v>
      </c>
      <c r="BZ210" s="138">
        <v>0.557</v>
      </c>
      <c r="CA210" s="137">
        <v>0.415</v>
      </c>
      <c r="CB210" s="137"/>
      <c r="CC210" s="138">
        <v>0.584</v>
      </c>
      <c r="CD210" s="137">
        <v>0.205</v>
      </c>
      <c r="CE210" s="137">
        <v>0.132</v>
      </c>
      <c r="CF210" s="137">
        <v>0.044000000000000004</v>
      </c>
      <c r="CG210" s="137">
        <v>0.011000000000000001</v>
      </c>
      <c r="CH210" s="137">
        <v>0.002</v>
      </c>
      <c r="CI210" s="139"/>
      <c r="CJ210" s="138">
        <v>0.67</v>
      </c>
      <c r="CK210" s="137">
        <v>0.17500000000000002</v>
      </c>
      <c r="CL210" s="137">
        <v>0.11699999999999999</v>
      </c>
      <c r="CM210" s="137">
        <v>0.032</v>
      </c>
      <c r="CN210" s="137">
        <v>0.004</v>
      </c>
      <c r="CO210" s="137">
        <v>0.0</v>
      </c>
      <c r="CP210" s="137"/>
      <c r="CQ210" s="137">
        <v>0.424</v>
      </c>
      <c r="CR210" s="137">
        <v>0.461</v>
      </c>
      <c r="CS210" s="137">
        <v>0.361</v>
      </c>
    </row>
    <row r="211">
      <c r="A211" s="112" t="s">
        <v>2521</v>
      </c>
      <c r="B211" s="112" t="s">
        <v>1056</v>
      </c>
      <c r="C211" s="112" t="s">
        <v>2628</v>
      </c>
      <c r="D211" s="113" t="s">
        <v>1066</v>
      </c>
      <c r="E211" s="251"/>
      <c r="F211" s="328" t="s">
        <v>2521</v>
      </c>
      <c r="G211" s="328" t="s">
        <v>2521</v>
      </c>
      <c r="H211" s="329" t="s">
        <v>2521</v>
      </c>
      <c r="I211" s="117" t="s">
        <v>600</v>
      </c>
      <c r="J211" s="117" t="s">
        <v>600</v>
      </c>
      <c r="K211" s="117" t="s">
        <v>600</v>
      </c>
      <c r="L211" s="117" t="s">
        <v>600</v>
      </c>
      <c r="M211" s="117" t="s">
        <v>600</v>
      </c>
      <c r="N211" s="117" t="s">
        <v>600</v>
      </c>
      <c r="O211" s="117" t="s">
        <v>600</v>
      </c>
      <c r="P211" s="185" t="s">
        <v>561</v>
      </c>
      <c r="Q211" s="121" t="s">
        <v>53</v>
      </c>
      <c r="R211" s="121" t="s">
        <v>561</v>
      </c>
      <c r="S211" s="119" t="s">
        <v>53</v>
      </c>
      <c r="T211" s="119" t="s">
        <v>53</v>
      </c>
      <c r="U211" s="149" t="s">
        <v>561</v>
      </c>
      <c r="V211" s="119" t="s">
        <v>53</v>
      </c>
      <c r="W211" s="119" t="s">
        <v>53</v>
      </c>
      <c r="X211" s="117" t="s">
        <v>600</v>
      </c>
      <c r="Y211" s="117" t="s">
        <v>600</v>
      </c>
      <c r="Z211" s="117" t="s">
        <v>600</v>
      </c>
      <c r="AA211" s="117" t="s">
        <v>600</v>
      </c>
      <c r="AB211" s="117" t="s">
        <v>600</v>
      </c>
      <c r="AC211" s="117" t="s">
        <v>600</v>
      </c>
      <c r="AD211" s="117" t="s">
        <v>600</v>
      </c>
      <c r="AE211" s="117" t="s">
        <v>600</v>
      </c>
      <c r="AF211" s="117" t="s">
        <v>600</v>
      </c>
      <c r="AG211" s="117" t="s">
        <v>600</v>
      </c>
      <c r="AH211" s="117" t="s">
        <v>600</v>
      </c>
      <c r="AI211" s="117" t="s">
        <v>600</v>
      </c>
      <c r="AJ211" s="117" t="s">
        <v>600</v>
      </c>
      <c r="AK211" s="117" t="s">
        <v>600</v>
      </c>
      <c r="AL211" s="117" t="s">
        <v>600</v>
      </c>
      <c r="AM211" s="117" t="s">
        <v>600</v>
      </c>
      <c r="AN211" s="117" t="s">
        <v>600</v>
      </c>
      <c r="AO211" s="117" t="s">
        <v>600</v>
      </c>
      <c r="AP211" s="117" t="s">
        <v>600</v>
      </c>
      <c r="AQ211" s="117" t="s">
        <v>600</v>
      </c>
      <c r="AR211" s="117" t="s">
        <v>600</v>
      </c>
      <c r="AS211" s="117" t="s">
        <v>600</v>
      </c>
      <c r="AT211" s="117" t="s">
        <v>600</v>
      </c>
      <c r="AU211" s="117" t="s">
        <v>600</v>
      </c>
      <c r="AV211" s="117" t="s">
        <v>600</v>
      </c>
      <c r="AW211" s="117" t="s">
        <v>600</v>
      </c>
      <c r="AX211" s="117" t="s">
        <v>600</v>
      </c>
      <c r="AY211" s="117" t="s">
        <v>600</v>
      </c>
      <c r="AZ211" s="117" t="s">
        <v>600</v>
      </c>
      <c r="BA211" s="117" t="s">
        <v>600</v>
      </c>
      <c r="BB211" s="117" t="s">
        <v>600</v>
      </c>
      <c r="BC211" s="117" t="s">
        <v>600</v>
      </c>
      <c r="BD211" s="117" t="s">
        <v>600</v>
      </c>
      <c r="BE211" s="117" t="s">
        <v>600</v>
      </c>
      <c r="BF211" s="130"/>
      <c r="BG211" s="314" t="s">
        <v>600</v>
      </c>
      <c r="BH211" s="314" t="s">
        <v>600</v>
      </c>
      <c r="BI211" s="314" t="s">
        <v>600</v>
      </c>
      <c r="BJ211" s="314" t="s">
        <v>600</v>
      </c>
      <c r="BK211" s="314" t="s">
        <v>600</v>
      </c>
      <c r="BL211" s="314" t="s">
        <v>600</v>
      </c>
      <c r="BM211" s="314" t="s">
        <v>600</v>
      </c>
      <c r="BN211" s="314" t="s">
        <v>600</v>
      </c>
      <c r="BO211" s="314" t="s">
        <v>600</v>
      </c>
      <c r="BP211" s="133"/>
      <c r="BQ211" s="134"/>
      <c r="BR211" s="150"/>
      <c r="BS211" s="181"/>
      <c r="BT211" s="134"/>
      <c r="BU211" s="134"/>
      <c r="BV211" s="138"/>
      <c r="BW211" s="137"/>
      <c r="BX211" s="137"/>
      <c r="BY211" s="134"/>
      <c r="BZ211" s="138"/>
      <c r="CA211" s="137"/>
      <c r="CB211" s="137"/>
      <c r="CC211" s="137"/>
      <c r="CD211" s="138"/>
      <c r="CE211" s="137"/>
      <c r="CF211" s="137"/>
      <c r="CG211" s="137"/>
      <c r="CH211" s="137"/>
      <c r="CI211" s="139"/>
      <c r="CJ211" s="138"/>
      <c r="CK211" s="137"/>
      <c r="CL211" s="137"/>
      <c r="CM211" s="137"/>
      <c r="CN211" s="137"/>
      <c r="CO211" s="137"/>
      <c r="CP211" s="137"/>
      <c r="CQ211" s="137"/>
      <c r="CR211" s="137"/>
      <c r="CS211" s="137"/>
    </row>
    <row r="212">
      <c r="A212" s="112" t="s">
        <v>2521</v>
      </c>
      <c r="B212" s="112" t="s">
        <v>2801</v>
      </c>
      <c r="C212" s="112" t="s">
        <v>2802</v>
      </c>
      <c r="D212" s="113" t="s">
        <v>1260</v>
      </c>
      <c r="E212" s="251"/>
      <c r="F212" s="328" t="s">
        <v>2521</v>
      </c>
      <c r="G212" s="328" t="s">
        <v>2521</v>
      </c>
      <c r="H212" s="329" t="s">
        <v>2521</v>
      </c>
      <c r="I212" s="117" t="s">
        <v>600</v>
      </c>
      <c r="J212" s="117" t="s">
        <v>600</v>
      </c>
      <c r="K212" s="117" t="s">
        <v>600</v>
      </c>
      <c r="L212" s="117" t="s">
        <v>600</v>
      </c>
      <c r="M212" s="117" t="s">
        <v>600</v>
      </c>
      <c r="N212" s="117" t="s">
        <v>600</v>
      </c>
      <c r="O212" s="117" t="s">
        <v>600</v>
      </c>
      <c r="P212" s="120" t="s">
        <v>53</v>
      </c>
      <c r="Q212" s="119" t="s">
        <v>53</v>
      </c>
      <c r="R212" s="121" t="s">
        <v>561</v>
      </c>
      <c r="S212" s="119" t="s">
        <v>53</v>
      </c>
      <c r="T212" s="117" t="s">
        <v>600</v>
      </c>
      <c r="U212" s="117" t="s">
        <v>600</v>
      </c>
      <c r="V212" s="117" t="s">
        <v>600</v>
      </c>
      <c r="W212" s="117" t="s">
        <v>600</v>
      </c>
      <c r="X212" s="117" t="s">
        <v>600</v>
      </c>
      <c r="Y212" s="117" t="s">
        <v>600</v>
      </c>
      <c r="Z212" s="117" t="s">
        <v>600</v>
      </c>
      <c r="AA212" s="117" t="s">
        <v>600</v>
      </c>
      <c r="AB212" s="117" t="s">
        <v>600</v>
      </c>
      <c r="AC212" s="117" t="s">
        <v>600</v>
      </c>
      <c r="AD212" s="117" t="s">
        <v>600</v>
      </c>
      <c r="AE212" s="117" t="s">
        <v>600</v>
      </c>
      <c r="AF212" s="117" t="s">
        <v>600</v>
      </c>
      <c r="AG212" s="117" t="s">
        <v>600</v>
      </c>
      <c r="AH212" s="117" t="s">
        <v>600</v>
      </c>
      <c r="AI212" s="117" t="s">
        <v>600</v>
      </c>
      <c r="AJ212" s="117" t="s">
        <v>600</v>
      </c>
      <c r="AK212" s="117" t="s">
        <v>600</v>
      </c>
      <c r="AL212" s="117" t="s">
        <v>600</v>
      </c>
      <c r="AM212" s="117" t="s">
        <v>600</v>
      </c>
      <c r="AN212" s="117" t="s">
        <v>600</v>
      </c>
      <c r="AO212" s="117" t="s">
        <v>600</v>
      </c>
      <c r="AP212" s="117" t="s">
        <v>600</v>
      </c>
      <c r="AQ212" s="117" t="s">
        <v>600</v>
      </c>
      <c r="AR212" s="117" t="s">
        <v>600</v>
      </c>
      <c r="AS212" s="117" t="s">
        <v>600</v>
      </c>
      <c r="AT212" s="117" t="s">
        <v>600</v>
      </c>
      <c r="AU212" s="117" t="s">
        <v>600</v>
      </c>
      <c r="AV212" s="117" t="s">
        <v>600</v>
      </c>
      <c r="AW212" s="117" t="s">
        <v>600</v>
      </c>
      <c r="AX212" s="117" t="s">
        <v>600</v>
      </c>
      <c r="AY212" s="117" t="s">
        <v>600</v>
      </c>
      <c r="AZ212" s="117" t="s">
        <v>600</v>
      </c>
      <c r="BA212" s="117" t="s">
        <v>600</v>
      </c>
      <c r="BB212" s="117" t="s">
        <v>600</v>
      </c>
      <c r="BC212" s="117" t="s">
        <v>600</v>
      </c>
      <c r="BD212" s="117" t="s">
        <v>600</v>
      </c>
      <c r="BE212" s="117" t="s">
        <v>600</v>
      </c>
      <c r="BF212" s="117"/>
      <c r="BG212" s="117" t="s">
        <v>600</v>
      </c>
      <c r="BH212" s="117" t="s">
        <v>600</v>
      </c>
      <c r="BI212" s="117" t="s">
        <v>600</v>
      </c>
      <c r="BJ212" s="117" t="s">
        <v>600</v>
      </c>
      <c r="BK212" s="117" t="s">
        <v>600</v>
      </c>
      <c r="BL212" s="117" t="s">
        <v>600</v>
      </c>
      <c r="BM212" s="117" t="s">
        <v>600</v>
      </c>
      <c r="BN212" s="117" t="s">
        <v>600</v>
      </c>
      <c r="BO212" s="117" t="s">
        <v>600</v>
      </c>
      <c r="BP212" s="133"/>
      <c r="BQ212" s="134"/>
      <c r="BR212" s="150"/>
      <c r="BS212" s="181"/>
      <c r="BT212" s="134"/>
      <c r="BU212" s="134"/>
      <c r="BV212" s="138"/>
      <c r="BW212" s="137"/>
      <c r="BX212" s="137"/>
      <c r="BY212" s="134"/>
      <c r="BZ212" s="138"/>
      <c r="CA212" s="137"/>
      <c r="CB212" s="137"/>
      <c r="CC212" s="137"/>
      <c r="CD212" s="138"/>
      <c r="CE212" s="137"/>
      <c r="CF212" s="137"/>
      <c r="CG212" s="137"/>
      <c r="CH212" s="137"/>
      <c r="CI212" s="139"/>
      <c r="CJ212" s="138"/>
      <c r="CK212" s="137"/>
      <c r="CL212" s="137"/>
      <c r="CM212" s="137"/>
      <c r="CN212" s="137"/>
      <c r="CO212" s="137"/>
      <c r="CP212" s="137"/>
      <c r="CQ212" s="137"/>
      <c r="CR212" s="137"/>
      <c r="CS212" s="137"/>
    </row>
    <row r="213">
      <c r="A213" s="112" t="s">
        <v>2521</v>
      </c>
      <c r="B213" s="189" t="s">
        <v>1769</v>
      </c>
      <c r="C213" s="189" t="s">
        <v>1770</v>
      </c>
      <c r="D213" s="113" t="s">
        <v>943</v>
      </c>
      <c r="E213" s="251"/>
      <c r="F213" s="328" t="s">
        <v>2521</v>
      </c>
      <c r="G213" s="328" t="s">
        <v>2521</v>
      </c>
      <c r="H213" s="329" t="s">
        <v>2521</v>
      </c>
      <c r="I213" s="117" t="s">
        <v>600</v>
      </c>
      <c r="J213" s="117" t="s">
        <v>600</v>
      </c>
      <c r="K213" s="117" t="s">
        <v>600</v>
      </c>
      <c r="L213" s="117" t="s">
        <v>600</v>
      </c>
      <c r="M213" s="117" t="s">
        <v>600</v>
      </c>
      <c r="N213" s="117" t="s">
        <v>600</v>
      </c>
      <c r="O213" s="117" t="s">
        <v>600</v>
      </c>
      <c r="P213" s="120" t="s">
        <v>53</v>
      </c>
      <c r="Q213" s="121" t="s">
        <v>53</v>
      </c>
      <c r="R213" s="121" t="s">
        <v>561</v>
      </c>
      <c r="S213" s="119" t="s">
        <v>53</v>
      </c>
      <c r="T213" s="117" t="s">
        <v>600</v>
      </c>
      <c r="U213" s="117" t="s">
        <v>600</v>
      </c>
      <c r="V213" s="117" t="s">
        <v>600</v>
      </c>
      <c r="W213" s="117" t="s">
        <v>600</v>
      </c>
      <c r="X213" s="117" t="s">
        <v>600</v>
      </c>
      <c r="Y213" s="117" t="s">
        <v>600</v>
      </c>
      <c r="Z213" s="117" t="s">
        <v>600</v>
      </c>
      <c r="AA213" s="117" t="s">
        <v>600</v>
      </c>
      <c r="AB213" s="117" t="s">
        <v>600</v>
      </c>
      <c r="AC213" s="117" t="s">
        <v>600</v>
      </c>
      <c r="AD213" s="117" t="s">
        <v>600</v>
      </c>
      <c r="AE213" s="117" t="s">
        <v>600</v>
      </c>
      <c r="AF213" s="117" t="s">
        <v>600</v>
      </c>
      <c r="AG213" s="117" t="s">
        <v>600</v>
      </c>
      <c r="AH213" s="117" t="s">
        <v>600</v>
      </c>
      <c r="AI213" s="117" t="s">
        <v>600</v>
      </c>
      <c r="AJ213" s="117" t="s">
        <v>600</v>
      </c>
      <c r="AK213" s="117" t="s">
        <v>600</v>
      </c>
      <c r="AL213" s="117" t="s">
        <v>600</v>
      </c>
      <c r="AM213" s="117" t="s">
        <v>600</v>
      </c>
      <c r="AN213" s="117" t="s">
        <v>600</v>
      </c>
      <c r="AO213" s="117" t="s">
        <v>600</v>
      </c>
      <c r="AP213" s="117" t="s">
        <v>600</v>
      </c>
      <c r="AQ213" s="117" t="s">
        <v>600</v>
      </c>
      <c r="AR213" s="117" t="s">
        <v>600</v>
      </c>
      <c r="AS213" s="117" t="s">
        <v>600</v>
      </c>
      <c r="AT213" s="117" t="s">
        <v>600</v>
      </c>
      <c r="AU213" s="117" t="s">
        <v>600</v>
      </c>
      <c r="AV213" s="117" t="s">
        <v>600</v>
      </c>
      <c r="AW213" s="117" t="s">
        <v>600</v>
      </c>
      <c r="AX213" s="117" t="s">
        <v>600</v>
      </c>
      <c r="AY213" s="117" t="s">
        <v>600</v>
      </c>
      <c r="AZ213" s="117" t="s">
        <v>600</v>
      </c>
      <c r="BA213" s="117" t="s">
        <v>600</v>
      </c>
      <c r="BB213" s="117" t="s">
        <v>600</v>
      </c>
      <c r="BC213" s="117" t="s">
        <v>600</v>
      </c>
      <c r="BD213" s="117" t="s">
        <v>600</v>
      </c>
      <c r="BE213" s="117" t="s">
        <v>600</v>
      </c>
      <c r="BF213" s="117"/>
      <c r="BG213" s="117" t="s">
        <v>600</v>
      </c>
      <c r="BH213" s="117" t="s">
        <v>600</v>
      </c>
      <c r="BI213" s="117" t="s">
        <v>600</v>
      </c>
      <c r="BJ213" s="117" t="s">
        <v>600</v>
      </c>
      <c r="BK213" s="117" t="s">
        <v>600</v>
      </c>
      <c r="BL213" s="117" t="s">
        <v>600</v>
      </c>
      <c r="BM213" s="117" t="s">
        <v>600</v>
      </c>
      <c r="BN213" s="117" t="s">
        <v>600</v>
      </c>
      <c r="BO213" s="117" t="s">
        <v>600</v>
      </c>
      <c r="BP213" s="133"/>
      <c r="BQ213" s="134"/>
      <c r="BR213" s="150"/>
      <c r="BS213" s="181"/>
      <c r="BT213" s="134"/>
      <c r="BU213" s="134"/>
      <c r="BV213" s="138"/>
      <c r="BW213" s="137"/>
      <c r="BX213" s="137"/>
      <c r="BY213" s="134"/>
      <c r="BZ213" s="138"/>
      <c r="CA213" s="137"/>
      <c r="CB213" s="137"/>
      <c r="CC213" s="137"/>
      <c r="CD213" s="138"/>
      <c r="CE213" s="137"/>
      <c r="CF213" s="137"/>
      <c r="CG213" s="137"/>
      <c r="CH213" s="137"/>
      <c r="CI213" s="139"/>
      <c r="CJ213" s="138"/>
      <c r="CK213" s="137"/>
      <c r="CL213" s="137"/>
      <c r="CM213" s="137"/>
      <c r="CN213" s="137"/>
      <c r="CO213" s="137"/>
      <c r="CP213" s="137"/>
      <c r="CQ213" s="137"/>
      <c r="CR213" s="137"/>
      <c r="CS213" s="137"/>
    </row>
  </sheetData>
  <mergeCells count="15">
    <mergeCell ref="BH1:BH2"/>
    <mergeCell ref="BI1:BI2"/>
    <mergeCell ref="BJ1:BJ2"/>
    <mergeCell ref="BK1:BK2"/>
    <mergeCell ref="BL1:BL2"/>
    <mergeCell ref="BM1:BM2"/>
    <mergeCell ref="BN1:BN2"/>
    <mergeCell ref="BO1:BO2"/>
    <mergeCell ref="A1:A2"/>
    <mergeCell ref="C1:D1"/>
    <mergeCell ref="F1:F2"/>
    <mergeCell ref="G1:G2"/>
    <mergeCell ref="H1:H2"/>
    <mergeCell ref="BF1:BF2"/>
    <mergeCell ref="BG1:BG2"/>
  </mergeCells>
  <conditionalFormatting sqref="D92:H93 CJ92:CO93">
    <cfRule type="cellIs" dxfId="8" priority="1" operator="equal">
      <formula>"Progressive"</formula>
    </cfRule>
  </conditionalFormatting>
  <conditionalFormatting sqref="D92:H93 CJ92:CO93">
    <cfRule type="containsText" dxfId="6" priority="2" operator="containsText" text="Blue Dogs">
      <formula>NOT(ISERROR(SEARCH(("Blue Dogs"),(D92))))</formula>
    </cfRule>
  </conditionalFormatting>
  <conditionalFormatting sqref="D92:H93 CJ92:CO93">
    <cfRule type="cellIs" dxfId="7" priority="3" operator="equal">
      <formula>"Not elected"</formula>
    </cfRule>
  </conditionalFormatting>
  <conditionalFormatting sqref="I3:I213 J3:J9 K3:L213 M3:M10 N3:AS213 AT3:BC3 BD3:BE213 M18 J37:J65 M37:M65 J134 M134 J173 M173 J177:J181 M177:M181 J183:J185 M183:M185 J201 M201 J207:J208 M207:M208 J211:J213 M211:M213 AT211:BC213 BF211:BO212">
    <cfRule type="colorScale" priority="4">
      <colorScale>
        <cfvo type="min"/>
        <cfvo type="formula" val="0.8"/>
        <cfvo type="max"/>
        <color rgb="FFFFFFFF"/>
        <color rgb="FFFF80FF"/>
        <color rgb="FFFF00FF"/>
      </colorScale>
    </cfRule>
  </conditionalFormatting>
  <conditionalFormatting sqref="BT1:CS1 A3:A213 D3:D91 E3:H213 I3:J3 M3 N3:N213 BR3 BS3:BS8 BT3:CH238 CJ3:CS238 CI5 BR7 BS12:BS18 K13:L13 BR15:BR16 BR18 BR22 BS23 BR25:BS26 BR28:BR29 BS28:BS30 BR34:BR36 BS34:BS35 BS37:BS41 BR39 BR41 BR43:BS46 BR48:BR64 BS48:BS50 BS52:BS65 BF60:BQ60 BR67:BR72 BS67:BS77 BR74 BR76:BR77 BR80:BR85 BS81:BS87 BR87:BR88 BS89 BR90:BR91 BR93 BS93:BS97 D94:D100 BR95:BR96 BR99 BS99:BS101 BR103:BR105 BS103:BS106 BR108:BS108 D109:D213 BR110:BS110 BS112:BS113 BR113:BR114 BR116:BR119 BS116:BS120 BR124:BS125 BS127:BS130 BR128 BR132 BS132:BS134 BR134 BR136:BR137 BS136:BS139 BR141:BR142 BS141:BS143 BS147:BS154 BR148:BR149 BR152 BR154 BR157:BR162 BS157:BS158 BS160:BS167 BR164:BR166 BR169:BS170 BS172:BS188 BF173:BQ173 BR173:BR191 BF177:BQ181 BF183:BQ185 BS190:BS191 BR193:BR202 BS194:BS202 BF201:BI201 BL201:BQ201 BR204:BS213 BF207:BQ208">
    <cfRule type="containsText" dxfId="6" priority="5" operator="containsText" text="Blue Dogs">
      <formula>NOT(ISERROR(SEARCH(("Blue Dogs"),(BT1))))</formula>
    </cfRule>
  </conditionalFormatting>
  <conditionalFormatting sqref="BT1:CS1 A3:A213 D3:D91 E3:H213 I3:J3 M3 N3:N213 BR3 BS3:BS8 BT3:CH238 CJ3:CS238 CI5 BR7 BS12:BS18 K13:L13 BR15:BR16 BR18 BR22 BS23 BR25:BS26 BR28:BR29 BS28:BS30 BR34:BR36 BS34:BS35 BS37:BS41 BR39 BR41 BR43:BS46 BR48:BR64 BS48:BS50 BS52:BS65 BF60:BQ60 BR67:BR72 BS67:BS77 BR74 BR76:BR77 BR80:BR85 BS81:BS87 BR87:BR88 BS89 BR90:BR91 BR93 BS93:BS97 D94:D100 BR95:BR96 BR99 BS99:BS101 BR103:BR105 BS103:BS106 BR108:BS108 D109:D213 BR110:BS110 BS112:BS113 BR113:BR114 BR116:BR119 BS116:BS120 BR124:BS125 BS127:BS130 BR128 BR132 BS132:BS134 BR134 BR136:BR137 BS136:BS139 BR141:BR142 BS141:BS143 BS147:BS154 BR148:BR149 BR152 BR154 BR157:BR162 BS157:BS158 BS160:BS167 BR164:BR166 BR169:BS170 BS172:BS188 BF173:BQ173 BR173:BR191 BF177:BQ181 BF183:BQ185 BS190:BS191 BR193:BR202 BS194:BS202 BF201:BI201 BL201:BQ201 BR204:BS213 BF207:BQ208">
    <cfRule type="cellIs" dxfId="8" priority="6" operator="equal">
      <formula>"Progressive"</formula>
    </cfRule>
  </conditionalFormatting>
  <conditionalFormatting sqref="BR1:BS1 BR3:BS213 BT5:BV5 BF60:BQ60 D76:H76 BT76:CH76 CJ76:CS76 BF173:BQ173 BF177:BQ181 BF183:BQ185 BF201:BI201 BL201:BQ201 BF207:BQ208">
    <cfRule type="containsText" dxfId="9" priority="7" operator="containsText" text="Uncontested">
      <formula>NOT(ISERROR(SEARCH(("Uncontested"),(BR1))))</formula>
    </cfRule>
  </conditionalFormatting>
  <conditionalFormatting sqref="I1:J1 K1:L213 M1:N1 O1:AW213 AX1:AY1 AZ1:BE213 A3:A213 D3 E3:E12 F3:G213 H3 I3:J213 M3:N213 AX3:AY213 BT3:CH3 CJ3:CS3 BF4:BO213 BP5:BS5 E14:E21 E23 E46 E57:E58 E67 E77 E86 E95 D123:E125 H123:H125 CJ123:CO125 D128:E154 H128:H154 CJ128:CO154 BT132:CH238 CP132:CS238 BQ157 D162:E213 H162:H213 CJ162:CO238 BQ166 BQ193">
    <cfRule type="cellIs" dxfId="4" priority="8" operator="equal">
      <formula>"Sponsor"</formula>
    </cfRule>
  </conditionalFormatting>
  <conditionalFormatting sqref="I1:J1 K1:L213 M1:N1 O1:AW213 AX1:AY1 AZ1:BE213 A3:A213 D3 E3:E12 F3:G213 H3 I3:J213 M3:N213 AX3:AY213 BT3:CH3 CJ3:CS3 BF4:BO213 BP5:BS5 E14:E21 E23 E46 E57:E58 E67 E77 E86 E95 D123:E125 H123:H125 CJ123:CO125 D128:E154 H128:H154 CJ128:CO154 BT132:CH238 CP132:CS238 BQ157 D162:E213 H162:H213 CJ162:CO238 BQ166 BQ193">
    <cfRule type="cellIs" dxfId="6" priority="9" operator="equal">
      <formula>"Not sponsoring"</formula>
    </cfRule>
  </conditionalFormatting>
  <conditionalFormatting sqref="P1:BD213">
    <cfRule type="cellIs" dxfId="6" priority="10" operator="equal">
      <formula>"Yes"</formula>
    </cfRule>
  </conditionalFormatting>
  <conditionalFormatting sqref="P1:BD213">
    <cfRule type="cellIs" dxfId="4" priority="11" operator="equal">
      <formula>"No"</formula>
    </cfRule>
  </conditionalFormatting>
  <conditionalFormatting sqref="A1:CH213 CI1:CI91 CJ1:CS213 CI94:CI100 CI109:CI213">
    <cfRule type="cellIs" dxfId="7" priority="12" operator="equal">
      <formula>"Not elected"</formula>
    </cfRule>
  </conditionalFormatting>
  <conditionalFormatting sqref="I1:J1 K1:L213 M1:N1 O1:AW213 AX1:AY1 AZ1:BE213 A3:A213 D3 E3:E12 F3:G213 H3 I3:J213 M3:N213 AX3:AY213 BT3:CH3 CJ3:CS3 BF4:BO213 BP5:BS5 E14:E21 E23 E46 E57:E58 E67 E77 E86 E95 D123:E125 H123:H125 CJ123:CO125 D128:E154 H128:H154 CJ128:CO154 BT132:CH238 CP132:CS238 BQ157 D162:E213 H162:H213 CJ162:CO238 BQ166 BQ193">
    <cfRule type="cellIs" dxfId="7" priority="13" operator="equal">
      <formula>"TBD"</formula>
    </cfRule>
  </conditionalFormatting>
  <conditionalFormatting sqref="I1:J1 K1:L213 M1:N1 O1:AW213 AX1:AY1 AZ1:BE213 A3:A213 D3 E3:E12 F3:G213 H3 I3:J213 M3:N213 AX3:AY213 BT3:CH3 CJ3:CS3 BF4:BO213 BP5:BS5 E14:E21 E23 E46 E57:E58 E67 E77 E86 E95 D123:E125 H123:H125 CJ123:CO125 D128:E154 H128:H154 CJ128:CO154 BT132:CH238 CP132:CS238 BQ157 D162:E213 H162:H213 CJ162:CO238 BQ166 BQ193">
    <cfRule type="cellIs" dxfId="7" priority="14" operator="equal">
      <formula>"Not voting"</formula>
    </cfRule>
  </conditionalFormatting>
  <conditionalFormatting sqref="P1:BD213">
    <cfRule type="cellIs" dxfId="6" priority="15" operator="equal">
      <formula>"No (amend)"</formula>
    </cfRule>
  </conditionalFormatting>
  <conditionalFormatting sqref="P1:BD213">
    <cfRule type="cellIs" dxfId="4" priority="16" operator="equal">
      <formula>"Yes (amend)"</formula>
    </cfRule>
  </conditionalFormatting>
  <conditionalFormatting sqref="I1:CS213">
    <cfRule type="cellIs" dxfId="5" priority="17" operator="equal">
      <formula>"Present"</formula>
    </cfRule>
  </conditionalFormatting>
  <conditionalFormatting sqref="CS1 CS3:CS238">
    <cfRule type="colorScale" priority="18">
      <colorScale>
        <cfvo type="min"/>
        <cfvo type="max"/>
        <color rgb="FFFFFFFF"/>
        <color rgb="FF46BDC6"/>
      </colorScale>
    </cfRule>
  </conditionalFormatting>
  <conditionalFormatting sqref="CR1 CR3:CR238">
    <cfRule type="colorScale" priority="19">
      <colorScale>
        <cfvo type="min"/>
        <cfvo type="max"/>
        <color rgb="FFFFFFFF"/>
        <color rgb="FF3D85C6"/>
      </colorScale>
    </cfRule>
  </conditionalFormatting>
  <conditionalFormatting sqref="CE1 CL1 CE3:CE238 CL3:CL213 CK5 CR5">
    <cfRule type="colorScale" priority="20">
      <colorScale>
        <cfvo type="min"/>
        <cfvo type="max"/>
        <color rgb="FFFFFFFF"/>
        <color rgb="FFFF9900"/>
      </colorScale>
    </cfRule>
  </conditionalFormatting>
  <conditionalFormatting sqref="CF1 CM1 CF3:CF238 CM3:CM213 CL5 CS5">
    <cfRule type="colorScale" priority="21">
      <colorScale>
        <cfvo type="min"/>
        <cfvo type="max"/>
        <color rgb="FFFFFFFF"/>
        <color rgb="FF9900FF"/>
      </colorScale>
    </cfRule>
  </conditionalFormatting>
  <conditionalFormatting sqref="BV1 BZ1 BV3:BV213 BZ3:BZ213 CB5 CF5">
    <cfRule type="colorScale" priority="22">
      <colorScale>
        <cfvo type="min"/>
        <cfvo type="max"/>
        <color rgb="FFC9DAF8"/>
        <color rgb="FF4A86E8"/>
      </colorScale>
    </cfRule>
  </conditionalFormatting>
  <conditionalFormatting sqref="CC1 CJ1 CC3:CC238 CJ3:CJ213 CI5 CP5">
    <cfRule type="colorScale" priority="23">
      <colorScale>
        <cfvo type="min"/>
        <cfvo type="max"/>
        <color rgb="FFFFFFFF"/>
        <color rgb="FF00FFFF"/>
      </colorScale>
    </cfRule>
  </conditionalFormatting>
  <conditionalFormatting sqref="CQ1 CQ3:CQ238">
    <cfRule type="colorScale" priority="24">
      <colorScale>
        <cfvo type="min"/>
        <cfvo type="max"/>
        <color rgb="FFFFFFFF"/>
        <color rgb="FFFF00FF"/>
      </colorScale>
    </cfRule>
  </conditionalFormatting>
  <conditionalFormatting sqref="CD1 CK1 CD3:CD238 CK3:CK213 CJ5 CQ5">
    <cfRule type="colorScale" priority="25">
      <colorScale>
        <cfvo type="min"/>
        <cfvo type="max"/>
        <color rgb="FFFFFFFF"/>
        <color rgb="FF00FF00"/>
      </colorScale>
    </cfRule>
  </conditionalFormatting>
  <conditionalFormatting sqref="BT1:BU1 BY1 BT3:BU213 BY3:BY213 CD5:CE5">
    <cfRule type="colorScale" priority="26">
      <colorScale>
        <cfvo type="min"/>
        <cfvo type="formula" val="0"/>
        <cfvo type="max"/>
        <color rgb="FFEA9999"/>
        <color rgb="FFFFFFFF"/>
        <color rgb="FF4A86E8"/>
      </colorScale>
    </cfRule>
  </conditionalFormatting>
  <conditionalFormatting sqref="BW1:BX1 CA1:CB1 BW3:BX213 CA3:CB213 BY5:BZ5 CC5:CH5">
    <cfRule type="colorScale" priority="27">
      <colorScale>
        <cfvo type="min"/>
        <cfvo type="max"/>
        <color rgb="FFFFFFFF"/>
        <color rgb="FFEA9999"/>
      </colorScale>
    </cfRule>
  </conditionalFormatting>
  <conditionalFormatting sqref="BW5">
    <cfRule type="cellIs" dxfId="10" priority="28" operator="equal">
      <formula>"Not elected"</formula>
    </cfRule>
  </conditionalFormatting>
  <conditionalFormatting sqref="BW5">
    <cfRule type="cellIs" dxfId="10" priority="29" operator="equal">
      <formula>"Not elected"</formula>
    </cfRule>
  </conditionalFormatting>
  <conditionalFormatting sqref="BF1:BL213 BC210:BC213 BM210:BO213">
    <cfRule type="cellIs" dxfId="4" priority="30" operator="equal">
      <formula>"Yes"</formula>
    </cfRule>
  </conditionalFormatting>
  <conditionalFormatting sqref="BM1:BM213">
    <cfRule type="cellIs" dxfId="11" priority="31" operator="equal">
      <formula>"Yes"</formula>
    </cfRule>
  </conditionalFormatting>
  <conditionalFormatting sqref="BN1:BN213">
    <cfRule type="cellIs" dxfId="12" priority="32" operator="equal">
      <formula>"Yes"</formula>
    </cfRule>
  </conditionalFormatting>
  <conditionalFormatting sqref="BO1:BO213">
    <cfRule type="cellIs" dxfId="6" priority="33" operator="equal">
      <formula>"Yes"</formula>
    </cfRule>
  </conditionalFormatting>
  <conditionalFormatting sqref="A1:A213">
    <cfRule type="colorScale" priority="34">
      <colorScale>
        <cfvo type="min"/>
        <cfvo type="formula" val="10"/>
        <cfvo type="formula" val="50"/>
        <color rgb="FFFF00FF"/>
        <color rgb="FFFF80FF"/>
        <color rgb="FFFFFFFF"/>
      </colorScale>
    </cfRule>
  </conditionalFormatting>
  <conditionalFormatting sqref="A3:A213 E3:H213 I3:J3 M3 N3:N213 K13:L13">
    <cfRule type="colorScale" priority="35">
      <colorScale>
        <cfvo type="min"/>
        <cfvo type="formula" val="0.6"/>
        <cfvo type="max"/>
        <color rgb="FFFFFFFF"/>
        <color rgb="FFFF80FF"/>
        <color rgb="FFFF00FF"/>
      </colorScale>
    </cfRule>
  </conditionalFormatting>
  <conditionalFormatting sqref="BF1:BI213 BK1:BK213 BC210:BC213 BJ210:BJ213 BL210:BO213">
    <cfRule type="colorScale" priority="36">
      <colorScale>
        <cfvo type="formula" val="-1000000"/>
        <cfvo type="formula" val="0"/>
        <cfvo type="formula" val="1000000"/>
        <color rgb="FF00FF00"/>
        <color rgb="FFFFFFFF"/>
        <color rgb="FFFF0000"/>
      </colorScale>
    </cfRule>
  </conditionalFormatting>
  <conditionalFormatting sqref="BJ1:BJ213">
    <cfRule type="colorScale" priority="37">
      <colorScale>
        <cfvo type="min"/>
        <cfvo type="formula" val="0"/>
        <cfvo type="max"/>
        <color rgb="FF83FF83"/>
        <color rgb="FFFFFFFF"/>
        <color rgb="FFFF8080"/>
      </colorScale>
    </cfRule>
  </conditionalFormatting>
  <hyperlinks>
    <hyperlink r:id="rId1" ref="B1"/>
    <hyperlink r:id="rId2" ref="I1"/>
    <hyperlink r:id="rId3" ref="J1"/>
    <hyperlink r:id="rId4" ref="K1"/>
    <hyperlink r:id="rId5" ref="L1"/>
    <hyperlink r:id="rId6" ref="M1"/>
    <hyperlink r:id="rId7" location="tabs" ref="N1"/>
    <hyperlink r:id="rId8" ref="O1"/>
    <hyperlink r:id="rId9" ref="P1"/>
    <hyperlink r:id="rId10" ref="Q1"/>
    <hyperlink r:id="rId11" ref="R1"/>
    <hyperlink r:id="rId12" ref="S1"/>
    <hyperlink r:id="rId13" ref="T1"/>
    <hyperlink r:id="rId14" ref="U1"/>
    <hyperlink r:id="rId15" ref="V1"/>
    <hyperlink r:id="rId16" ref="W1"/>
    <hyperlink r:id="rId17" ref="X1"/>
    <hyperlink r:id="rId18" ref="Y1"/>
    <hyperlink r:id="rId19" ref="Z1"/>
    <hyperlink r:id="rId20" ref="AA1"/>
    <hyperlink r:id="rId21" ref="AB1"/>
    <hyperlink r:id="rId22" ref="AC1"/>
    <hyperlink r:id="rId23" ref="AD1"/>
    <hyperlink r:id="rId24" ref="AE1"/>
    <hyperlink r:id="rId25" ref="AF1"/>
    <hyperlink r:id="rId26" ref="AG1"/>
    <hyperlink r:id="rId27" ref="AH1"/>
    <hyperlink r:id="rId28" ref="AI1"/>
    <hyperlink r:id="rId29" ref="AJ1"/>
    <hyperlink r:id="rId30" ref="AK1"/>
    <hyperlink r:id="rId31" ref="AL1"/>
    <hyperlink r:id="rId32" ref="AM1"/>
    <hyperlink r:id="rId33" ref="AN1"/>
    <hyperlink r:id="rId34" ref="AO1"/>
    <hyperlink r:id="rId35" ref="AP1"/>
    <hyperlink r:id="rId36" ref="AQ1"/>
    <hyperlink r:id="rId37" ref="AR1"/>
    <hyperlink r:id="rId38" ref="AS1"/>
    <hyperlink r:id="rId39" ref="AT1"/>
    <hyperlink r:id="rId40" ref="AU1"/>
    <hyperlink r:id="rId41" ref="AV1"/>
    <hyperlink r:id="rId42" ref="AW1"/>
    <hyperlink r:id="rId43" ref="AX1"/>
    <hyperlink r:id="rId44" ref="AY1"/>
    <hyperlink r:id="rId45" ref="AZ1"/>
    <hyperlink r:id="rId46" ref="BA1"/>
    <hyperlink r:id="rId47" ref="BB1"/>
    <hyperlink r:id="rId48" ref="BC1"/>
    <hyperlink r:id="rId49" ref="BD1"/>
    <hyperlink r:id="rId50" ref="BE1"/>
    <hyperlink r:id="rId51" ref="BL1"/>
    <hyperlink r:id="rId52" ref="BM1"/>
    <hyperlink r:id="rId53" ref="BN1"/>
    <hyperlink r:id="rId54" ref="BO1"/>
    <hyperlink r:id="rId55" ref="E3"/>
    <hyperlink r:id="rId56" ref="E4"/>
    <hyperlink r:id="rId57" ref="E5"/>
    <hyperlink r:id="rId58" ref="E6"/>
    <hyperlink r:id="rId59" ref="E7"/>
    <hyperlink r:id="rId60" ref="E8"/>
    <hyperlink r:id="rId61" ref="E9"/>
    <hyperlink r:id="rId62" ref="E10"/>
    <hyperlink r:id="rId63" ref="S10"/>
    <hyperlink r:id="rId64" ref="E11"/>
    <hyperlink r:id="rId65" ref="E12"/>
    <hyperlink r:id="rId66" ref="E13"/>
    <hyperlink r:id="rId67" ref="E14"/>
    <hyperlink r:id="rId68" ref="E15"/>
    <hyperlink r:id="rId69" ref="AV15"/>
    <hyperlink r:id="rId70" ref="E16"/>
    <hyperlink r:id="rId71" ref="E17"/>
    <hyperlink r:id="rId72" ref="E18"/>
    <hyperlink r:id="rId73" ref="E19"/>
    <hyperlink r:id="rId74" ref="E20"/>
    <hyperlink r:id="rId75" ref="E21"/>
    <hyperlink r:id="rId76" ref="E22"/>
    <hyperlink r:id="rId77" ref="E23"/>
    <hyperlink r:id="rId78" ref="E24"/>
    <hyperlink r:id="rId79" ref="E25"/>
    <hyperlink r:id="rId80" ref="E26"/>
    <hyperlink r:id="rId81" ref="E27"/>
    <hyperlink r:id="rId82" ref="E28"/>
    <hyperlink r:id="rId83" ref="E29"/>
    <hyperlink r:id="rId84" ref="E30"/>
    <hyperlink r:id="rId85" ref="E31"/>
    <hyperlink r:id="rId86" ref="E32"/>
    <hyperlink r:id="rId87" ref="E34"/>
    <hyperlink r:id="rId88" ref="E35"/>
    <hyperlink r:id="rId89" ref="AP35"/>
    <hyperlink r:id="rId90" ref="E36"/>
    <hyperlink r:id="rId91" ref="E37"/>
    <hyperlink r:id="rId92" ref="E38"/>
    <hyperlink r:id="rId93" ref="E39"/>
    <hyperlink r:id="rId94" ref="E40"/>
    <hyperlink r:id="rId95" ref="E41"/>
    <hyperlink r:id="rId96" ref="E42"/>
    <hyperlink r:id="rId97" ref="E43"/>
    <hyperlink r:id="rId98" ref="E45"/>
    <hyperlink r:id="rId99" ref="E46"/>
    <hyperlink r:id="rId100" ref="E48"/>
    <hyperlink r:id="rId101" ref="E49"/>
    <hyperlink r:id="rId102" ref="E51"/>
    <hyperlink r:id="rId103" ref="E53"/>
    <hyperlink r:id="rId104" ref="BN53"/>
    <hyperlink r:id="rId105" ref="E54"/>
    <hyperlink r:id="rId106" ref="E55"/>
    <hyperlink r:id="rId107" ref="E57"/>
    <hyperlink r:id="rId108" ref="E59"/>
    <hyperlink r:id="rId109" ref="E62"/>
    <hyperlink r:id="rId110" ref="E63"/>
    <hyperlink r:id="rId111" ref="E64"/>
    <hyperlink r:id="rId112" ref="E67"/>
    <hyperlink r:id="rId113" ref="E69"/>
    <hyperlink r:id="rId114" ref="E70"/>
    <hyperlink r:id="rId115" ref="E74"/>
    <hyperlink r:id="rId116" ref="E75"/>
    <hyperlink r:id="rId117" ref="E76"/>
    <hyperlink r:id="rId118" ref="E79"/>
    <hyperlink r:id="rId119" ref="E81"/>
    <hyperlink r:id="rId120" ref="E83"/>
    <hyperlink r:id="rId121" ref="E87"/>
    <hyperlink r:id="rId122" ref="E90"/>
    <hyperlink r:id="rId123" ref="E103"/>
    <hyperlink r:id="rId124" ref="E105"/>
    <hyperlink r:id="rId125" ref="E111"/>
    <hyperlink r:id="rId126" ref="E129"/>
    <hyperlink r:id="rId127" ref="E142"/>
    <hyperlink r:id="rId128" ref="E153"/>
    <hyperlink r:id="rId129" ref="BI164"/>
    <hyperlink r:id="rId130" ref="E165"/>
    <hyperlink r:id="rId131" ref="E168"/>
    <hyperlink r:id="rId132" ref="E199"/>
    <hyperlink r:id="rId133" ref="AP199"/>
    <hyperlink r:id="rId134" ref="E202"/>
    <hyperlink r:id="rId135" ref="E209"/>
    <hyperlink r:id="rId136" ref="E210"/>
  </hyperlinks>
  <drawing r:id="rId13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5.5"/>
    <col customWidth="1" min="2" max="2" width="9.0"/>
    <col customWidth="1" min="3" max="3" width="11.88"/>
    <col customWidth="1" min="4" max="4" width="14.0"/>
    <col customWidth="1" hidden="1" min="5" max="5" width="10.13"/>
    <col customWidth="1" min="6" max="6" width="10.13"/>
    <col customWidth="1" min="7" max="7" width="13.25"/>
    <col customWidth="1" min="8" max="8" width="17.0"/>
    <col customWidth="1" min="9" max="9" width="16.13"/>
    <col customWidth="1" min="10" max="10" width="18.63"/>
    <col customWidth="1" min="11" max="11" width="19.5"/>
    <col customWidth="1" min="12" max="13" width="14.63"/>
    <col customWidth="1" min="14" max="14" width="15.63"/>
    <col customWidth="1" min="15" max="15" width="14.0"/>
    <col customWidth="1" min="16" max="16" width="12.88"/>
    <col customWidth="1" min="17" max="17" width="18.63"/>
    <col customWidth="1" min="18" max="18" width="16.13"/>
    <col customWidth="1" min="19" max="19" width="13.88"/>
    <col customWidth="1" min="20" max="20" width="10.25"/>
    <col customWidth="1" hidden="1" min="21" max="21" width="12.88"/>
    <col customWidth="1" hidden="1" min="22" max="22" width="16.25"/>
    <col customWidth="1" hidden="1" min="23" max="24" width="9.75"/>
    <col customWidth="1" hidden="1" min="25" max="25" width="11.13"/>
    <col customWidth="1" hidden="1" min="26" max="28" width="7.88"/>
    <col customWidth="1" hidden="1" min="29" max="29" width="7.5"/>
    <col customWidth="1" hidden="1" min="30" max="30" width="9.0"/>
  </cols>
  <sheetData>
    <row r="1">
      <c r="A1" s="160" t="s">
        <v>39</v>
      </c>
      <c r="B1" s="160" t="s">
        <v>40</v>
      </c>
      <c r="C1" s="160" t="s">
        <v>46</v>
      </c>
      <c r="D1" s="161" t="s">
        <v>1</v>
      </c>
      <c r="E1" s="55">
        <f>COUNTIF($E$3:$E$53,"YES")</f>
        <v>4</v>
      </c>
      <c r="F1" s="162" t="s">
        <v>1816</v>
      </c>
      <c r="G1" s="72" t="s">
        <v>189</v>
      </c>
      <c r="H1" s="72" t="s">
        <v>197</v>
      </c>
      <c r="I1" s="72" t="s">
        <v>209</v>
      </c>
      <c r="J1" s="81" t="s">
        <v>217</v>
      </c>
      <c r="K1" s="81" t="s">
        <v>230</v>
      </c>
      <c r="L1" s="72" t="s">
        <v>245</v>
      </c>
      <c r="M1" s="166" t="s">
        <v>255</v>
      </c>
      <c r="N1" s="166" t="s">
        <v>264</v>
      </c>
      <c r="O1" s="166" t="s">
        <v>1852</v>
      </c>
      <c r="P1" s="72" t="s">
        <v>273</v>
      </c>
      <c r="Q1" s="72" t="s">
        <v>283</v>
      </c>
      <c r="R1" s="72" t="s">
        <v>1866</v>
      </c>
      <c r="S1" s="84" t="s">
        <v>309</v>
      </c>
      <c r="T1" s="167" t="s">
        <v>1875</v>
      </c>
      <c r="U1" s="27" t="s">
        <v>1877</v>
      </c>
      <c r="V1" s="28" t="s">
        <v>332</v>
      </c>
      <c r="W1" s="29"/>
      <c r="X1" s="29" t="s">
        <v>335</v>
      </c>
      <c r="Y1" s="29" t="s">
        <v>336</v>
      </c>
      <c r="Z1" s="29" t="s">
        <v>337</v>
      </c>
      <c r="AA1" s="29" t="s">
        <v>338</v>
      </c>
      <c r="AB1" s="29" t="s">
        <v>340</v>
      </c>
      <c r="AC1" s="29" t="s">
        <v>338</v>
      </c>
      <c r="AD1" s="28" t="s">
        <v>342</v>
      </c>
    </row>
    <row r="2">
      <c r="E2" s="97" t="s">
        <v>1882</v>
      </c>
      <c r="G2" s="102">
        <v>45616.0</v>
      </c>
      <c r="H2" s="102">
        <v>45616.0</v>
      </c>
      <c r="I2" s="102">
        <v>45616.0</v>
      </c>
      <c r="J2" s="103">
        <v>45405.0</v>
      </c>
      <c r="K2" s="103">
        <v>45405.0</v>
      </c>
      <c r="L2" s="102">
        <v>45374.0</v>
      </c>
      <c r="M2" s="104">
        <v>45335.0</v>
      </c>
      <c r="N2" s="104">
        <v>45334.0</v>
      </c>
      <c r="O2" s="104">
        <v>45333.0</v>
      </c>
      <c r="P2" s="104">
        <v>45329.0</v>
      </c>
      <c r="Q2" s="104">
        <v>45307.0</v>
      </c>
      <c r="R2" s="104">
        <v>45266.0</v>
      </c>
      <c r="S2" s="104">
        <v>44231.0</v>
      </c>
      <c r="T2" s="168">
        <v>43501.0</v>
      </c>
      <c r="V2" s="34"/>
      <c r="W2" s="35"/>
      <c r="X2" s="35"/>
      <c r="Y2" s="35"/>
      <c r="Z2" s="36"/>
      <c r="AA2" s="36"/>
      <c r="AB2" s="36"/>
      <c r="AC2" s="36"/>
      <c r="AD2" s="37"/>
    </row>
    <row r="3">
      <c r="A3" s="112">
        <f t="shared" ref="A3:A52" si="1">RANK(F3,$F$3:$F$53)</f>
        <v>1</v>
      </c>
      <c r="B3" s="169" t="s">
        <v>455</v>
      </c>
      <c r="C3" s="169" t="s">
        <v>458</v>
      </c>
      <c r="D3" s="170" t="s">
        <v>459</v>
      </c>
      <c r="E3" s="163"/>
      <c r="F3" s="171">
        <f t="shared" ref="F3:F52" si="2">(COUNTIF($G3:T3,"No")+COUNTIF($G3:T3,"Yes (correct)")+(COUNTIF($G3:T3,"Present")*0.5))/((COUNTIF($G3:T3,"No")+(COUNTIF($G3:T3,"Yes")+COUNTIF($G3:T3,"Yes (correct)")+COUNTIF($G3:T3,"No (incorrect)")+(COUNTIF($G3:T3,"Present")))))</f>
        <v>1</v>
      </c>
      <c r="G3" s="172" t="s">
        <v>491</v>
      </c>
      <c r="H3" s="172" t="s">
        <v>491</v>
      </c>
      <c r="I3" s="172" t="s">
        <v>491</v>
      </c>
      <c r="J3" s="173" t="s">
        <v>53</v>
      </c>
      <c r="K3" s="173" t="s">
        <v>53</v>
      </c>
      <c r="L3" s="174" t="s">
        <v>53</v>
      </c>
      <c r="M3" s="174" t="s">
        <v>53</v>
      </c>
      <c r="N3" s="174" t="s">
        <v>53</v>
      </c>
      <c r="O3" s="174" t="s">
        <v>53</v>
      </c>
      <c r="P3" s="174" t="s">
        <v>53</v>
      </c>
      <c r="Q3" s="174" t="s">
        <v>53</v>
      </c>
      <c r="R3" s="175" t="s">
        <v>53</v>
      </c>
      <c r="S3" s="176" t="s">
        <v>53</v>
      </c>
      <c r="T3" s="176" t="s">
        <v>53</v>
      </c>
      <c r="U3" s="61"/>
      <c r="V3" s="62">
        <v>2007.0</v>
      </c>
      <c r="W3" s="63"/>
      <c r="X3" s="64">
        <f t="shared" ref="X3:X53" si="3">Z3-AA3</f>
        <v>0.3542</v>
      </c>
      <c r="Y3" s="64">
        <f t="shared" ref="Y3:Y53" si="4">AB3-AC3</f>
        <v>0.264</v>
      </c>
      <c r="Z3" s="65">
        <v>0.6609</v>
      </c>
      <c r="AA3" s="65">
        <v>0.3067</v>
      </c>
      <c r="AB3" s="65">
        <v>0.5670000000000001</v>
      </c>
      <c r="AC3" s="65">
        <v>0.303</v>
      </c>
      <c r="AD3" s="62">
        <v>2024.0</v>
      </c>
    </row>
    <row r="4">
      <c r="A4" s="112">
        <f t="shared" si="1"/>
        <v>2</v>
      </c>
      <c r="B4" s="178" t="s">
        <v>529</v>
      </c>
      <c r="C4" s="178" t="s">
        <v>530</v>
      </c>
      <c r="D4" s="170" t="s">
        <v>532</v>
      </c>
      <c r="E4" s="114" t="s">
        <v>1926</v>
      </c>
      <c r="F4" s="171">
        <f t="shared" si="2"/>
        <v>0.6428571429</v>
      </c>
      <c r="G4" s="172" t="s">
        <v>491</v>
      </c>
      <c r="H4" s="172" t="s">
        <v>491</v>
      </c>
      <c r="I4" s="172" t="s">
        <v>491</v>
      </c>
      <c r="J4" s="173" t="s">
        <v>53</v>
      </c>
      <c r="K4" s="173" t="s">
        <v>53</v>
      </c>
      <c r="L4" s="174" t="s">
        <v>561</v>
      </c>
      <c r="M4" s="174" t="s">
        <v>53</v>
      </c>
      <c r="N4" s="174" t="s">
        <v>53</v>
      </c>
      <c r="O4" s="174" t="s">
        <v>561</v>
      </c>
      <c r="P4" s="174" t="s">
        <v>561</v>
      </c>
      <c r="Q4" s="174" t="s">
        <v>53</v>
      </c>
      <c r="R4" s="174" t="s">
        <v>561</v>
      </c>
      <c r="S4" s="176" t="s">
        <v>561</v>
      </c>
      <c r="T4" s="176" t="s">
        <v>53</v>
      </c>
      <c r="U4" s="61"/>
      <c r="V4" s="62">
        <v>2009.0</v>
      </c>
      <c r="W4" s="63"/>
      <c r="X4" s="64">
        <f t="shared" si="3"/>
        <v>0.1608</v>
      </c>
      <c r="Y4" s="64">
        <f t="shared" si="4"/>
        <v>0.11</v>
      </c>
      <c r="Z4" s="65">
        <v>0.5645</v>
      </c>
      <c r="AA4" s="65">
        <v>0.4037</v>
      </c>
      <c r="AB4" s="65">
        <v>0.501</v>
      </c>
      <c r="AC4" s="65">
        <v>0.391</v>
      </c>
      <c r="AD4" s="62">
        <v>2026.0</v>
      </c>
    </row>
    <row r="5">
      <c r="A5" s="112">
        <f t="shared" si="1"/>
        <v>3</v>
      </c>
      <c r="B5" s="178" t="s">
        <v>675</v>
      </c>
      <c r="C5" s="178" t="s">
        <v>676</v>
      </c>
      <c r="D5" s="170" t="s">
        <v>677</v>
      </c>
      <c r="E5" s="159" t="s">
        <v>1938</v>
      </c>
      <c r="F5" s="171">
        <f t="shared" si="2"/>
        <v>0.5</v>
      </c>
      <c r="G5" s="172" t="s">
        <v>491</v>
      </c>
      <c r="H5" s="172" t="s">
        <v>491</v>
      </c>
      <c r="I5" s="172" t="s">
        <v>491</v>
      </c>
      <c r="J5" s="179" t="s">
        <v>561</v>
      </c>
      <c r="K5" s="179" t="s">
        <v>561</v>
      </c>
      <c r="L5" s="174" t="s">
        <v>561</v>
      </c>
      <c r="M5" s="174" t="s">
        <v>561</v>
      </c>
      <c r="N5" s="174" t="s">
        <v>561</v>
      </c>
      <c r="O5" s="174" t="s">
        <v>561</v>
      </c>
      <c r="P5" s="174" t="s">
        <v>53</v>
      </c>
      <c r="Q5" s="174" t="s">
        <v>53</v>
      </c>
      <c r="R5" s="174" t="s">
        <v>561</v>
      </c>
      <c r="S5" s="176" t="s">
        <v>53</v>
      </c>
      <c r="T5" s="176" t="s">
        <v>53</v>
      </c>
      <c r="U5" s="61"/>
      <c r="V5" s="62">
        <v>2013.0</v>
      </c>
      <c r="W5" s="63"/>
      <c r="X5" s="64">
        <f t="shared" si="3"/>
        <v>0.3346</v>
      </c>
      <c r="Y5" s="64">
        <f t="shared" si="4"/>
        <v>0.272</v>
      </c>
      <c r="Z5" s="65">
        <v>0.656</v>
      </c>
      <c r="AA5" s="65">
        <v>0.3214</v>
      </c>
      <c r="AB5" s="65">
        <v>0.6</v>
      </c>
      <c r="AC5" s="65">
        <v>0.32799999999999996</v>
      </c>
      <c r="AD5" s="62">
        <v>2024.0</v>
      </c>
    </row>
    <row r="6">
      <c r="A6" s="112">
        <f t="shared" si="1"/>
        <v>3</v>
      </c>
      <c r="B6" s="178" t="s">
        <v>611</v>
      </c>
      <c r="C6" s="178" t="s">
        <v>613</v>
      </c>
      <c r="D6" s="170" t="s">
        <v>459</v>
      </c>
      <c r="E6" s="114" t="s">
        <v>1926</v>
      </c>
      <c r="F6" s="171">
        <f t="shared" si="2"/>
        <v>0.5</v>
      </c>
      <c r="G6" s="172" t="s">
        <v>491</v>
      </c>
      <c r="H6" s="172" t="s">
        <v>491</v>
      </c>
      <c r="I6" s="172" t="s">
        <v>491</v>
      </c>
      <c r="J6" s="173" t="s">
        <v>53</v>
      </c>
      <c r="K6" s="179" t="s">
        <v>561</v>
      </c>
      <c r="L6" s="174" t="s">
        <v>561</v>
      </c>
      <c r="M6" s="174" t="s">
        <v>53</v>
      </c>
      <c r="N6" s="174" t="s">
        <v>561</v>
      </c>
      <c r="O6" s="174" t="s">
        <v>561</v>
      </c>
      <c r="P6" s="174" t="s">
        <v>561</v>
      </c>
      <c r="Q6" s="174" t="s">
        <v>53</v>
      </c>
      <c r="R6" s="174" t="s">
        <v>561</v>
      </c>
      <c r="S6" s="176" t="s">
        <v>600</v>
      </c>
      <c r="T6" s="176" t="s">
        <v>600</v>
      </c>
      <c r="U6" s="61"/>
      <c r="V6" s="82">
        <v>2023.0</v>
      </c>
      <c r="W6" s="63"/>
      <c r="X6" s="64">
        <f t="shared" si="3"/>
        <v>0.3542</v>
      </c>
      <c r="Y6" s="64">
        <f t="shared" si="4"/>
        <v>0.264</v>
      </c>
      <c r="Z6" s="65">
        <v>0.6609</v>
      </c>
      <c r="AA6" s="65">
        <v>0.3067</v>
      </c>
      <c r="AB6" s="65">
        <v>0.5670000000000001</v>
      </c>
      <c r="AC6" s="65">
        <v>0.303</v>
      </c>
      <c r="AD6" s="62">
        <v>2028.0</v>
      </c>
    </row>
    <row r="7">
      <c r="A7" s="112">
        <f t="shared" si="1"/>
        <v>5</v>
      </c>
      <c r="B7" s="178" t="s">
        <v>548</v>
      </c>
      <c r="C7" s="178" t="s">
        <v>724</v>
      </c>
      <c r="D7" s="170" t="s">
        <v>677</v>
      </c>
      <c r="E7" s="170"/>
      <c r="F7" s="171">
        <f t="shared" si="2"/>
        <v>0.4285714286</v>
      </c>
      <c r="G7" s="172" t="s">
        <v>491</v>
      </c>
      <c r="H7" s="172" t="s">
        <v>491</v>
      </c>
      <c r="I7" s="172" t="s">
        <v>491</v>
      </c>
      <c r="J7" s="179" t="s">
        <v>561</v>
      </c>
      <c r="K7" s="179" t="s">
        <v>561</v>
      </c>
      <c r="L7" s="174" t="s">
        <v>561</v>
      </c>
      <c r="M7" s="174" t="s">
        <v>561</v>
      </c>
      <c r="N7" s="174" t="s">
        <v>561</v>
      </c>
      <c r="O7" s="174" t="s">
        <v>561</v>
      </c>
      <c r="P7" s="174" t="s">
        <v>53</v>
      </c>
      <c r="Q7" s="174" t="s">
        <v>53</v>
      </c>
      <c r="R7" s="174" t="s">
        <v>561</v>
      </c>
      <c r="S7" s="176" t="s">
        <v>561</v>
      </c>
      <c r="T7" s="176" t="s">
        <v>53</v>
      </c>
      <c r="U7" s="61"/>
      <c r="V7" s="62" t="s">
        <v>743</v>
      </c>
      <c r="W7" s="63"/>
      <c r="X7" s="64">
        <f t="shared" si="3"/>
        <v>0.3346</v>
      </c>
      <c r="Y7" s="64">
        <f t="shared" si="4"/>
        <v>0.272</v>
      </c>
      <c r="Z7" s="65">
        <v>0.656</v>
      </c>
      <c r="AA7" s="65">
        <v>0.3214</v>
      </c>
      <c r="AB7" s="65">
        <v>0.6</v>
      </c>
      <c r="AC7" s="65">
        <v>0.32799999999999996</v>
      </c>
      <c r="AD7" s="62">
        <v>2026.0</v>
      </c>
    </row>
    <row r="8">
      <c r="A8" s="112">
        <f t="shared" si="1"/>
        <v>6</v>
      </c>
      <c r="B8" s="178" t="s">
        <v>928</v>
      </c>
      <c r="C8" s="178" t="s">
        <v>930</v>
      </c>
      <c r="D8" s="170" t="s">
        <v>932</v>
      </c>
      <c r="E8" s="170"/>
      <c r="F8" s="171">
        <f t="shared" si="2"/>
        <v>0.3571428571</v>
      </c>
      <c r="G8" s="172" t="s">
        <v>491</v>
      </c>
      <c r="H8" s="172" t="s">
        <v>491</v>
      </c>
      <c r="I8" s="172" t="s">
        <v>491</v>
      </c>
      <c r="J8" s="179" t="s">
        <v>561</v>
      </c>
      <c r="K8" s="179" t="s">
        <v>561</v>
      </c>
      <c r="L8" s="174" t="s">
        <v>561</v>
      </c>
      <c r="M8" s="174" t="s">
        <v>561</v>
      </c>
      <c r="N8" s="174" t="s">
        <v>561</v>
      </c>
      <c r="O8" s="174" t="s">
        <v>561</v>
      </c>
      <c r="P8" s="174" t="s">
        <v>561</v>
      </c>
      <c r="Q8" s="174" t="s">
        <v>53</v>
      </c>
      <c r="R8" s="174" t="s">
        <v>561</v>
      </c>
      <c r="S8" s="176" t="s">
        <v>561</v>
      </c>
      <c r="T8" s="176" t="s">
        <v>53</v>
      </c>
      <c r="U8" s="61"/>
      <c r="V8" s="62">
        <v>2013.0</v>
      </c>
      <c r="W8" s="63"/>
      <c r="X8" s="64">
        <f t="shared" si="3"/>
        <v>0.1079</v>
      </c>
      <c r="Y8" s="64">
        <f t="shared" si="4"/>
        <v>0.083</v>
      </c>
      <c r="Z8" s="65">
        <v>0.5429</v>
      </c>
      <c r="AA8" s="65">
        <v>0.435</v>
      </c>
      <c r="AB8" s="65">
        <v>0.483</v>
      </c>
      <c r="AC8" s="65">
        <v>0.4</v>
      </c>
      <c r="AD8" s="62">
        <v>2024.0</v>
      </c>
    </row>
    <row r="9">
      <c r="A9" s="112">
        <f t="shared" si="1"/>
        <v>6</v>
      </c>
      <c r="B9" s="178" t="s">
        <v>699</v>
      </c>
      <c r="C9" s="178" t="s">
        <v>700</v>
      </c>
      <c r="D9" s="170" t="s">
        <v>703</v>
      </c>
      <c r="E9" s="170"/>
      <c r="F9" s="171">
        <f t="shared" si="2"/>
        <v>0.3571428571</v>
      </c>
      <c r="G9" s="172" t="s">
        <v>491</v>
      </c>
      <c r="H9" s="172" t="s">
        <v>491</v>
      </c>
      <c r="I9" s="172" t="s">
        <v>491</v>
      </c>
      <c r="J9" s="179" t="s">
        <v>561</v>
      </c>
      <c r="K9" s="179" t="s">
        <v>561</v>
      </c>
      <c r="L9" s="174" t="s">
        <v>561</v>
      </c>
      <c r="M9" s="174" t="s">
        <v>561</v>
      </c>
      <c r="N9" s="174" t="s">
        <v>561</v>
      </c>
      <c r="O9" s="174" t="s">
        <v>561</v>
      </c>
      <c r="P9" s="174" t="s">
        <v>561</v>
      </c>
      <c r="Q9" s="174" t="s">
        <v>53</v>
      </c>
      <c r="R9" s="174" t="s">
        <v>561</v>
      </c>
      <c r="S9" s="176" t="s">
        <v>561</v>
      </c>
      <c r="T9" s="176" t="s">
        <v>53</v>
      </c>
      <c r="U9" s="61"/>
      <c r="V9" s="62">
        <v>2013.0</v>
      </c>
      <c r="W9" s="63"/>
      <c r="X9" s="64">
        <f t="shared" si="3"/>
        <v>0.2946</v>
      </c>
      <c r="Y9" s="64">
        <f t="shared" si="4"/>
        <v>0.322</v>
      </c>
      <c r="Z9" s="65">
        <v>0.6373</v>
      </c>
      <c r="AA9" s="65">
        <v>0.3427</v>
      </c>
      <c r="AB9" s="65">
        <v>0.622</v>
      </c>
      <c r="AC9" s="65">
        <v>0.3</v>
      </c>
      <c r="AD9" s="62">
        <v>2024.0</v>
      </c>
    </row>
    <row r="10">
      <c r="A10" s="112">
        <f t="shared" si="1"/>
        <v>6</v>
      </c>
      <c r="B10" s="178" t="s">
        <v>643</v>
      </c>
      <c r="C10" s="178" t="s">
        <v>645</v>
      </c>
      <c r="D10" s="170" t="s">
        <v>646</v>
      </c>
      <c r="E10" s="114" t="s">
        <v>1926</v>
      </c>
      <c r="F10" s="171">
        <f t="shared" si="2"/>
        <v>0.3571428571</v>
      </c>
      <c r="G10" s="172" t="s">
        <v>491</v>
      </c>
      <c r="H10" s="172" t="s">
        <v>491</v>
      </c>
      <c r="I10" s="172" t="s">
        <v>491</v>
      </c>
      <c r="J10" s="179" t="s">
        <v>561</v>
      </c>
      <c r="K10" s="179" t="s">
        <v>561</v>
      </c>
      <c r="L10" s="174" t="s">
        <v>561</v>
      </c>
      <c r="M10" s="174" t="s">
        <v>561</v>
      </c>
      <c r="N10" s="174" t="s">
        <v>561</v>
      </c>
      <c r="O10" s="174" t="s">
        <v>561</v>
      </c>
      <c r="P10" s="174" t="s">
        <v>561</v>
      </c>
      <c r="Q10" s="174" t="s">
        <v>53</v>
      </c>
      <c r="R10" s="174" t="s">
        <v>561</v>
      </c>
      <c r="S10" s="176" t="s">
        <v>561</v>
      </c>
      <c r="T10" s="176" t="s">
        <v>53</v>
      </c>
      <c r="U10" s="61"/>
      <c r="V10" s="62">
        <v>2017.0</v>
      </c>
      <c r="W10" s="63"/>
      <c r="X10" s="64">
        <f t="shared" si="3"/>
        <v>0.3321</v>
      </c>
      <c r="Y10" s="64">
        <f t="shared" si="4"/>
        <v>0.264</v>
      </c>
      <c r="Z10" s="65">
        <v>0.6536</v>
      </c>
      <c r="AA10" s="65">
        <v>0.3215</v>
      </c>
      <c r="AB10" s="65">
        <v>0.603</v>
      </c>
      <c r="AC10" s="65">
        <v>0.33899999999999997</v>
      </c>
      <c r="AD10" s="62">
        <v>2028.0</v>
      </c>
    </row>
    <row r="11">
      <c r="A11" s="112">
        <f t="shared" si="1"/>
        <v>9</v>
      </c>
      <c r="B11" s="178" t="s">
        <v>954</v>
      </c>
      <c r="C11" s="178" t="s">
        <v>956</v>
      </c>
      <c r="D11" s="170" t="s">
        <v>932</v>
      </c>
      <c r="E11" s="170"/>
      <c r="F11" s="171">
        <f t="shared" si="2"/>
        <v>0.3076923077</v>
      </c>
      <c r="G11" s="172" t="s">
        <v>491</v>
      </c>
      <c r="H11" s="172" t="s">
        <v>491</v>
      </c>
      <c r="I11" s="172" t="s">
        <v>491</v>
      </c>
      <c r="J11" s="179" t="s">
        <v>561</v>
      </c>
      <c r="K11" s="179" t="s">
        <v>561</v>
      </c>
      <c r="L11" s="174" t="s">
        <v>561</v>
      </c>
      <c r="M11" s="174" t="s">
        <v>561</v>
      </c>
      <c r="N11" s="174" t="s">
        <v>561</v>
      </c>
      <c r="O11" s="174" t="s">
        <v>561</v>
      </c>
      <c r="P11" s="174" t="s">
        <v>561</v>
      </c>
      <c r="Q11" s="174" t="s">
        <v>53</v>
      </c>
      <c r="R11" s="174" t="s">
        <v>561</v>
      </c>
      <c r="S11" s="176" t="s">
        <v>561</v>
      </c>
      <c r="T11" s="176" t="s">
        <v>600</v>
      </c>
      <c r="U11" s="61"/>
      <c r="V11" s="62">
        <v>2021.0</v>
      </c>
      <c r="W11" s="63"/>
      <c r="X11" s="64">
        <f t="shared" si="3"/>
        <v>0.1079</v>
      </c>
      <c r="Y11" s="64">
        <f t="shared" si="4"/>
        <v>0.083</v>
      </c>
      <c r="Z11" s="65">
        <v>0.5429</v>
      </c>
      <c r="AA11" s="65">
        <v>0.435</v>
      </c>
      <c r="AB11" s="65">
        <v>0.483</v>
      </c>
      <c r="AC11" s="65">
        <v>0.4</v>
      </c>
      <c r="AD11" s="62">
        <v>2026.0</v>
      </c>
    </row>
    <row r="12">
      <c r="A12" s="112">
        <f t="shared" si="1"/>
        <v>9</v>
      </c>
      <c r="B12" s="178" t="s">
        <v>1028</v>
      </c>
      <c r="C12" s="178" t="s">
        <v>1030</v>
      </c>
      <c r="D12" s="170" t="s">
        <v>703</v>
      </c>
      <c r="E12" s="170"/>
      <c r="F12" s="171">
        <f t="shared" si="2"/>
        <v>0.3076923077</v>
      </c>
      <c r="G12" s="172" t="s">
        <v>491</v>
      </c>
      <c r="H12" s="172" t="s">
        <v>491</v>
      </c>
      <c r="I12" s="172" t="s">
        <v>491</v>
      </c>
      <c r="J12" s="179" t="s">
        <v>561</v>
      </c>
      <c r="K12" s="179" t="s">
        <v>561</v>
      </c>
      <c r="L12" s="174" t="s">
        <v>561</v>
      </c>
      <c r="M12" s="174" t="s">
        <v>561</v>
      </c>
      <c r="N12" s="174" t="s">
        <v>561</v>
      </c>
      <c r="O12" s="174" t="s">
        <v>561</v>
      </c>
      <c r="P12" s="174" t="s">
        <v>561</v>
      </c>
      <c r="Q12" s="174" t="s">
        <v>801</v>
      </c>
      <c r="R12" s="174" t="s">
        <v>561</v>
      </c>
      <c r="S12" s="176" t="s">
        <v>561</v>
      </c>
      <c r="T12" s="176" t="s">
        <v>53</v>
      </c>
      <c r="U12" s="61"/>
      <c r="V12" s="62" t="s">
        <v>1047</v>
      </c>
      <c r="W12" s="63"/>
      <c r="X12" s="64">
        <f t="shared" si="3"/>
        <v>0.2946</v>
      </c>
      <c r="Y12" s="64">
        <f t="shared" si="4"/>
        <v>0.322</v>
      </c>
      <c r="Z12" s="65">
        <v>0.6373</v>
      </c>
      <c r="AA12" s="65">
        <v>0.3427</v>
      </c>
      <c r="AB12" s="65">
        <v>0.622</v>
      </c>
      <c r="AC12" s="65">
        <v>0.3</v>
      </c>
      <c r="AD12" s="62">
        <v>2028.0</v>
      </c>
    </row>
    <row r="13">
      <c r="A13" s="112">
        <f t="shared" si="1"/>
        <v>11</v>
      </c>
      <c r="B13" s="178" t="s">
        <v>843</v>
      </c>
      <c r="C13" s="178" t="s">
        <v>846</v>
      </c>
      <c r="D13" s="170" t="s">
        <v>848</v>
      </c>
      <c r="E13" s="114" t="s">
        <v>1926</v>
      </c>
      <c r="F13" s="171">
        <f t="shared" si="2"/>
        <v>0.2857142857</v>
      </c>
      <c r="G13" s="172" t="s">
        <v>491</v>
      </c>
      <c r="H13" s="172" t="s">
        <v>491</v>
      </c>
      <c r="I13" s="172" t="s">
        <v>491</v>
      </c>
      <c r="J13" s="179" t="s">
        <v>561</v>
      </c>
      <c r="K13" s="179" t="s">
        <v>561</v>
      </c>
      <c r="L13" s="174" t="s">
        <v>561</v>
      </c>
      <c r="M13" s="174" t="s">
        <v>561</v>
      </c>
      <c r="N13" s="174" t="s">
        <v>561</v>
      </c>
      <c r="O13" s="174" t="s">
        <v>561</v>
      </c>
      <c r="P13" s="174" t="s">
        <v>561</v>
      </c>
      <c r="Q13" s="174" t="s">
        <v>561</v>
      </c>
      <c r="R13" s="174" t="s">
        <v>561</v>
      </c>
      <c r="S13" s="176" t="s">
        <v>561</v>
      </c>
      <c r="T13" s="176" t="s">
        <v>53</v>
      </c>
      <c r="U13" s="61"/>
      <c r="V13" s="62">
        <v>1997.0</v>
      </c>
      <c r="W13" s="63"/>
      <c r="X13" s="64">
        <f t="shared" si="3"/>
        <v>0.1699</v>
      </c>
      <c r="Y13" s="64">
        <f t="shared" si="4"/>
        <v>0.17</v>
      </c>
      <c r="Z13" s="65">
        <v>0.5754</v>
      </c>
      <c r="AA13" s="65">
        <v>0.4055</v>
      </c>
      <c r="AB13" s="65">
        <v>0.5579999999999999</v>
      </c>
      <c r="AC13" s="65">
        <v>0.38799999999999996</v>
      </c>
      <c r="AD13" s="62">
        <v>2026.0</v>
      </c>
    </row>
    <row r="14">
      <c r="A14" s="112">
        <f t="shared" si="1"/>
        <v>11</v>
      </c>
      <c r="B14" s="178" t="s">
        <v>1056</v>
      </c>
      <c r="C14" s="178" t="s">
        <v>1057</v>
      </c>
      <c r="D14" s="170" t="s">
        <v>1060</v>
      </c>
      <c r="E14" s="170"/>
      <c r="F14" s="171">
        <f t="shared" si="2"/>
        <v>0.2857142857</v>
      </c>
      <c r="G14" s="172" t="s">
        <v>491</v>
      </c>
      <c r="H14" s="172" t="s">
        <v>491</v>
      </c>
      <c r="I14" s="172" t="s">
        <v>491</v>
      </c>
      <c r="J14" s="179" t="s">
        <v>561</v>
      </c>
      <c r="K14" s="179" t="s">
        <v>561</v>
      </c>
      <c r="L14" s="174" t="s">
        <v>561</v>
      </c>
      <c r="M14" s="174" t="s">
        <v>561</v>
      </c>
      <c r="N14" s="174" t="s">
        <v>561</v>
      </c>
      <c r="O14" s="174" t="s">
        <v>561</v>
      </c>
      <c r="P14" s="174" t="s">
        <v>561</v>
      </c>
      <c r="Q14" s="174" t="s">
        <v>561</v>
      </c>
      <c r="R14" s="174" t="s">
        <v>561</v>
      </c>
      <c r="S14" s="176" t="s">
        <v>561</v>
      </c>
      <c r="T14" s="176" t="s">
        <v>53</v>
      </c>
      <c r="U14" s="61"/>
      <c r="V14" s="62">
        <v>2013.0</v>
      </c>
      <c r="W14" s="63"/>
      <c r="X14" s="64">
        <f t="shared" si="3"/>
        <v>0.1011</v>
      </c>
      <c r="Y14" s="64">
        <f t="shared" si="4"/>
        <v>0.053</v>
      </c>
      <c r="Z14" s="65">
        <v>0.5411</v>
      </c>
      <c r="AA14" s="65">
        <v>0.44</v>
      </c>
      <c r="AB14" s="65">
        <v>0.49700000000000005</v>
      </c>
      <c r="AC14" s="65">
        <v>0.444</v>
      </c>
      <c r="AD14" s="62">
        <v>2024.0</v>
      </c>
    </row>
    <row r="15">
      <c r="A15" s="112">
        <f t="shared" si="1"/>
        <v>11</v>
      </c>
      <c r="B15" s="178" t="s">
        <v>643</v>
      </c>
      <c r="C15" s="178" t="s">
        <v>1081</v>
      </c>
      <c r="D15" s="170" t="s">
        <v>1083</v>
      </c>
      <c r="E15" s="170"/>
      <c r="F15" s="171">
        <f t="shared" si="2"/>
        <v>0.2857142857</v>
      </c>
      <c r="G15" s="172" t="s">
        <v>491</v>
      </c>
      <c r="H15" s="172" t="s">
        <v>491</v>
      </c>
      <c r="I15" s="172" t="s">
        <v>491</v>
      </c>
      <c r="J15" s="179" t="s">
        <v>561</v>
      </c>
      <c r="K15" s="179" t="s">
        <v>561</v>
      </c>
      <c r="L15" s="174" t="s">
        <v>561</v>
      </c>
      <c r="M15" s="174" t="s">
        <v>561</v>
      </c>
      <c r="N15" s="174" t="s">
        <v>561</v>
      </c>
      <c r="O15" s="174" t="s">
        <v>561</v>
      </c>
      <c r="P15" s="174" t="s">
        <v>561</v>
      </c>
      <c r="Q15" s="174" t="s">
        <v>561</v>
      </c>
      <c r="R15" s="174" t="s">
        <v>561</v>
      </c>
      <c r="S15" s="176" t="s">
        <v>561</v>
      </c>
      <c r="T15" s="176" t="s">
        <v>53</v>
      </c>
      <c r="U15" s="61"/>
      <c r="V15" s="62">
        <v>2013.0</v>
      </c>
      <c r="W15" s="63"/>
      <c r="X15" s="64">
        <f t="shared" si="3"/>
        <v>0.2</v>
      </c>
      <c r="Y15" s="64">
        <f t="shared" si="4"/>
        <v>0.137</v>
      </c>
      <c r="Z15" s="65">
        <v>0.5920000000000001</v>
      </c>
      <c r="AA15" s="65">
        <v>0.392</v>
      </c>
      <c r="AB15" s="65">
        <v>0.546</v>
      </c>
      <c r="AC15" s="65">
        <v>0.409</v>
      </c>
      <c r="AD15" s="62">
        <v>2024.0</v>
      </c>
    </row>
    <row r="16">
      <c r="A16" s="112">
        <f t="shared" si="1"/>
        <v>11</v>
      </c>
      <c r="B16" s="178" t="s">
        <v>1180</v>
      </c>
      <c r="C16" s="178" t="s">
        <v>1181</v>
      </c>
      <c r="D16" s="170" t="s">
        <v>1182</v>
      </c>
      <c r="E16" s="170"/>
      <c r="F16" s="171">
        <f t="shared" si="2"/>
        <v>0.2857142857</v>
      </c>
      <c r="G16" s="172" t="s">
        <v>491</v>
      </c>
      <c r="H16" s="172" t="s">
        <v>491</v>
      </c>
      <c r="I16" s="172" t="s">
        <v>491</v>
      </c>
      <c r="J16" s="179" t="s">
        <v>561</v>
      </c>
      <c r="K16" s="179" t="s">
        <v>561</v>
      </c>
      <c r="L16" s="174" t="s">
        <v>561</v>
      </c>
      <c r="M16" s="174" t="s">
        <v>561</v>
      </c>
      <c r="N16" s="174" t="s">
        <v>561</v>
      </c>
      <c r="O16" s="174" t="s">
        <v>561</v>
      </c>
      <c r="P16" s="174" t="s">
        <v>561</v>
      </c>
      <c r="Q16" s="174" t="s">
        <v>561</v>
      </c>
      <c r="R16" s="174" t="s">
        <v>561</v>
      </c>
      <c r="S16" s="176" t="s">
        <v>561</v>
      </c>
      <c r="T16" s="176" t="s">
        <v>53</v>
      </c>
      <c r="U16" s="61"/>
      <c r="V16" s="62">
        <v>2009.0</v>
      </c>
      <c r="W16" s="63"/>
      <c r="X16" s="64">
        <f t="shared" si="3"/>
        <v>0.0735</v>
      </c>
      <c r="Y16" s="64">
        <f t="shared" si="4"/>
        <v>0.004</v>
      </c>
      <c r="Z16" s="65">
        <v>0.5271</v>
      </c>
      <c r="AA16" s="65">
        <v>0.4536</v>
      </c>
      <c r="AB16" s="65">
        <v>0.47</v>
      </c>
      <c r="AC16" s="65">
        <v>0.466</v>
      </c>
      <c r="AD16" s="62">
        <v>2026.0</v>
      </c>
    </row>
    <row r="17">
      <c r="A17" s="112">
        <f t="shared" si="1"/>
        <v>15</v>
      </c>
      <c r="B17" s="170" t="s">
        <v>908</v>
      </c>
      <c r="C17" s="170" t="s">
        <v>909</v>
      </c>
      <c r="D17" s="170" t="s">
        <v>910</v>
      </c>
      <c r="E17" s="170"/>
      <c r="F17" s="171">
        <f t="shared" si="2"/>
        <v>0.25</v>
      </c>
      <c r="G17" s="172" t="s">
        <v>491</v>
      </c>
      <c r="H17" s="172" t="s">
        <v>491</v>
      </c>
      <c r="I17" s="172" t="s">
        <v>491</v>
      </c>
      <c r="J17" s="179" t="s">
        <v>561</v>
      </c>
      <c r="K17" s="179" t="s">
        <v>561</v>
      </c>
      <c r="L17" s="174" t="s">
        <v>561</v>
      </c>
      <c r="M17" s="174" t="s">
        <v>561</v>
      </c>
      <c r="N17" s="174" t="s">
        <v>561</v>
      </c>
      <c r="O17" s="182" t="s">
        <v>2089</v>
      </c>
      <c r="P17" s="174" t="s">
        <v>561</v>
      </c>
      <c r="Q17" s="174" t="s">
        <v>561</v>
      </c>
      <c r="R17" s="174" t="s">
        <v>561</v>
      </c>
      <c r="S17" s="176" t="s">
        <v>561</v>
      </c>
      <c r="T17" s="176" t="s">
        <v>600</v>
      </c>
      <c r="U17" s="61"/>
      <c r="V17" s="62">
        <v>2021.0</v>
      </c>
      <c r="W17" s="63"/>
      <c r="X17" s="64">
        <f t="shared" si="3"/>
        <v>0.0023</v>
      </c>
      <c r="Y17" s="64">
        <f t="shared" si="4"/>
        <v>-0.0509</v>
      </c>
      <c r="Z17" s="65">
        <v>0.4947</v>
      </c>
      <c r="AA17" s="65">
        <v>0.4924</v>
      </c>
      <c r="AB17" s="65">
        <v>0.4535</v>
      </c>
      <c r="AC17" s="65">
        <v>0.5044</v>
      </c>
      <c r="AD17" s="62">
        <v>2028.0</v>
      </c>
    </row>
    <row r="18">
      <c r="A18" s="112">
        <f t="shared" si="1"/>
        <v>16</v>
      </c>
      <c r="B18" s="169" t="s">
        <v>1158</v>
      </c>
      <c r="C18" s="169" t="s">
        <v>1159</v>
      </c>
      <c r="D18" s="170" t="s">
        <v>1160</v>
      </c>
      <c r="E18" s="170"/>
      <c r="F18" s="171">
        <f t="shared" si="2"/>
        <v>0.2142857143</v>
      </c>
      <c r="G18" s="172" t="s">
        <v>491</v>
      </c>
      <c r="H18" s="172" t="s">
        <v>491</v>
      </c>
      <c r="I18" s="172" t="s">
        <v>491</v>
      </c>
      <c r="J18" s="179" t="s">
        <v>561</v>
      </c>
      <c r="K18" s="179" t="s">
        <v>561</v>
      </c>
      <c r="L18" s="174" t="s">
        <v>561</v>
      </c>
      <c r="M18" s="174" t="s">
        <v>561</v>
      </c>
      <c r="N18" s="174" t="s">
        <v>561</v>
      </c>
      <c r="O18" s="174" t="s">
        <v>561</v>
      </c>
      <c r="P18" s="174" t="s">
        <v>561</v>
      </c>
      <c r="Q18" s="174" t="s">
        <v>561</v>
      </c>
      <c r="R18" s="174" t="s">
        <v>561</v>
      </c>
      <c r="S18" s="176" t="s">
        <v>561</v>
      </c>
      <c r="T18" s="176" t="s">
        <v>561</v>
      </c>
      <c r="U18" s="61">
        <v>12580.0</v>
      </c>
      <c r="V18" s="62">
        <v>2013.0</v>
      </c>
      <c r="W18" s="63"/>
      <c r="X18" s="64">
        <f t="shared" si="3"/>
        <v>0.0907</v>
      </c>
      <c r="Y18" s="64">
        <f t="shared" si="4"/>
        <v>0.029</v>
      </c>
      <c r="Z18" s="65">
        <v>0.5309</v>
      </c>
      <c r="AA18" s="65">
        <v>0.4402</v>
      </c>
      <c r="AB18" s="65">
        <v>0.478</v>
      </c>
      <c r="AC18" s="65">
        <v>0.449</v>
      </c>
      <c r="AD18" s="62">
        <v>2024.0</v>
      </c>
    </row>
    <row r="19">
      <c r="A19" s="112">
        <f t="shared" si="1"/>
        <v>16</v>
      </c>
      <c r="B19" s="178" t="s">
        <v>876</v>
      </c>
      <c r="C19" s="178" t="s">
        <v>877</v>
      </c>
      <c r="D19" s="170" t="s">
        <v>878</v>
      </c>
      <c r="E19" s="170"/>
      <c r="F19" s="171">
        <f t="shared" si="2"/>
        <v>0.2142857143</v>
      </c>
      <c r="G19" s="172" t="s">
        <v>491</v>
      </c>
      <c r="H19" s="172" t="s">
        <v>491</v>
      </c>
      <c r="I19" s="172" t="s">
        <v>491</v>
      </c>
      <c r="J19" s="179" t="s">
        <v>561</v>
      </c>
      <c r="K19" s="179" t="s">
        <v>561</v>
      </c>
      <c r="L19" s="174" t="s">
        <v>561</v>
      </c>
      <c r="M19" s="174" t="s">
        <v>561</v>
      </c>
      <c r="N19" s="174" t="s">
        <v>561</v>
      </c>
      <c r="O19" s="174" t="s">
        <v>561</v>
      </c>
      <c r="P19" s="174" t="s">
        <v>561</v>
      </c>
      <c r="Q19" s="174" t="s">
        <v>561</v>
      </c>
      <c r="R19" s="174" t="s">
        <v>561</v>
      </c>
      <c r="S19" s="176" t="s">
        <v>561</v>
      </c>
      <c r="T19" s="176" t="s">
        <v>561</v>
      </c>
      <c r="U19" s="61"/>
      <c r="V19" s="62" t="s">
        <v>896</v>
      </c>
      <c r="W19" s="63"/>
      <c r="X19" s="64">
        <f t="shared" si="3"/>
        <v>0.0712</v>
      </c>
      <c r="Y19" s="64">
        <f t="shared" si="4"/>
        <v>0.015</v>
      </c>
      <c r="Z19" s="65">
        <v>0.524</v>
      </c>
      <c r="AA19" s="65">
        <v>0.4528</v>
      </c>
      <c r="AB19" s="65">
        <v>0.46399999999999997</v>
      </c>
      <c r="AC19" s="65">
        <v>0.449</v>
      </c>
      <c r="AD19" s="62">
        <v>2026.0</v>
      </c>
    </row>
    <row r="20">
      <c r="A20" s="112">
        <f t="shared" si="1"/>
        <v>18</v>
      </c>
      <c r="B20" s="178" t="s">
        <v>988</v>
      </c>
      <c r="C20" s="178" t="s">
        <v>989</v>
      </c>
      <c r="D20" s="170" t="s">
        <v>991</v>
      </c>
      <c r="E20" s="159" t="s">
        <v>1938</v>
      </c>
      <c r="F20" s="171">
        <f t="shared" si="2"/>
        <v>0.1785714286</v>
      </c>
      <c r="G20" s="172" t="s">
        <v>799</v>
      </c>
      <c r="H20" s="172" t="s">
        <v>799</v>
      </c>
      <c r="I20" s="172" t="s">
        <v>799</v>
      </c>
      <c r="J20" s="179" t="s">
        <v>561</v>
      </c>
      <c r="K20" s="179" t="s">
        <v>561</v>
      </c>
      <c r="L20" s="174" t="s">
        <v>561</v>
      </c>
      <c r="M20" s="174" t="s">
        <v>561</v>
      </c>
      <c r="N20" s="174" t="s">
        <v>561</v>
      </c>
      <c r="O20" s="174" t="s">
        <v>561</v>
      </c>
      <c r="P20" s="174" t="s">
        <v>561</v>
      </c>
      <c r="Q20" s="174" t="s">
        <v>561</v>
      </c>
      <c r="R20" s="174" t="s">
        <v>561</v>
      </c>
      <c r="S20" s="176" t="s">
        <v>561</v>
      </c>
      <c r="T20" s="176" t="s">
        <v>53</v>
      </c>
      <c r="U20" s="61"/>
      <c r="V20" s="62">
        <v>2013.0</v>
      </c>
      <c r="W20" s="63"/>
      <c r="X20" s="64">
        <f t="shared" si="3"/>
        <v>0.0063</v>
      </c>
      <c r="Y20" s="64">
        <f t="shared" si="4"/>
        <v>-0.007</v>
      </c>
      <c r="Z20" s="65">
        <v>0.4945</v>
      </c>
      <c r="AA20" s="65">
        <v>0.4882</v>
      </c>
      <c r="AB20" s="65">
        <v>0.465</v>
      </c>
      <c r="AC20" s="65">
        <v>0.47200000000000003</v>
      </c>
      <c r="AD20" s="62">
        <v>2024.0</v>
      </c>
    </row>
    <row r="21">
      <c r="A21" s="112">
        <f t="shared" si="1"/>
        <v>19</v>
      </c>
      <c r="B21" s="178" t="s">
        <v>1212</v>
      </c>
      <c r="C21" s="178" t="s">
        <v>1213</v>
      </c>
      <c r="D21" s="170" t="s">
        <v>910</v>
      </c>
      <c r="E21" s="170"/>
      <c r="F21" s="171">
        <f t="shared" si="2"/>
        <v>0.1538461538</v>
      </c>
      <c r="G21" s="172" t="s">
        <v>766</v>
      </c>
      <c r="H21" s="172" t="s">
        <v>491</v>
      </c>
      <c r="I21" s="172" t="s">
        <v>491</v>
      </c>
      <c r="J21" s="179" t="s">
        <v>561</v>
      </c>
      <c r="K21" s="179" t="s">
        <v>561</v>
      </c>
      <c r="L21" s="174" t="s">
        <v>561</v>
      </c>
      <c r="M21" s="174" t="s">
        <v>561</v>
      </c>
      <c r="N21" s="174" t="s">
        <v>561</v>
      </c>
      <c r="O21" s="174" t="s">
        <v>561</v>
      </c>
      <c r="P21" s="174" t="s">
        <v>561</v>
      </c>
      <c r="Q21" s="174" t="s">
        <v>561</v>
      </c>
      <c r="R21" s="174" t="s">
        <v>561</v>
      </c>
      <c r="S21" s="176" t="s">
        <v>561</v>
      </c>
      <c r="T21" s="176" t="s">
        <v>600</v>
      </c>
      <c r="U21" s="61"/>
      <c r="V21" s="62">
        <v>2021.0</v>
      </c>
      <c r="W21" s="63"/>
      <c r="X21" s="64">
        <f t="shared" si="3"/>
        <v>0.0023</v>
      </c>
      <c r="Y21" s="64">
        <f t="shared" si="4"/>
        <v>-0.0509</v>
      </c>
      <c r="Z21" s="65">
        <v>0.4947</v>
      </c>
      <c r="AA21" s="65">
        <v>0.4924</v>
      </c>
      <c r="AB21" s="65">
        <v>0.4535</v>
      </c>
      <c r="AC21" s="65">
        <v>0.5044</v>
      </c>
      <c r="AD21" s="62">
        <v>2026.0</v>
      </c>
    </row>
    <row r="22">
      <c r="A22" s="112">
        <f t="shared" si="1"/>
        <v>20</v>
      </c>
      <c r="B22" s="170" t="s">
        <v>1486</v>
      </c>
      <c r="C22" s="170" t="s">
        <v>2151</v>
      </c>
      <c r="D22" s="170" t="s">
        <v>788</v>
      </c>
      <c r="E22" s="170"/>
      <c r="F22" s="171">
        <f t="shared" si="2"/>
        <v>0.1428571429</v>
      </c>
      <c r="G22" s="172" t="s">
        <v>766</v>
      </c>
      <c r="H22" s="172" t="s">
        <v>766</v>
      </c>
      <c r="I22" s="172" t="s">
        <v>766</v>
      </c>
      <c r="J22" s="179" t="s">
        <v>561</v>
      </c>
      <c r="K22" s="179" t="s">
        <v>561</v>
      </c>
      <c r="L22" s="174" t="s">
        <v>561</v>
      </c>
      <c r="M22" s="174" t="s">
        <v>561</v>
      </c>
      <c r="N22" s="174" t="s">
        <v>561</v>
      </c>
      <c r="O22" s="174" t="s">
        <v>561</v>
      </c>
      <c r="P22" s="174" t="s">
        <v>561</v>
      </c>
      <c r="Q22" s="174" t="s">
        <v>561</v>
      </c>
      <c r="R22" s="174" t="s">
        <v>561</v>
      </c>
      <c r="S22" s="176" t="s">
        <v>53</v>
      </c>
      <c r="T22" s="176" t="s">
        <v>53</v>
      </c>
      <c r="U22" s="61"/>
      <c r="V22" s="62">
        <v>2001.0</v>
      </c>
      <c r="W22" s="63"/>
      <c r="X22" s="64">
        <f t="shared" si="3"/>
        <v>0.1897</v>
      </c>
      <c r="Y22" s="64">
        <f t="shared" si="4"/>
        <v>0.114</v>
      </c>
      <c r="Z22" s="65">
        <v>0.5874</v>
      </c>
      <c r="AA22" s="65">
        <v>0.3977</v>
      </c>
      <c r="AB22" s="65">
        <v>0.531</v>
      </c>
      <c r="AC22" s="65">
        <v>0.41700000000000004</v>
      </c>
      <c r="AD22" s="62">
        <v>2024.0</v>
      </c>
    </row>
    <row r="23">
      <c r="A23" s="112">
        <f t="shared" si="1"/>
        <v>21</v>
      </c>
      <c r="B23" s="170" t="s">
        <v>2160</v>
      </c>
      <c r="C23" s="170" t="s">
        <v>2161</v>
      </c>
      <c r="D23" s="170" t="s">
        <v>1197</v>
      </c>
      <c r="E23" s="170"/>
      <c r="F23" s="171">
        <f t="shared" si="2"/>
        <v>0.08333333333</v>
      </c>
      <c r="G23" s="172" t="s">
        <v>766</v>
      </c>
      <c r="H23" s="172" t="s">
        <v>766</v>
      </c>
      <c r="I23" s="172" t="s">
        <v>766</v>
      </c>
      <c r="J23" s="179" t="s">
        <v>561</v>
      </c>
      <c r="K23" s="179" t="s">
        <v>561</v>
      </c>
      <c r="L23" s="174" t="s">
        <v>561</v>
      </c>
      <c r="M23" s="174" t="s">
        <v>561</v>
      </c>
      <c r="N23" s="174" t="s">
        <v>561</v>
      </c>
      <c r="O23" s="174" t="s">
        <v>561</v>
      </c>
      <c r="P23" s="174" t="s">
        <v>561</v>
      </c>
      <c r="Q23" s="174" t="s">
        <v>53</v>
      </c>
      <c r="R23" s="174" t="s">
        <v>561</v>
      </c>
      <c r="S23" s="176" t="s">
        <v>600</v>
      </c>
      <c r="T23" s="176" t="s">
        <v>600</v>
      </c>
      <c r="U23" s="61"/>
      <c r="V23" s="82" t="s">
        <v>2165</v>
      </c>
      <c r="W23" s="63"/>
      <c r="X23" s="64">
        <f t="shared" si="3"/>
        <v>0.292</v>
      </c>
      <c r="Y23" s="64">
        <f t="shared" si="4"/>
        <v>0.301</v>
      </c>
      <c r="Z23" s="65">
        <v>0.635</v>
      </c>
      <c r="AA23" s="65">
        <v>0.34299999999999997</v>
      </c>
      <c r="AB23" s="65">
        <v>0.617</v>
      </c>
      <c r="AC23" s="65">
        <v>0.316</v>
      </c>
      <c r="AD23" s="62">
        <v>2024.0</v>
      </c>
    </row>
    <row r="24">
      <c r="A24" s="112">
        <f t="shared" si="1"/>
        <v>22</v>
      </c>
      <c r="B24" s="178" t="s">
        <v>1319</v>
      </c>
      <c r="C24" s="178" t="s">
        <v>1322</v>
      </c>
      <c r="D24" s="170" t="s">
        <v>1197</v>
      </c>
      <c r="E24" s="170"/>
      <c r="F24" s="171">
        <f t="shared" si="2"/>
        <v>0.07692307692</v>
      </c>
      <c r="G24" s="172" t="s">
        <v>766</v>
      </c>
      <c r="H24" s="172" t="s">
        <v>766</v>
      </c>
      <c r="I24" s="172" t="s">
        <v>766</v>
      </c>
      <c r="J24" s="179" t="s">
        <v>561</v>
      </c>
      <c r="K24" s="179" t="s">
        <v>561</v>
      </c>
      <c r="L24" s="174" t="s">
        <v>561</v>
      </c>
      <c r="M24" s="174" t="s">
        <v>561</v>
      </c>
      <c r="N24" s="174" t="s">
        <v>561</v>
      </c>
      <c r="O24" s="174" t="s">
        <v>561</v>
      </c>
      <c r="P24" s="174" t="s">
        <v>53</v>
      </c>
      <c r="Q24" s="174" t="s">
        <v>561</v>
      </c>
      <c r="R24" s="174" t="s">
        <v>561</v>
      </c>
      <c r="S24" s="176" t="s">
        <v>561</v>
      </c>
      <c r="T24" s="176" t="s">
        <v>600</v>
      </c>
      <c r="U24" s="61">
        <v>95630.0</v>
      </c>
      <c r="V24" s="62" t="s">
        <v>1339</v>
      </c>
      <c r="W24" s="63"/>
      <c r="X24" s="64">
        <f t="shared" si="3"/>
        <v>0.292</v>
      </c>
      <c r="Y24" s="64">
        <f t="shared" si="4"/>
        <v>0.301</v>
      </c>
      <c r="Z24" s="65">
        <v>0.635</v>
      </c>
      <c r="AA24" s="65">
        <v>0.34299999999999997</v>
      </c>
      <c r="AB24" s="65">
        <v>0.617</v>
      </c>
      <c r="AC24" s="65">
        <v>0.316</v>
      </c>
      <c r="AD24" s="62">
        <v>2028.0</v>
      </c>
    </row>
    <row r="25">
      <c r="A25" s="112">
        <f t="shared" si="1"/>
        <v>23</v>
      </c>
      <c r="B25" s="178" t="s">
        <v>1289</v>
      </c>
      <c r="C25" s="178" t="s">
        <v>1290</v>
      </c>
      <c r="D25" s="170" t="s">
        <v>1291</v>
      </c>
      <c r="E25" s="170"/>
      <c r="F25" s="171">
        <f t="shared" si="2"/>
        <v>0.07142857143</v>
      </c>
      <c r="G25" s="172" t="s">
        <v>766</v>
      </c>
      <c r="H25" s="172" t="s">
        <v>766</v>
      </c>
      <c r="I25" s="172" t="s">
        <v>766</v>
      </c>
      <c r="J25" s="179" t="s">
        <v>561</v>
      </c>
      <c r="K25" s="179" t="s">
        <v>561</v>
      </c>
      <c r="L25" s="174" t="s">
        <v>53</v>
      </c>
      <c r="M25" s="174" t="s">
        <v>561</v>
      </c>
      <c r="N25" s="174" t="s">
        <v>561</v>
      </c>
      <c r="O25" s="174" t="s">
        <v>561</v>
      </c>
      <c r="P25" s="174" t="s">
        <v>561</v>
      </c>
      <c r="Q25" s="174" t="s">
        <v>561</v>
      </c>
      <c r="R25" s="174" t="s">
        <v>561</v>
      </c>
      <c r="S25" s="176" t="s">
        <v>561</v>
      </c>
      <c r="T25" s="176" t="s">
        <v>561</v>
      </c>
      <c r="U25" s="61">
        <v>133760.0</v>
      </c>
      <c r="V25" s="62" t="s">
        <v>1307</v>
      </c>
      <c r="W25" s="63"/>
      <c r="X25" s="64">
        <f t="shared" si="3"/>
        <v>0.135</v>
      </c>
      <c r="Y25" s="64">
        <f t="shared" si="4"/>
        <v>0.049</v>
      </c>
      <c r="Z25" s="65">
        <v>0.5539999999999999</v>
      </c>
      <c r="AA25" s="65">
        <v>0.419</v>
      </c>
      <c r="AB25" s="65">
        <v>0.48200000000000004</v>
      </c>
      <c r="AC25" s="65">
        <v>0.433</v>
      </c>
      <c r="AD25" s="62">
        <v>2028.0</v>
      </c>
    </row>
    <row r="26">
      <c r="A26" s="112">
        <f t="shared" si="1"/>
        <v>23</v>
      </c>
      <c r="B26" s="178" t="s">
        <v>1462</v>
      </c>
      <c r="C26" s="178" t="s">
        <v>1463</v>
      </c>
      <c r="D26" s="170" t="s">
        <v>587</v>
      </c>
      <c r="E26" s="170"/>
      <c r="F26" s="171">
        <f t="shared" si="2"/>
        <v>0.07142857143</v>
      </c>
      <c r="G26" s="172" t="s">
        <v>766</v>
      </c>
      <c r="H26" s="172" t="s">
        <v>766</v>
      </c>
      <c r="I26" s="172" t="s">
        <v>766</v>
      </c>
      <c r="J26" s="179" t="s">
        <v>561</v>
      </c>
      <c r="K26" s="179" t="s">
        <v>561</v>
      </c>
      <c r="L26" s="174" t="s">
        <v>561</v>
      </c>
      <c r="M26" s="174" t="s">
        <v>561</v>
      </c>
      <c r="N26" s="174" t="s">
        <v>561</v>
      </c>
      <c r="O26" s="174" t="s">
        <v>561</v>
      </c>
      <c r="P26" s="174" t="s">
        <v>561</v>
      </c>
      <c r="Q26" s="174" t="s">
        <v>561</v>
      </c>
      <c r="R26" s="174" t="s">
        <v>561</v>
      </c>
      <c r="S26" s="176" t="s">
        <v>561</v>
      </c>
      <c r="T26" s="176" t="s">
        <v>53</v>
      </c>
      <c r="U26" s="61"/>
      <c r="V26" s="62" t="s">
        <v>743</v>
      </c>
      <c r="W26" s="63"/>
      <c r="X26" s="64">
        <f t="shared" si="3"/>
        <v>0.1593</v>
      </c>
      <c r="Y26" s="64">
        <f t="shared" si="4"/>
        <v>0.141</v>
      </c>
      <c r="Z26" s="65">
        <v>0.5733</v>
      </c>
      <c r="AA26" s="65">
        <v>0.414</v>
      </c>
      <c r="AB26" s="65">
        <v>0.555</v>
      </c>
      <c r="AC26" s="65">
        <v>0.414</v>
      </c>
      <c r="AD26" s="62">
        <v>2026.0</v>
      </c>
    </row>
    <row r="27">
      <c r="A27" s="112">
        <f t="shared" si="1"/>
        <v>23</v>
      </c>
      <c r="B27" s="178" t="s">
        <v>2206</v>
      </c>
      <c r="C27" s="178" t="s">
        <v>1123</v>
      </c>
      <c r="D27" s="170" t="s">
        <v>2208</v>
      </c>
      <c r="E27" s="170"/>
      <c r="F27" s="171">
        <f t="shared" si="2"/>
        <v>0.07142857143</v>
      </c>
      <c r="G27" s="172" t="s">
        <v>766</v>
      </c>
      <c r="H27" s="172" t="s">
        <v>766</v>
      </c>
      <c r="I27" s="172" t="s">
        <v>766</v>
      </c>
      <c r="J27" s="179" t="s">
        <v>561</v>
      </c>
      <c r="K27" s="179" t="s">
        <v>561</v>
      </c>
      <c r="L27" s="174" t="s">
        <v>561</v>
      </c>
      <c r="M27" s="174" t="s">
        <v>561</v>
      </c>
      <c r="N27" s="174" t="s">
        <v>561</v>
      </c>
      <c r="O27" s="174" t="s">
        <v>561</v>
      </c>
      <c r="P27" s="174" t="s">
        <v>561</v>
      </c>
      <c r="Q27" s="174" t="s">
        <v>561</v>
      </c>
      <c r="R27" s="174" t="s">
        <v>561</v>
      </c>
      <c r="S27" s="176" t="s">
        <v>561</v>
      </c>
      <c r="T27" s="176" t="s">
        <v>53</v>
      </c>
      <c r="U27" s="61"/>
      <c r="V27" s="62">
        <v>2007.0</v>
      </c>
      <c r="W27" s="63"/>
      <c r="X27" s="64">
        <f t="shared" si="3"/>
        <v>-0.0803</v>
      </c>
      <c r="Y27" s="64">
        <f t="shared" si="4"/>
        <v>-0.081</v>
      </c>
      <c r="Z27" s="65">
        <v>0.4524</v>
      </c>
      <c r="AA27" s="65">
        <v>0.5327</v>
      </c>
      <c r="AB27" s="65">
        <v>0.436</v>
      </c>
      <c r="AC27" s="65">
        <v>0.517</v>
      </c>
      <c r="AD27" s="62">
        <v>2024.0</v>
      </c>
    </row>
    <row r="28">
      <c r="A28" s="112">
        <f t="shared" si="1"/>
        <v>23</v>
      </c>
      <c r="B28" s="178" t="s">
        <v>1688</v>
      </c>
      <c r="C28" s="178" t="s">
        <v>1690</v>
      </c>
      <c r="D28" s="170" t="s">
        <v>1530</v>
      </c>
      <c r="E28" s="170"/>
      <c r="F28" s="171">
        <f t="shared" si="2"/>
        <v>0.07142857143</v>
      </c>
      <c r="G28" s="172" t="s">
        <v>766</v>
      </c>
      <c r="H28" s="172" t="s">
        <v>766</v>
      </c>
      <c r="I28" s="172" t="s">
        <v>766</v>
      </c>
      <c r="J28" s="179" t="s">
        <v>561</v>
      </c>
      <c r="K28" s="179" t="s">
        <v>561</v>
      </c>
      <c r="L28" s="174" t="s">
        <v>561</v>
      </c>
      <c r="M28" s="174" t="s">
        <v>561</v>
      </c>
      <c r="N28" s="174" t="s">
        <v>561</v>
      </c>
      <c r="O28" s="174" t="s">
        <v>561</v>
      </c>
      <c r="P28" s="174" t="s">
        <v>561</v>
      </c>
      <c r="Q28" s="174" t="s">
        <v>561</v>
      </c>
      <c r="R28" s="174" t="s">
        <v>561</v>
      </c>
      <c r="S28" s="176" t="s">
        <v>561</v>
      </c>
      <c r="T28" s="176" t="s">
        <v>53</v>
      </c>
      <c r="U28" s="61">
        <v>142945.0</v>
      </c>
      <c r="V28" s="62" t="s">
        <v>1707</v>
      </c>
      <c r="W28" s="63"/>
      <c r="X28" s="64">
        <f t="shared" si="3"/>
        <v>0.2311</v>
      </c>
      <c r="Y28" s="64">
        <f t="shared" si="4"/>
        <v>0.225</v>
      </c>
      <c r="Z28" s="65">
        <v>0.6086</v>
      </c>
      <c r="AA28" s="65">
        <v>0.3775</v>
      </c>
      <c r="AB28" s="65">
        <v>0.59</v>
      </c>
      <c r="AC28" s="65">
        <v>0.365</v>
      </c>
      <c r="AD28" s="62">
        <v>2024.0</v>
      </c>
    </row>
    <row r="29">
      <c r="A29" s="112">
        <f t="shared" si="1"/>
        <v>23</v>
      </c>
      <c r="B29" s="178" t="s">
        <v>1204</v>
      </c>
      <c r="C29" s="178" t="s">
        <v>1205</v>
      </c>
      <c r="D29" s="170" t="s">
        <v>1206</v>
      </c>
      <c r="E29" s="170"/>
      <c r="F29" s="171">
        <f t="shared" si="2"/>
        <v>0.07142857143</v>
      </c>
      <c r="G29" s="172" t="s">
        <v>766</v>
      </c>
      <c r="H29" s="172" t="s">
        <v>766</v>
      </c>
      <c r="I29" s="172" t="s">
        <v>766</v>
      </c>
      <c r="J29" s="179" t="s">
        <v>561</v>
      </c>
      <c r="K29" s="179" t="s">
        <v>561</v>
      </c>
      <c r="L29" s="174" t="s">
        <v>561</v>
      </c>
      <c r="M29" s="174" t="s">
        <v>561</v>
      </c>
      <c r="N29" s="174" t="s">
        <v>561</v>
      </c>
      <c r="O29" s="174" t="s">
        <v>561</v>
      </c>
      <c r="P29" s="174" t="s">
        <v>561</v>
      </c>
      <c r="Q29" s="174" t="s">
        <v>561</v>
      </c>
      <c r="R29" s="174" t="s">
        <v>561</v>
      </c>
      <c r="S29" s="176" t="s">
        <v>561</v>
      </c>
      <c r="T29" s="176" t="s">
        <v>53</v>
      </c>
      <c r="U29" s="61"/>
      <c r="V29" s="62">
        <v>1997.0</v>
      </c>
      <c r="W29" s="63"/>
      <c r="X29" s="64">
        <f t="shared" si="3"/>
        <v>0.2078</v>
      </c>
      <c r="Y29" s="64">
        <f t="shared" si="4"/>
        <v>0.155</v>
      </c>
      <c r="Z29" s="65">
        <v>0.5939</v>
      </c>
      <c r="AA29" s="65">
        <v>0.3861</v>
      </c>
      <c r="AB29" s="65">
        <v>0.544</v>
      </c>
      <c r="AC29" s="65">
        <v>0.389</v>
      </c>
      <c r="AD29" s="62">
        <v>2026.0</v>
      </c>
    </row>
    <row r="30">
      <c r="A30" s="112">
        <f t="shared" si="1"/>
        <v>28</v>
      </c>
      <c r="B30" s="178" t="s">
        <v>1479</v>
      </c>
      <c r="C30" s="178" t="s">
        <v>1480</v>
      </c>
      <c r="D30" s="170" t="s">
        <v>1083</v>
      </c>
      <c r="E30" s="170"/>
      <c r="F30" s="171">
        <f t="shared" si="2"/>
        <v>0</v>
      </c>
      <c r="G30" s="172" t="s">
        <v>766</v>
      </c>
      <c r="H30" s="172" t="s">
        <v>766</v>
      </c>
      <c r="I30" s="172" t="s">
        <v>766</v>
      </c>
      <c r="J30" s="179" t="s">
        <v>561</v>
      </c>
      <c r="K30" s="179" t="s">
        <v>561</v>
      </c>
      <c r="L30" s="174" t="s">
        <v>561</v>
      </c>
      <c r="M30" s="174" t="s">
        <v>561</v>
      </c>
      <c r="N30" s="174" t="s">
        <v>561</v>
      </c>
      <c r="O30" s="174" t="s">
        <v>561</v>
      </c>
      <c r="P30" s="174" t="s">
        <v>561</v>
      </c>
      <c r="Q30" s="174" t="s">
        <v>561</v>
      </c>
      <c r="R30" s="174" t="s">
        <v>561</v>
      </c>
      <c r="S30" s="176" t="s">
        <v>561</v>
      </c>
      <c r="T30" s="176" t="s">
        <v>561</v>
      </c>
      <c r="U30" s="61">
        <v>163963.0</v>
      </c>
      <c r="V30" s="62">
        <v>2011.0</v>
      </c>
      <c r="W30" s="63"/>
      <c r="X30" s="64">
        <f t="shared" si="3"/>
        <v>0.2</v>
      </c>
      <c r="Y30" s="64">
        <f t="shared" si="4"/>
        <v>0.137</v>
      </c>
      <c r="Z30" s="65">
        <v>0.5920000000000001</v>
      </c>
      <c r="AA30" s="65">
        <v>0.392</v>
      </c>
      <c r="AB30" s="65">
        <v>0.546</v>
      </c>
      <c r="AC30" s="65">
        <v>0.409</v>
      </c>
      <c r="AD30" s="62">
        <v>2028.0</v>
      </c>
    </row>
    <row r="31">
      <c r="A31" s="112">
        <f t="shared" si="1"/>
        <v>28</v>
      </c>
      <c r="B31" s="178" t="s">
        <v>1379</v>
      </c>
      <c r="C31" s="178" t="s">
        <v>1380</v>
      </c>
      <c r="D31" s="170" t="s">
        <v>1217</v>
      </c>
      <c r="E31" s="170"/>
      <c r="F31" s="171">
        <f t="shared" si="2"/>
        <v>0</v>
      </c>
      <c r="G31" s="172" t="s">
        <v>766</v>
      </c>
      <c r="H31" s="172" t="s">
        <v>766</v>
      </c>
      <c r="I31" s="172" t="s">
        <v>766</v>
      </c>
      <c r="J31" s="179" t="s">
        <v>561</v>
      </c>
      <c r="K31" s="179" t="s">
        <v>561</v>
      </c>
      <c r="L31" s="174" t="s">
        <v>561</v>
      </c>
      <c r="M31" s="174" t="s">
        <v>561</v>
      </c>
      <c r="N31" s="174" t="s">
        <v>561</v>
      </c>
      <c r="O31" s="174" t="s">
        <v>561</v>
      </c>
      <c r="P31" s="174" t="s">
        <v>561</v>
      </c>
      <c r="Q31" s="174" t="s">
        <v>561</v>
      </c>
      <c r="R31" s="174" t="s">
        <v>561</v>
      </c>
      <c r="S31" s="176" t="s">
        <v>561</v>
      </c>
      <c r="T31" s="176" t="s">
        <v>801</v>
      </c>
      <c r="U31" s="61">
        <v>134700.0</v>
      </c>
      <c r="V31" s="62">
        <v>2001.0</v>
      </c>
      <c r="W31" s="63"/>
      <c r="X31" s="64">
        <f t="shared" si="3"/>
        <v>0.192</v>
      </c>
      <c r="Y31" s="64">
        <f t="shared" si="4"/>
        <v>0.157</v>
      </c>
      <c r="Z31" s="65">
        <v>0.5797</v>
      </c>
      <c r="AA31" s="65">
        <v>0.3877</v>
      </c>
      <c r="AB31" s="65">
        <v>0.525</v>
      </c>
      <c r="AC31" s="65">
        <v>0.368</v>
      </c>
      <c r="AD31" s="62">
        <v>2024.0</v>
      </c>
    </row>
    <row r="32">
      <c r="A32" s="112">
        <f t="shared" si="1"/>
        <v>28</v>
      </c>
      <c r="B32" s="170" t="s">
        <v>2270</v>
      </c>
      <c r="C32" s="170" t="s">
        <v>2271</v>
      </c>
      <c r="D32" s="170" t="s">
        <v>646</v>
      </c>
      <c r="E32" s="170"/>
      <c r="F32" s="171">
        <f t="shared" si="2"/>
        <v>0</v>
      </c>
      <c r="G32" s="172" t="s">
        <v>766</v>
      </c>
      <c r="H32" s="172" t="s">
        <v>766</v>
      </c>
      <c r="I32" s="172" t="s">
        <v>766</v>
      </c>
      <c r="J32" s="179" t="s">
        <v>561</v>
      </c>
      <c r="K32" s="179" t="s">
        <v>561</v>
      </c>
      <c r="L32" s="174" t="s">
        <v>561</v>
      </c>
      <c r="M32" s="174" t="s">
        <v>561</v>
      </c>
      <c r="N32" s="174" t="s">
        <v>561</v>
      </c>
      <c r="O32" s="174" t="s">
        <v>561</v>
      </c>
      <c r="P32" s="174" t="s">
        <v>561</v>
      </c>
      <c r="Q32" s="174" t="s">
        <v>561</v>
      </c>
      <c r="R32" s="174" t="s">
        <v>561</v>
      </c>
      <c r="S32" s="176" t="s">
        <v>561</v>
      </c>
      <c r="T32" s="176" t="s">
        <v>561</v>
      </c>
      <c r="U32" s="61">
        <v>300.0</v>
      </c>
      <c r="V32" s="62">
        <v>2007.0</v>
      </c>
      <c r="W32" s="63"/>
      <c r="X32" s="64">
        <f t="shared" si="3"/>
        <v>0.3321</v>
      </c>
      <c r="Y32" s="64">
        <f t="shared" si="4"/>
        <v>0.264</v>
      </c>
      <c r="Z32" s="65">
        <v>0.6536</v>
      </c>
      <c r="AA32" s="65">
        <v>0.3215</v>
      </c>
      <c r="AB32" s="65">
        <v>0.603</v>
      </c>
      <c r="AC32" s="65">
        <v>0.33899999999999997</v>
      </c>
      <c r="AD32" s="62">
        <v>2024.0</v>
      </c>
    </row>
    <row r="33">
      <c r="A33" s="112">
        <f t="shared" si="1"/>
        <v>28</v>
      </c>
      <c r="B33" s="178" t="s">
        <v>2048</v>
      </c>
      <c r="C33" s="178" t="s">
        <v>2280</v>
      </c>
      <c r="D33" s="170" t="s">
        <v>1661</v>
      </c>
      <c r="E33" s="170"/>
      <c r="F33" s="171">
        <f t="shared" si="2"/>
        <v>0</v>
      </c>
      <c r="G33" s="172" t="s">
        <v>766</v>
      </c>
      <c r="H33" s="172" t="s">
        <v>766</v>
      </c>
      <c r="I33" s="172" t="s">
        <v>766</v>
      </c>
      <c r="J33" s="179" t="s">
        <v>561</v>
      </c>
      <c r="K33" s="179" t="s">
        <v>561</v>
      </c>
      <c r="L33" s="174" t="s">
        <v>561</v>
      </c>
      <c r="M33" s="174" t="s">
        <v>561</v>
      </c>
      <c r="N33" s="174" t="s">
        <v>561</v>
      </c>
      <c r="O33" s="174" t="s">
        <v>561</v>
      </c>
      <c r="P33" s="174" t="s">
        <v>561</v>
      </c>
      <c r="Q33" s="174" t="s">
        <v>561</v>
      </c>
      <c r="R33" s="174" t="s">
        <v>561</v>
      </c>
      <c r="S33" s="176" t="s">
        <v>561</v>
      </c>
      <c r="T33" s="176" t="s">
        <v>561</v>
      </c>
      <c r="U33" s="61">
        <v>71035.0</v>
      </c>
      <c r="V33" s="62">
        <v>2007.0</v>
      </c>
      <c r="W33" s="63"/>
      <c r="X33" s="64">
        <f t="shared" si="3"/>
        <v>0.0117</v>
      </c>
      <c r="Y33" s="64">
        <f t="shared" si="4"/>
        <v>-0.007</v>
      </c>
      <c r="Z33" s="65">
        <v>0.5001</v>
      </c>
      <c r="AA33" s="65">
        <v>0.4884</v>
      </c>
      <c r="AB33" s="65">
        <v>0.475</v>
      </c>
      <c r="AC33" s="65">
        <v>0.48200000000000004</v>
      </c>
      <c r="AD33" s="62">
        <v>2024.0</v>
      </c>
    </row>
    <row r="34">
      <c r="A34" s="112">
        <f t="shared" si="1"/>
        <v>28</v>
      </c>
      <c r="B34" s="178" t="s">
        <v>643</v>
      </c>
      <c r="C34" s="178" t="s">
        <v>1501</v>
      </c>
      <c r="D34" s="170" t="s">
        <v>788</v>
      </c>
      <c r="E34" s="170"/>
      <c r="F34" s="171">
        <f t="shared" si="2"/>
        <v>0</v>
      </c>
      <c r="G34" s="172" t="s">
        <v>766</v>
      </c>
      <c r="H34" s="172" t="s">
        <v>766</v>
      </c>
      <c r="I34" s="172" t="s">
        <v>766</v>
      </c>
      <c r="J34" s="179" t="s">
        <v>561</v>
      </c>
      <c r="K34" s="179" t="s">
        <v>561</v>
      </c>
      <c r="L34" s="174" t="s">
        <v>561</v>
      </c>
      <c r="M34" s="174" t="s">
        <v>561</v>
      </c>
      <c r="N34" s="174" t="s">
        <v>561</v>
      </c>
      <c r="O34" s="174" t="s">
        <v>561</v>
      </c>
      <c r="P34" s="174" t="s">
        <v>561</v>
      </c>
      <c r="Q34" s="174" t="s">
        <v>801</v>
      </c>
      <c r="R34" s="174" t="s">
        <v>561</v>
      </c>
      <c r="S34" s="176" t="s">
        <v>561</v>
      </c>
      <c r="T34" s="176" t="s">
        <v>561</v>
      </c>
      <c r="U34" s="61"/>
      <c r="V34" s="62" t="s">
        <v>1519</v>
      </c>
      <c r="W34" s="63"/>
      <c r="X34" s="64">
        <f t="shared" si="3"/>
        <v>0.1897</v>
      </c>
      <c r="Y34" s="64">
        <f t="shared" si="4"/>
        <v>0.114</v>
      </c>
      <c r="Z34" s="65">
        <v>0.5874</v>
      </c>
      <c r="AA34" s="65">
        <v>0.3977</v>
      </c>
      <c r="AB34" s="65">
        <v>0.531</v>
      </c>
      <c r="AC34" s="65">
        <v>0.41700000000000004</v>
      </c>
      <c r="AD34" s="62">
        <v>2026.0</v>
      </c>
    </row>
    <row r="35">
      <c r="A35" s="112">
        <f t="shared" si="1"/>
        <v>28</v>
      </c>
      <c r="B35" s="178" t="s">
        <v>1634</v>
      </c>
      <c r="C35" s="178" t="s">
        <v>1635</v>
      </c>
      <c r="D35" s="170" t="s">
        <v>1637</v>
      </c>
      <c r="E35" s="170"/>
      <c r="F35" s="171">
        <f t="shared" si="2"/>
        <v>0</v>
      </c>
      <c r="G35" s="172" t="s">
        <v>766</v>
      </c>
      <c r="H35" s="172" t="s">
        <v>766</v>
      </c>
      <c r="I35" s="172" t="s">
        <v>766</v>
      </c>
      <c r="J35" s="179" t="s">
        <v>561</v>
      </c>
      <c r="K35" s="179" t="s">
        <v>561</v>
      </c>
      <c r="L35" s="174" t="s">
        <v>561</v>
      </c>
      <c r="M35" s="174" t="s">
        <v>561</v>
      </c>
      <c r="N35" s="174" t="s">
        <v>561</v>
      </c>
      <c r="O35" s="174" t="s">
        <v>561</v>
      </c>
      <c r="P35" s="174" t="s">
        <v>561</v>
      </c>
      <c r="Q35" s="174" t="s">
        <v>561</v>
      </c>
      <c r="R35" s="174" t="s">
        <v>561</v>
      </c>
      <c r="S35" s="176" t="s">
        <v>561</v>
      </c>
      <c r="T35" s="176" t="s">
        <v>561</v>
      </c>
      <c r="U35" s="61">
        <v>94456.0</v>
      </c>
      <c r="V35" s="62">
        <v>2017.0</v>
      </c>
      <c r="W35" s="63"/>
      <c r="X35" s="64">
        <f t="shared" si="3"/>
        <v>0.0239</v>
      </c>
      <c r="Y35" s="64">
        <f t="shared" si="4"/>
        <v>0.015</v>
      </c>
      <c r="Z35" s="65">
        <v>0.5006</v>
      </c>
      <c r="AA35" s="65">
        <v>0.4767</v>
      </c>
      <c r="AB35" s="65">
        <v>0.475</v>
      </c>
      <c r="AC35" s="65">
        <v>0.46</v>
      </c>
      <c r="AD35" s="62">
        <v>2028.0</v>
      </c>
    </row>
    <row r="36">
      <c r="A36" s="112">
        <f t="shared" si="1"/>
        <v>28</v>
      </c>
      <c r="B36" s="178" t="s">
        <v>988</v>
      </c>
      <c r="C36" s="178" t="s">
        <v>1106</v>
      </c>
      <c r="D36" s="170" t="s">
        <v>848</v>
      </c>
      <c r="E36" s="170"/>
      <c r="F36" s="171">
        <f t="shared" si="2"/>
        <v>0</v>
      </c>
      <c r="G36" s="172" t="s">
        <v>766</v>
      </c>
      <c r="H36" s="172" t="s">
        <v>766</v>
      </c>
      <c r="I36" s="172" t="s">
        <v>766</v>
      </c>
      <c r="J36" s="179" t="s">
        <v>561</v>
      </c>
      <c r="K36" s="179" t="s">
        <v>561</v>
      </c>
      <c r="L36" s="174" t="s">
        <v>561</v>
      </c>
      <c r="M36" s="174" t="s">
        <v>561</v>
      </c>
      <c r="N36" s="174" t="s">
        <v>561</v>
      </c>
      <c r="O36" s="174" t="s">
        <v>561</v>
      </c>
      <c r="P36" s="174" t="s">
        <v>561</v>
      </c>
      <c r="Q36" s="174" t="s">
        <v>561</v>
      </c>
      <c r="R36" s="174" t="s">
        <v>561</v>
      </c>
      <c r="S36" s="176" t="s">
        <v>561</v>
      </c>
      <c r="T36" s="176" t="s">
        <v>561</v>
      </c>
      <c r="U36" s="61">
        <v>107310.0</v>
      </c>
      <c r="V36" s="62">
        <v>2017.0</v>
      </c>
      <c r="W36" s="63"/>
      <c r="X36" s="64">
        <f t="shared" si="3"/>
        <v>0.1699</v>
      </c>
      <c r="Y36" s="64">
        <f t="shared" si="4"/>
        <v>0.17</v>
      </c>
      <c r="Z36" s="65">
        <v>0.5754</v>
      </c>
      <c r="AA36" s="65">
        <v>0.4055</v>
      </c>
      <c r="AB36" s="65">
        <v>0.5579999999999999</v>
      </c>
      <c r="AC36" s="65">
        <v>0.38799999999999996</v>
      </c>
      <c r="AD36" s="62">
        <v>2028.0</v>
      </c>
    </row>
    <row r="37">
      <c r="A37" s="112">
        <f t="shared" si="1"/>
        <v>28</v>
      </c>
      <c r="B37" s="178" t="s">
        <v>120</v>
      </c>
      <c r="C37" s="178" t="s">
        <v>1660</v>
      </c>
      <c r="D37" s="170" t="s">
        <v>1661</v>
      </c>
      <c r="E37" s="187" t="s">
        <v>2329</v>
      </c>
      <c r="F37" s="171">
        <f t="shared" si="2"/>
        <v>0</v>
      </c>
      <c r="G37" s="172" t="s">
        <v>766</v>
      </c>
      <c r="H37" s="172" t="s">
        <v>766</v>
      </c>
      <c r="I37" s="172" t="s">
        <v>766</v>
      </c>
      <c r="J37" s="179" t="s">
        <v>561</v>
      </c>
      <c r="K37" s="179" t="s">
        <v>561</v>
      </c>
      <c r="L37" s="174" t="s">
        <v>561</v>
      </c>
      <c r="M37" s="174" t="s">
        <v>561</v>
      </c>
      <c r="N37" s="174" t="s">
        <v>561</v>
      </c>
      <c r="O37" s="174" t="s">
        <v>561</v>
      </c>
      <c r="P37" s="174" t="s">
        <v>561</v>
      </c>
      <c r="Q37" s="174" t="s">
        <v>561</v>
      </c>
      <c r="R37" s="174" t="s">
        <v>561</v>
      </c>
      <c r="S37" s="176" t="s">
        <v>600</v>
      </c>
      <c r="T37" s="176" t="s">
        <v>600</v>
      </c>
      <c r="U37" s="61"/>
      <c r="V37" s="82">
        <v>2023.0</v>
      </c>
      <c r="W37" s="63"/>
      <c r="X37" s="64">
        <f t="shared" si="3"/>
        <v>0.0117</v>
      </c>
      <c r="Y37" s="64">
        <f t="shared" si="4"/>
        <v>-0.007</v>
      </c>
      <c r="Z37" s="65">
        <v>0.5001</v>
      </c>
      <c r="AA37" s="65">
        <v>0.4884</v>
      </c>
      <c r="AB37" s="65">
        <v>0.475</v>
      </c>
      <c r="AC37" s="65">
        <v>0.48200000000000004</v>
      </c>
      <c r="AD37" s="62">
        <v>2028.0</v>
      </c>
    </row>
    <row r="38">
      <c r="A38" s="112">
        <f t="shared" si="1"/>
        <v>28</v>
      </c>
      <c r="B38" s="178" t="s">
        <v>1398</v>
      </c>
      <c r="C38" s="178" t="s">
        <v>1399</v>
      </c>
      <c r="D38" s="170" t="s">
        <v>1182</v>
      </c>
      <c r="E38" s="170"/>
      <c r="F38" s="171">
        <f t="shared" si="2"/>
        <v>0</v>
      </c>
      <c r="G38" s="172" t="s">
        <v>766</v>
      </c>
      <c r="H38" s="172" t="s">
        <v>766</v>
      </c>
      <c r="I38" s="172" t="s">
        <v>766</v>
      </c>
      <c r="J38" s="179" t="s">
        <v>561</v>
      </c>
      <c r="K38" s="179" t="s">
        <v>561</v>
      </c>
      <c r="L38" s="174" t="s">
        <v>561</v>
      </c>
      <c r="M38" s="174" t="s">
        <v>561</v>
      </c>
      <c r="N38" s="174" t="s">
        <v>561</v>
      </c>
      <c r="O38" s="174" t="s">
        <v>561</v>
      </c>
      <c r="P38" s="174" t="s">
        <v>561</v>
      </c>
      <c r="Q38" s="174" t="s">
        <v>561</v>
      </c>
      <c r="R38" s="174" t="s">
        <v>561</v>
      </c>
      <c r="S38" s="176" t="s">
        <v>561</v>
      </c>
      <c r="T38" s="176" t="s">
        <v>561</v>
      </c>
      <c r="U38" s="61">
        <v>122087.0</v>
      </c>
      <c r="V38" s="62">
        <v>2017.0</v>
      </c>
      <c r="W38" s="63"/>
      <c r="X38" s="64">
        <f t="shared" si="3"/>
        <v>0.0735</v>
      </c>
      <c r="Y38" s="64">
        <f t="shared" si="4"/>
        <v>0.004</v>
      </c>
      <c r="Z38" s="65">
        <v>0.5271</v>
      </c>
      <c r="AA38" s="65">
        <v>0.4536</v>
      </c>
      <c r="AB38" s="65">
        <v>0.47</v>
      </c>
      <c r="AC38" s="65">
        <v>0.466</v>
      </c>
      <c r="AD38" s="62">
        <v>2028.0</v>
      </c>
    </row>
    <row r="39">
      <c r="A39" s="112">
        <f t="shared" si="1"/>
        <v>28</v>
      </c>
      <c r="B39" s="178" t="s">
        <v>120</v>
      </c>
      <c r="C39" s="178" t="s">
        <v>1423</v>
      </c>
      <c r="D39" s="170" t="s">
        <v>1291</v>
      </c>
      <c r="E39" s="170"/>
      <c r="F39" s="171">
        <f t="shared" si="2"/>
        <v>0</v>
      </c>
      <c r="G39" s="172" t="s">
        <v>766</v>
      </c>
      <c r="H39" s="172" t="s">
        <v>766</v>
      </c>
      <c r="I39" s="172" t="s">
        <v>766</v>
      </c>
      <c r="J39" s="179" t="s">
        <v>561</v>
      </c>
      <c r="K39" s="179" t="s">
        <v>561</v>
      </c>
      <c r="L39" s="174" t="s">
        <v>561</v>
      </c>
      <c r="M39" s="174" t="s">
        <v>561</v>
      </c>
      <c r="N39" s="174" t="s">
        <v>561</v>
      </c>
      <c r="O39" s="174" t="s">
        <v>561</v>
      </c>
      <c r="P39" s="174" t="s">
        <v>561</v>
      </c>
      <c r="Q39" s="174" t="s">
        <v>561</v>
      </c>
      <c r="R39" s="174" t="s">
        <v>561</v>
      </c>
      <c r="S39" s="176" t="s">
        <v>561</v>
      </c>
      <c r="T39" s="176" t="s">
        <v>600</v>
      </c>
      <c r="U39" s="61"/>
      <c r="V39" s="62">
        <v>2021.0</v>
      </c>
      <c r="W39" s="63"/>
      <c r="X39" s="64">
        <f t="shared" si="3"/>
        <v>0.135</v>
      </c>
      <c r="Y39" s="64">
        <f t="shared" si="4"/>
        <v>0.049</v>
      </c>
      <c r="Z39" s="65">
        <v>0.5539999999999999</v>
      </c>
      <c r="AA39" s="65">
        <v>0.419</v>
      </c>
      <c r="AB39" s="65">
        <v>0.48200000000000004</v>
      </c>
      <c r="AC39" s="65">
        <v>0.433</v>
      </c>
      <c r="AD39" s="62">
        <v>2026.0</v>
      </c>
    </row>
    <row r="40">
      <c r="A40" s="112">
        <f t="shared" si="1"/>
        <v>28</v>
      </c>
      <c r="B40" s="178" t="s">
        <v>127</v>
      </c>
      <c r="C40" s="178" t="s">
        <v>571</v>
      </c>
      <c r="D40" s="170" t="s">
        <v>1262</v>
      </c>
      <c r="E40" s="170"/>
      <c r="F40" s="171">
        <f t="shared" si="2"/>
        <v>0</v>
      </c>
      <c r="G40" s="172" t="s">
        <v>766</v>
      </c>
      <c r="H40" s="172" t="s">
        <v>766</v>
      </c>
      <c r="I40" s="172" t="s">
        <v>766</v>
      </c>
      <c r="J40" s="179" t="s">
        <v>561</v>
      </c>
      <c r="K40" s="179" t="s">
        <v>561</v>
      </c>
      <c r="L40" s="174" t="s">
        <v>561</v>
      </c>
      <c r="M40" s="174" t="s">
        <v>561</v>
      </c>
      <c r="N40" s="174" t="s">
        <v>561</v>
      </c>
      <c r="O40" s="174" t="s">
        <v>561</v>
      </c>
      <c r="P40" s="174" t="s">
        <v>561</v>
      </c>
      <c r="Q40" s="174" t="s">
        <v>561</v>
      </c>
      <c r="R40" s="174" t="s">
        <v>561</v>
      </c>
      <c r="S40" s="176" t="s">
        <v>561</v>
      </c>
      <c r="T40" s="176" t="s">
        <v>600</v>
      </c>
      <c r="U40" s="61">
        <v>41986.0</v>
      </c>
      <c r="V40" s="62">
        <v>2020.0</v>
      </c>
      <c r="W40" s="63"/>
      <c r="X40" s="64">
        <f t="shared" si="3"/>
        <v>0.003</v>
      </c>
      <c r="Y40" s="64">
        <f t="shared" si="4"/>
        <v>-0.036</v>
      </c>
      <c r="Z40" s="65">
        <v>0.494</v>
      </c>
      <c r="AA40" s="65">
        <v>0.491</v>
      </c>
      <c r="AB40" s="65">
        <v>0.451</v>
      </c>
      <c r="AC40" s="65">
        <v>0.48700000000000004</v>
      </c>
      <c r="AD40" s="62">
        <v>2028.0</v>
      </c>
    </row>
    <row r="41">
      <c r="A41" s="112">
        <f t="shared" si="1"/>
        <v>28</v>
      </c>
      <c r="B41" s="178" t="s">
        <v>1129</v>
      </c>
      <c r="C41" s="178" t="s">
        <v>1132</v>
      </c>
      <c r="D41" s="170" t="s">
        <v>878</v>
      </c>
      <c r="E41" s="170"/>
      <c r="F41" s="171">
        <f t="shared" si="2"/>
        <v>0</v>
      </c>
      <c r="G41" s="172" t="s">
        <v>766</v>
      </c>
      <c r="H41" s="172" t="s">
        <v>766</v>
      </c>
      <c r="I41" s="172" t="s">
        <v>766</v>
      </c>
      <c r="J41" s="179" t="s">
        <v>561</v>
      </c>
      <c r="K41" s="179" t="s">
        <v>561</v>
      </c>
      <c r="L41" s="174" t="s">
        <v>561</v>
      </c>
      <c r="M41" s="174" t="s">
        <v>561</v>
      </c>
      <c r="N41" s="174" t="s">
        <v>561</v>
      </c>
      <c r="O41" s="174" t="s">
        <v>561</v>
      </c>
      <c r="P41" s="174" t="s">
        <v>561</v>
      </c>
      <c r="Q41" s="174" t="s">
        <v>561</v>
      </c>
      <c r="R41" s="174" t="s">
        <v>561</v>
      </c>
      <c r="S41" s="176" t="s">
        <v>561</v>
      </c>
      <c r="T41" s="176" t="s">
        <v>561</v>
      </c>
      <c r="U41" s="61">
        <v>105500.0</v>
      </c>
      <c r="V41" s="62">
        <v>2007.0</v>
      </c>
      <c r="W41" s="63"/>
      <c r="X41" s="64">
        <f t="shared" si="3"/>
        <v>0.0712</v>
      </c>
      <c r="Y41" s="64">
        <f t="shared" si="4"/>
        <v>0.015</v>
      </c>
      <c r="Z41" s="65">
        <v>0.524</v>
      </c>
      <c r="AA41" s="65">
        <v>0.4528</v>
      </c>
      <c r="AB41" s="65">
        <v>0.46399999999999997</v>
      </c>
      <c r="AC41" s="65">
        <v>0.449</v>
      </c>
      <c r="AD41" s="62">
        <v>2024.0</v>
      </c>
    </row>
    <row r="42">
      <c r="A42" s="112">
        <f t="shared" si="1"/>
        <v>28</v>
      </c>
      <c r="B42" s="178" t="s">
        <v>377</v>
      </c>
      <c r="C42" s="178" t="s">
        <v>2373</v>
      </c>
      <c r="D42" s="170" t="s">
        <v>2374</v>
      </c>
      <c r="E42" s="170"/>
      <c r="F42" s="171">
        <f t="shared" si="2"/>
        <v>0</v>
      </c>
      <c r="G42" s="172" t="s">
        <v>766</v>
      </c>
      <c r="H42" s="172" t="s">
        <v>766</v>
      </c>
      <c r="I42" s="172" t="s">
        <v>766</v>
      </c>
      <c r="J42" s="179" t="s">
        <v>561</v>
      </c>
      <c r="K42" s="179" t="s">
        <v>561</v>
      </c>
      <c r="L42" s="174" t="s">
        <v>561</v>
      </c>
      <c r="M42" s="174" t="s">
        <v>561</v>
      </c>
      <c r="N42" s="174" t="s">
        <v>561</v>
      </c>
      <c r="O42" s="174" t="s">
        <v>561</v>
      </c>
      <c r="P42" s="174" t="s">
        <v>561</v>
      </c>
      <c r="Q42" s="174" t="s">
        <v>561</v>
      </c>
      <c r="R42" s="174" t="s">
        <v>561</v>
      </c>
      <c r="S42" s="176" t="s">
        <v>561</v>
      </c>
      <c r="T42" s="176" t="s">
        <v>561</v>
      </c>
      <c r="U42" s="61">
        <v>22404.0</v>
      </c>
      <c r="V42" s="62" t="s">
        <v>1519</v>
      </c>
      <c r="W42" s="63"/>
      <c r="X42" s="64">
        <f t="shared" si="3"/>
        <v>-0.3893</v>
      </c>
      <c r="Y42" s="64">
        <f t="shared" si="4"/>
        <v>-0.421</v>
      </c>
      <c r="Z42" s="65">
        <v>0.2969</v>
      </c>
      <c r="AA42" s="65">
        <v>0.6862</v>
      </c>
      <c r="AB42" s="65">
        <v>0.264</v>
      </c>
      <c r="AC42" s="65">
        <v>0.685</v>
      </c>
      <c r="AD42" s="62">
        <v>2024.0</v>
      </c>
    </row>
    <row r="43">
      <c r="A43" s="112">
        <f t="shared" si="1"/>
        <v>28</v>
      </c>
      <c r="B43" s="178" t="s">
        <v>1215</v>
      </c>
      <c r="C43" s="178" t="s">
        <v>1216</v>
      </c>
      <c r="D43" s="170" t="s">
        <v>1217</v>
      </c>
      <c r="E43" s="170"/>
      <c r="F43" s="171">
        <f t="shared" si="2"/>
        <v>0</v>
      </c>
      <c r="G43" s="172" t="s">
        <v>766</v>
      </c>
      <c r="H43" s="172" t="s">
        <v>766</v>
      </c>
      <c r="I43" s="172" t="s">
        <v>766</v>
      </c>
      <c r="J43" s="179" t="s">
        <v>561</v>
      </c>
      <c r="K43" s="179" t="s">
        <v>561</v>
      </c>
      <c r="L43" s="174" t="s">
        <v>561</v>
      </c>
      <c r="M43" s="174" t="s">
        <v>561</v>
      </c>
      <c r="N43" s="174" t="s">
        <v>561</v>
      </c>
      <c r="O43" s="174" t="s">
        <v>561</v>
      </c>
      <c r="P43" s="174" t="s">
        <v>561</v>
      </c>
      <c r="Q43" s="174" t="s">
        <v>561</v>
      </c>
      <c r="R43" s="174" t="s">
        <v>561</v>
      </c>
      <c r="S43" s="176" t="s">
        <v>561</v>
      </c>
      <c r="T43" s="176" t="s">
        <v>561</v>
      </c>
      <c r="U43" s="61">
        <v>183885.0</v>
      </c>
      <c r="V43" s="62">
        <v>1993.0</v>
      </c>
      <c r="W43" s="63"/>
      <c r="X43" s="64">
        <f t="shared" si="3"/>
        <v>0.192</v>
      </c>
      <c r="Y43" s="64">
        <f t="shared" si="4"/>
        <v>0.157</v>
      </c>
      <c r="Z43" s="65">
        <v>0.5797</v>
      </c>
      <c r="AA43" s="65">
        <v>0.3877</v>
      </c>
      <c r="AB43" s="65">
        <v>0.525</v>
      </c>
      <c r="AC43" s="65">
        <v>0.368</v>
      </c>
      <c r="AD43" s="62">
        <v>2028.0</v>
      </c>
    </row>
    <row r="44">
      <c r="A44" s="112">
        <f t="shared" si="1"/>
        <v>28</v>
      </c>
      <c r="B44" s="178" t="s">
        <v>1434</v>
      </c>
      <c r="C44" s="178" t="s">
        <v>349</v>
      </c>
      <c r="D44" s="170" t="s">
        <v>815</v>
      </c>
      <c r="E44" s="170"/>
      <c r="F44" s="171">
        <f t="shared" si="2"/>
        <v>0</v>
      </c>
      <c r="G44" s="172" t="s">
        <v>766</v>
      </c>
      <c r="H44" s="172" t="s">
        <v>766</v>
      </c>
      <c r="I44" s="172" t="s">
        <v>766</v>
      </c>
      <c r="J44" s="179" t="s">
        <v>561</v>
      </c>
      <c r="K44" s="179" t="s">
        <v>561</v>
      </c>
      <c r="L44" s="174" t="s">
        <v>561</v>
      </c>
      <c r="M44" s="174" t="s">
        <v>561</v>
      </c>
      <c r="N44" s="174" t="s">
        <v>561</v>
      </c>
      <c r="O44" s="174" t="s">
        <v>561</v>
      </c>
      <c r="P44" s="174" t="s">
        <v>561</v>
      </c>
      <c r="Q44" s="174" t="s">
        <v>561</v>
      </c>
      <c r="R44" s="174" t="s">
        <v>561</v>
      </c>
      <c r="S44" s="176" t="s">
        <v>561</v>
      </c>
      <c r="T44" s="176" t="s">
        <v>561</v>
      </c>
      <c r="U44" s="61"/>
      <c r="V44" s="62">
        <v>2015.0</v>
      </c>
      <c r="W44" s="63"/>
      <c r="X44" s="64">
        <f t="shared" si="3"/>
        <v>0.0278</v>
      </c>
      <c r="Y44" s="64">
        <f t="shared" si="4"/>
        <v>-0.002</v>
      </c>
      <c r="Z44" s="65">
        <v>0.5062</v>
      </c>
      <c r="AA44" s="65">
        <v>0.4784</v>
      </c>
      <c r="AB44" s="65">
        <v>0.473</v>
      </c>
      <c r="AC44" s="65">
        <v>0.475</v>
      </c>
      <c r="AD44" s="62">
        <v>2026.0</v>
      </c>
    </row>
    <row r="45">
      <c r="A45" s="112">
        <f t="shared" si="1"/>
        <v>28</v>
      </c>
      <c r="B45" s="178" t="s">
        <v>1716</v>
      </c>
      <c r="C45" s="178" t="s">
        <v>1717</v>
      </c>
      <c r="D45" s="170" t="s">
        <v>1637</v>
      </c>
      <c r="E45" s="170"/>
      <c r="F45" s="171">
        <f t="shared" si="2"/>
        <v>0</v>
      </c>
      <c r="G45" s="172" t="s">
        <v>766</v>
      </c>
      <c r="H45" s="172" t="s">
        <v>766</v>
      </c>
      <c r="I45" s="172" t="s">
        <v>766</v>
      </c>
      <c r="J45" s="179" t="s">
        <v>561</v>
      </c>
      <c r="K45" s="179" t="s">
        <v>561</v>
      </c>
      <c r="L45" s="174" t="s">
        <v>561</v>
      </c>
      <c r="M45" s="174" t="s">
        <v>561</v>
      </c>
      <c r="N45" s="174" t="s">
        <v>561</v>
      </c>
      <c r="O45" s="174" t="s">
        <v>561</v>
      </c>
      <c r="P45" s="174" t="s">
        <v>561</v>
      </c>
      <c r="Q45" s="174" t="s">
        <v>561</v>
      </c>
      <c r="R45" s="174" t="s">
        <v>561</v>
      </c>
      <c r="S45" s="176" t="s">
        <v>561</v>
      </c>
      <c r="T45" s="176" t="s">
        <v>561</v>
      </c>
      <c r="U45" s="61">
        <v>589561.0</v>
      </c>
      <c r="V45" s="62">
        <v>2019.0</v>
      </c>
      <c r="W45" s="63"/>
      <c r="X45" s="64">
        <f t="shared" si="3"/>
        <v>0.0239</v>
      </c>
      <c r="Y45" s="64">
        <f t="shared" si="4"/>
        <v>0.015</v>
      </c>
      <c r="Z45" s="65">
        <v>0.5006</v>
      </c>
      <c r="AA45" s="65">
        <v>0.4767</v>
      </c>
      <c r="AB45" s="65">
        <v>0.475</v>
      </c>
      <c r="AC45" s="65">
        <v>0.46</v>
      </c>
      <c r="AD45" s="62">
        <v>2024.0</v>
      </c>
    </row>
    <row r="46">
      <c r="A46" s="112">
        <f t="shared" si="1"/>
        <v>28</v>
      </c>
      <c r="B46" s="170" t="s">
        <v>1527</v>
      </c>
      <c r="C46" s="170" t="s">
        <v>1529</v>
      </c>
      <c r="D46" s="170" t="s">
        <v>1530</v>
      </c>
      <c r="E46" s="170"/>
      <c r="F46" s="171">
        <f t="shared" si="2"/>
        <v>0</v>
      </c>
      <c r="G46" s="172" t="s">
        <v>766</v>
      </c>
      <c r="H46" s="172" t="s">
        <v>766</v>
      </c>
      <c r="I46" s="172" t="s">
        <v>766</v>
      </c>
      <c r="J46" s="179" t="s">
        <v>561</v>
      </c>
      <c r="K46" s="179" t="s">
        <v>561</v>
      </c>
      <c r="L46" s="174" t="s">
        <v>561</v>
      </c>
      <c r="M46" s="174" t="s">
        <v>561</v>
      </c>
      <c r="N46" s="174" t="s">
        <v>561</v>
      </c>
      <c r="O46" s="174" t="s">
        <v>561</v>
      </c>
      <c r="P46" s="192" t="s">
        <v>561</v>
      </c>
      <c r="Q46" s="174" t="s">
        <v>561</v>
      </c>
      <c r="R46" s="193" t="s">
        <v>561</v>
      </c>
      <c r="S46" s="176" t="s">
        <v>561</v>
      </c>
      <c r="T46" s="176" t="s">
        <v>561</v>
      </c>
      <c r="U46" s="61">
        <v>101570.0</v>
      </c>
      <c r="V46" s="62">
        <v>1999.0</v>
      </c>
      <c r="W46" s="63"/>
      <c r="X46" s="64">
        <f t="shared" si="3"/>
        <v>0.2311</v>
      </c>
      <c r="Y46" s="64">
        <f t="shared" si="4"/>
        <v>0.225</v>
      </c>
      <c r="Z46" s="65">
        <v>0.6086</v>
      </c>
      <c r="AA46" s="65">
        <v>0.3775</v>
      </c>
      <c r="AB46" s="65">
        <v>0.59</v>
      </c>
      <c r="AC46" s="65">
        <v>0.365</v>
      </c>
      <c r="AD46" s="62">
        <v>2028.0</v>
      </c>
    </row>
    <row r="47">
      <c r="A47" s="112">
        <f t="shared" si="1"/>
        <v>28</v>
      </c>
      <c r="B47" s="169" t="s">
        <v>2451</v>
      </c>
      <c r="C47" s="169" t="s">
        <v>2453</v>
      </c>
      <c r="D47" s="170" t="s">
        <v>1262</v>
      </c>
      <c r="E47" s="170"/>
      <c r="F47" s="171">
        <f t="shared" si="2"/>
        <v>0</v>
      </c>
      <c r="G47" s="172" t="s">
        <v>766</v>
      </c>
      <c r="H47" s="172" t="s">
        <v>766</v>
      </c>
      <c r="I47" s="172" t="s">
        <v>766</v>
      </c>
      <c r="J47" s="179" t="s">
        <v>561</v>
      </c>
      <c r="K47" s="179" t="s">
        <v>561</v>
      </c>
      <c r="L47" s="174" t="s">
        <v>561</v>
      </c>
      <c r="M47" s="174" t="s">
        <v>561</v>
      </c>
      <c r="N47" s="174" t="s">
        <v>561</v>
      </c>
      <c r="O47" s="174" t="s">
        <v>561</v>
      </c>
      <c r="P47" s="174" t="s">
        <v>561</v>
      </c>
      <c r="Q47" s="174" t="s">
        <v>561</v>
      </c>
      <c r="R47" s="174" t="s">
        <v>561</v>
      </c>
      <c r="S47" s="176" t="s">
        <v>561</v>
      </c>
      <c r="T47" s="176" t="s">
        <v>561</v>
      </c>
      <c r="U47" s="61">
        <v>124075.0</v>
      </c>
      <c r="V47" s="62">
        <v>2019.0</v>
      </c>
      <c r="W47" s="63"/>
      <c r="X47" s="64">
        <f t="shared" si="3"/>
        <v>0.003</v>
      </c>
      <c r="Y47" s="64">
        <f t="shared" si="4"/>
        <v>-0.036</v>
      </c>
      <c r="Z47" s="65">
        <v>0.494</v>
      </c>
      <c r="AA47" s="65">
        <v>0.491</v>
      </c>
      <c r="AB47" s="65">
        <v>0.451</v>
      </c>
      <c r="AC47" s="65">
        <v>0.48700000000000004</v>
      </c>
      <c r="AD47" s="62">
        <v>2024.0</v>
      </c>
    </row>
    <row r="48">
      <c r="A48" s="112">
        <f t="shared" si="1"/>
        <v>28</v>
      </c>
      <c r="B48" s="170" t="s">
        <v>503</v>
      </c>
      <c r="C48" s="170" t="s">
        <v>2471</v>
      </c>
      <c r="D48" s="170" t="s">
        <v>815</v>
      </c>
      <c r="E48" s="170"/>
      <c r="F48" s="171">
        <f t="shared" si="2"/>
        <v>0</v>
      </c>
      <c r="G48" s="172" t="s">
        <v>766</v>
      </c>
      <c r="H48" s="172" t="s">
        <v>766</v>
      </c>
      <c r="I48" s="172" t="s">
        <v>766</v>
      </c>
      <c r="J48" s="179" t="s">
        <v>561</v>
      </c>
      <c r="K48" s="179" t="s">
        <v>561</v>
      </c>
      <c r="L48" s="174" t="s">
        <v>561</v>
      </c>
      <c r="M48" s="174" t="s">
        <v>561</v>
      </c>
      <c r="N48" s="174" t="s">
        <v>561</v>
      </c>
      <c r="O48" s="174" t="s">
        <v>561</v>
      </c>
      <c r="P48" s="174" t="s">
        <v>561</v>
      </c>
      <c r="Q48" s="174" t="s">
        <v>561</v>
      </c>
      <c r="R48" s="174" t="s">
        <v>561</v>
      </c>
      <c r="S48" s="176" t="s">
        <v>561</v>
      </c>
      <c r="T48" s="176" t="s">
        <v>561</v>
      </c>
      <c r="U48" s="61"/>
      <c r="V48" s="62">
        <v>2001.0</v>
      </c>
      <c r="W48" s="63"/>
      <c r="X48" s="64">
        <f t="shared" si="3"/>
        <v>0.0278</v>
      </c>
      <c r="Y48" s="64">
        <f t="shared" si="4"/>
        <v>-0.002</v>
      </c>
      <c r="Z48" s="65">
        <v>0.5062</v>
      </c>
      <c r="AA48" s="65">
        <v>0.4784</v>
      </c>
      <c r="AB48" s="65">
        <v>0.473</v>
      </c>
      <c r="AC48" s="65">
        <v>0.475</v>
      </c>
      <c r="AD48" s="62">
        <v>2024.0</v>
      </c>
    </row>
    <row r="49">
      <c r="A49" s="112">
        <f t="shared" si="1"/>
        <v>28</v>
      </c>
      <c r="B49" s="178" t="s">
        <v>1212</v>
      </c>
      <c r="C49" s="178" t="s">
        <v>2482</v>
      </c>
      <c r="D49" s="170" t="s">
        <v>2483</v>
      </c>
      <c r="E49" s="170"/>
      <c r="F49" s="171">
        <f t="shared" si="2"/>
        <v>0</v>
      </c>
      <c r="G49" s="172" t="s">
        <v>766</v>
      </c>
      <c r="H49" s="172" t="s">
        <v>766</v>
      </c>
      <c r="I49" s="172" t="s">
        <v>766</v>
      </c>
      <c r="J49" s="179" t="s">
        <v>561</v>
      </c>
      <c r="K49" s="179" t="s">
        <v>561</v>
      </c>
      <c r="L49" s="174" t="s">
        <v>561</v>
      </c>
      <c r="M49" s="174" t="s">
        <v>561</v>
      </c>
      <c r="N49" s="174" t="s">
        <v>561</v>
      </c>
      <c r="O49" s="174" t="s">
        <v>561</v>
      </c>
      <c r="P49" s="174" t="s">
        <v>561</v>
      </c>
      <c r="Q49" s="174" t="s">
        <v>561</v>
      </c>
      <c r="R49" s="174" t="s">
        <v>561</v>
      </c>
      <c r="S49" s="176" t="s">
        <v>561</v>
      </c>
      <c r="T49" s="176" t="s">
        <v>561</v>
      </c>
      <c r="U49" s="61">
        <v>145205.0</v>
      </c>
      <c r="V49" s="62">
        <v>2007.0</v>
      </c>
      <c r="W49" s="63"/>
      <c r="X49" s="64">
        <f t="shared" si="3"/>
        <v>-0.1637</v>
      </c>
      <c r="Y49" s="64">
        <f t="shared" si="4"/>
        <v>-0.206</v>
      </c>
      <c r="Z49" s="65">
        <v>0.4055</v>
      </c>
      <c r="AA49" s="65">
        <v>0.5692</v>
      </c>
      <c r="AB49" s="65">
        <v>0.35600000000000004</v>
      </c>
      <c r="AC49" s="65">
        <v>0.562</v>
      </c>
      <c r="AD49" s="62">
        <v>2024.0</v>
      </c>
    </row>
    <row r="50">
      <c r="A50" s="112">
        <f t="shared" si="1"/>
        <v>28</v>
      </c>
      <c r="B50" s="178" t="s">
        <v>127</v>
      </c>
      <c r="C50" s="178" t="s">
        <v>1601</v>
      </c>
      <c r="D50" s="170" t="s">
        <v>1060</v>
      </c>
      <c r="E50" s="170"/>
      <c r="F50" s="171">
        <f t="shared" si="2"/>
        <v>0</v>
      </c>
      <c r="G50" s="172" t="s">
        <v>766</v>
      </c>
      <c r="H50" s="172" t="s">
        <v>766</v>
      </c>
      <c r="I50" s="172" t="s">
        <v>766</v>
      </c>
      <c r="J50" s="179" t="s">
        <v>561</v>
      </c>
      <c r="K50" s="179" t="s">
        <v>561</v>
      </c>
      <c r="L50" s="174" t="s">
        <v>561</v>
      </c>
      <c r="M50" s="174" t="s">
        <v>561</v>
      </c>
      <c r="N50" s="174" t="s">
        <v>561</v>
      </c>
      <c r="O50" s="174" t="s">
        <v>561</v>
      </c>
      <c r="P50" s="174" t="s">
        <v>561</v>
      </c>
      <c r="Q50" s="174" t="s">
        <v>561</v>
      </c>
      <c r="R50" s="174" t="s">
        <v>561</v>
      </c>
      <c r="S50" s="176" t="s">
        <v>561</v>
      </c>
      <c r="T50" s="176" t="s">
        <v>561</v>
      </c>
      <c r="U50" s="61"/>
      <c r="V50" s="62">
        <v>2009.0</v>
      </c>
      <c r="W50" s="63"/>
      <c r="X50" s="64">
        <f t="shared" si="3"/>
        <v>0.1011</v>
      </c>
      <c r="Y50" s="64">
        <f t="shared" si="4"/>
        <v>0.053</v>
      </c>
      <c r="Z50" s="65">
        <v>0.5411</v>
      </c>
      <c r="AA50" s="65">
        <v>0.44</v>
      </c>
      <c r="AB50" s="65">
        <v>0.49700000000000005</v>
      </c>
      <c r="AC50" s="65">
        <v>0.444</v>
      </c>
      <c r="AD50" s="62">
        <v>2026.0</v>
      </c>
    </row>
    <row r="51">
      <c r="A51" s="112">
        <f t="shared" si="1"/>
        <v>28</v>
      </c>
      <c r="B51" s="178" t="s">
        <v>1350</v>
      </c>
      <c r="C51" s="178" t="s">
        <v>1351</v>
      </c>
      <c r="D51" s="170" t="s">
        <v>1206</v>
      </c>
      <c r="E51" s="170"/>
      <c r="F51" s="171">
        <f t="shared" si="2"/>
        <v>0</v>
      </c>
      <c r="G51" s="172" t="s">
        <v>766</v>
      </c>
      <c r="H51" s="172" t="s">
        <v>766</v>
      </c>
      <c r="I51" s="172" t="s">
        <v>766</v>
      </c>
      <c r="J51" s="179" t="s">
        <v>561</v>
      </c>
      <c r="K51" s="179" t="s">
        <v>561</v>
      </c>
      <c r="L51" s="174" t="s">
        <v>561</v>
      </c>
      <c r="M51" s="174" t="s">
        <v>561</v>
      </c>
      <c r="N51" s="174" t="s">
        <v>561</v>
      </c>
      <c r="O51" s="174" t="s">
        <v>561</v>
      </c>
      <c r="P51" s="174" t="s">
        <v>561</v>
      </c>
      <c r="Q51" s="174" t="s">
        <v>561</v>
      </c>
      <c r="R51" s="174" t="s">
        <v>561</v>
      </c>
      <c r="S51" s="176" t="s">
        <v>561</v>
      </c>
      <c r="T51" s="176" t="s">
        <v>561</v>
      </c>
      <c r="U51" s="61">
        <v>61440.0</v>
      </c>
      <c r="V51" s="62">
        <v>2007.0</v>
      </c>
      <c r="W51" s="63"/>
      <c r="X51" s="64">
        <f t="shared" si="3"/>
        <v>0.2078</v>
      </c>
      <c r="Y51" s="64">
        <f t="shared" si="4"/>
        <v>0.155</v>
      </c>
      <c r="Z51" s="65">
        <v>0.5939</v>
      </c>
      <c r="AA51" s="65">
        <v>0.3861</v>
      </c>
      <c r="AB51" s="65">
        <v>0.544</v>
      </c>
      <c r="AC51" s="65">
        <v>0.389</v>
      </c>
      <c r="AD51" s="62">
        <v>2024.0</v>
      </c>
    </row>
    <row r="52">
      <c r="A52" s="112">
        <f t="shared" si="1"/>
        <v>28</v>
      </c>
      <c r="B52" s="178" t="s">
        <v>1231</v>
      </c>
      <c r="C52" s="178" t="s">
        <v>1232</v>
      </c>
      <c r="D52" s="170" t="s">
        <v>532</v>
      </c>
      <c r="E52" s="170"/>
      <c r="F52" s="171">
        <f t="shared" si="2"/>
        <v>0</v>
      </c>
      <c r="G52" s="172" t="s">
        <v>766</v>
      </c>
      <c r="H52" s="172" t="s">
        <v>766</v>
      </c>
      <c r="I52" s="172" t="s">
        <v>766</v>
      </c>
      <c r="J52" s="179" t="s">
        <v>561</v>
      </c>
      <c r="K52" s="179" t="s">
        <v>561</v>
      </c>
      <c r="L52" s="174" t="s">
        <v>561</v>
      </c>
      <c r="M52" s="174" t="s">
        <v>561</v>
      </c>
      <c r="N52" s="174" t="s">
        <v>561</v>
      </c>
      <c r="O52" s="174" t="s">
        <v>561</v>
      </c>
      <c r="P52" s="174" t="s">
        <v>561</v>
      </c>
      <c r="Q52" s="174" t="s">
        <v>561</v>
      </c>
      <c r="R52" s="174" t="s">
        <v>561</v>
      </c>
      <c r="S52" s="176" t="s">
        <v>561</v>
      </c>
      <c r="T52" s="176" t="s">
        <v>561</v>
      </c>
      <c r="U52" s="61">
        <v>53468.0</v>
      </c>
      <c r="V52" s="62" t="s">
        <v>1250</v>
      </c>
      <c r="W52" s="63"/>
      <c r="X52" s="64">
        <f t="shared" si="3"/>
        <v>0.1608</v>
      </c>
      <c r="Y52" s="64">
        <f t="shared" si="4"/>
        <v>0.11</v>
      </c>
      <c r="Z52" s="65">
        <v>0.5645</v>
      </c>
      <c r="AA52" s="65">
        <v>0.4037</v>
      </c>
      <c r="AB52" s="65">
        <v>0.501</v>
      </c>
      <c r="AC52" s="65">
        <v>0.391</v>
      </c>
      <c r="AD52" s="62">
        <v>2028.0</v>
      </c>
    </row>
    <row r="53">
      <c r="A53" s="112" t="s">
        <v>2521</v>
      </c>
      <c r="B53" s="178" t="s">
        <v>1962</v>
      </c>
      <c r="C53" s="178" t="s">
        <v>2522</v>
      </c>
      <c r="D53" s="170" t="s">
        <v>587</v>
      </c>
      <c r="E53" s="170"/>
      <c r="F53" s="195" t="s">
        <v>2521</v>
      </c>
      <c r="G53" s="172" t="s">
        <v>766</v>
      </c>
      <c r="H53" s="172" t="s">
        <v>491</v>
      </c>
      <c r="I53" s="172" t="s">
        <v>766</v>
      </c>
      <c r="J53" s="176" t="s">
        <v>600</v>
      </c>
      <c r="K53" s="176" t="s">
        <v>600</v>
      </c>
      <c r="L53" s="176" t="s">
        <v>600</v>
      </c>
      <c r="M53" s="176" t="s">
        <v>600</v>
      </c>
      <c r="N53" s="176" t="s">
        <v>600</v>
      </c>
      <c r="O53" s="176" t="s">
        <v>600</v>
      </c>
      <c r="P53" s="176" t="s">
        <v>600</v>
      </c>
      <c r="Q53" s="176" t="s">
        <v>600</v>
      </c>
      <c r="R53" s="176" t="s">
        <v>600</v>
      </c>
      <c r="S53" s="176" t="s">
        <v>600</v>
      </c>
      <c r="T53" s="176" t="s">
        <v>600</v>
      </c>
      <c r="U53" s="61">
        <v>1058755.0</v>
      </c>
      <c r="V53" s="62" t="s">
        <v>2523</v>
      </c>
      <c r="W53" s="63"/>
      <c r="X53" s="64">
        <f t="shared" si="3"/>
        <v>0.1593</v>
      </c>
      <c r="Y53" s="64">
        <f t="shared" si="4"/>
        <v>0.141</v>
      </c>
      <c r="Z53" s="65">
        <v>0.5733</v>
      </c>
      <c r="AA53" s="65">
        <v>0.414</v>
      </c>
      <c r="AB53" s="65">
        <v>0.555</v>
      </c>
      <c r="AC53" s="65">
        <v>0.414</v>
      </c>
      <c r="AD53" s="62">
        <v>2024.0</v>
      </c>
    </row>
  </sheetData>
  <mergeCells count="6">
    <mergeCell ref="A1:A2"/>
    <mergeCell ref="B1:B2"/>
    <mergeCell ref="C1:C2"/>
    <mergeCell ref="D1:D2"/>
    <mergeCell ref="F1:F2"/>
    <mergeCell ref="U1:U2"/>
  </mergeCells>
  <conditionalFormatting sqref="G1:T53">
    <cfRule type="cellIs" dxfId="5" priority="1" operator="equal">
      <formula>"Present"</formula>
    </cfRule>
  </conditionalFormatting>
  <conditionalFormatting sqref="G1:L1">
    <cfRule type="cellIs" dxfId="6" priority="2" operator="equal">
      <formula>"Sponsor"</formula>
    </cfRule>
  </conditionalFormatting>
  <conditionalFormatting sqref="G1:L1">
    <cfRule type="cellIs" dxfId="4" priority="3" operator="equal">
      <formula>"Not sponsoring"</formula>
    </cfRule>
  </conditionalFormatting>
  <conditionalFormatting sqref="A3:A53">
    <cfRule type="colorScale" priority="4">
      <colorScale>
        <cfvo type="min"/>
        <cfvo type="formula" val="1"/>
        <cfvo type="formula" val="10"/>
        <color rgb="FFFF00FF"/>
        <color rgb="FFFF80FF"/>
        <color rgb="FFFFFFFF"/>
      </colorScale>
    </cfRule>
  </conditionalFormatting>
  <conditionalFormatting sqref="G1:L1 U3:U53">
    <cfRule type="cellIs" dxfId="6" priority="5" operator="equal">
      <formula>"No (incorrect)"</formula>
    </cfRule>
  </conditionalFormatting>
  <conditionalFormatting sqref="G1:L1 U3:U53">
    <cfRule type="cellIs" dxfId="4" priority="6" operator="equal">
      <formula>"Yes (correct)"</formula>
    </cfRule>
  </conditionalFormatting>
  <conditionalFormatting sqref="U1 U3:U53">
    <cfRule type="cellIs" dxfId="4" priority="7" operator="equal">
      <formula>"Yes"</formula>
    </cfRule>
  </conditionalFormatting>
  <conditionalFormatting sqref="U1 U3:U53">
    <cfRule type="colorScale" priority="8">
      <colorScale>
        <cfvo type="formula" val="-1000000"/>
        <cfvo type="formula" val="0"/>
        <cfvo type="formula" val="1000000"/>
        <color rgb="FF00FF00"/>
        <color rgb="FFFFFFFF"/>
        <color rgb="FFFF0000"/>
      </colorScale>
    </cfRule>
  </conditionalFormatting>
  <conditionalFormatting sqref="Z3:Z53 AB3:AB53">
    <cfRule type="colorScale" priority="9">
      <colorScale>
        <cfvo type="min"/>
        <cfvo type="max"/>
        <color rgb="FFFFFFFF"/>
        <color rgb="FF4A86E8"/>
      </colorScale>
    </cfRule>
  </conditionalFormatting>
  <conditionalFormatting sqref="AA3:AA53 AC3:AC53">
    <cfRule type="colorScale" priority="10">
      <colorScale>
        <cfvo type="min"/>
        <cfvo type="max"/>
        <color rgb="FFFFFFFF"/>
        <color rgb="FFFF0000"/>
      </colorScale>
    </cfRule>
  </conditionalFormatting>
  <conditionalFormatting sqref="AD2">
    <cfRule type="colorScale" priority="11">
      <colorScale>
        <cfvo type="min"/>
        <cfvo type="max"/>
        <color rgb="FFFFFFFF"/>
        <color rgb="FFFF00FF"/>
      </colorScale>
    </cfRule>
  </conditionalFormatting>
  <conditionalFormatting sqref="W3:Y53 G52:U52">
    <cfRule type="colorScale" priority="12">
      <colorScale>
        <cfvo type="min"/>
        <cfvo type="percent" val="56"/>
        <cfvo type="max"/>
        <color rgb="FFFF0000"/>
        <color rgb="FFFFFFFF"/>
        <color rgb="FF4A86E8"/>
      </colorScale>
    </cfRule>
  </conditionalFormatting>
  <conditionalFormatting sqref="G1:L1 U1 G3:U53">
    <cfRule type="cellIs" dxfId="6" priority="13" operator="equal">
      <formula>"Yes"</formula>
    </cfRule>
  </conditionalFormatting>
  <conditionalFormatting sqref="G1:L1 U1 G3:U53">
    <cfRule type="cellIs" dxfId="4" priority="14" operator="equal">
      <formula>"No"</formula>
    </cfRule>
  </conditionalFormatting>
  <conditionalFormatting sqref="U1 G3:U53">
    <cfRule type="cellIs" dxfId="4" priority="15" operator="equal">
      <formula>"Yes (correct)"</formula>
    </cfRule>
  </conditionalFormatting>
  <conditionalFormatting sqref="U1 G3:U53">
    <cfRule type="cellIs" dxfId="6" priority="16" operator="equal">
      <formula>"No (incorrect)"</formula>
    </cfRule>
  </conditionalFormatting>
  <conditionalFormatting sqref="G1:L1 U1 G3:U53">
    <cfRule type="cellIs" dxfId="7" priority="17" operator="equal">
      <formula>"Not voting"</formula>
    </cfRule>
  </conditionalFormatting>
  <conditionalFormatting sqref="D1:L1 U1 A3:A53 G3:U53 F11 F23">
    <cfRule type="cellIs" dxfId="7" priority="18" operator="equal">
      <formula>"Not elected"</formula>
    </cfRule>
  </conditionalFormatting>
  <conditionalFormatting sqref="G1:L1 U1 G3:U53">
    <cfRule type="cellIs" dxfId="4" priority="19" operator="equal">
      <formula>"Sponsor"</formula>
    </cfRule>
  </conditionalFormatting>
  <conditionalFormatting sqref="G1:L1 U1 G3:U53">
    <cfRule type="cellIs" dxfId="6" priority="20" operator="equal">
      <formula>"Not sponsoring"</formula>
    </cfRule>
  </conditionalFormatting>
  <conditionalFormatting sqref="G1:L1 U1 G3:U53">
    <cfRule type="cellIs" dxfId="7" priority="21" operator="equal">
      <formula>"TBD"</formula>
    </cfRule>
  </conditionalFormatting>
  <conditionalFormatting sqref="F1:F53">
    <cfRule type="colorScale" priority="22">
      <colorScale>
        <cfvo type="min"/>
        <cfvo type="max"/>
        <color rgb="FFFFFFFF"/>
        <color rgb="FFFF00FF"/>
      </colorScale>
    </cfRule>
  </conditionalFormatting>
  <hyperlinks>
    <hyperlink r:id="rId1" ref="G1"/>
    <hyperlink r:id="rId2" ref="H1"/>
    <hyperlink r:id="rId3" ref="I1"/>
    <hyperlink r:id="rId4" ref="J1"/>
    <hyperlink r:id="rId5" ref="K1"/>
    <hyperlink r:id="rId6" ref="L1"/>
    <hyperlink r:id="rId7" ref="M1"/>
    <hyperlink r:id="rId8" ref="N1"/>
    <hyperlink r:id="rId9" ref="O1"/>
    <hyperlink r:id="rId10" ref="P1"/>
    <hyperlink r:id="rId11" ref="Q1"/>
    <hyperlink r:id="rId12" ref="R1"/>
    <hyperlink r:id="rId13" ref="S1"/>
    <hyperlink r:id="rId14" ref="E4"/>
    <hyperlink r:id="rId15" ref="E5"/>
    <hyperlink r:id="rId16" ref="E6"/>
    <hyperlink r:id="rId17" ref="E10"/>
    <hyperlink r:id="rId18" ref="E13"/>
    <hyperlink r:id="rId19" ref="E20"/>
    <hyperlink r:id="rId20" ref="P46"/>
    <hyperlink r:id="rId21" ref="R46"/>
  </hyperlinks>
  <drawing r:id="rId2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88"/>
    <col customWidth="1" min="8" max="8" width="31.13"/>
    <col customWidth="1" min="9" max="9" width="21.13"/>
    <col customWidth="1" min="10" max="10" width="19.88"/>
    <col customWidth="1" min="11" max="11" width="18.0"/>
    <col customWidth="1" min="12" max="12" width="18.5"/>
    <col customWidth="1" min="14" max="14" width="16.5"/>
  </cols>
  <sheetData>
    <row r="1">
      <c r="A1" s="196" t="s">
        <v>2527</v>
      </c>
      <c r="B1" s="196" t="s">
        <v>2528</v>
      </c>
      <c r="C1" s="197" t="s">
        <v>2529</v>
      </c>
      <c r="D1" s="198" t="s">
        <v>47</v>
      </c>
      <c r="E1" s="196" t="s">
        <v>2530</v>
      </c>
      <c r="F1" s="197" t="s">
        <v>2531</v>
      </c>
      <c r="G1" s="197" t="s">
        <v>2532</v>
      </c>
      <c r="H1" s="197" t="s">
        <v>2533</v>
      </c>
      <c r="I1" s="197" t="s">
        <v>2534</v>
      </c>
      <c r="J1" s="197" t="s">
        <v>2535</v>
      </c>
      <c r="K1" s="197" t="s">
        <v>2536</v>
      </c>
      <c r="L1" s="197" t="s">
        <v>2537</v>
      </c>
      <c r="M1" s="197" t="s">
        <v>2538</v>
      </c>
      <c r="N1" s="197" t="s">
        <v>2539</v>
      </c>
    </row>
    <row r="2">
      <c r="A2" s="200" t="s">
        <v>2540</v>
      </c>
      <c r="B2" s="201" t="s">
        <v>864</v>
      </c>
      <c r="C2" s="202" t="b">
        <v>1</v>
      </c>
      <c r="D2" s="201"/>
      <c r="E2" s="201"/>
      <c r="F2" s="202" t="b">
        <v>0</v>
      </c>
      <c r="G2" s="202" t="b">
        <v>1</v>
      </c>
      <c r="H2" s="202" t="b">
        <v>0</v>
      </c>
      <c r="I2" s="202" t="b">
        <v>1</v>
      </c>
      <c r="J2" s="202" t="b">
        <v>1</v>
      </c>
      <c r="K2" s="202" t="b">
        <v>1</v>
      </c>
      <c r="L2" s="202" t="b">
        <v>1</v>
      </c>
      <c r="M2" s="202" t="b">
        <v>0</v>
      </c>
      <c r="N2" s="202" t="b">
        <v>1</v>
      </c>
    </row>
    <row r="3">
      <c r="A3" s="200" t="s">
        <v>2548</v>
      </c>
      <c r="B3" s="201" t="s">
        <v>820</v>
      </c>
      <c r="C3" s="202" t="b">
        <v>1</v>
      </c>
      <c r="D3" s="201"/>
      <c r="E3" s="201"/>
      <c r="F3" s="202" t="b">
        <v>0</v>
      </c>
      <c r="G3" s="202" t="b">
        <v>0</v>
      </c>
      <c r="H3" s="202" t="b">
        <v>0</v>
      </c>
      <c r="I3" s="202" t="b">
        <v>1</v>
      </c>
      <c r="J3" s="202" t="b">
        <v>1</v>
      </c>
      <c r="K3" s="202" t="b">
        <v>0</v>
      </c>
      <c r="L3" s="202" t="b">
        <v>1</v>
      </c>
      <c r="M3" s="202" t="b">
        <v>1</v>
      </c>
      <c r="N3" s="202" t="b">
        <v>1</v>
      </c>
    </row>
    <row r="4">
      <c r="A4" s="200" t="s">
        <v>2549</v>
      </c>
      <c r="B4" s="201" t="s">
        <v>2550</v>
      </c>
      <c r="C4" s="202" t="b">
        <v>1</v>
      </c>
      <c r="D4" s="201"/>
      <c r="E4" s="201"/>
      <c r="F4" s="202" t="b">
        <v>1</v>
      </c>
      <c r="G4" s="202" t="b">
        <v>0</v>
      </c>
      <c r="H4" s="202" t="b">
        <v>0</v>
      </c>
      <c r="I4" s="202" t="b">
        <v>0</v>
      </c>
      <c r="J4" s="202" t="b">
        <v>1</v>
      </c>
      <c r="K4" s="202" t="b">
        <v>1</v>
      </c>
      <c r="L4" s="202" t="b">
        <v>0</v>
      </c>
      <c r="M4" s="202" t="b">
        <v>0</v>
      </c>
      <c r="N4" s="202" t="b">
        <v>0</v>
      </c>
    </row>
    <row r="5">
      <c r="A5" s="200" t="s">
        <v>2551</v>
      </c>
      <c r="B5" s="201" t="s">
        <v>2552</v>
      </c>
      <c r="C5" s="202" t="b">
        <v>0</v>
      </c>
      <c r="D5" s="201"/>
      <c r="E5" s="201"/>
      <c r="F5" s="202" t="b">
        <v>1</v>
      </c>
      <c r="G5" s="202" t="b">
        <v>0</v>
      </c>
      <c r="H5" s="202" t="b">
        <v>1</v>
      </c>
      <c r="I5" s="202" t="b">
        <v>1</v>
      </c>
      <c r="J5" s="202" t="b">
        <v>0</v>
      </c>
      <c r="K5" s="202" t="b">
        <v>1</v>
      </c>
      <c r="L5" s="202" t="b">
        <v>0</v>
      </c>
      <c r="M5" s="202" t="b">
        <v>1</v>
      </c>
      <c r="N5" s="202" t="b">
        <v>0</v>
      </c>
    </row>
    <row r="6">
      <c r="A6" s="200" t="s">
        <v>2553</v>
      </c>
      <c r="B6" s="201" t="s">
        <v>2554</v>
      </c>
      <c r="C6" s="202" t="b">
        <v>0</v>
      </c>
      <c r="D6" s="201"/>
      <c r="E6" s="201"/>
      <c r="F6" s="202" t="b">
        <v>1</v>
      </c>
      <c r="G6" s="202" t="b">
        <v>1</v>
      </c>
      <c r="H6" s="202" t="b">
        <v>1</v>
      </c>
      <c r="I6" s="202" t="b">
        <v>1</v>
      </c>
      <c r="J6" s="202" t="b">
        <v>1</v>
      </c>
      <c r="K6" s="202" t="b">
        <v>1</v>
      </c>
      <c r="L6" s="202" t="b">
        <v>0</v>
      </c>
      <c r="M6" s="202" t="b">
        <v>0</v>
      </c>
      <c r="N6" s="202" t="b">
        <v>0</v>
      </c>
    </row>
    <row r="7">
      <c r="A7" s="200" t="s">
        <v>2549</v>
      </c>
      <c r="B7" s="201" t="s">
        <v>855</v>
      </c>
      <c r="C7" s="202" t="b">
        <v>0</v>
      </c>
      <c r="D7" s="201"/>
      <c r="E7" s="201"/>
      <c r="F7" s="202" t="b">
        <v>0</v>
      </c>
      <c r="G7" s="202" t="b">
        <v>0</v>
      </c>
      <c r="H7" s="202" t="b">
        <v>0</v>
      </c>
      <c r="I7" s="202" t="b">
        <v>1</v>
      </c>
      <c r="J7" s="202" t="b">
        <v>1</v>
      </c>
      <c r="K7" s="202" t="b">
        <v>1</v>
      </c>
      <c r="L7" s="202" t="b">
        <v>1</v>
      </c>
      <c r="M7" s="202" t="b">
        <v>1</v>
      </c>
      <c r="N7" s="202" t="b">
        <v>1</v>
      </c>
    </row>
    <row r="8">
      <c r="A8" s="204" t="s">
        <v>2555</v>
      </c>
      <c r="B8" s="205" t="s">
        <v>418</v>
      </c>
      <c r="C8" s="202" t="b">
        <v>0</v>
      </c>
      <c r="D8" s="205" t="s">
        <v>2556</v>
      </c>
      <c r="E8" s="201"/>
      <c r="F8" s="206" t="b">
        <v>1</v>
      </c>
      <c r="G8" s="206" t="b">
        <v>1</v>
      </c>
      <c r="H8" s="202" t="b">
        <v>0</v>
      </c>
      <c r="I8" s="206" t="b">
        <v>0</v>
      </c>
      <c r="J8" s="206" t="b">
        <v>0</v>
      </c>
      <c r="K8" s="206" t="b">
        <v>0</v>
      </c>
      <c r="L8" s="206" t="b">
        <v>0</v>
      </c>
      <c r="M8" s="206" t="b">
        <v>0</v>
      </c>
      <c r="N8" s="206" t="b">
        <v>0</v>
      </c>
    </row>
    <row r="9">
      <c r="A9" s="204" t="s">
        <v>2557</v>
      </c>
      <c r="B9" s="205" t="s">
        <v>2558</v>
      </c>
      <c r="C9" s="202" t="b">
        <v>0</v>
      </c>
      <c r="D9" s="205" t="s">
        <v>1202</v>
      </c>
      <c r="E9" s="201"/>
      <c r="F9" s="206" t="b">
        <v>1</v>
      </c>
      <c r="G9" s="202" t="b">
        <v>0</v>
      </c>
      <c r="H9" s="206" t="b">
        <v>1</v>
      </c>
      <c r="I9" s="206" t="b">
        <v>1</v>
      </c>
      <c r="J9" s="206" t="b">
        <v>1</v>
      </c>
      <c r="K9" s="206" t="b">
        <v>0</v>
      </c>
      <c r="L9" s="206" t="b">
        <v>0</v>
      </c>
      <c r="M9" s="206" t="b">
        <v>1</v>
      </c>
      <c r="N9" s="206" t="b">
        <v>0</v>
      </c>
    </row>
    <row r="10">
      <c r="A10" s="204" t="s">
        <v>2559</v>
      </c>
      <c r="B10" s="205" t="s">
        <v>1397</v>
      </c>
      <c r="C10" s="202" t="b">
        <v>0</v>
      </c>
      <c r="D10" s="205" t="s">
        <v>1281</v>
      </c>
      <c r="E10" s="201"/>
      <c r="F10" s="206" t="b">
        <v>1</v>
      </c>
      <c r="G10" s="202" t="b">
        <v>0</v>
      </c>
      <c r="H10" s="206" t="b">
        <v>1</v>
      </c>
      <c r="I10" s="206" t="b">
        <v>1</v>
      </c>
      <c r="J10" s="206" t="b">
        <v>1</v>
      </c>
      <c r="K10" s="206" t="b">
        <v>0</v>
      </c>
      <c r="L10" s="206" t="b">
        <v>0</v>
      </c>
      <c r="M10" s="206" t="b">
        <v>1</v>
      </c>
      <c r="N10" s="206" t="b">
        <v>0</v>
      </c>
    </row>
    <row r="11">
      <c r="A11" s="204" t="s">
        <v>2560</v>
      </c>
      <c r="B11" s="205" t="s">
        <v>618</v>
      </c>
      <c r="C11" s="202" t="b">
        <v>0</v>
      </c>
      <c r="D11" s="205" t="s">
        <v>617</v>
      </c>
      <c r="E11" s="201"/>
      <c r="F11" s="206" t="b">
        <v>1</v>
      </c>
      <c r="G11" s="202" t="b">
        <v>0</v>
      </c>
      <c r="H11" s="206" t="b">
        <v>1</v>
      </c>
      <c r="I11" s="206" t="b">
        <v>1</v>
      </c>
      <c r="J11" s="206" t="b">
        <v>1</v>
      </c>
      <c r="K11" s="206" t="b">
        <v>0</v>
      </c>
      <c r="L11" s="206" t="b">
        <v>0</v>
      </c>
      <c r="M11" s="206" t="b">
        <v>1</v>
      </c>
      <c r="N11" s="206" t="b">
        <v>0</v>
      </c>
    </row>
    <row r="12">
      <c r="A12" s="204" t="s">
        <v>2561</v>
      </c>
      <c r="B12" s="205" t="s">
        <v>734</v>
      </c>
      <c r="C12" s="202" t="b">
        <v>0</v>
      </c>
      <c r="D12" s="205" t="s">
        <v>733</v>
      </c>
      <c r="E12" s="201"/>
      <c r="F12" s="206" t="b">
        <v>1</v>
      </c>
      <c r="G12" s="202" t="b">
        <v>0</v>
      </c>
      <c r="H12" s="206" t="b">
        <v>1</v>
      </c>
      <c r="I12" s="206" t="b">
        <v>1</v>
      </c>
      <c r="J12" s="206" t="b">
        <v>1</v>
      </c>
      <c r="K12" s="206" t="b">
        <v>0</v>
      </c>
      <c r="L12" s="206" t="b">
        <v>0</v>
      </c>
      <c r="M12" s="206" t="b">
        <v>1</v>
      </c>
      <c r="N12" s="206" t="b">
        <v>0</v>
      </c>
    </row>
    <row r="13">
      <c r="A13" s="204" t="s">
        <v>2562</v>
      </c>
      <c r="B13" s="205" t="s">
        <v>514</v>
      </c>
      <c r="C13" s="202" t="b">
        <v>0</v>
      </c>
      <c r="D13" s="201"/>
      <c r="E13" s="201"/>
      <c r="F13" s="202" t="b">
        <v>0</v>
      </c>
      <c r="G13" s="202" t="b">
        <v>0</v>
      </c>
      <c r="H13" s="202" t="b">
        <v>0</v>
      </c>
      <c r="I13" s="202" t="b">
        <v>0</v>
      </c>
      <c r="J13" s="202" t="b">
        <v>0</v>
      </c>
      <c r="K13" s="202" t="b">
        <v>0</v>
      </c>
      <c r="L13" s="202" t="b">
        <v>0</v>
      </c>
      <c r="M13" s="206" t="b">
        <v>1</v>
      </c>
      <c r="N13" s="202" t="b">
        <v>0</v>
      </c>
    </row>
    <row r="14">
      <c r="A14" s="207" t="s">
        <v>2563</v>
      </c>
      <c r="B14" s="205" t="s">
        <v>774</v>
      </c>
      <c r="C14" s="202" t="b">
        <v>0</v>
      </c>
      <c r="D14" s="205" t="s">
        <v>773</v>
      </c>
      <c r="E14" s="201"/>
      <c r="F14" s="202" t="b">
        <v>0</v>
      </c>
      <c r="G14" s="202" t="b">
        <v>0</v>
      </c>
      <c r="H14" s="202" t="b">
        <v>0</v>
      </c>
      <c r="I14" s="206" t="b">
        <v>1</v>
      </c>
      <c r="J14" s="206" t="b">
        <v>1</v>
      </c>
      <c r="K14" s="206" t="b">
        <v>1</v>
      </c>
      <c r="L14" s="202" t="b">
        <v>0</v>
      </c>
      <c r="M14" s="206" t="b">
        <v>1</v>
      </c>
      <c r="N14" s="202" t="b">
        <v>0</v>
      </c>
    </row>
    <row r="15">
      <c r="A15" s="207" t="s">
        <v>2564</v>
      </c>
      <c r="B15" s="205" t="s">
        <v>656</v>
      </c>
      <c r="C15" s="202" t="b">
        <v>0</v>
      </c>
      <c r="D15" s="205" t="s">
        <v>655</v>
      </c>
      <c r="E15" s="201"/>
      <c r="F15" s="202" t="b">
        <v>0</v>
      </c>
      <c r="G15" s="202" t="b">
        <v>0</v>
      </c>
      <c r="H15" s="206" t="b">
        <v>1</v>
      </c>
      <c r="I15" s="206" t="b">
        <v>1</v>
      </c>
      <c r="J15" s="202" t="b">
        <v>0</v>
      </c>
      <c r="K15" s="206" t="b">
        <v>1</v>
      </c>
      <c r="L15" s="202" t="b">
        <v>0</v>
      </c>
      <c r="M15" s="206" t="b">
        <v>1</v>
      </c>
      <c r="N15" s="202" t="b">
        <v>0</v>
      </c>
    </row>
    <row r="16">
      <c r="A16" s="207" t="s">
        <v>2566</v>
      </c>
      <c r="B16" s="205" t="s">
        <v>849</v>
      </c>
      <c r="C16" s="202" t="b">
        <v>0</v>
      </c>
      <c r="D16" s="205" t="s">
        <v>847</v>
      </c>
      <c r="E16" s="201"/>
      <c r="F16" s="206" t="b">
        <v>1</v>
      </c>
      <c r="G16" s="206" t="b">
        <v>1</v>
      </c>
      <c r="H16" s="206" t="b">
        <v>1</v>
      </c>
      <c r="I16" s="206" t="b">
        <v>1</v>
      </c>
      <c r="J16" s="202" t="b">
        <v>0</v>
      </c>
      <c r="K16" s="202" t="b">
        <v>0</v>
      </c>
      <c r="L16" s="202" t="b">
        <v>0</v>
      </c>
      <c r="M16" s="202" t="b">
        <v>0</v>
      </c>
      <c r="N16" s="202" t="b">
        <v>0</v>
      </c>
    </row>
    <row r="17">
      <c r="A17" s="201"/>
      <c r="B17" s="205" t="s">
        <v>1316</v>
      </c>
      <c r="C17" s="202" t="b">
        <v>0</v>
      </c>
      <c r="D17" s="205" t="s">
        <v>1315</v>
      </c>
      <c r="E17" s="201"/>
      <c r="F17" s="202" t="b">
        <v>0</v>
      </c>
      <c r="G17" s="202" t="b">
        <v>0</v>
      </c>
      <c r="H17" s="202" t="b">
        <v>0</v>
      </c>
      <c r="I17" s="202" t="b">
        <v>0</v>
      </c>
      <c r="J17" s="202" t="b">
        <v>0</v>
      </c>
      <c r="K17" s="202" t="b">
        <v>0</v>
      </c>
      <c r="L17" s="202" t="b">
        <v>0</v>
      </c>
      <c r="M17" s="202" t="b">
        <v>0</v>
      </c>
      <c r="N17" s="202" t="b">
        <v>0</v>
      </c>
    </row>
    <row r="18">
      <c r="A18" s="201"/>
      <c r="B18" s="205" t="s">
        <v>2568</v>
      </c>
      <c r="C18" s="202" t="b">
        <v>0</v>
      </c>
      <c r="D18" s="205" t="s">
        <v>1337</v>
      </c>
      <c r="E18" s="201"/>
      <c r="F18" s="202" t="b">
        <v>0</v>
      </c>
      <c r="G18" s="202" t="b">
        <v>0</v>
      </c>
      <c r="H18" s="202" t="b">
        <v>0</v>
      </c>
      <c r="I18" s="202" t="b">
        <v>0</v>
      </c>
      <c r="J18" s="202" t="b">
        <v>0</v>
      </c>
      <c r="K18" s="202" t="b">
        <v>0</v>
      </c>
      <c r="L18" s="202" t="b">
        <v>0</v>
      </c>
      <c r="M18" s="202" t="b">
        <v>0</v>
      </c>
      <c r="N18" s="202" t="b">
        <v>0</v>
      </c>
    </row>
    <row r="19">
      <c r="A19" s="201"/>
      <c r="B19" s="205" t="s">
        <v>1138</v>
      </c>
      <c r="C19" s="202" t="b">
        <v>0</v>
      </c>
      <c r="D19" s="205" t="s">
        <v>1137</v>
      </c>
      <c r="E19" s="201"/>
      <c r="F19" s="202" t="b">
        <v>0</v>
      </c>
      <c r="G19" s="202" t="b">
        <v>0</v>
      </c>
      <c r="H19" s="202" t="b">
        <v>0</v>
      </c>
      <c r="I19" s="202" t="b">
        <v>0</v>
      </c>
      <c r="J19" s="202" t="b">
        <v>0</v>
      </c>
      <c r="K19" s="202" t="b">
        <v>0</v>
      </c>
      <c r="L19" s="202" t="b">
        <v>0</v>
      </c>
      <c r="M19" s="202" t="b">
        <v>0</v>
      </c>
      <c r="N19" s="202" t="b">
        <v>0</v>
      </c>
    </row>
    <row r="20">
      <c r="A20" s="201"/>
      <c r="B20" s="205" t="s">
        <v>2569</v>
      </c>
      <c r="C20" s="202" t="b">
        <v>0</v>
      </c>
      <c r="D20" s="205" t="s">
        <v>655</v>
      </c>
      <c r="E20" s="201"/>
      <c r="F20" s="202" t="b">
        <v>0</v>
      </c>
      <c r="G20" s="202" t="b">
        <v>0</v>
      </c>
      <c r="H20" s="202" t="b">
        <v>0</v>
      </c>
      <c r="I20" s="202" t="b">
        <v>0</v>
      </c>
      <c r="J20" s="202" t="b">
        <v>0</v>
      </c>
      <c r="K20" s="202" t="b">
        <v>0</v>
      </c>
      <c r="L20" s="202" t="b">
        <v>0</v>
      </c>
      <c r="M20" s="202" t="b">
        <v>0</v>
      </c>
      <c r="N20" s="202" t="b">
        <v>0</v>
      </c>
    </row>
    <row r="21">
      <c r="A21" s="201"/>
      <c r="B21" s="205" t="s">
        <v>1306</v>
      </c>
      <c r="C21" s="202" t="b">
        <v>0</v>
      </c>
      <c r="D21" s="205" t="s">
        <v>1210</v>
      </c>
      <c r="E21" s="201"/>
      <c r="F21" s="202" t="b">
        <v>0</v>
      </c>
      <c r="G21" s="202" t="b">
        <v>0</v>
      </c>
      <c r="H21" s="202" t="b">
        <v>0</v>
      </c>
      <c r="I21" s="202" t="b">
        <v>0</v>
      </c>
      <c r="J21" s="202" t="b">
        <v>0</v>
      </c>
      <c r="K21" s="202" t="b">
        <v>0</v>
      </c>
      <c r="L21" s="202" t="b">
        <v>0</v>
      </c>
      <c r="M21" s="202" t="b">
        <v>0</v>
      </c>
      <c r="N21" s="202" t="b">
        <v>0</v>
      </c>
    </row>
    <row r="22">
      <c r="B22" s="201"/>
      <c r="C22" s="202" t="b">
        <v>0</v>
      </c>
      <c r="D22" s="201"/>
      <c r="E22" s="201"/>
      <c r="F22" s="202" t="b">
        <v>0</v>
      </c>
      <c r="G22" s="202" t="b">
        <v>0</v>
      </c>
      <c r="H22" s="202" t="b">
        <v>0</v>
      </c>
      <c r="I22" s="202" t="b">
        <v>0</v>
      </c>
      <c r="J22" s="202" t="b">
        <v>0</v>
      </c>
      <c r="K22" s="202" t="b">
        <v>0</v>
      </c>
      <c r="L22" s="202" t="b">
        <v>0</v>
      </c>
      <c r="M22" s="202" t="b">
        <v>0</v>
      </c>
      <c r="N22" s="202" t="b">
        <v>0</v>
      </c>
    </row>
    <row r="23">
      <c r="B23" s="201"/>
      <c r="C23" s="202" t="b">
        <v>0</v>
      </c>
      <c r="D23" s="201"/>
      <c r="E23" s="201"/>
      <c r="F23" s="202" t="b">
        <v>0</v>
      </c>
      <c r="G23" s="202" t="b">
        <v>0</v>
      </c>
      <c r="H23" s="202" t="b">
        <v>0</v>
      </c>
      <c r="I23" s="202" t="b">
        <v>0</v>
      </c>
      <c r="J23" s="202" t="b">
        <v>0</v>
      </c>
      <c r="K23" s="202" t="b">
        <v>0</v>
      </c>
      <c r="L23" s="202" t="b">
        <v>0</v>
      </c>
      <c r="M23" s="202" t="b">
        <v>0</v>
      </c>
      <c r="N23" s="202" t="b">
        <v>0</v>
      </c>
    </row>
    <row r="24">
      <c r="A24" s="201"/>
      <c r="B24" s="201"/>
      <c r="C24" s="202" t="b">
        <v>0</v>
      </c>
      <c r="D24" s="201"/>
      <c r="E24" s="201"/>
      <c r="F24" s="202" t="b">
        <v>0</v>
      </c>
      <c r="G24" s="202" t="b">
        <v>0</v>
      </c>
      <c r="H24" s="202" t="b">
        <v>0</v>
      </c>
      <c r="I24" s="202" t="b">
        <v>0</v>
      </c>
      <c r="J24" s="202" t="b">
        <v>0</v>
      </c>
      <c r="K24" s="202" t="b">
        <v>0</v>
      </c>
      <c r="L24" s="202" t="b">
        <v>0</v>
      </c>
      <c r="M24" s="202" t="b">
        <v>0</v>
      </c>
      <c r="N24" s="202" t="b">
        <v>0</v>
      </c>
    </row>
    <row r="25">
      <c r="A25" s="201"/>
      <c r="B25" s="201"/>
      <c r="C25" s="202" t="b">
        <v>0</v>
      </c>
      <c r="D25" s="201"/>
      <c r="E25" s="201"/>
      <c r="F25" s="202" t="b">
        <v>0</v>
      </c>
      <c r="G25" s="202" t="b">
        <v>0</v>
      </c>
      <c r="H25" s="202" t="b">
        <v>0</v>
      </c>
      <c r="I25" s="202" t="b">
        <v>0</v>
      </c>
      <c r="J25" s="202" t="b">
        <v>0</v>
      </c>
      <c r="K25" s="202" t="b">
        <v>0</v>
      </c>
      <c r="L25" s="202" t="b">
        <v>0</v>
      </c>
      <c r="M25" s="202" t="b">
        <v>0</v>
      </c>
      <c r="N25" s="202" t="b">
        <v>0</v>
      </c>
    </row>
    <row r="26">
      <c r="A26" s="201"/>
      <c r="B26" s="201"/>
      <c r="C26" s="202" t="b">
        <v>0</v>
      </c>
      <c r="D26" s="201"/>
      <c r="E26" s="201"/>
      <c r="F26" s="202" t="b">
        <v>0</v>
      </c>
      <c r="G26" s="202" t="b">
        <v>0</v>
      </c>
      <c r="H26" s="202" t="b">
        <v>0</v>
      </c>
      <c r="I26" s="202" t="b">
        <v>0</v>
      </c>
      <c r="J26" s="202" t="b">
        <v>0</v>
      </c>
      <c r="K26" s="202" t="b">
        <v>0</v>
      </c>
      <c r="L26" s="202" t="b">
        <v>0</v>
      </c>
      <c r="M26" s="202" t="b">
        <v>0</v>
      </c>
      <c r="N26" s="202" t="b">
        <v>0</v>
      </c>
    </row>
    <row r="27">
      <c r="A27" s="201"/>
      <c r="B27" s="201"/>
      <c r="C27" s="202" t="b">
        <v>0</v>
      </c>
      <c r="D27" s="201"/>
      <c r="E27" s="201"/>
      <c r="F27" s="202" t="b">
        <v>0</v>
      </c>
      <c r="G27" s="202" t="b">
        <v>0</v>
      </c>
      <c r="H27" s="202" t="b">
        <v>0</v>
      </c>
      <c r="I27" s="202" t="b">
        <v>0</v>
      </c>
      <c r="J27" s="202" t="b">
        <v>0</v>
      </c>
      <c r="K27" s="202" t="b">
        <v>0</v>
      </c>
      <c r="L27" s="202" t="b">
        <v>0</v>
      </c>
      <c r="M27" s="202" t="b">
        <v>0</v>
      </c>
      <c r="N27" s="202" t="b">
        <v>0</v>
      </c>
    </row>
    <row r="28">
      <c r="A28" s="201"/>
      <c r="B28" s="201"/>
      <c r="C28" s="202" t="b">
        <v>0</v>
      </c>
      <c r="D28" s="201"/>
      <c r="E28" s="201"/>
      <c r="F28" s="202" t="b">
        <v>0</v>
      </c>
      <c r="G28" s="202" t="b">
        <v>0</v>
      </c>
      <c r="H28" s="202" t="b">
        <v>0</v>
      </c>
      <c r="I28" s="202" t="b">
        <v>0</v>
      </c>
      <c r="J28" s="202" t="b">
        <v>0</v>
      </c>
      <c r="K28" s="202" t="b">
        <v>0</v>
      </c>
      <c r="L28" s="202" t="b">
        <v>0</v>
      </c>
      <c r="M28" s="202" t="b">
        <v>0</v>
      </c>
      <c r="N28" s="202" t="b">
        <v>0</v>
      </c>
    </row>
    <row r="29">
      <c r="A29" s="201"/>
      <c r="B29" s="201"/>
      <c r="C29" s="202" t="b">
        <v>0</v>
      </c>
      <c r="D29" s="201"/>
      <c r="E29" s="201"/>
      <c r="F29" s="202" t="b">
        <v>0</v>
      </c>
      <c r="G29" s="202" t="b">
        <v>0</v>
      </c>
      <c r="H29" s="202" t="b">
        <v>0</v>
      </c>
      <c r="I29" s="202" t="b">
        <v>0</v>
      </c>
      <c r="J29" s="202" t="b">
        <v>0</v>
      </c>
      <c r="K29" s="202" t="b">
        <v>0</v>
      </c>
      <c r="L29" s="202" t="b">
        <v>0</v>
      </c>
      <c r="M29" s="202" t="b">
        <v>0</v>
      </c>
      <c r="N29" s="202" t="b">
        <v>0</v>
      </c>
    </row>
    <row r="30">
      <c r="A30" s="208" t="s">
        <v>2573</v>
      </c>
      <c r="B30" s="201"/>
      <c r="C30" s="202" t="b">
        <v>0</v>
      </c>
      <c r="D30" s="201"/>
      <c r="E30" s="201"/>
      <c r="F30" s="202" t="b">
        <v>0</v>
      </c>
      <c r="G30" s="202" t="b">
        <v>0</v>
      </c>
      <c r="H30" s="202" t="b">
        <v>0</v>
      </c>
      <c r="I30" s="202" t="b">
        <v>0</v>
      </c>
      <c r="J30" s="202" t="b">
        <v>0</v>
      </c>
      <c r="K30" s="202" t="b">
        <v>0</v>
      </c>
      <c r="L30" s="202" t="b">
        <v>0</v>
      </c>
      <c r="M30" s="202" t="b">
        <v>0</v>
      </c>
      <c r="N30" s="202" t="b">
        <v>0</v>
      </c>
    </row>
    <row r="31">
      <c r="A31" s="209" t="s">
        <v>2574</v>
      </c>
      <c r="B31" s="201"/>
      <c r="C31" s="202" t="b">
        <v>0</v>
      </c>
      <c r="D31" s="201"/>
      <c r="E31" s="201"/>
      <c r="F31" s="202" t="b">
        <v>0</v>
      </c>
      <c r="G31" s="202" t="b">
        <v>0</v>
      </c>
      <c r="H31" s="202" t="b">
        <v>0</v>
      </c>
      <c r="I31" s="202" t="b">
        <v>0</v>
      </c>
      <c r="J31" s="202" t="b">
        <v>0</v>
      </c>
      <c r="K31" s="202" t="b">
        <v>0</v>
      </c>
      <c r="L31" s="202" t="b">
        <v>0</v>
      </c>
      <c r="M31" s="202" t="b">
        <v>0</v>
      </c>
      <c r="N31" s="202" t="b">
        <v>0</v>
      </c>
    </row>
    <row r="32">
      <c r="A32" s="201"/>
      <c r="B32" s="201"/>
      <c r="C32" s="202" t="b">
        <v>0</v>
      </c>
      <c r="D32" s="201"/>
      <c r="E32" s="201"/>
      <c r="F32" s="202" t="b">
        <v>0</v>
      </c>
      <c r="G32" s="202" t="b">
        <v>0</v>
      </c>
      <c r="H32" s="202" t="b">
        <v>0</v>
      </c>
      <c r="I32" s="202" t="b">
        <v>0</v>
      </c>
      <c r="J32" s="202" t="b">
        <v>0</v>
      </c>
      <c r="K32" s="202" t="b">
        <v>0</v>
      </c>
      <c r="L32" s="202" t="b">
        <v>0</v>
      </c>
      <c r="M32" s="202" t="b">
        <v>0</v>
      </c>
      <c r="N32" s="202" t="b">
        <v>0</v>
      </c>
    </row>
    <row r="33">
      <c r="A33" s="201"/>
      <c r="B33" s="201"/>
      <c r="C33" s="202" t="b">
        <v>0</v>
      </c>
      <c r="D33" s="201"/>
      <c r="E33" s="201"/>
      <c r="F33" s="202" t="b">
        <v>0</v>
      </c>
      <c r="G33" s="202" t="b">
        <v>0</v>
      </c>
      <c r="H33" s="202" t="b">
        <v>0</v>
      </c>
      <c r="I33" s="202" t="b">
        <v>0</v>
      </c>
      <c r="J33" s="202" t="b">
        <v>0</v>
      </c>
      <c r="K33" s="202" t="b">
        <v>0</v>
      </c>
      <c r="L33" s="202" t="b">
        <v>0</v>
      </c>
      <c r="M33" s="202" t="b">
        <v>0</v>
      </c>
      <c r="N33" s="202" t="b">
        <v>0</v>
      </c>
    </row>
    <row r="34">
      <c r="A34" s="201"/>
      <c r="B34" s="201"/>
      <c r="C34" s="202" t="b">
        <v>0</v>
      </c>
      <c r="D34" s="201"/>
      <c r="E34" s="201"/>
      <c r="F34" s="202" t="b">
        <v>0</v>
      </c>
      <c r="G34" s="202" t="b">
        <v>0</v>
      </c>
      <c r="H34" s="202" t="b">
        <v>0</v>
      </c>
      <c r="I34" s="202" t="b">
        <v>0</v>
      </c>
      <c r="J34" s="202" t="b">
        <v>0</v>
      </c>
      <c r="K34" s="202" t="b">
        <v>0</v>
      </c>
      <c r="L34" s="202" t="b">
        <v>0</v>
      </c>
      <c r="M34" s="202" t="b">
        <v>0</v>
      </c>
      <c r="N34" s="202" t="b">
        <v>0</v>
      </c>
    </row>
    <row r="35">
      <c r="A35" s="201"/>
      <c r="B35" s="201"/>
      <c r="C35" s="202" t="b">
        <v>0</v>
      </c>
      <c r="D35" s="201"/>
      <c r="E35" s="201"/>
      <c r="F35" s="202" t="b">
        <v>0</v>
      </c>
      <c r="G35" s="202" t="b">
        <v>0</v>
      </c>
      <c r="H35" s="202" t="b">
        <v>0</v>
      </c>
      <c r="I35" s="202" t="b">
        <v>0</v>
      </c>
      <c r="J35" s="202" t="b">
        <v>0</v>
      </c>
      <c r="K35" s="202" t="b">
        <v>0</v>
      </c>
      <c r="L35" s="202" t="b">
        <v>0</v>
      </c>
      <c r="M35" s="202" t="b">
        <v>0</v>
      </c>
      <c r="N35" s="202" t="b">
        <v>0</v>
      </c>
    </row>
    <row r="36">
      <c r="A36" s="201"/>
      <c r="B36" s="201"/>
      <c r="C36" s="202" t="b">
        <v>0</v>
      </c>
      <c r="D36" s="201"/>
      <c r="E36" s="201"/>
      <c r="F36" s="202" t="b">
        <v>0</v>
      </c>
      <c r="G36" s="202" t="b">
        <v>0</v>
      </c>
      <c r="H36" s="202" t="b">
        <v>0</v>
      </c>
      <c r="I36" s="202" t="b">
        <v>0</v>
      </c>
      <c r="J36" s="202" t="b">
        <v>0</v>
      </c>
      <c r="K36" s="202" t="b">
        <v>0</v>
      </c>
      <c r="L36" s="202" t="b">
        <v>0</v>
      </c>
      <c r="M36" s="202" t="b">
        <v>0</v>
      </c>
      <c r="N36" s="202" t="b">
        <v>0</v>
      </c>
    </row>
    <row r="37">
      <c r="A37" s="201"/>
      <c r="B37" s="201"/>
      <c r="C37" s="202" t="b">
        <v>0</v>
      </c>
      <c r="D37" s="201"/>
      <c r="E37" s="201"/>
      <c r="F37" s="202" t="b">
        <v>0</v>
      </c>
      <c r="G37" s="202" t="b">
        <v>0</v>
      </c>
      <c r="H37" s="202" t="b">
        <v>0</v>
      </c>
      <c r="I37" s="202" t="b">
        <v>0</v>
      </c>
      <c r="J37" s="202" t="b">
        <v>0</v>
      </c>
      <c r="K37" s="202" t="b">
        <v>0</v>
      </c>
      <c r="L37" s="202" t="b">
        <v>0</v>
      </c>
      <c r="M37" s="202" t="b">
        <v>0</v>
      </c>
      <c r="N37" s="202" t="b">
        <v>0</v>
      </c>
    </row>
    <row r="38">
      <c r="A38" s="201"/>
      <c r="B38" s="201"/>
      <c r="C38" s="202" t="b">
        <v>0</v>
      </c>
      <c r="D38" s="201"/>
      <c r="E38" s="201"/>
      <c r="F38" s="202" t="b">
        <v>0</v>
      </c>
      <c r="G38" s="202" t="b">
        <v>0</v>
      </c>
      <c r="H38" s="202" t="b">
        <v>0</v>
      </c>
      <c r="I38" s="202" t="b">
        <v>0</v>
      </c>
      <c r="J38" s="202" t="b">
        <v>0</v>
      </c>
      <c r="K38" s="202" t="b">
        <v>0</v>
      </c>
      <c r="L38" s="202" t="b">
        <v>0</v>
      </c>
      <c r="M38" s="202" t="b">
        <v>0</v>
      </c>
      <c r="N38" s="202" t="b">
        <v>0</v>
      </c>
    </row>
    <row r="39">
      <c r="A39" s="201"/>
      <c r="B39" s="201"/>
      <c r="C39" s="202" t="b">
        <v>0</v>
      </c>
      <c r="D39" s="201"/>
      <c r="E39" s="201"/>
      <c r="F39" s="202" t="b">
        <v>0</v>
      </c>
      <c r="G39" s="202" t="b">
        <v>0</v>
      </c>
      <c r="H39" s="202" t="b">
        <v>0</v>
      </c>
      <c r="I39" s="202" t="b">
        <v>0</v>
      </c>
      <c r="J39" s="202" t="b">
        <v>0</v>
      </c>
      <c r="K39" s="202" t="b">
        <v>0</v>
      </c>
      <c r="L39" s="202" t="b">
        <v>0</v>
      </c>
      <c r="M39" s="202" t="b">
        <v>0</v>
      </c>
      <c r="N39" s="202" t="b">
        <v>0</v>
      </c>
    </row>
    <row r="40">
      <c r="A40" s="201"/>
      <c r="B40" s="201"/>
      <c r="C40" s="202" t="b">
        <v>0</v>
      </c>
      <c r="D40" s="201"/>
      <c r="E40" s="201"/>
      <c r="F40" s="202" t="b">
        <v>0</v>
      </c>
      <c r="G40" s="202" t="b">
        <v>0</v>
      </c>
      <c r="H40" s="202" t="b">
        <v>0</v>
      </c>
      <c r="I40" s="202" t="b">
        <v>0</v>
      </c>
      <c r="J40" s="202" t="b">
        <v>0</v>
      </c>
      <c r="K40" s="202" t="b">
        <v>0</v>
      </c>
      <c r="L40" s="202" t="b">
        <v>0</v>
      </c>
      <c r="M40" s="202" t="b">
        <v>0</v>
      </c>
      <c r="N40" s="202" t="b">
        <v>0</v>
      </c>
    </row>
    <row r="41">
      <c r="A41" s="201"/>
      <c r="B41" s="201"/>
      <c r="C41" s="202" t="b">
        <v>0</v>
      </c>
      <c r="D41" s="201"/>
      <c r="E41" s="201"/>
      <c r="F41" s="202" t="b">
        <v>0</v>
      </c>
      <c r="G41" s="202" t="b">
        <v>0</v>
      </c>
      <c r="H41" s="202" t="b">
        <v>0</v>
      </c>
      <c r="I41" s="202" t="b">
        <v>0</v>
      </c>
      <c r="J41" s="202" t="b">
        <v>0</v>
      </c>
      <c r="K41" s="202" t="b">
        <v>0</v>
      </c>
      <c r="L41" s="202" t="b">
        <v>0</v>
      </c>
      <c r="M41" s="202" t="b">
        <v>0</v>
      </c>
      <c r="N41" s="202" t="b">
        <v>0</v>
      </c>
    </row>
    <row r="42">
      <c r="A42" s="201"/>
      <c r="B42" s="201"/>
      <c r="C42" s="202" t="b">
        <v>0</v>
      </c>
      <c r="D42" s="201"/>
      <c r="E42" s="201"/>
      <c r="F42" s="202" t="b">
        <v>0</v>
      </c>
      <c r="G42" s="202" t="b">
        <v>0</v>
      </c>
      <c r="H42" s="202" t="b">
        <v>0</v>
      </c>
      <c r="I42" s="202" t="b">
        <v>0</v>
      </c>
      <c r="J42" s="202" t="b">
        <v>0</v>
      </c>
      <c r="K42" s="202" t="b">
        <v>0</v>
      </c>
      <c r="L42" s="202" t="b">
        <v>0</v>
      </c>
      <c r="M42" s="202" t="b">
        <v>0</v>
      </c>
      <c r="N42" s="202" t="b">
        <v>0</v>
      </c>
    </row>
    <row r="43">
      <c r="A43" s="201"/>
      <c r="B43" s="201"/>
      <c r="C43" s="202" t="b">
        <v>0</v>
      </c>
      <c r="D43" s="201"/>
      <c r="E43" s="201"/>
      <c r="F43" s="202" t="b">
        <v>0</v>
      </c>
      <c r="G43" s="202" t="b">
        <v>0</v>
      </c>
      <c r="H43" s="202" t="b">
        <v>0</v>
      </c>
      <c r="I43" s="202" t="b">
        <v>0</v>
      </c>
      <c r="J43" s="202" t="b">
        <v>0</v>
      </c>
      <c r="K43" s="202" t="b">
        <v>0</v>
      </c>
      <c r="L43" s="202" t="b">
        <v>0</v>
      </c>
      <c r="M43" s="202" t="b">
        <v>0</v>
      </c>
      <c r="N43" s="202" t="b">
        <v>0</v>
      </c>
    </row>
    <row r="44">
      <c r="A44" s="201"/>
      <c r="B44" s="201"/>
      <c r="C44" s="202" t="b">
        <v>0</v>
      </c>
      <c r="D44" s="201"/>
      <c r="E44" s="201"/>
      <c r="F44" s="202" t="b">
        <v>0</v>
      </c>
      <c r="G44" s="202" t="b">
        <v>0</v>
      </c>
      <c r="H44" s="202" t="b">
        <v>0</v>
      </c>
      <c r="I44" s="202" t="b">
        <v>0</v>
      </c>
      <c r="J44" s="202" t="b">
        <v>0</v>
      </c>
      <c r="K44" s="202" t="b">
        <v>0</v>
      </c>
      <c r="L44" s="202" t="b">
        <v>0</v>
      </c>
      <c r="M44" s="202" t="b">
        <v>0</v>
      </c>
      <c r="N44" s="202" t="b">
        <v>0</v>
      </c>
    </row>
    <row r="45">
      <c r="A45" s="201"/>
      <c r="B45" s="201"/>
      <c r="C45" s="202" t="b">
        <v>0</v>
      </c>
      <c r="D45" s="201"/>
      <c r="E45" s="201"/>
      <c r="F45" s="202" t="b">
        <v>0</v>
      </c>
      <c r="G45" s="202" t="b">
        <v>0</v>
      </c>
      <c r="H45" s="202" t="b">
        <v>0</v>
      </c>
      <c r="I45" s="202" t="b">
        <v>0</v>
      </c>
      <c r="J45" s="202" t="b">
        <v>0</v>
      </c>
      <c r="K45" s="202" t="b">
        <v>0</v>
      </c>
      <c r="L45" s="202" t="b">
        <v>0</v>
      </c>
      <c r="M45" s="202" t="b">
        <v>0</v>
      </c>
      <c r="N45" s="202" t="b">
        <v>0</v>
      </c>
    </row>
    <row r="46">
      <c r="A46" s="201"/>
      <c r="B46" s="201"/>
      <c r="C46" s="202" t="b">
        <v>0</v>
      </c>
      <c r="D46" s="201"/>
      <c r="E46" s="201"/>
      <c r="F46" s="202" t="b">
        <v>0</v>
      </c>
      <c r="G46" s="202" t="b">
        <v>0</v>
      </c>
      <c r="H46" s="202" t="b">
        <v>0</v>
      </c>
      <c r="I46" s="202" t="b">
        <v>0</v>
      </c>
      <c r="J46" s="202" t="b">
        <v>0</v>
      </c>
      <c r="K46" s="202" t="b">
        <v>0</v>
      </c>
      <c r="L46" s="202" t="b">
        <v>0</v>
      </c>
      <c r="M46" s="202" t="b">
        <v>0</v>
      </c>
      <c r="N46" s="202" t="b">
        <v>0</v>
      </c>
    </row>
    <row r="47">
      <c r="A47" s="201"/>
      <c r="B47" s="201"/>
      <c r="C47" s="202" t="b">
        <v>0</v>
      </c>
      <c r="D47" s="201"/>
      <c r="E47" s="201"/>
      <c r="F47" s="202" t="b">
        <v>0</v>
      </c>
      <c r="G47" s="202" t="b">
        <v>0</v>
      </c>
      <c r="H47" s="202" t="b">
        <v>0</v>
      </c>
      <c r="I47" s="202" t="b">
        <v>0</v>
      </c>
      <c r="J47" s="202" t="b">
        <v>0</v>
      </c>
      <c r="K47" s="202" t="b">
        <v>0</v>
      </c>
      <c r="L47" s="202" t="b">
        <v>0</v>
      </c>
      <c r="M47" s="202" t="b">
        <v>0</v>
      </c>
      <c r="N47" s="202" t="b">
        <v>0</v>
      </c>
    </row>
    <row r="48">
      <c r="A48" s="201"/>
      <c r="B48" s="201"/>
      <c r="C48" s="202" t="b">
        <v>0</v>
      </c>
      <c r="D48" s="201"/>
      <c r="E48" s="201"/>
      <c r="F48" s="202" t="b">
        <v>0</v>
      </c>
      <c r="G48" s="202" t="b">
        <v>0</v>
      </c>
      <c r="H48" s="202" t="b">
        <v>0</v>
      </c>
      <c r="I48" s="202" t="b">
        <v>0</v>
      </c>
      <c r="J48" s="202" t="b">
        <v>0</v>
      </c>
      <c r="K48" s="202" t="b">
        <v>0</v>
      </c>
      <c r="L48" s="202" t="b">
        <v>0</v>
      </c>
      <c r="M48" s="202" t="b">
        <v>0</v>
      </c>
      <c r="N48" s="202" t="b">
        <v>0</v>
      </c>
    </row>
    <row r="49">
      <c r="A49" s="201"/>
      <c r="B49" s="201"/>
      <c r="C49" s="202" t="b">
        <v>0</v>
      </c>
      <c r="D49" s="201"/>
      <c r="E49" s="201"/>
      <c r="F49" s="202" t="b">
        <v>0</v>
      </c>
      <c r="G49" s="202" t="b">
        <v>0</v>
      </c>
      <c r="H49" s="202" t="b">
        <v>0</v>
      </c>
      <c r="I49" s="202" t="b">
        <v>0</v>
      </c>
      <c r="J49" s="202" t="b">
        <v>0</v>
      </c>
      <c r="K49" s="202" t="b">
        <v>0</v>
      </c>
      <c r="L49" s="202" t="b">
        <v>0</v>
      </c>
      <c r="M49" s="202" t="b">
        <v>0</v>
      </c>
      <c r="N49" s="202" t="b">
        <v>0</v>
      </c>
    </row>
    <row r="50">
      <c r="A50" s="201"/>
      <c r="B50" s="201"/>
      <c r="C50" s="202" t="b">
        <v>0</v>
      </c>
      <c r="D50" s="201"/>
      <c r="E50" s="201"/>
      <c r="F50" s="202" t="b">
        <v>0</v>
      </c>
      <c r="G50" s="202" t="b">
        <v>0</v>
      </c>
      <c r="H50" s="202" t="b">
        <v>0</v>
      </c>
      <c r="I50" s="202" t="b">
        <v>0</v>
      </c>
      <c r="J50" s="202" t="b">
        <v>0</v>
      </c>
      <c r="K50" s="202" t="b">
        <v>0</v>
      </c>
      <c r="L50" s="202" t="b">
        <v>0</v>
      </c>
      <c r="M50" s="202" t="b">
        <v>0</v>
      </c>
      <c r="N50" s="202" t="b">
        <v>0</v>
      </c>
    </row>
    <row r="51">
      <c r="A51" s="201"/>
      <c r="B51" s="201"/>
      <c r="C51" s="202" t="b">
        <v>0</v>
      </c>
      <c r="D51" s="201"/>
      <c r="E51" s="201"/>
      <c r="F51" s="202" t="b">
        <v>0</v>
      </c>
      <c r="G51" s="202" t="b">
        <v>0</v>
      </c>
      <c r="H51" s="202" t="b">
        <v>0</v>
      </c>
      <c r="I51" s="202" t="b">
        <v>0</v>
      </c>
      <c r="J51" s="202" t="b">
        <v>0</v>
      </c>
      <c r="K51" s="202" t="b">
        <v>0</v>
      </c>
      <c r="L51" s="202" t="b">
        <v>0</v>
      </c>
      <c r="M51" s="202" t="b">
        <v>0</v>
      </c>
      <c r="N51" s="202" t="b">
        <v>0</v>
      </c>
    </row>
    <row r="52">
      <c r="A52" s="201"/>
      <c r="B52" s="201"/>
      <c r="C52" s="202" t="b">
        <v>0</v>
      </c>
      <c r="D52" s="201"/>
      <c r="E52" s="201"/>
      <c r="F52" s="202" t="b">
        <v>0</v>
      </c>
      <c r="G52" s="202" t="b">
        <v>0</v>
      </c>
      <c r="H52" s="202" t="b">
        <v>0</v>
      </c>
      <c r="I52" s="202" t="b">
        <v>0</v>
      </c>
      <c r="J52" s="202" t="b">
        <v>0</v>
      </c>
      <c r="K52" s="202" t="b">
        <v>0</v>
      </c>
      <c r="L52" s="202" t="b">
        <v>0</v>
      </c>
      <c r="M52" s="202" t="b">
        <v>0</v>
      </c>
      <c r="N52" s="202" t="b">
        <v>0</v>
      </c>
    </row>
    <row r="53">
      <c r="A53" s="201"/>
      <c r="B53" s="201"/>
      <c r="C53" s="202" t="b">
        <v>0</v>
      </c>
      <c r="D53" s="201"/>
      <c r="E53" s="201"/>
      <c r="F53" s="202" t="b">
        <v>0</v>
      </c>
      <c r="G53" s="202" t="b">
        <v>0</v>
      </c>
      <c r="H53" s="202" t="b">
        <v>0</v>
      </c>
      <c r="I53" s="202" t="b">
        <v>0</v>
      </c>
      <c r="J53" s="202" t="b">
        <v>0</v>
      </c>
      <c r="K53" s="202" t="b">
        <v>0</v>
      </c>
      <c r="L53" s="202" t="b">
        <v>0</v>
      </c>
      <c r="M53" s="202" t="b">
        <v>0</v>
      </c>
      <c r="N53" s="202" t="b">
        <v>0</v>
      </c>
    </row>
    <row r="54">
      <c r="A54" s="201"/>
      <c r="B54" s="201"/>
      <c r="C54" s="202" t="b">
        <v>0</v>
      </c>
      <c r="D54" s="201"/>
      <c r="E54" s="201"/>
      <c r="F54" s="202" t="b">
        <v>0</v>
      </c>
      <c r="G54" s="202" t="b">
        <v>0</v>
      </c>
      <c r="H54" s="202" t="b">
        <v>0</v>
      </c>
      <c r="I54" s="202" t="b">
        <v>0</v>
      </c>
      <c r="J54" s="202" t="b">
        <v>0</v>
      </c>
      <c r="K54" s="202" t="b">
        <v>0</v>
      </c>
      <c r="L54" s="202" t="b">
        <v>0</v>
      </c>
      <c r="M54" s="202" t="b">
        <v>0</v>
      </c>
      <c r="N54" s="202" t="b">
        <v>0</v>
      </c>
    </row>
    <row r="55">
      <c r="A55" s="201"/>
      <c r="B55" s="201"/>
      <c r="C55" s="202" t="b">
        <v>0</v>
      </c>
      <c r="D55" s="201"/>
      <c r="E55" s="201"/>
      <c r="F55" s="202" t="b">
        <v>0</v>
      </c>
      <c r="G55" s="202" t="b">
        <v>0</v>
      </c>
      <c r="H55" s="202" t="b">
        <v>0</v>
      </c>
      <c r="I55" s="202" t="b">
        <v>0</v>
      </c>
      <c r="J55" s="202" t="b">
        <v>0</v>
      </c>
      <c r="K55" s="202" t="b">
        <v>0</v>
      </c>
      <c r="L55" s="202" t="b">
        <v>0</v>
      </c>
      <c r="M55" s="202" t="b">
        <v>0</v>
      </c>
      <c r="N55" s="202" t="b">
        <v>0</v>
      </c>
    </row>
    <row r="56">
      <c r="A56" s="201"/>
      <c r="B56" s="201"/>
      <c r="C56" s="202" t="b">
        <v>0</v>
      </c>
      <c r="D56" s="201"/>
      <c r="E56" s="201"/>
      <c r="F56" s="202" t="b">
        <v>0</v>
      </c>
      <c r="G56" s="202" t="b">
        <v>0</v>
      </c>
      <c r="H56" s="202" t="b">
        <v>0</v>
      </c>
      <c r="I56" s="202" t="b">
        <v>0</v>
      </c>
      <c r="J56" s="202" t="b">
        <v>0</v>
      </c>
      <c r="K56" s="202" t="b">
        <v>0</v>
      </c>
      <c r="L56" s="202" t="b">
        <v>0</v>
      </c>
      <c r="M56" s="202" t="b">
        <v>0</v>
      </c>
      <c r="N56" s="202" t="b">
        <v>0</v>
      </c>
    </row>
    <row r="57">
      <c r="A57" s="201"/>
      <c r="B57" s="201"/>
      <c r="C57" s="202" t="b">
        <v>0</v>
      </c>
      <c r="D57" s="201"/>
      <c r="E57" s="201"/>
      <c r="F57" s="202" t="b">
        <v>0</v>
      </c>
      <c r="G57" s="202" t="b">
        <v>0</v>
      </c>
      <c r="H57" s="202" t="b">
        <v>0</v>
      </c>
      <c r="I57" s="202" t="b">
        <v>0</v>
      </c>
      <c r="J57" s="202" t="b">
        <v>0</v>
      </c>
      <c r="K57" s="202" t="b">
        <v>0</v>
      </c>
      <c r="L57" s="202" t="b">
        <v>0</v>
      </c>
      <c r="M57" s="202" t="b">
        <v>0</v>
      </c>
      <c r="N57" s="202" t="b">
        <v>0</v>
      </c>
    </row>
    <row r="58">
      <c r="A58" s="201"/>
      <c r="B58" s="201"/>
      <c r="C58" s="202" t="b">
        <v>0</v>
      </c>
      <c r="D58" s="201"/>
      <c r="E58" s="201"/>
      <c r="F58" s="202" t="b">
        <v>0</v>
      </c>
      <c r="G58" s="202" t="b">
        <v>0</v>
      </c>
      <c r="H58" s="202" t="b">
        <v>0</v>
      </c>
      <c r="I58" s="202" t="b">
        <v>0</v>
      </c>
      <c r="J58" s="202" t="b">
        <v>0</v>
      </c>
      <c r="K58" s="202" t="b">
        <v>0</v>
      </c>
      <c r="L58" s="202" t="b">
        <v>0</v>
      </c>
      <c r="M58" s="202" t="b">
        <v>0</v>
      </c>
      <c r="N58" s="202" t="b">
        <v>0</v>
      </c>
    </row>
    <row r="59">
      <c r="A59" s="201"/>
      <c r="B59" s="201"/>
      <c r="C59" s="202" t="b">
        <v>0</v>
      </c>
      <c r="D59" s="201"/>
      <c r="E59" s="201"/>
      <c r="F59" s="202" t="b">
        <v>0</v>
      </c>
      <c r="G59" s="202" t="b">
        <v>0</v>
      </c>
      <c r="H59" s="202" t="b">
        <v>0</v>
      </c>
      <c r="I59" s="202" t="b">
        <v>0</v>
      </c>
      <c r="J59" s="202" t="b">
        <v>0</v>
      </c>
      <c r="K59" s="202" t="b">
        <v>0</v>
      </c>
      <c r="L59" s="202" t="b">
        <v>0</v>
      </c>
      <c r="M59" s="202" t="b">
        <v>0</v>
      </c>
      <c r="N59" s="202" t="b">
        <v>0</v>
      </c>
    </row>
    <row r="60">
      <c r="A60" s="201"/>
      <c r="B60" s="201"/>
      <c r="C60" s="202" t="b">
        <v>0</v>
      </c>
      <c r="D60" s="201"/>
      <c r="E60" s="201"/>
      <c r="F60" s="202" t="b">
        <v>0</v>
      </c>
      <c r="G60" s="202" t="b">
        <v>0</v>
      </c>
      <c r="H60" s="202" t="b">
        <v>0</v>
      </c>
      <c r="I60" s="202" t="b">
        <v>0</v>
      </c>
      <c r="J60" s="202" t="b">
        <v>0</v>
      </c>
      <c r="K60" s="202" t="b">
        <v>0</v>
      </c>
      <c r="L60" s="202" t="b">
        <v>0</v>
      </c>
      <c r="M60" s="202" t="b">
        <v>0</v>
      </c>
      <c r="N60" s="202" t="b">
        <v>0</v>
      </c>
    </row>
    <row r="61">
      <c r="A61" s="201"/>
      <c r="B61" s="201"/>
      <c r="C61" s="202" t="b">
        <v>0</v>
      </c>
      <c r="D61" s="201"/>
      <c r="E61" s="201"/>
      <c r="F61" s="202" t="b">
        <v>0</v>
      </c>
      <c r="G61" s="202" t="b">
        <v>0</v>
      </c>
      <c r="H61" s="202" t="b">
        <v>0</v>
      </c>
      <c r="I61" s="202" t="b">
        <v>0</v>
      </c>
      <c r="J61" s="202" t="b">
        <v>0</v>
      </c>
      <c r="K61" s="202" t="b">
        <v>0</v>
      </c>
      <c r="L61" s="202" t="b">
        <v>0</v>
      </c>
      <c r="M61" s="202" t="b">
        <v>0</v>
      </c>
      <c r="N61" s="202" t="b">
        <v>0</v>
      </c>
    </row>
    <row r="62">
      <c r="A62" s="201"/>
      <c r="B62" s="201"/>
      <c r="C62" s="202" t="b">
        <v>0</v>
      </c>
      <c r="D62" s="201"/>
      <c r="E62" s="201"/>
      <c r="F62" s="202" t="b">
        <v>0</v>
      </c>
      <c r="G62" s="202" t="b">
        <v>0</v>
      </c>
      <c r="H62" s="202" t="b">
        <v>0</v>
      </c>
      <c r="I62" s="202" t="b">
        <v>0</v>
      </c>
      <c r="J62" s="202" t="b">
        <v>0</v>
      </c>
      <c r="K62" s="202" t="b">
        <v>0</v>
      </c>
      <c r="L62" s="202" t="b">
        <v>0</v>
      </c>
      <c r="M62" s="202" t="b">
        <v>0</v>
      </c>
      <c r="N62" s="202" t="b">
        <v>0</v>
      </c>
    </row>
    <row r="63">
      <c r="A63" s="201"/>
      <c r="B63" s="201"/>
      <c r="C63" s="202" t="b">
        <v>0</v>
      </c>
      <c r="D63" s="201"/>
      <c r="E63" s="201"/>
      <c r="F63" s="202" t="b">
        <v>0</v>
      </c>
      <c r="G63" s="202" t="b">
        <v>0</v>
      </c>
      <c r="H63" s="202" t="b">
        <v>0</v>
      </c>
      <c r="I63" s="202" t="b">
        <v>0</v>
      </c>
      <c r="J63" s="202" t="b">
        <v>0</v>
      </c>
      <c r="K63" s="202" t="b">
        <v>0</v>
      </c>
      <c r="L63" s="202" t="b">
        <v>0</v>
      </c>
      <c r="M63" s="202" t="b">
        <v>0</v>
      </c>
      <c r="N63" s="202" t="b">
        <v>0</v>
      </c>
    </row>
    <row r="64">
      <c r="A64" s="201"/>
      <c r="B64" s="201"/>
      <c r="C64" s="202" t="b">
        <v>0</v>
      </c>
      <c r="D64" s="201"/>
      <c r="E64" s="201"/>
      <c r="F64" s="202" t="b">
        <v>0</v>
      </c>
      <c r="G64" s="202" t="b">
        <v>0</v>
      </c>
      <c r="H64" s="202" t="b">
        <v>0</v>
      </c>
      <c r="I64" s="202" t="b">
        <v>0</v>
      </c>
      <c r="J64" s="202" t="b">
        <v>0</v>
      </c>
      <c r="K64" s="202" t="b">
        <v>0</v>
      </c>
      <c r="L64" s="202" t="b">
        <v>0</v>
      </c>
      <c r="M64" s="202" t="b">
        <v>0</v>
      </c>
      <c r="N64" s="202" t="b">
        <v>0</v>
      </c>
    </row>
    <row r="65">
      <c r="A65" s="201"/>
      <c r="B65" s="201"/>
      <c r="C65" s="202" t="b">
        <v>0</v>
      </c>
      <c r="D65" s="201"/>
      <c r="E65" s="201"/>
      <c r="F65" s="202" t="b">
        <v>0</v>
      </c>
      <c r="G65" s="202" t="b">
        <v>0</v>
      </c>
      <c r="H65" s="202" t="b">
        <v>0</v>
      </c>
      <c r="I65" s="202" t="b">
        <v>0</v>
      </c>
      <c r="J65" s="202" t="b">
        <v>0</v>
      </c>
      <c r="K65" s="202" t="b">
        <v>0</v>
      </c>
      <c r="L65" s="202" t="b">
        <v>0</v>
      </c>
      <c r="M65" s="202" t="b">
        <v>0</v>
      </c>
      <c r="N65" s="202" t="b">
        <v>0</v>
      </c>
    </row>
    <row r="66">
      <c r="A66" s="201"/>
      <c r="B66" s="201"/>
      <c r="C66" s="202" t="b">
        <v>0</v>
      </c>
      <c r="D66" s="201"/>
      <c r="E66" s="201"/>
      <c r="F66" s="202" t="b">
        <v>0</v>
      </c>
      <c r="G66" s="202" t="b">
        <v>0</v>
      </c>
      <c r="H66" s="202" t="b">
        <v>0</v>
      </c>
      <c r="I66" s="202" t="b">
        <v>0</v>
      </c>
      <c r="J66" s="202" t="b">
        <v>0</v>
      </c>
      <c r="K66" s="202" t="b">
        <v>0</v>
      </c>
      <c r="L66" s="202" t="b">
        <v>0</v>
      </c>
      <c r="M66" s="202" t="b">
        <v>0</v>
      </c>
      <c r="N66" s="202" t="b">
        <v>0</v>
      </c>
    </row>
    <row r="67">
      <c r="A67" s="201"/>
      <c r="B67" s="201"/>
      <c r="C67" s="202" t="b">
        <v>0</v>
      </c>
      <c r="D67" s="201"/>
      <c r="E67" s="201"/>
      <c r="F67" s="202" t="b">
        <v>0</v>
      </c>
      <c r="G67" s="202" t="b">
        <v>0</v>
      </c>
      <c r="H67" s="202" t="b">
        <v>0</v>
      </c>
      <c r="I67" s="202" t="b">
        <v>0</v>
      </c>
      <c r="J67" s="202" t="b">
        <v>0</v>
      </c>
      <c r="K67" s="202" t="b">
        <v>0</v>
      </c>
      <c r="L67" s="202" t="b">
        <v>0</v>
      </c>
      <c r="M67" s="202" t="b">
        <v>0</v>
      </c>
      <c r="N67" s="202" t="b">
        <v>0</v>
      </c>
    </row>
    <row r="68">
      <c r="A68" s="201"/>
      <c r="B68" s="201"/>
      <c r="C68" s="202" t="b">
        <v>0</v>
      </c>
      <c r="D68" s="201"/>
      <c r="E68" s="201"/>
      <c r="F68" s="202" t="b">
        <v>0</v>
      </c>
      <c r="G68" s="202" t="b">
        <v>0</v>
      </c>
      <c r="H68" s="202" t="b">
        <v>0</v>
      </c>
      <c r="I68" s="202" t="b">
        <v>0</v>
      </c>
      <c r="J68" s="202" t="b">
        <v>0</v>
      </c>
      <c r="K68" s="202" t="b">
        <v>0</v>
      </c>
      <c r="L68" s="202" t="b">
        <v>0</v>
      </c>
      <c r="M68" s="202" t="b">
        <v>0</v>
      </c>
      <c r="N68" s="202" t="b">
        <v>0</v>
      </c>
    </row>
    <row r="69">
      <c r="A69" s="201"/>
      <c r="B69" s="201"/>
      <c r="C69" s="202" t="b">
        <v>0</v>
      </c>
      <c r="D69" s="201"/>
      <c r="E69" s="201"/>
      <c r="F69" s="202" t="b">
        <v>0</v>
      </c>
      <c r="G69" s="202" t="b">
        <v>0</v>
      </c>
      <c r="H69" s="202" t="b">
        <v>0</v>
      </c>
      <c r="I69" s="202" t="b">
        <v>0</v>
      </c>
      <c r="J69" s="202" t="b">
        <v>0</v>
      </c>
      <c r="K69" s="202" t="b">
        <v>0</v>
      </c>
      <c r="L69" s="202" t="b">
        <v>0</v>
      </c>
      <c r="M69" s="202" t="b">
        <v>0</v>
      </c>
      <c r="N69" s="202" t="b">
        <v>0</v>
      </c>
    </row>
    <row r="70">
      <c r="A70" s="201"/>
      <c r="B70" s="201"/>
      <c r="C70" s="202" t="b">
        <v>0</v>
      </c>
      <c r="D70" s="201"/>
      <c r="E70" s="201"/>
      <c r="F70" s="202" t="b">
        <v>0</v>
      </c>
      <c r="G70" s="202" t="b">
        <v>0</v>
      </c>
      <c r="H70" s="202" t="b">
        <v>0</v>
      </c>
      <c r="I70" s="202" t="b">
        <v>0</v>
      </c>
      <c r="J70" s="202" t="b">
        <v>0</v>
      </c>
      <c r="K70" s="202" t="b">
        <v>0</v>
      </c>
      <c r="L70" s="202" t="b">
        <v>0</v>
      </c>
      <c r="M70" s="202" t="b">
        <v>0</v>
      </c>
      <c r="N70" s="202" t="b">
        <v>0</v>
      </c>
    </row>
    <row r="71">
      <c r="A71" s="201"/>
      <c r="B71" s="201"/>
      <c r="C71" s="202" t="b">
        <v>0</v>
      </c>
      <c r="D71" s="201"/>
      <c r="E71" s="201"/>
      <c r="F71" s="202" t="b">
        <v>0</v>
      </c>
      <c r="G71" s="202" t="b">
        <v>0</v>
      </c>
      <c r="H71" s="202" t="b">
        <v>0</v>
      </c>
      <c r="I71" s="202" t="b">
        <v>0</v>
      </c>
      <c r="J71" s="202" t="b">
        <v>0</v>
      </c>
      <c r="K71" s="202" t="b">
        <v>0</v>
      </c>
      <c r="L71" s="202" t="b">
        <v>0</v>
      </c>
      <c r="M71" s="202" t="b">
        <v>0</v>
      </c>
      <c r="N71" s="202" t="b">
        <v>0</v>
      </c>
    </row>
    <row r="72">
      <c r="A72" s="201"/>
      <c r="B72" s="201"/>
      <c r="C72" s="202" t="b">
        <v>0</v>
      </c>
      <c r="D72" s="201"/>
      <c r="E72" s="201"/>
      <c r="F72" s="202" t="b">
        <v>0</v>
      </c>
      <c r="G72" s="202" t="b">
        <v>0</v>
      </c>
      <c r="H72" s="202" t="b">
        <v>0</v>
      </c>
      <c r="I72" s="202" t="b">
        <v>0</v>
      </c>
      <c r="J72" s="202" t="b">
        <v>0</v>
      </c>
      <c r="K72" s="202" t="b">
        <v>0</v>
      </c>
      <c r="L72" s="202" t="b">
        <v>0</v>
      </c>
      <c r="M72" s="202" t="b">
        <v>0</v>
      </c>
      <c r="N72" s="202" t="b">
        <v>0</v>
      </c>
    </row>
    <row r="73">
      <c r="A73" s="201"/>
      <c r="B73" s="201"/>
      <c r="C73" s="202" t="b">
        <v>0</v>
      </c>
      <c r="D73" s="201"/>
      <c r="E73" s="201"/>
      <c r="F73" s="202" t="b">
        <v>0</v>
      </c>
      <c r="G73" s="202" t="b">
        <v>0</v>
      </c>
      <c r="H73" s="202" t="b">
        <v>0</v>
      </c>
      <c r="I73" s="202" t="b">
        <v>0</v>
      </c>
      <c r="J73" s="202" t="b">
        <v>0</v>
      </c>
      <c r="K73" s="202" t="b">
        <v>0</v>
      </c>
      <c r="L73" s="202" t="b">
        <v>0</v>
      </c>
      <c r="M73" s="202" t="b">
        <v>0</v>
      </c>
      <c r="N73" s="202" t="b">
        <v>0</v>
      </c>
    </row>
    <row r="74">
      <c r="A74" s="201"/>
      <c r="B74" s="201"/>
      <c r="C74" s="202" t="b">
        <v>0</v>
      </c>
      <c r="D74" s="201"/>
      <c r="E74" s="201"/>
      <c r="F74" s="202" t="b">
        <v>0</v>
      </c>
      <c r="G74" s="202" t="b">
        <v>0</v>
      </c>
      <c r="H74" s="202" t="b">
        <v>0</v>
      </c>
      <c r="I74" s="202" t="b">
        <v>0</v>
      </c>
      <c r="J74" s="202" t="b">
        <v>0</v>
      </c>
      <c r="K74" s="202" t="b">
        <v>0</v>
      </c>
      <c r="L74" s="202" t="b">
        <v>0</v>
      </c>
      <c r="M74" s="202" t="b">
        <v>0</v>
      </c>
      <c r="N74" s="202" t="b">
        <v>0</v>
      </c>
    </row>
    <row r="75">
      <c r="A75" s="201"/>
      <c r="B75" s="201"/>
      <c r="C75" s="202" t="b">
        <v>0</v>
      </c>
      <c r="D75" s="201"/>
      <c r="E75" s="201"/>
      <c r="F75" s="202" t="b">
        <v>0</v>
      </c>
      <c r="G75" s="202" t="b">
        <v>0</v>
      </c>
      <c r="H75" s="202" t="b">
        <v>0</v>
      </c>
      <c r="I75" s="202" t="b">
        <v>0</v>
      </c>
      <c r="J75" s="202" t="b">
        <v>0</v>
      </c>
      <c r="K75" s="202" t="b">
        <v>0</v>
      </c>
      <c r="L75" s="202" t="b">
        <v>0</v>
      </c>
      <c r="M75" s="202" t="b">
        <v>0</v>
      </c>
      <c r="N75" s="202" t="b">
        <v>0</v>
      </c>
    </row>
    <row r="76">
      <c r="A76" s="201"/>
      <c r="B76" s="201"/>
      <c r="C76" s="202" t="b">
        <v>0</v>
      </c>
      <c r="D76" s="201"/>
      <c r="E76" s="201"/>
      <c r="F76" s="202" t="b">
        <v>0</v>
      </c>
      <c r="G76" s="202" t="b">
        <v>0</v>
      </c>
      <c r="H76" s="202" t="b">
        <v>0</v>
      </c>
      <c r="I76" s="202" t="b">
        <v>0</v>
      </c>
      <c r="J76" s="202" t="b">
        <v>0</v>
      </c>
      <c r="K76" s="202" t="b">
        <v>0</v>
      </c>
      <c r="L76" s="202" t="b">
        <v>0</v>
      </c>
      <c r="M76" s="202" t="b">
        <v>0</v>
      </c>
      <c r="N76" s="202" t="b">
        <v>0</v>
      </c>
    </row>
    <row r="77">
      <c r="A77" s="201"/>
      <c r="B77" s="201"/>
      <c r="C77" s="202" t="b">
        <v>0</v>
      </c>
      <c r="D77" s="201"/>
      <c r="E77" s="201"/>
      <c r="F77" s="202" t="b">
        <v>0</v>
      </c>
      <c r="G77" s="202" t="b">
        <v>0</v>
      </c>
      <c r="H77" s="202" t="b">
        <v>0</v>
      </c>
      <c r="I77" s="202" t="b">
        <v>0</v>
      </c>
      <c r="J77" s="202" t="b">
        <v>0</v>
      </c>
      <c r="K77" s="202" t="b">
        <v>0</v>
      </c>
      <c r="L77" s="202" t="b">
        <v>0</v>
      </c>
      <c r="M77" s="202" t="b">
        <v>0</v>
      </c>
      <c r="N77" s="202" t="b">
        <v>0</v>
      </c>
    </row>
    <row r="78">
      <c r="A78" s="201"/>
      <c r="B78" s="201"/>
      <c r="C78" s="202" t="b">
        <v>0</v>
      </c>
      <c r="D78" s="201"/>
      <c r="E78" s="201"/>
      <c r="F78" s="202" t="b">
        <v>0</v>
      </c>
      <c r="G78" s="202" t="b">
        <v>0</v>
      </c>
      <c r="H78" s="202" t="b">
        <v>0</v>
      </c>
      <c r="I78" s="202" t="b">
        <v>0</v>
      </c>
      <c r="J78" s="202" t="b">
        <v>0</v>
      </c>
      <c r="K78" s="202" t="b">
        <v>0</v>
      </c>
      <c r="L78" s="202" t="b">
        <v>0</v>
      </c>
      <c r="M78" s="202" t="b">
        <v>0</v>
      </c>
      <c r="N78" s="202" t="b">
        <v>0</v>
      </c>
    </row>
    <row r="79">
      <c r="A79" s="201"/>
      <c r="B79" s="201"/>
      <c r="C79" s="202" t="b">
        <v>0</v>
      </c>
      <c r="D79" s="201"/>
      <c r="E79" s="201"/>
      <c r="F79" s="202" t="b">
        <v>0</v>
      </c>
      <c r="G79" s="202" t="b">
        <v>0</v>
      </c>
      <c r="H79" s="202" t="b">
        <v>0</v>
      </c>
      <c r="I79" s="202" t="b">
        <v>0</v>
      </c>
      <c r="J79" s="202" t="b">
        <v>0</v>
      </c>
      <c r="K79" s="202" t="b">
        <v>0</v>
      </c>
      <c r="L79" s="202" t="b">
        <v>0</v>
      </c>
      <c r="M79" s="202" t="b">
        <v>0</v>
      </c>
      <c r="N79" s="202" t="b">
        <v>0</v>
      </c>
    </row>
    <row r="80">
      <c r="A80" s="201"/>
      <c r="B80" s="201"/>
      <c r="C80" s="202" t="b">
        <v>0</v>
      </c>
      <c r="D80" s="201"/>
      <c r="E80" s="201"/>
      <c r="F80" s="202" t="b">
        <v>0</v>
      </c>
      <c r="G80" s="202" t="b">
        <v>0</v>
      </c>
      <c r="H80" s="202" t="b">
        <v>0</v>
      </c>
      <c r="I80" s="202" t="b">
        <v>0</v>
      </c>
      <c r="J80" s="202" t="b">
        <v>0</v>
      </c>
      <c r="K80" s="202" t="b">
        <v>0</v>
      </c>
      <c r="L80" s="202" t="b">
        <v>0</v>
      </c>
      <c r="M80" s="202" t="b">
        <v>0</v>
      </c>
      <c r="N80" s="202" t="b">
        <v>0</v>
      </c>
    </row>
    <row r="81">
      <c r="A81" s="201"/>
      <c r="B81" s="201"/>
      <c r="C81" s="202" t="b">
        <v>0</v>
      </c>
      <c r="D81" s="201"/>
      <c r="E81" s="201"/>
      <c r="F81" s="202" t="b">
        <v>0</v>
      </c>
      <c r="G81" s="202" t="b">
        <v>0</v>
      </c>
      <c r="H81" s="202" t="b">
        <v>0</v>
      </c>
      <c r="I81" s="202" t="b">
        <v>0</v>
      </c>
      <c r="J81" s="202" t="b">
        <v>0</v>
      </c>
      <c r="K81" s="202" t="b">
        <v>0</v>
      </c>
      <c r="L81" s="202" t="b">
        <v>0</v>
      </c>
      <c r="M81" s="202" t="b">
        <v>0</v>
      </c>
      <c r="N81" s="202" t="b">
        <v>0</v>
      </c>
    </row>
    <row r="82">
      <c r="A82" s="201"/>
      <c r="B82" s="201"/>
      <c r="C82" s="202" t="b">
        <v>0</v>
      </c>
      <c r="D82" s="201"/>
      <c r="E82" s="201"/>
      <c r="F82" s="202" t="b">
        <v>0</v>
      </c>
      <c r="G82" s="202" t="b">
        <v>0</v>
      </c>
      <c r="H82" s="202" t="b">
        <v>0</v>
      </c>
      <c r="I82" s="202" t="b">
        <v>0</v>
      </c>
      <c r="J82" s="202" t="b">
        <v>0</v>
      </c>
      <c r="K82" s="202" t="b">
        <v>0</v>
      </c>
      <c r="L82" s="202" t="b">
        <v>0</v>
      </c>
      <c r="M82" s="202" t="b">
        <v>0</v>
      </c>
      <c r="N82" s="202" t="b">
        <v>0</v>
      </c>
    </row>
    <row r="83">
      <c r="A83" s="201"/>
      <c r="B83" s="201"/>
      <c r="C83" s="202" t="b">
        <v>0</v>
      </c>
      <c r="D83" s="201"/>
      <c r="E83" s="201"/>
      <c r="F83" s="202" t="b">
        <v>0</v>
      </c>
      <c r="G83" s="202" t="b">
        <v>0</v>
      </c>
      <c r="H83" s="202" t="b">
        <v>0</v>
      </c>
      <c r="I83" s="202" t="b">
        <v>0</v>
      </c>
      <c r="J83" s="202" t="b">
        <v>0</v>
      </c>
      <c r="K83" s="202" t="b">
        <v>0</v>
      </c>
      <c r="L83" s="202" t="b">
        <v>0</v>
      </c>
      <c r="M83" s="202" t="b">
        <v>0</v>
      </c>
      <c r="N83" s="202" t="b">
        <v>0</v>
      </c>
    </row>
    <row r="84">
      <c r="A84" s="201"/>
      <c r="B84" s="201"/>
      <c r="C84" s="202" t="b">
        <v>0</v>
      </c>
      <c r="D84" s="201"/>
      <c r="E84" s="201"/>
      <c r="F84" s="202" t="b">
        <v>0</v>
      </c>
      <c r="G84" s="202" t="b">
        <v>0</v>
      </c>
      <c r="H84" s="202" t="b">
        <v>0</v>
      </c>
      <c r="I84" s="202" t="b">
        <v>0</v>
      </c>
      <c r="J84" s="202" t="b">
        <v>0</v>
      </c>
      <c r="K84" s="202" t="b">
        <v>0</v>
      </c>
      <c r="L84" s="202" t="b">
        <v>0</v>
      </c>
      <c r="M84" s="202" t="b">
        <v>0</v>
      </c>
      <c r="N84" s="202" t="b">
        <v>0</v>
      </c>
    </row>
    <row r="85">
      <c r="A85" s="201"/>
      <c r="B85" s="201"/>
      <c r="C85" s="202" t="b">
        <v>0</v>
      </c>
      <c r="D85" s="201"/>
      <c r="E85" s="201"/>
      <c r="F85" s="202" t="b">
        <v>0</v>
      </c>
      <c r="G85" s="202" t="b">
        <v>0</v>
      </c>
      <c r="H85" s="202" t="b">
        <v>0</v>
      </c>
      <c r="I85" s="202" t="b">
        <v>0</v>
      </c>
      <c r="J85" s="202" t="b">
        <v>0</v>
      </c>
      <c r="K85" s="202" t="b">
        <v>0</v>
      </c>
      <c r="L85" s="202" t="b">
        <v>0</v>
      </c>
      <c r="M85" s="202" t="b">
        <v>0</v>
      </c>
      <c r="N85" s="202" t="b">
        <v>0</v>
      </c>
    </row>
    <row r="86">
      <c r="A86" s="201"/>
      <c r="B86" s="201"/>
      <c r="C86" s="202" t="b">
        <v>0</v>
      </c>
      <c r="D86" s="201"/>
      <c r="E86" s="201"/>
      <c r="F86" s="202" t="b">
        <v>0</v>
      </c>
      <c r="G86" s="202" t="b">
        <v>0</v>
      </c>
      <c r="H86" s="202" t="b">
        <v>0</v>
      </c>
      <c r="I86" s="202" t="b">
        <v>0</v>
      </c>
      <c r="J86" s="202" t="b">
        <v>0</v>
      </c>
      <c r="K86" s="202" t="b">
        <v>0</v>
      </c>
      <c r="L86" s="202" t="b">
        <v>0</v>
      </c>
      <c r="M86" s="202" t="b">
        <v>0</v>
      </c>
      <c r="N86" s="202" t="b">
        <v>0</v>
      </c>
    </row>
    <row r="87">
      <c r="A87" s="201"/>
      <c r="B87" s="201"/>
      <c r="C87" s="202" t="b">
        <v>0</v>
      </c>
      <c r="D87" s="201"/>
      <c r="E87" s="201"/>
      <c r="F87" s="202" t="b">
        <v>0</v>
      </c>
      <c r="G87" s="202" t="b">
        <v>0</v>
      </c>
      <c r="H87" s="202" t="b">
        <v>0</v>
      </c>
      <c r="I87" s="202" t="b">
        <v>0</v>
      </c>
      <c r="J87" s="202" t="b">
        <v>0</v>
      </c>
      <c r="K87" s="202" t="b">
        <v>0</v>
      </c>
      <c r="L87" s="202" t="b">
        <v>0</v>
      </c>
      <c r="M87" s="202" t="b">
        <v>0</v>
      </c>
      <c r="N87" s="202" t="b">
        <v>0</v>
      </c>
    </row>
    <row r="88">
      <c r="A88" s="201"/>
      <c r="B88" s="201"/>
      <c r="C88" s="202" t="b">
        <v>0</v>
      </c>
      <c r="D88" s="201"/>
      <c r="E88" s="201"/>
      <c r="F88" s="202" t="b">
        <v>0</v>
      </c>
      <c r="G88" s="202" t="b">
        <v>0</v>
      </c>
      <c r="H88" s="202" t="b">
        <v>0</v>
      </c>
      <c r="I88" s="202" t="b">
        <v>0</v>
      </c>
      <c r="J88" s="202" t="b">
        <v>0</v>
      </c>
      <c r="K88" s="202" t="b">
        <v>0</v>
      </c>
      <c r="L88" s="202" t="b">
        <v>0</v>
      </c>
      <c r="M88" s="202" t="b">
        <v>0</v>
      </c>
      <c r="N88" s="202" t="b">
        <v>0</v>
      </c>
    </row>
    <row r="89">
      <c r="A89" s="201"/>
      <c r="B89" s="201"/>
      <c r="C89" s="202" t="b">
        <v>0</v>
      </c>
      <c r="D89" s="201"/>
      <c r="E89" s="201"/>
      <c r="F89" s="202" t="b">
        <v>0</v>
      </c>
      <c r="G89" s="202" t="b">
        <v>0</v>
      </c>
      <c r="H89" s="202" t="b">
        <v>0</v>
      </c>
      <c r="I89" s="202" t="b">
        <v>0</v>
      </c>
      <c r="J89" s="202" t="b">
        <v>0</v>
      </c>
      <c r="K89" s="202" t="b">
        <v>0</v>
      </c>
      <c r="L89" s="202" t="b">
        <v>0</v>
      </c>
      <c r="M89" s="202" t="b">
        <v>0</v>
      </c>
      <c r="N89" s="202" t="b">
        <v>0</v>
      </c>
    </row>
    <row r="90">
      <c r="A90" s="201"/>
      <c r="B90" s="201"/>
      <c r="C90" s="202" t="b">
        <v>0</v>
      </c>
      <c r="D90" s="201"/>
      <c r="E90" s="201"/>
      <c r="F90" s="202" t="b">
        <v>0</v>
      </c>
      <c r="G90" s="202" t="b">
        <v>0</v>
      </c>
      <c r="H90" s="202" t="b">
        <v>0</v>
      </c>
      <c r="I90" s="202" t="b">
        <v>0</v>
      </c>
      <c r="J90" s="202" t="b">
        <v>0</v>
      </c>
      <c r="K90" s="202" t="b">
        <v>0</v>
      </c>
      <c r="L90" s="202" t="b">
        <v>0</v>
      </c>
      <c r="M90" s="202" t="b">
        <v>0</v>
      </c>
      <c r="N90" s="202" t="b">
        <v>0</v>
      </c>
    </row>
    <row r="91">
      <c r="A91" s="201"/>
      <c r="B91" s="201"/>
      <c r="C91" s="202" t="b">
        <v>0</v>
      </c>
      <c r="D91" s="201"/>
      <c r="E91" s="201"/>
      <c r="F91" s="202" t="b">
        <v>0</v>
      </c>
      <c r="G91" s="202" t="b">
        <v>0</v>
      </c>
      <c r="H91" s="202" t="b">
        <v>0</v>
      </c>
      <c r="I91" s="202" t="b">
        <v>0</v>
      </c>
      <c r="J91" s="202" t="b">
        <v>0</v>
      </c>
      <c r="K91" s="202" t="b">
        <v>0</v>
      </c>
      <c r="L91" s="202" t="b">
        <v>0</v>
      </c>
      <c r="M91" s="202" t="b">
        <v>0</v>
      </c>
      <c r="N91" s="202" t="b">
        <v>0</v>
      </c>
    </row>
    <row r="92">
      <c r="A92" s="201"/>
      <c r="B92" s="201"/>
      <c r="C92" s="202" t="b">
        <v>0</v>
      </c>
      <c r="D92" s="201"/>
      <c r="E92" s="201"/>
      <c r="F92" s="202" t="b">
        <v>0</v>
      </c>
      <c r="G92" s="202" t="b">
        <v>0</v>
      </c>
      <c r="H92" s="202" t="b">
        <v>0</v>
      </c>
      <c r="I92" s="202" t="b">
        <v>0</v>
      </c>
      <c r="J92" s="202" t="b">
        <v>0</v>
      </c>
      <c r="K92" s="202" t="b">
        <v>0</v>
      </c>
      <c r="L92" s="202" t="b">
        <v>0</v>
      </c>
      <c r="M92" s="202" t="b">
        <v>0</v>
      </c>
      <c r="N92" s="202" t="b">
        <v>0</v>
      </c>
    </row>
    <row r="93">
      <c r="A93" s="201"/>
      <c r="B93" s="201"/>
      <c r="C93" s="202" t="b">
        <v>0</v>
      </c>
      <c r="D93" s="201"/>
      <c r="E93" s="201"/>
      <c r="F93" s="202" t="b">
        <v>0</v>
      </c>
      <c r="G93" s="202" t="b">
        <v>0</v>
      </c>
      <c r="H93" s="202" t="b">
        <v>0</v>
      </c>
      <c r="I93" s="202" t="b">
        <v>0</v>
      </c>
      <c r="J93" s="202" t="b">
        <v>0</v>
      </c>
      <c r="K93" s="202" t="b">
        <v>0</v>
      </c>
      <c r="L93" s="202" t="b">
        <v>0</v>
      </c>
      <c r="M93" s="202" t="b">
        <v>0</v>
      </c>
      <c r="N93" s="202" t="b">
        <v>0</v>
      </c>
    </row>
    <row r="94">
      <c r="A94" s="201"/>
      <c r="B94" s="201"/>
      <c r="C94" s="202" t="b">
        <v>0</v>
      </c>
      <c r="D94" s="201"/>
      <c r="E94" s="201"/>
      <c r="F94" s="202" t="b">
        <v>0</v>
      </c>
      <c r="G94" s="202" t="b">
        <v>0</v>
      </c>
      <c r="H94" s="202" t="b">
        <v>0</v>
      </c>
      <c r="I94" s="202" t="b">
        <v>0</v>
      </c>
      <c r="J94" s="202" t="b">
        <v>0</v>
      </c>
      <c r="K94" s="202" t="b">
        <v>0</v>
      </c>
      <c r="L94" s="202" t="b">
        <v>0</v>
      </c>
      <c r="M94" s="202" t="b">
        <v>0</v>
      </c>
      <c r="N94" s="202" t="b">
        <v>0</v>
      </c>
    </row>
    <row r="95">
      <c r="A95" s="201"/>
      <c r="B95" s="201"/>
      <c r="C95" s="202" t="b">
        <v>0</v>
      </c>
      <c r="D95" s="201"/>
      <c r="E95" s="201"/>
      <c r="F95" s="202" t="b">
        <v>0</v>
      </c>
      <c r="G95" s="202" t="b">
        <v>0</v>
      </c>
      <c r="H95" s="202" t="b">
        <v>0</v>
      </c>
      <c r="I95" s="202" t="b">
        <v>0</v>
      </c>
      <c r="J95" s="202" t="b">
        <v>0</v>
      </c>
      <c r="K95" s="202" t="b">
        <v>0</v>
      </c>
      <c r="L95" s="202" t="b">
        <v>0</v>
      </c>
      <c r="M95" s="202" t="b">
        <v>0</v>
      </c>
      <c r="N95" s="202" t="b">
        <v>0</v>
      </c>
    </row>
    <row r="96">
      <c r="A96" s="201"/>
      <c r="B96" s="201"/>
      <c r="C96" s="202" t="b">
        <v>0</v>
      </c>
      <c r="D96" s="201"/>
      <c r="E96" s="201"/>
      <c r="F96" s="202" t="b">
        <v>0</v>
      </c>
      <c r="G96" s="202" t="b">
        <v>0</v>
      </c>
      <c r="H96" s="202" t="b">
        <v>0</v>
      </c>
      <c r="I96" s="202" t="b">
        <v>0</v>
      </c>
      <c r="J96" s="202" t="b">
        <v>0</v>
      </c>
      <c r="K96" s="202" t="b">
        <v>0</v>
      </c>
      <c r="L96" s="202" t="b">
        <v>0</v>
      </c>
      <c r="M96" s="202" t="b">
        <v>0</v>
      </c>
      <c r="N96" s="202" t="b">
        <v>0</v>
      </c>
    </row>
    <row r="97">
      <c r="A97" s="201"/>
      <c r="B97" s="201"/>
      <c r="C97" s="202" t="b">
        <v>0</v>
      </c>
      <c r="D97" s="201"/>
      <c r="E97" s="201"/>
      <c r="F97" s="202" t="b">
        <v>0</v>
      </c>
      <c r="G97" s="202" t="b">
        <v>0</v>
      </c>
      <c r="H97" s="202" t="b">
        <v>0</v>
      </c>
      <c r="I97" s="202" t="b">
        <v>0</v>
      </c>
      <c r="J97" s="202" t="b">
        <v>0</v>
      </c>
      <c r="K97" s="202" t="b">
        <v>0</v>
      </c>
      <c r="L97" s="202" t="b">
        <v>0</v>
      </c>
      <c r="M97" s="202" t="b">
        <v>0</v>
      </c>
      <c r="N97" s="202" t="b">
        <v>0</v>
      </c>
    </row>
    <row r="98">
      <c r="A98" s="201"/>
      <c r="B98" s="201"/>
      <c r="C98" s="202" t="b">
        <v>0</v>
      </c>
      <c r="D98" s="201"/>
      <c r="E98" s="201"/>
      <c r="F98" s="202" t="b">
        <v>0</v>
      </c>
      <c r="G98" s="202" t="b">
        <v>0</v>
      </c>
      <c r="H98" s="202" t="b">
        <v>0</v>
      </c>
      <c r="I98" s="202" t="b">
        <v>0</v>
      </c>
      <c r="J98" s="202" t="b">
        <v>0</v>
      </c>
      <c r="K98" s="202" t="b">
        <v>0</v>
      </c>
      <c r="L98" s="202" t="b">
        <v>0</v>
      </c>
      <c r="M98" s="202" t="b">
        <v>0</v>
      </c>
      <c r="N98" s="202" t="b">
        <v>0</v>
      </c>
    </row>
    <row r="99">
      <c r="A99" s="201"/>
      <c r="B99" s="201"/>
      <c r="C99" s="202" t="b">
        <v>0</v>
      </c>
      <c r="D99" s="201"/>
      <c r="E99" s="201"/>
      <c r="F99" s="202" t="b">
        <v>0</v>
      </c>
      <c r="G99" s="202" t="b">
        <v>0</v>
      </c>
      <c r="H99" s="202" t="b">
        <v>0</v>
      </c>
      <c r="I99" s="202" t="b">
        <v>0</v>
      </c>
      <c r="J99" s="202" t="b">
        <v>0</v>
      </c>
      <c r="K99" s="202" t="b">
        <v>0</v>
      </c>
      <c r="L99" s="202" t="b">
        <v>0</v>
      </c>
      <c r="M99" s="202" t="b">
        <v>0</v>
      </c>
      <c r="N99" s="202" t="b">
        <v>0</v>
      </c>
    </row>
    <row r="100">
      <c r="A100" s="201"/>
      <c r="B100" s="201"/>
      <c r="C100" s="202" t="b">
        <v>0</v>
      </c>
      <c r="D100" s="201"/>
      <c r="E100" s="201"/>
      <c r="F100" s="202" t="b">
        <v>0</v>
      </c>
      <c r="G100" s="202" t="b">
        <v>0</v>
      </c>
      <c r="H100" s="202" t="b">
        <v>0</v>
      </c>
      <c r="I100" s="202" t="b">
        <v>0</v>
      </c>
      <c r="J100" s="202" t="b">
        <v>0</v>
      </c>
      <c r="K100" s="202" t="b">
        <v>0</v>
      </c>
      <c r="L100" s="202" t="b">
        <v>0</v>
      </c>
      <c r="M100" s="202" t="b">
        <v>0</v>
      </c>
      <c r="N100" s="202" t="b">
        <v>0</v>
      </c>
    </row>
    <row r="101">
      <c r="A101" s="201"/>
      <c r="B101" s="201"/>
      <c r="C101" s="202" t="b">
        <v>0</v>
      </c>
      <c r="D101" s="201"/>
      <c r="E101" s="201"/>
      <c r="F101" s="202" t="b">
        <v>0</v>
      </c>
      <c r="G101" s="202" t="b">
        <v>0</v>
      </c>
      <c r="H101" s="202" t="b">
        <v>0</v>
      </c>
      <c r="I101" s="202" t="b">
        <v>0</v>
      </c>
      <c r="J101" s="202" t="b">
        <v>0</v>
      </c>
      <c r="K101" s="202" t="b">
        <v>0</v>
      </c>
      <c r="L101" s="202" t="b">
        <v>0</v>
      </c>
      <c r="M101" s="202" t="b">
        <v>0</v>
      </c>
      <c r="N101" s="202" t="b">
        <v>0</v>
      </c>
    </row>
    <row r="102">
      <c r="A102" s="201"/>
      <c r="B102" s="201"/>
      <c r="C102" s="202" t="b">
        <v>0</v>
      </c>
      <c r="D102" s="201"/>
      <c r="E102" s="201"/>
      <c r="F102" s="202" t="b">
        <v>0</v>
      </c>
      <c r="G102" s="202" t="b">
        <v>0</v>
      </c>
      <c r="H102" s="202" t="b">
        <v>0</v>
      </c>
      <c r="I102" s="202" t="b">
        <v>0</v>
      </c>
      <c r="J102" s="202" t="b">
        <v>0</v>
      </c>
      <c r="K102" s="202" t="b">
        <v>0</v>
      </c>
      <c r="L102" s="202" t="b">
        <v>0</v>
      </c>
      <c r="M102" s="202" t="b">
        <v>0</v>
      </c>
      <c r="N102" s="202" t="b">
        <v>0</v>
      </c>
    </row>
    <row r="103">
      <c r="A103" s="201"/>
      <c r="B103" s="201"/>
      <c r="C103" s="202" t="b">
        <v>0</v>
      </c>
      <c r="D103" s="201"/>
      <c r="E103" s="201"/>
      <c r="F103" s="202" t="b">
        <v>0</v>
      </c>
      <c r="G103" s="202" t="b">
        <v>0</v>
      </c>
      <c r="H103" s="202" t="b">
        <v>0</v>
      </c>
      <c r="I103" s="202" t="b">
        <v>0</v>
      </c>
      <c r="J103" s="202" t="b">
        <v>0</v>
      </c>
      <c r="K103" s="202" t="b">
        <v>0</v>
      </c>
      <c r="L103" s="202" t="b">
        <v>0</v>
      </c>
      <c r="M103" s="202" t="b">
        <v>0</v>
      </c>
      <c r="N103" s="202" t="b">
        <v>0</v>
      </c>
    </row>
    <row r="104">
      <c r="A104" s="201"/>
      <c r="B104" s="201"/>
      <c r="C104" s="202" t="b">
        <v>0</v>
      </c>
      <c r="D104" s="201"/>
      <c r="E104" s="201"/>
      <c r="F104" s="202" t="b">
        <v>0</v>
      </c>
      <c r="G104" s="202" t="b">
        <v>0</v>
      </c>
      <c r="H104" s="202" t="b">
        <v>0</v>
      </c>
      <c r="I104" s="202" t="b">
        <v>0</v>
      </c>
      <c r="J104" s="202" t="b">
        <v>0</v>
      </c>
      <c r="K104" s="202" t="b">
        <v>0</v>
      </c>
      <c r="L104" s="202" t="b">
        <v>0</v>
      </c>
      <c r="M104" s="202" t="b">
        <v>0</v>
      </c>
      <c r="N104" s="202" t="b">
        <v>0</v>
      </c>
    </row>
    <row r="105">
      <c r="A105" s="201"/>
      <c r="B105" s="201"/>
      <c r="C105" s="202" t="b">
        <v>0</v>
      </c>
      <c r="D105" s="201"/>
      <c r="E105" s="201"/>
      <c r="F105" s="202" t="b">
        <v>0</v>
      </c>
      <c r="G105" s="202" t="b">
        <v>0</v>
      </c>
      <c r="H105" s="202" t="b">
        <v>0</v>
      </c>
      <c r="I105" s="202" t="b">
        <v>0</v>
      </c>
      <c r="J105" s="202" t="b">
        <v>0</v>
      </c>
      <c r="K105" s="202" t="b">
        <v>0</v>
      </c>
      <c r="L105" s="202" t="b">
        <v>0</v>
      </c>
      <c r="M105" s="202" t="b">
        <v>0</v>
      </c>
      <c r="N105" s="202" t="b">
        <v>0</v>
      </c>
    </row>
    <row r="106">
      <c r="A106" s="201"/>
      <c r="B106" s="201"/>
      <c r="C106" s="202" t="b">
        <v>0</v>
      </c>
      <c r="D106" s="201"/>
      <c r="E106" s="201"/>
      <c r="F106" s="202" t="b">
        <v>0</v>
      </c>
      <c r="G106" s="202" t="b">
        <v>0</v>
      </c>
      <c r="H106" s="202" t="b">
        <v>0</v>
      </c>
      <c r="I106" s="202" t="b">
        <v>0</v>
      </c>
      <c r="J106" s="202" t="b">
        <v>0</v>
      </c>
      <c r="K106" s="202" t="b">
        <v>0</v>
      </c>
      <c r="L106" s="202" t="b">
        <v>0</v>
      </c>
      <c r="M106" s="202" t="b">
        <v>0</v>
      </c>
      <c r="N106" s="202" t="b">
        <v>0</v>
      </c>
    </row>
    <row r="107">
      <c r="A107" s="201"/>
      <c r="B107" s="201"/>
      <c r="C107" s="202" t="b">
        <v>0</v>
      </c>
      <c r="D107" s="201"/>
      <c r="E107" s="201"/>
      <c r="F107" s="202" t="b">
        <v>0</v>
      </c>
      <c r="G107" s="202" t="b">
        <v>0</v>
      </c>
      <c r="H107" s="202" t="b">
        <v>0</v>
      </c>
      <c r="I107" s="202" t="b">
        <v>0</v>
      </c>
      <c r="J107" s="202" t="b">
        <v>0</v>
      </c>
      <c r="K107" s="202" t="b">
        <v>0</v>
      </c>
      <c r="L107" s="202" t="b">
        <v>0</v>
      </c>
      <c r="M107" s="202" t="b">
        <v>0</v>
      </c>
      <c r="N107" s="202" t="b">
        <v>0</v>
      </c>
    </row>
    <row r="108">
      <c r="A108" s="201"/>
      <c r="B108" s="201"/>
      <c r="C108" s="202" t="b">
        <v>0</v>
      </c>
      <c r="D108" s="201"/>
      <c r="E108" s="201"/>
      <c r="F108" s="202" t="b">
        <v>0</v>
      </c>
      <c r="G108" s="202" t="b">
        <v>0</v>
      </c>
      <c r="H108" s="202" t="b">
        <v>0</v>
      </c>
      <c r="I108" s="202" t="b">
        <v>0</v>
      </c>
      <c r="J108" s="202" t="b">
        <v>0</v>
      </c>
      <c r="K108" s="202" t="b">
        <v>0</v>
      </c>
      <c r="L108" s="202" t="b">
        <v>0</v>
      </c>
      <c r="M108" s="202" t="b">
        <v>0</v>
      </c>
      <c r="N108" s="202" t="b">
        <v>0</v>
      </c>
    </row>
    <row r="109">
      <c r="A109" s="201"/>
      <c r="B109" s="201"/>
      <c r="C109" s="202" t="b">
        <v>0</v>
      </c>
      <c r="D109" s="201"/>
      <c r="E109" s="201"/>
      <c r="F109" s="202" t="b">
        <v>0</v>
      </c>
      <c r="G109" s="202" t="b">
        <v>0</v>
      </c>
      <c r="H109" s="202" t="b">
        <v>0</v>
      </c>
      <c r="I109" s="202" t="b">
        <v>0</v>
      </c>
      <c r="J109" s="202" t="b">
        <v>0</v>
      </c>
      <c r="K109" s="202" t="b">
        <v>0</v>
      </c>
      <c r="L109" s="202" t="b">
        <v>0</v>
      </c>
      <c r="M109" s="202" t="b">
        <v>0</v>
      </c>
      <c r="N109" s="202" t="b">
        <v>0</v>
      </c>
    </row>
    <row r="110">
      <c r="A110" s="201"/>
      <c r="B110" s="201"/>
      <c r="C110" s="202" t="b">
        <v>0</v>
      </c>
      <c r="D110" s="201"/>
      <c r="E110" s="201"/>
      <c r="F110" s="202" t="b">
        <v>0</v>
      </c>
      <c r="G110" s="202" t="b">
        <v>0</v>
      </c>
      <c r="H110" s="202" t="b">
        <v>0</v>
      </c>
      <c r="I110" s="202" t="b">
        <v>0</v>
      </c>
      <c r="J110" s="202" t="b">
        <v>0</v>
      </c>
      <c r="K110" s="202" t="b">
        <v>0</v>
      </c>
      <c r="L110" s="202" t="b">
        <v>0</v>
      </c>
      <c r="M110" s="202" t="b">
        <v>0</v>
      </c>
      <c r="N110" s="202" t="b">
        <v>0</v>
      </c>
    </row>
    <row r="111">
      <c r="A111" s="201"/>
      <c r="B111" s="201"/>
      <c r="C111" s="202" t="b">
        <v>0</v>
      </c>
      <c r="D111" s="201"/>
      <c r="E111" s="201"/>
      <c r="F111" s="202" t="b">
        <v>0</v>
      </c>
      <c r="G111" s="202" t="b">
        <v>0</v>
      </c>
      <c r="H111" s="202" t="b">
        <v>0</v>
      </c>
      <c r="I111" s="202" t="b">
        <v>0</v>
      </c>
      <c r="J111" s="202" t="b">
        <v>0</v>
      </c>
      <c r="K111" s="202" t="b">
        <v>0</v>
      </c>
      <c r="L111" s="202" t="b">
        <v>0</v>
      </c>
      <c r="M111" s="202" t="b">
        <v>0</v>
      </c>
      <c r="N111" s="202" t="b">
        <v>0</v>
      </c>
    </row>
    <row r="112">
      <c r="A112" s="201"/>
      <c r="B112" s="201"/>
      <c r="C112" s="202" t="b">
        <v>0</v>
      </c>
      <c r="D112" s="201"/>
      <c r="E112" s="201"/>
      <c r="F112" s="202" t="b">
        <v>0</v>
      </c>
      <c r="G112" s="202" t="b">
        <v>0</v>
      </c>
      <c r="H112" s="202" t="b">
        <v>0</v>
      </c>
      <c r="I112" s="202" t="b">
        <v>0</v>
      </c>
      <c r="J112" s="202" t="b">
        <v>0</v>
      </c>
      <c r="K112" s="202" t="b">
        <v>0</v>
      </c>
      <c r="L112" s="202" t="b">
        <v>0</v>
      </c>
      <c r="M112" s="202" t="b">
        <v>0</v>
      </c>
      <c r="N112" s="202" t="b">
        <v>0</v>
      </c>
    </row>
    <row r="113">
      <c r="A113" s="201"/>
      <c r="B113" s="201"/>
      <c r="C113" s="202" t="b">
        <v>0</v>
      </c>
      <c r="D113" s="201"/>
      <c r="E113" s="201"/>
      <c r="F113" s="202" t="b">
        <v>0</v>
      </c>
      <c r="G113" s="202" t="b">
        <v>0</v>
      </c>
      <c r="H113" s="202" t="b">
        <v>0</v>
      </c>
      <c r="I113" s="202" t="b">
        <v>0</v>
      </c>
      <c r="J113" s="202" t="b">
        <v>0</v>
      </c>
      <c r="K113" s="202" t="b">
        <v>0</v>
      </c>
      <c r="L113" s="202" t="b">
        <v>0</v>
      </c>
      <c r="M113" s="202" t="b">
        <v>0</v>
      </c>
      <c r="N113" s="202" t="b">
        <v>0</v>
      </c>
    </row>
    <row r="114">
      <c r="A114" s="201"/>
      <c r="B114" s="201"/>
      <c r="C114" s="202" t="b">
        <v>0</v>
      </c>
      <c r="D114" s="201"/>
      <c r="E114" s="201"/>
      <c r="F114" s="202" t="b">
        <v>0</v>
      </c>
      <c r="G114" s="202" t="b">
        <v>0</v>
      </c>
      <c r="H114" s="202" t="b">
        <v>0</v>
      </c>
      <c r="I114" s="202" t="b">
        <v>0</v>
      </c>
      <c r="J114" s="202" t="b">
        <v>0</v>
      </c>
      <c r="K114" s="202" t="b">
        <v>0</v>
      </c>
      <c r="L114" s="202" t="b">
        <v>0</v>
      </c>
      <c r="M114" s="202" t="b">
        <v>0</v>
      </c>
      <c r="N114" s="202" t="b">
        <v>0</v>
      </c>
    </row>
    <row r="115">
      <c r="A115" s="201"/>
      <c r="B115" s="201"/>
      <c r="C115" s="202" t="b">
        <v>0</v>
      </c>
      <c r="D115" s="201"/>
      <c r="E115" s="201"/>
      <c r="F115" s="202" t="b">
        <v>0</v>
      </c>
      <c r="G115" s="202" t="b">
        <v>0</v>
      </c>
      <c r="H115" s="202" t="b">
        <v>0</v>
      </c>
      <c r="I115" s="202" t="b">
        <v>0</v>
      </c>
      <c r="J115" s="202" t="b">
        <v>0</v>
      </c>
      <c r="K115" s="202" t="b">
        <v>0</v>
      </c>
      <c r="L115" s="202" t="b">
        <v>0</v>
      </c>
      <c r="M115" s="202" t="b">
        <v>0</v>
      </c>
      <c r="N115" s="202" t="b">
        <v>0</v>
      </c>
    </row>
    <row r="116">
      <c r="A116" s="201"/>
      <c r="B116" s="201"/>
      <c r="C116" s="202" t="b">
        <v>0</v>
      </c>
      <c r="D116" s="201"/>
      <c r="E116" s="201"/>
      <c r="F116" s="202" t="b">
        <v>0</v>
      </c>
      <c r="G116" s="202" t="b">
        <v>0</v>
      </c>
      <c r="H116" s="202" t="b">
        <v>0</v>
      </c>
      <c r="I116" s="202" t="b">
        <v>0</v>
      </c>
      <c r="J116" s="202" t="b">
        <v>0</v>
      </c>
      <c r="K116" s="202" t="b">
        <v>0</v>
      </c>
      <c r="L116" s="202" t="b">
        <v>0</v>
      </c>
      <c r="M116" s="202" t="b">
        <v>0</v>
      </c>
      <c r="N116" s="202" t="b">
        <v>0</v>
      </c>
    </row>
    <row r="117">
      <c r="A117" s="201"/>
      <c r="B117" s="201"/>
      <c r="C117" s="202" t="b">
        <v>0</v>
      </c>
      <c r="D117" s="201"/>
      <c r="E117" s="201"/>
      <c r="F117" s="202" t="b">
        <v>0</v>
      </c>
      <c r="G117" s="202" t="b">
        <v>0</v>
      </c>
      <c r="H117" s="202" t="b">
        <v>0</v>
      </c>
      <c r="I117" s="202" t="b">
        <v>0</v>
      </c>
      <c r="J117" s="202" t="b">
        <v>0</v>
      </c>
      <c r="K117" s="202" t="b">
        <v>0</v>
      </c>
      <c r="L117" s="202" t="b">
        <v>0</v>
      </c>
      <c r="M117" s="202" t="b">
        <v>0</v>
      </c>
      <c r="N117" s="202" t="b">
        <v>0</v>
      </c>
    </row>
    <row r="118">
      <c r="A118" s="201"/>
      <c r="B118" s="201"/>
      <c r="C118" s="202" t="b">
        <v>0</v>
      </c>
      <c r="D118" s="201"/>
      <c r="E118" s="201"/>
      <c r="F118" s="202" t="b">
        <v>0</v>
      </c>
      <c r="G118" s="202" t="b">
        <v>0</v>
      </c>
      <c r="H118" s="202" t="b">
        <v>0</v>
      </c>
      <c r="I118" s="202" t="b">
        <v>0</v>
      </c>
      <c r="J118" s="202" t="b">
        <v>0</v>
      </c>
      <c r="K118" s="202" t="b">
        <v>0</v>
      </c>
      <c r="L118" s="202" t="b">
        <v>0</v>
      </c>
      <c r="M118" s="202" t="b">
        <v>0</v>
      </c>
      <c r="N118" s="202" t="b">
        <v>0</v>
      </c>
    </row>
    <row r="119">
      <c r="A119" s="201"/>
      <c r="B119" s="201"/>
      <c r="C119" s="202" t="b">
        <v>0</v>
      </c>
      <c r="D119" s="201"/>
      <c r="E119" s="201"/>
      <c r="F119" s="202" t="b">
        <v>0</v>
      </c>
      <c r="G119" s="202" t="b">
        <v>0</v>
      </c>
      <c r="H119" s="202" t="b">
        <v>0</v>
      </c>
      <c r="I119" s="202" t="b">
        <v>0</v>
      </c>
      <c r="J119" s="202" t="b">
        <v>0</v>
      </c>
      <c r="K119" s="202" t="b">
        <v>0</v>
      </c>
      <c r="L119" s="202" t="b">
        <v>0</v>
      </c>
      <c r="M119" s="202" t="b">
        <v>0</v>
      </c>
      <c r="N119" s="202" t="b">
        <v>0</v>
      </c>
    </row>
    <row r="120">
      <c r="A120" s="201"/>
      <c r="B120" s="201"/>
      <c r="C120" s="202" t="b">
        <v>0</v>
      </c>
      <c r="D120" s="201"/>
      <c r="E120" s="201"/>
      <c r="F120" s="202" t="b">
        <v>0</v>
      </c>
      <c r="G120" s="202" t="b">
        <v>0</v>
      </c>
      <c r="H120" s="202" t="b">
        <v>0</v>
      </c>
      <c r="I120" s="202" t="b">
        <v>0</v>
      </c>
      <c r="J120" s="202" t="b">
        <v>0</v>
      </c>
      <c r="K120" s="202" t="b">
        <v>0</v>
      </c>
      <c r="L120" s="202" t="b">
        <v>0</v>
      </c>
      <c r="M120" s="202" t="b">
        <v>0</v>
      </c>
      <c r="N120" s="202" t="b">
        <v>0</v>
      </c>
    </row>
    <row r="121">
      <c r="A121" s="201"/>
      <c r="B121" s="201"/>
      <c r="C121" s="202" t="b">
        <v>0</v>
      </c>
      <c r="D121" s="201"/>
      <c r="E121" s="201"/>
      <c r="F121" s="202" t="b">
        <v>0</v>
      </c>
      <c r="G121" s="202" t="b">
        <v>0</v>
      </c>
      <c r="H121" s="202" t="b">
        <v>0</v>
      </c>
      <c r="I121" s="202" t="b">
        <v>0</v>
      </c>
      <c r="J121" s="202" t="b">
        <v>0</v>
      </c>
      <c r="K121" s="202" t="b">
        <v>0</v>
      </c>
      <c r="L121" s="202" t="b">
        <v>0</v>
      </c>
      <c r="M121" s="202" t="b">
        <v>0</v>
      </c>
      <c r="N121" s="202" t="b">
        <v>0</v>
      </c>
    </row>
    <row r="122">
      <c r="A122" s="201"/>
      <c r="B122" s="201"/>
      <c r="C122" s="202" t="b">
        <v>0</v>
      </c>
      <c r="D122" s="201"/>
      <c r="E122" s="201"/>
      <c r="F122" s="202" t="b">
        <v>0</v>
      </c>
      <c r="G122" s="202" t="b">
        <v>0</v>
      </c>
      <c r="H122" s="202" t="b">
        <v>0</v>
      </c>
      <c r="I122" s="202" t="b">
        <v>0</v>
      </c>
      <c r="J122" s="202" t="b">
        <v>0</v>
      </c>
      <c r="K122" s="202" t="b">
        <v>0</v>
      </c>
      <c r="L122" s="202" t="b">
        <v>0</v>
      </c>
      <c r="M122" s="202" t="b">
        <v>0</v>
      </c>
      <c r="N122" s="202" t="b">
        <v>0</v>
      </c>
    </row>
    <row r="123">
      <c r="A123" s="201"/>
      <c r="B123" s="201"/>
      <c r="C123" s="202" t="b">
        <v>0</v>
      </c>
      <c r="D123" s="201"/>
      <c r="E123" s="201"/>
      <c r="F123" s="202" t="b">
        <v>0</v>
      </c>
      <c r="G123" s="202" t="b">
        <v>0</v>
      </c>
      <c r="H123" s="202" t="b">
        <v>0</v>
      </c>
      <c r="I123" s="202" t="b">
        <v>0</v>
      </c>
      <c r="J123" s="202" t="b">
        <v>0</v>
      </c>
      <c r="K123" s="202" t="b">
        <v>0</v>
      </c>
      <c r="L123" s="202" t="b">
        <v>0</v>
      </c>
      <c r="M123" s="202" t="b">
        <v>0</v>
      </c>
      <c r="N123" s="202" t="b">
        <v>0</v>
      </c>
    </row>
    <row r="124">
      <c r="A124" s="201"/>
      <c r="B124" s="201"/>
      <c r="C124" s="202" t="b">
        <v>0</v>
      </c>
      <c r="D124" s="201"/>
      <c r="E124" s="201"/>
      <c r="F124" s="202" t="b">
        <v>0</v>
      </c>
      <c r="G124" s="202" t="b">
        <v>0</v>
      </c>
      <c r="H124" s="202" t="b">
        <v>0</v>
      </c>
      <c r="I124" s="202" t="b">
        <v>0</v>
      </c>
      <c r="J124" s="202" t="b">
        <v>0</v>
      </c>
      <c r="K124" s="202" t="b">
        <v>0</v>
      </c>
      <c r="L124" s="202" t="b">
        <v>0</v>
      </c>
      <c r="M124" s="202" t="b">
        <v>0</v>
      </c>
      <c r="N124" s="202" t="b">
        <v>0</v>
      </c>
    </row>
    <row r="125">
      <c r="A125" s="201"/>
      <c r="B125" s="201"/>
      <c r="C125" s="202" t="b">
        <v>0</v>
      </c>
      <c r="D125" s="201"/>
      <c r="E125" s="201"/>
      <c r="F125" s="202" t="b">
        <v>0</v>
      </c>
      <c r="G125" s="202" t="b">
        <v>0</v>
      </c>
      <c r="H125" s="202" t="b">
        <v>0</v>
      </c>
      <c r="I125" s="202" t="b">
        <v>0</v>
      </c>
      <c r="J125" s="202" t="b">
        <v>0</v>
      </c>
      <c r="K125" s="202" t="b">
        <v>0</v>
      </c>
      <c r="L125" s="202" t="b">
        <v>0</v>
      </c>
      <c r="M125" s="202" t="b">
        <v>0</v>
      </c>
      <c r="N125" s="202" t="b">
        <v>0</v>
      </c>
    </row>
    <row r="126">
      <c r="A126" s="201"/>
      <c r="B126" s="201"/>
      <c r="C126" s="202" t="b">
        <v>0</v>
      </c>
      <c r="D126" s="201"/>
      <c r="E126" s="201"/>
      <c r="F126" s="202" t="b">
        <v>0</v>
      </c>
      <c r="G126" s="202" t="b">
        <v>0</v>
      </c>
      <c r="H126" s="202" t="b">
        <v>0</v>
      </c>
      <c r="I126" s="202" t="b">
        <v>0</v>
      </c>
      <c r="J126" s="202" t="b">
        <v>0</v>
      </c>
      <c r="K126" s="202" t="b">
        <v>0</v>
      </c>
      <c r="L126" s="202" t="b">
        <v>0</v>
      </c>
      <c r="M126" s="202" t="b">
        <v>0</v>
      </c>
      <c r="N126" s="202" t="b">
        <v>0</v>
      </c>
    </row>
    <row r="127">
      <c r="A127" s="201"/>
      <c r="B127" s="201"/>
      <c r="C127" s="202" t="b">
        <v>0</v>
      </c>
      <c r="D127" s="201"/>
      <c r="E127" s="201"/>
      <c r="F127" s="202" t="b">
        <v>0</v>
      </c>
      <c r="G127" s="202" t="b">
        <v>0</v>
      </c>
      <c r="H127" s="202" t="b">
        <v>0</v>
      </c>
      <c r="I127" s="202" t="b">
        <v>0</v>
      </c>
      <c r="J127" s="202" t="b">
        <v>0</v>
      </c>
      <c r="K127" s="202" t="b">
        <v>0</v>
      </c>
      <c r="L127" s="202" t="b">
        <v>0</v>
      </c>
      <c r="M127" s="202" t="b">
        <v>0</v>
      </c>
      <c r="N127" s="202" t="b">
        <v>0</v>
      </c>
    </row>
    <row r="128">
      <c r="A128" s="201"/>
      <c r="B128" s="201"/>
      <c r="C128" s="202" t="b">
        <v>0</v>
      </c>
      <c r="D128" s="201"/>
      <c r="E128" s="201"/>
      <c r="F128" s="202" t="b">
        <v>0</v>
      </c>
      <c r="G128" s="202" t="b">
        <v>0</v>
      </c>
      <c r="H128" s="202" t="b">
        <v>0</v>
      </c>
      <c r="I128" s="202" t="b">
        <v>0</v>
      </c>
      <c r="J128" s="202" t="b">
        <v>0</v>
      </c>
      <c r="K128" s="202" t="b">
        <v>0</v>
      </c>
      <c r="L128" s="202" t="b">
        <v>0</v>
      </c>
      <c r="M128" s="202" t="b">
        <v>0</v>
      </c>
      <c r="N128" s="202" t="b">
        <v>0</v>
      </c>
    </row>
    <row r="129">
      <c r="A129" s="201"/>
      <c r="B129" s="201"/>
      <c r="C129" s="202" t="b">
        <v>0</v>
      </c>
      <c r="D129" s="201"/>
      <c r="E129" s="201"/>
      <c r="F129" s="202" t="b">
        <v>0</v>
      </c>
      <c r="G129" s="202" t="b">
        <v>0</v>
      </c>
      <c r="H129" s="202" t="b">
        <v>0</v>
      </c>
      <c r="I129" s="202" t="b">
        <v>0</v>
      </c>
      <c r="J129" s="202" t="b">
        <v>0</v>
      </c>
      <c r="K129" s="202" t="b">
        <v>0</v>
      </c>
      <c r="L129" s="202" t="b">
        <v>0</v>
      </c>
      <c r="M129" s="202" t="b">
        <v>0</v>
      </c>
      <c r="N129" s="202" t="b">
        <v>0</v>
      </c>
    </row>
    <row r="130">
      <c r="A130" s="201"/>
      <c r="B130" s="201"/>
      <c r="C130" s="202" t="b">
        <v>0</v>
      </c>
      <c r="D130" s="201"/>
      <c r="E130" s="201"/>
      <c r="F130" s="202" t="b">
        <v>0</v>
      </c>
      <c r="G130" s="202" t="b">
        <v>0</v>
      </c>
      <c r="H130" s="202" t="b">
        <v>0</v>
      </c>
      <c r="I130" s="202" t="b">
        <v>0</v>
      </c>
      <c r="J130" s="202" t="b">
        <v>0</v>
      </c>
      <c r="K130" s="202" t="b">
        <v>0</v>
      </c>
      <c r="L130" s="202" t="b">
        <v>0</v>
      </c>
      <c r="M130" s="202" t="b">
        <v>0</v>
      </c>
      <c r="N130" s="202" t="b">
        <v>0</v>
      </c>
    </row>
    <row r="131">
      <c r="A131" s="201"/>
      <c r="B131" s="201"/>
      <c r="C131" s="202" t="b">
        <v>0</v>
      </c>
      <c r="D131" s="201"/>
      <c r="E131" s="201"/>
      <c r="F131" s="202" t="b">
        <v>0</v>
      </c>
      <c r="G131" s="202" t="b">
        <v>0</v>
      </c>
      <c r="H131" s="202" t="b">
        <v>0</v>
      </c>
      <c r="I131" s="202" t="b">
        <v>0</v>
      </c>
      <c r="J131" s="202" t="b">
        <v>0</v>
      </c>
      <c r="K131" s="202" t="b">
        <v>0</v>
      </c>
      <c r="L131" s="202" t="b">
        <v>0</v>
      </c>
      <c r="M131" s="202" t="b">
        <v>0</v>
      </c>
      <c r="N131" s="202" t="b">
        <v>0</v>
      </c>
    </row>
    <row r="132">
      <c r="A132" s="201"/>
      <c r="B132" s="201"/>
      <c r="C132" s="202" t="b">
        <v>0</v>
      </c>
      <c r="D132" s="201"/>
      <c r="E132" s="201"/>
      <c r="F132" s="202" t="b">
        <v>0</v>
      </c>
      <c r="G132" s="202" t="b">
        <v>0</v>
      </c>
      <c r="H132" s="202" t="b">
        <v>0</v>
      </c>
      <c r="I132" s="202" t="b">
        <v>0</v>
      </c>
      <c r="J132" s="202" t="b">
        <v>0</v>
      </c>
      <c r="K132" s="202" t="b">
        <v>0</v>
      </c>
      <c r="L132" s="202" t="b">
        <v>0</v>
      </c>
      <c r="M132" s="202" t="b">
        <v>0</v>
      </c>
      <c r="N132" s="202" t="b">
        <v>0</v>
      </c>
    </row>
    <row r="133">
      <c r="A133" s="201"/>
      <c r="B133" s="201"/>
      <c r="C133" s="202" t="b">
        <v>0</v>
      </c>
      <c r="D133" s="201"/>
      <c r="E133" s="201"/>
      <c r="F133" s="202" t="b">
        <v>0</v>
      </c>
      <c r="G133" s="202" t="b">
        <v>0</v>
      </c>
      <c r="H133" s="202" t="b">
        <v>0</v>
      </c>
      <c r="I133" s="202" t="b">
        <v>0</v>
      </c>
      <c r="J133" s="202" t="b">
        <v>0</v>
      </c>
      <c r="K133" s="202" t="b">
        <v>0</v>
      </c>
      <c r="L133" s="202" t="b">
        <v>0</v>
      </c>
      <c r="M133" s="202" t="b">
        <v>0</v>
      </c>
      <c r="N133" s="202" t="b">
        <v>0</v>
      </c>
    </row>
    <row r="134">
      <c r="A134" s="201"/>
      <c r="B134" s="201"/>
      <c r="C134" s="202" t="b">
        <v>0</v>
      </c>
      <c r="D134" s="201"/>
      <c r="E134" s="201"/>
      <c r="F134" s="202" t="b">
        <v>0</v>
      </c>
      <c r="G134" s="202" t="b">
        <v>0</v>
      </c>
      <c r="H134" s="202" t="b">
        <v>0</v>
      </c>
      <c r="I134" s="202" t="b">
        <v>0</v>
      </c>
      <c r="J134" s="202" t="b">
        <v>0</v>
      </c>
      <c r="K134" s="202" t="b">
        <v>0</v>
      </c>
      <c r="L134" s="202" t="b">
        <v>0</v>
      </c>
      <c r="M134" s="202" t="b">
        <v>0</v>
      </c>
      <c r="N134" s="202" t="b">
        <v>0</v>
      </c>
    </row>
    <row r="135">
      <c r="A135" s="201"/>
      <c r="B135" s="201"/>
      <c r="C135" s="202" t="b">
        <v>0</v>
      </c>
      <c r="D135" s="201"/>
      <c r="E135" s="201"/>
      <c r="F135" s="202" t="b">
        <v>0</v>
      </c>
      <c r="G135" s="202" t="b">
        <v>0</v>
      </c>
      <c r="H135" s="202" t="b">
        <v>0</v>
      </c>
      <c r="I135" s="202" t="b">
        <v>0</v>
      </c>
      <c r="J135" s="202" t="b">
        <v>0</v>
      </c>
      <c r="K135" s="202" t="b">
        <v>0</v>
      </c>
      <c r="L135" s="202" t="b">
        <v>0</v>
      </c>
      <c r="M135" s="202" t="b">
        <v>0</v>
      </c>
      <c r="N135" s="202" t="b">
        <v>0</v>
      </c>
    </row>
    <row r="136">
      <c r="A136" s="201"/>
      <c r="B136" s="201"/>
      <c r="C136" s="202" t="b">
        <v>0</v>
      </c>
      <c r="D136" s="201"/>
      <c r="E136" s="201"/>
      <c r="F136" s="202" t="b">
        <v>0</v>
      </c>
      <c r="G136" s="202" t="b">
        <v>0</v>
      </c>
      <c r="H136" s="202" t="b">
        <v>0</v>
      </c>
      <c r="I136" s="202" t="b">
        <v>0</v>
      </c>
      <c r="J136" s="202" t="b">
        <v>0</v>
      </c>
      <c r="K136" s="202" t="b">
        <v>0</v>
      </c>
      <c r="L136" s="202" t="b">
        <v>0</v>
      </c>
      <c r="M136" s="202" t="b">
        <v>0</v>
      </c>
      <c r="N136" s="202" t="b">
        <v>0</v>
      </c>
    </row>
    <row r="137">
      <c r="A137" s="201"/>
      <c r="B137" s="201"/>
      <c r="C137" s="202" t="b">
        <v>0</v>
      </c>
      <c r="D137" s="201"/>
      <c r="E137" s="201"/>
      <c r="F137" s="202" t="b">
        <v>0</v>
      </c>
      <c r="G137" s="202" t="b">
        <v>0</v>
      </c>
      <c r="H137" s="202" t="b">
        <v>0</v>
      </c>
      <c r="I137" s="202" t="b">
        <v>0</v>
      </c>
      <c r="J137" s="202" t="b">
        <v>0</v>
      </c>
      <c r="K137" s="202" t="b">
        <v>0</v>
      </c>
      <c r="L137" s="202" t="b">
        <v>0</v>
      </c>
      <c r="M137" s="202" t="b">
        <v>0</v>
      </c>
      <c r="N137" s="202" t="b">
        <v>0</v>
      </c>
    </row>
    <row r="138">
      <c r="A138" s="201"/>
      <c r="B138" s="201"/>
      <c r="C138" s="202" t="b">
        <v>0</v>
      </c>
      <c r="D138" s="201"/>
      <c r="E138" s="201"/>
      <c r="F138" s="202" t="b">
        <v>0</v>
      </c>
      <c r="G138" s="202" t="b">
        <v>0</v>
      </c>
      <c r="H138" s="202" t="b">
        <v>0</v>
      </c>
      <c r="I138" s="202" t="b">
        <v>0</v>
      </c>
      <c r="J138" s="202" t="b">
        <v>0</v>
      </c>
      <c r="K138" s="202" t="b">
        <v>0</v>
      </c>
      <c r="L138" s="202" t="b">
        <v>0</v>
      </c>
      <c r="M138" s="202" t="b">
        <v>0</v>
      </c>
      <c r="N138" s="202" t="b">
        <v>0</v>
      </c>
    </row>
    <row r="139">
      <c r="A139" s="201"/>
      <c r="B139" s="201"/>
      <c r="C139" s="202" t="b">
        <v>0</v>
      </c>
      <c r="D139" s="201"/>
      <c r="E139" s="201"/>
      <c r="F139" s="202" t="b">
        <v>0</v>
      </c>
      <c r="G139" s="202" t="b">
        <v>0</v>
      </c>
      <c r="H139" s="202" t="b">
        <v>0</v>
      </c>
      <c r="I139" s="202" t="b">
        <v>0</v>
      </c>
      <c r="J139" s="202" t="b">
        <v>0</v>
      </c>
      <c r="K139" s="202" t="b">
        <v>0</v>
      </c>
      <c r="L139" s="202" t="b">
        <v>0</v>
      </c>
      <c r="M139" s="202" t="b">
        <v>0</v>
      </c>
      <c r="N139" s="202" t="b">
        <v>0</v>
      </c>
    </row>
    <row r="140">
      <c r="A140" s="201"/>
      <c r="B140" s="201"/>
      <c r="C140" s="202" t="b">
        <v>0</v>
      </c>
      <c r="D140" s="201"/>
      <c r="E140" s="201"/>
      <c r="F140" s="202" t="b">
        <v>0</v>
      </c>
      <c r="G140" s="202" t="b">
        <v>0</v>
      </c>
      <c r="H140" s="202" t="b">
        <v>0</v>
      </c>
      <c r="I140" s="202" t="b">
        <v>0</v>
      </c>
      <c r="J140" s="202" t="b">
        <v>0</v>
      </c>
      <c r="K140" s="202" t="b">
        <v>0</v>
      </c>
      <c r="L140" s="202" t="b">
        <v>0</v>
      </c>
      <c r="M140" s="202" t="b">
        <v>0</v>
      </c>
      <c r="N140" s="202" t="b">
        <v>0</v>
      </c>
    </row>
    <row r="141">
      <c r="A141" s="201"/>
      <c r="B141" s="201"/>
      <c r="C141" s="202" t="b">
        <v>0</v>
      </c>
      <c r="D141" s="201"/>
      <c r="E141" s="201"/>
      <c r="F141" s="202" t="b">
        <v>0</v>
      </c>
      <c r="G141" s="202" t="b">
        <v>0</v>
      </c>
      <c r="H141" s="202" t="b">
        <v>0</v>
      </c>
      <c r="I141" s="202" t="b">
        <v>0</v>
      </c>
      <c r="J141" s="202" t="b">
        <v>0</v>
      </c>
      <c r="K141" s="202" t="b">
        <v>0</v>
      </c>
      <c r="L141" s="202" t="b">
        <v>0</v>
      </c>
      <c r="M141" s="202" t="b">
        <v>0</v>
      </c>
      <c r="N141" s="202" t="b">
        <v>0</v>
      </c>
    </row>
    <row r="142">
      <c r="A142" s="201"/>
      <c r="B142" s="201"/>
      <c r="C142" s="202" t="b">
        <v>0</v>
      </c>
      <c r="D142" s="201"/>
      <c r="E142" s="201"/>
      <c r="F142" s="202" t="b">
        <v>0</v>
      </c>
      <c r="G142" s="202" t="b">
        <v>0</v>
      </c>
      <c r="H142" s="202" t="b">
        <v>0</v>
      </c>
      <c r="I142" s="202" t="b">
        <v>0</v>
      </c>
      <c r="J142" s="202" t="b">
        <v>0</v>
      </c>
      <c r="K142" s="202" t="b">
        <v>0</v>
      </c>
      <c r="L142" s="202" t="b">
        <v>0</v>
      </c>
      <c r="M142" s="202" t="b">
        <v>0</v>
      </c>
      <c r="N142" s="202" t="b">
        <v>0</v>
      </c>
    </row>
    <row r="143">
      <c r="A143" s="201"/>
      <c r="B143" s="201"/>
      <c r="C143" s="202" t="b">
        <v>0</v>
      </c>
      <c r="D143" s="201"/>
      <c r="E143" s="201"/>
      <c r="F143" s="202" t="b">
        <v>0</v>
      </c>
      <c r="G143" s="202" t="b">
        <v>0</v>
      </c>
      <c r="H143" s="202" t="b">
        <v>0</v>
      </c>
      <c r="I143" s="202" t="b">
        <v>0</v>
      </c>
      <c r="J143" s="202" t="b">
        <v>0</v>
      </c>
      <c r="K143" s="202" t="b">
        <v>0</v>
      </c>
      <c r="L143" s="202" t="b">
        <v>0</v>
      </c>
      <c r="M143" s="202" t="b">
        <v>0</v>
      </c>
      <c r="N143" s="202" t="b">
        <v>0</v>
      </c>
    </row>
    <row r="144">
      <c r="A144" s="201"/>
      <c r="B144" s="201"/>
      <c r="C144" s="202" t="b">
        <v>0</v>
      </c>
      <c r="D144" s="201"/>
      <c r="E144" s="201"/>
      <c r="F144" s="202" t="b">
        <v>0</v>
      </c>
      <c r="G144" s="202" t="b">
        <v>0</v>
      </c>
      <c r="H144" s="202" t="b">
        <v>0</v>
      </c>
      <c r="I144" s="202" t="b">
        <v>0</v>
      </c>
      <c r="J144" s="202" t="b">
        <v>0</v>
      </c>
      <c r="K144" s="202" t="b">
        <v>0</v>
      </c>
      <c r="L144" s="202" t="b">
        <v>0</v>
      </c>
      <c r="M144" s="202" t="b">
        <v>0</v>
      </c>
      <c r="N144" s="202" t="b">
        <v>0</v>
      </c>
    </row>
    <row r="145">
      <c r="A145" s="201"/>
      <c r="B145" s="201"/>
      <c r="C145" s="202" t="b">
        <v>0</v>
      </c>
      <c r="D145" s="201"/>
      <c r="E145" s="201"/>
      <c r="F145" s="202" t="b">
        <v>0</v>
      </c>
      <c r="G145" s="202" t="b">
        <v>0</v>
      </c>
      <c r="H145" s="202" t="b">
        <v>0</v>
      </c>
      <c r="I145" s="202" t="b">
        <v>0</v>
      </c>
      <c r="J145" s="202" t="b">
        <v>0</v>
      </c>
      <c r="K145" s="202" t="b">
        <v>0</v>
      </c>
      <c r="L145" s="202" t="b">
        <v>0</v>
      </c>
      <c r="M145" s="202" t="b">
        <v>0</v>
      </c>
      <c r="N145" s="202" t="b">
        <v>0</v>
      </c>
    </row>
    <row r="146">
      <c r="A146" s="201"/>
      <c r="B146" s="201"/>
      <c r="C146" s="202" t="b">
        <v>0</v>
      </c>
      <c r="D146" s="201"/>
      <c r="E146" s="201"/>
      <c r="F146" s="202" t="b">
        <v>0</v>
      </c>
      <c r="G146" s="202" t="b">
        <v>0</v>
      </c>
      <c r="H146" s="202" t="b">
        <v>0</v>
      </c>
      <c r="I146" s="202" t="b">
        <v>0</v>
      </c>
      <c r="J146" s="202" t="b">
        <v>0</v>
      </c>
      <c r="K146" s="202" t="b">
        <v>0</v>
      </c>
      <c r="L146" s="202" t="b">
        <v>0</v>
      </c>
      <c r="M146" s="202" t="b">
        <v>0</v>
      </c>
      <c r="N146" s="202" t="b">
        <v>0</v>
      </c>
    </row>
    <row r="147">
      <c r="A147" s="201"/>
      <c r="B147" s="201"/>
      <c r="C147" s="202" t="b">
        <v>0</v>
      </c>
      <c r="D147" s="201"/>
      <c r="E147" s="201"/>
      <c r="F147" s="202" t="b">
        <v>0</v>
      </c>
      <c r="G147" s="202" t="b">
        <v>0</v>
      </c>
      <c r="H147" s="202" t="b">
        <v>0</v>
      </c>
      <c r="I147" s="202" t="b">
        <v>0</v>
      </c>
      <c r="J147" s="202" t="b">
        <v>0</v>
      </c>
      <c r="K147" s="202" t="b">
        <v>0</v>
      </c>
      <c r="L147" s="202" t="b">
        <v>0</v>
      </c>
      <c r="M147" s="202" t="b">
        <v>0</v>
      </c>
      <c r="N147" s="202" t="b">
        <v>0</v>
      </c>
    </row>
    <row r="148">
      <c r="A148" s="201"/>
      <c r="B148" s="201"/>
      <c r="C148" s="202" t="b">
        <v>0</v>
      </c>
      <c r="D148" s="201"/>
      <c r="E148" s="201"/>
      <c r="F148" s="202" t="b">
        <v>0</v>
      </c>
      <c r="G148" s="202" t="b">
        <v>0</v>
      </c>
      <c r="H148" s="202" t="b">
        <v>0</v>
      </c>
      <c r="I148" s="202" t="b">
        <v>0</v>
      </c>
      <c r="J148" s="202" t="b">
        <v>0</v>
      </c>
      <c r="K148" s="202" t="b">
        <v>0</v>
      </c>
      <c r="L148" s="202" t="b">
        <v>0</v>
      </c>
      <c r="M148" s="202" t="b">
        <v>0</v>
      </c>
      <c r="N148" s="202" t="b">
        <v>0</v>
      </c>
    </row>
    <row r="149">
      <c r="A149" s="201"/>
      <c r="B149" s="201"/>
      <c r="C149" s="202" t="b">
        <v>0</v>
      </c>
      <c r="D149" s="201"/>
      <c r="E149" s="201"/>
      <c r="F149" s="202" t="b">
        <v>0</v>
      </c>
      <c r="G149" s="202" t="b">
        <v>0</v>
      </c>
      <c r="H149" s="202" t="b">
        <v>0</v>
      </c>
      <c r="I149" s="202" t="b">
        <v>0</v>
      </c>
      <c r="J149" s="202" t="b">
        <v>0</v>
      </c>
      <c r="K149" s="202" t="b">
        <v>0</v>
      </c>
      <c r="L149" s="202" t="b">
        <v>0</v>
      </c>
      <c r="M149" s="202" t="b">
        <v>0</v>
      </c>
      <c r="N149" s="202" t="b">
        <v>0</v>
      </c>
    </row>
    <row r="150">
      <c r="A150" s="201"/>
      <c r="B150" s="201"/>
      <c r="C150" s="202" t="b">
        <v>0</v>
      </c>
      <c r="D150" s="201"/>
      <c r="E150" s="201"/>
      <c r="F150" s="202" t="b">
        <v>0</v>
      </c>
      <c r="G150" s="202" t="b">
        <v>0</v>
      </c>
      <c r="H150" s="202" t="b">
        <v>0</v>
      </c>
      <c r="I150" s="202" t="b">
        <v>0</v>
      </c>
      <c r="J150" s="202" t="b">
        <v>0</v>
      </c>
      <c r="K150" s="202" t="b">
        <v>0</v>
      </c>
      <c r="L150" s="202" t="b">
        <v>0</v>
      </c>
      <c r="M150" s="202" t="b">
        <v>0</v>
      </c>
      <c r="N150" s="202" t="b">
        <v>0</v>
      </c>
    </row>
    <row r="151">
      <c r="A151" s="201"/>
      <c r="B151" s="201"/>
      <c r="C151" s="202" t="b">
        <v>0</v>
      </c>
      <c r="D151" s="201"/>
      <c r="E151" s="201"/>
      <c r="F151" s="202" t="b">
        <v>0</v>
      </c>
      <c r="G151" s="202" t="b">
        <v>0</v>
      </c>
      <c r="H151" s="202" t="b">
        <v>0</v>
      </c>
      <c r="I151" s="202" t="b">
        <v>0</v>
      </c>
      <c r="J151" s="202" t="b">
        <v>0</v>
      </c>
      <c r="K151" s="202" t="b">
        <v>0</v>
      </c>
      <c r="L151" s="202" t="b">
        <v>0</v>
      </c>
      <c r="M151" s="202" t="b">
        <v>0</v>
      </c>
      <c r="N151" s="202" t="b">
        <v>0</v>
      </c>
    </row>
    <row r="152">
      <c r="A152" s="201"/>
      <c r="B152" s="201"/>
      <c r="C152" s="202" t="b">
        <v>0</v>
      </c>
      <c r="D152" s="201"/>
      <c r="E152" s="201"/>
      <c r="F152" s="202" t="b">
        <v>0</v>
      </c>
      <c r="G152" s="202" t="b">
        <v>0</v>
      </c>
      <c r="H152" s="202" t="b">
        <v>0</v>
      </c>
      <c r="I152" s="202" t="b">
        <v>0</v>
      </c>
      <c r="J152" s="202" t="b">
        <v>0</v>
      </c>
      <c r="K152" s="202" t="b">
        <v>0</v>
      </c>
      <c r="L152" s="202" t="b">
        <v>0</v>
      </c>
      <c r="M152" s="202" t="b">
        <v>0</v>
      </c>
      <c r="N152" s="202" t="b">
        <v>0</v>
      </c>
    </row>
    <row r="153">
      <c r="A153" s="201"/>
      <c r="B153" s="201"/>
      <c r="C153" s="202" t="b">
        <v>0</v>
      </c>
      <c r="D153" s="201"/>
      <c r="E153" s="201"/>
      <c r="F153" s="202" t="b">
        <v>0</v>
      </c>
      <c r="G153" s="202" t="b">
        <v>0</v>
      </c>
      <c r="H153" s="202" t="b">
        <v>0</v>
      </c>
      <c r="I153" s="202" t="b">
        <v>0</v>
      </c>
      <c r="J153" s="202" t="b">
        <v>0</v>
      </c>
      <c r="K153" s="202" t="b">
        <v>0</v>
      </c>
      <c r="L153" s="202" t="b">
        <v>0</v>
      </c>
      <c r="M153" s="202" t="b">
        <v>0</v>
      </c>
      <c r="N153" s="202" t="b">
        <v>0</v>
      </c>
    </row>
    <row r="154">
      <c r="A154" s="201"/>
      <c r="B154" s="201"/>
      <c r="C154" s="202" t="b">
        <v>0</v>
      </c>
      <c r="D154" s="201"/>
      <c r="E154" s="201"/>
      <c r="F154" s="202" t="b">
        <v>0</v>
      </c>
      <c r="G154" s="202" t="b">
        <v>0</v>
      </c>
      <c r="H154" s="202" t="b">
        <v>0</v>
      </c>
      <c r="I154" s="202" t="b">
        <v>0</v>
      </c>
      <c r="J154" s="202" t="b">
        <v>0</v>
      </c>
      <c r="K154" s="202" t="b">
        <v>0</v>
      </c>
      <c r="L154" s="202" t="b">
        <v>0</v>
      </c>
      <c r="M154" s="202" t="b">
        <v>0</v>
      </c>
      <c r="N154" s="202" t="b">
        <v>0</v>
      </c>
    </row>
    <row r="155">
      <c r="A155" s="201"/>
      <c r="B155" s="201"/>
      <c r="C155" s="202" t="b">
        <v>0</v>
      </c>
      <c r="D155" s="201"/>
      <c r="E155" s="201"/>
      <c r="F155" s="202" t="b">
        <v>0</v>
      </c>
      <c r="G155" s="202" t="b">
        <v>0</v>
      </c>
      <c r="H155" s="202" t="b">
        <v>0</v>
      </c>
      <c r="I155" s="202" t="b">
        <v>0</v>
      </c>
      <c r="J155" s="202" t="b">
        <v>0</v>
      </c>
      <c r="K155" s="202" t="b">
        <v>0</v>
      </c>
      <c r="L155" s="202" t="b">
        <v>0</v>
      </c>
      <c r="M155" s="202" t="b">
        <v>0</v>
      </c>
      <c r="N155" s="202" t="b">
        <v>0</v>
      </c>
    </row>
    <row r="156">
      <c r="A156" s="201"/>
      <c r="B156" s="201"/>
      <c r="C156" s="202" t="b">
        <v>0</v>
      </c>
      <c r="D156" s="201"/>
      <c r="E156" s="201"/>
      <c r="F156" s="202" t="b">
        <v>0</v>
      </c>
      <c r="G156" s="202" t="b">
        <v>0</v>
      </c>
      <c r="H156" s="202" t="b">
        <v>0</v>
      </c>
      <c r="I156" s="202" t="b">
        <v>0</v>
      </c>
      <c r="J156" s="202" t="b">
        <v>0</v>
      </c>
      <c r="K156" s="202" t="b">
        <v>0</v>
      </c>
      <c r="L156" s="202" t="b">
        <v>0</v>
      </c>
      <c r="M156" s="202" t="b">
        <v>0</v>
      </c>
      <c r="N156" s="202" t="b">
        <v>0</v>
      </c>
    </row>
    <row r="157">
      <c r="A157" s="201"/>
      <c r="B157" s="201"/>
      <c r="C157" s="202" t="b">
        <v>0</v>
      </c>
      <c r="D157" s="201"/>
      <c r="E157" s="201"/>
      <c r="F157" s="202" t="b">
        <v>0</v>
      </c>
      <c r="G157" s="202" t="b">
        <v>0</v>
      </c>
      <c r="H157" s="202" t="b">
        <v>0</v>
      </c>
      <c r="I157" s="202" t="b">
        <v>0</v>
      </c>
      <c r="J157" s="202" t="b">
        <v>0</v>
      </c>
      <c r="K157" s="202" t="b">
        <v>0</v>
      </c>
      <c r="L157" s="202" t="b">
        <v>0</v>
      </c>
      <c r="M157" s="202" t="b">
        <v>0</v>
      </c>
      <c r="N157" s="202" t="b">
        <v>0</v>
      </c>
    </row>
    <row r="158">
      <c r="A158" s="201"/>
      <c r="B158" s="201"/>
      <c r="C158" s="202" t="b">
        <v>0</v>
      </c>
      <c r="D158" s="201"/>
      <c r="E158" s="201"/>
      <c r="F158" s="202" t="b">
        <v>0</v>
      </c>
      <c r="G158" s="202" t="b">
        <v>0</v>
      </c>
      <c r="H158" s="202" t="b">
        <v>0</v>
      </c>
      <c r="I158" s="202" t="b">
        <v>0</v>
      </c>
      <c r="J158" s="202" t="b">
        <v>0</v>
      </c>
      <c r="K158" s="202" t="b">
        <v>0</v>
      </c>
      <c r="L158" s="202" t="b">
        <v>0</v>
      </c>
      <c r="M158" s="202" t="b">
        <v>0</v>
      </c>
      <c r="N158" s="202" t="b">
        <v>0</v>
      </c>
    </row>
    <row r="159">
      <c r="A159" s="201"/>
      <c r="B159" s="201"/>
      <c r="C159" s="202" t="b">
        <v>0</v>
      </c>
      <c r="D159" s="201"/>
      <c r="E159" s="201"/>
      <c r="F159" s="202" t="b">
        <v>0</v>
      </c>
      <c r="G159" s="202" t="b">
        <v>0</v>
      </c>
      <c r="H159" s="202" t="b">
        <v>0</v>
      </c>
      <c r="I159" s="202" t="b">
        <v>0</v>
      </c>
      <c r="J159" s="202" t="b">
        <v>0</v>
      </c>
      <c r="K159" s="202" t="b">
        <v>0</v>
      </c>
      <c r="L159" s="202" t="b">
        <v>0</v>
      </c>
      <c r="M159" s="202" t="b">
        <v>0</v>
      </c>
      <c r="N159" s="202" t="b">
        <v>0</v>
      </c>
    </row>
    <row r="160">
      <c r="A160" s="201"/>
      <c r="B160" s="201"/>
      <c r="C160" s="202" t="b">
        <v>0</v>
      </c>
      <c r="D160" s="201"/>
      <c r="E160" s="201"/>
      <c r="F160" s="202" t="b">
        <v>0</v>
      </c>
      <c r="G160" s="202" t="b">
        <v>0</v>
      </c>
      <c r="H160" s="202" t="b">
        <v>0</v>
      </c>
      <c r="I160" s="202" t="b">
        <v>0</v>
      </c>
      <c r="J160" s="202" t="b">
        <v>0</v>
      </c>
      <c r="K160" s="202" t="b">
        <v>0</v>
      </c>
      <c r="L160" s="202" t="b">
        <v>0</v>
      </c>
      <c r="M160" s="202" t="b">
        <v>0</v>
      </c>
      <c r="N160" s="202" t="b">
        <v>0</v>
      </c>
    </row>
    <row r="161">
      <c r="A161" s="201"/>
      <c r="B161" s="201"/>
      <c r="C161" s="202" t="b">
        <v>0</v>
      </c>
      <c r="D161" s="201"/>
      <c r="E161" s="201"/>
      <c r="F161" s="202" t="b">
        <v>0</v>
      </c>
      <c r="G161" s="202" t="b">
        <v>0</v>
      </c>
      <c r="H161" s="202" t="b">
        <v>0</v>
      </c>
      <c r="I161" s="202" t="b">
        <v>0</v>
      </c>
      <c r="J161" s="202" t="b">
        <v>0</v>
      </c>
      <c r="K161" s="202" t="b">
        <v>0</v>
      </c>
      <c r="L161" s="202" t="b">
        <v>0</v>
      </c>
      <c r="M161" s="202" t="b">
        <v>0</v>
      </c>
      <c r="N161" s="202" t="b">
        <v>0</v>
      </c>
    </row>
    <row r="162">
      <c r="A162" s="201"/>
      <c r="B162" s="201"/>
      <c r="C162" s="202" t="b">
        <v>0</v>
      </c>
      <c r="D162" s="201"/>
      <c r="E162" s="201"/>
      <c r="F162" s="202" t="b">
        <v>0</v>
      </c>
      <c r="G162" s="202" t="b">
        <v>0</v>
      </c>
      <c r="H162" s="202" t="b">
        <v>0</v>
      </c>
      <c r="I162" s="202" t="b">
        <v>0</v>
      </c>
      <c r="J162" s="202" t="b">
        <v>0</v>
      </c>
      <c r="K162" s="202" t="b">
        <v>0</v>
      </c>
      <c r="L162" s="202" t="b">
        <v>0</v>
      </c>
      <c r="M162" s="202" t="b">
        <v>0</v>
      </c>
      <c r="N162" s="202" t="b">
        <v>0</v>
      </c>
    </row>
    <row r="163">
      <c r="A163" s="201"/>
      <c r="B163" s="201"/>
      <c r="C163" s="202" t="b">
        <v>0</v>
      </c>
      <c r="D163" s="201"/>
      <c r="E163" s="201"/>
      <c r="F163" s="202" t="b">
        <v>0</v>
      </c>
      <c r="G163" s="202" t="b">
        <v>0</v>
      </c>
      <c r="H163" s="202" t="b">
        <v>0</v>
      </c>
      <c r="I163" s="202" t="b">
        <v>0</v>
      </c>
      <c r="J163" s="202" t="b">
        <v>0</v>
      </c>
      <c r="K163" s="202" t="b">
        <v>0</v>
      </c>
      <c r="L163" s="202" t="b">
        <v>0</v>
      </c>
      <c r="M163" s="202" t="b">
        <v>0</v>
      </c>
      <c r="N163" s="202" t="b">
        <v>0</v>
      </c>
    </row>
    <row r="164">
      <c r="A164" s="201"/>
      <c r="B164" s="201"/>
      <c r="C164" s="202" t="b">
        <v>0</v>
      </c>
      <c r="D164" s="201"/>
      <c r="E164" s="201"/>
      <c r="F164" s="202" t="b">
        <v>0</v>
      </c>
      <c r="G164" s="202" t="b">
        <v>0</v>
      </c>
      <c r="H164" s="202" t="b">
        <v>0</v>
      </c>
      <c r="I164" s="202" t="b">
        <v>0</v>
      </c>
      <c r="J164" s="202" t="b">
        <v>0</v>
      </c>
      <c r="K164" s="202" t="b">
        <v>0</v>
      </c>
      <c r="L164" s="202" t="b">
        <v>0</v>
      </c>
      <c r="M164" s="202" t="b">
        <v>0</v>
      </c>
      <c r="N164" s="202" t="b">
        <v>0</v>
      </c>
    </row>
    <row r="165">
      <c r="A165" s="201"/>
      <c r="B165" s="201"/>
      <c r="C165" s="202" t="b">
        <v>0</v>
      </c>
      <c r="D165" s="201"/>
      <c r="E165" s="201"/>
      <c r="F165" s="202" t="b">
        <v>0</v>
      </c>
      <c r="G165" s="202" t="b">
        <v>0</v>
      </c>
      <c r="H165" s="202" t="b">
        <v>0</v>
      </c>
      <c r="I165" s="202" t="b">
        <v>0</v>
      </c>
      <c r="J165" s="202" t="b">
        <v>0</v>
      </c>
      <c r="K165" s="202" t="b">
        <v>0</v>
      </c>
      <c r="L165" s="202" t="b">
        <v>0</v>
      </c>
      <c r="M165" s="202" t="b">
        <v>0</v>
      </c>
      <c r="N165" s="202" t="b">
        <v>0</v>
      </c>
    </row>
    <row r="166">
      <c r="A166" s="201"/>
      <c r="B166" s="201"/>
      <c r="C166" s="202" t="b">
        <v>0</v>
      </c>
      <c r="D166" s="201"/>
      <c r="E166" s="201"/>
      <c r="F166" s="202" t="b">
        <v>0</v>
      </c>
      <c r="G166" s="202" t="b">
        <v>0</v>
      </c>
      <c r="H166" s="202" t="b">
        <v>0</v>
      </c>
      <c r="I166" s="202" t="b">
        <v>0</v>
      </c>
      <c r="J166" s="202" t="b">
        <v>0</v>
      </c>
      <c r="K166" s="202" t="b">
        <v>0</v>
      </c>
      <c r="L166" s="202" t="b">
        <v>0</v>
      </c>
      <c r="M166" s="202" t="b">
        <v>0</v>
      </c>
      <c r="N166" s="202" t="b">
        <v>0</v>
      </c>
    </row>
    <row r="167">
      <c r="A167" s="201"/>
      <c r="B167" s="201"/>
      <c r="C167" s="202" t="b">
        <v>0</v>
      </c>
      <c r="D167" s="201"/>
      <c r="E167" s="201"/>
      <c r="F167" s="202" t="b">
        <v>0</v>
      </c>
      <c r="G167" s="202" t="b">
        <v>0</v>
      </c>
      <c r="H167" s="202" t="b">
        <v>0</v>
      </c>
      <c r="I167" s="202" t="b">
        <v>0</v>
      </c>
      <c r="J167" s="202" t="b">
        <v>0</v>
      </c>
      <c r="K167" s="202" t="b">
        <v>0</v>
      </c>
      <c r="L167" s="202" t="b">
        <v>0</v>
      </c>
      <c r="M167" s="202" t="b">
        <v>0</v>
      </c>
      <c r="N167" s="202" t="b">
        <v>0</v>
      </c>
    </row>
    <row r="168">
      <c r="A168" s="201"/>
      <c r="B168" s="201"/>
      <c r="C168" s="202" t="b">
        <v>0</v>
      </c>
      <c r="D168" s="201"/>
      <c r="E168" s="201"/>
      <c r="F168" s="202" t="b">
        <v>0</v>
      </c>
      <c r="G168" s="202" t="b">
        <v>0</v>
      </c>
      <c r="H168" s="202" t="b">
        <v>0</v>
      </c>
      <c r="I168" s="202" t="b">
        <v>0</v>
      </c>
      <c r="J168" s="202" t="b">
        <v>0</v>
      </c>
      <c r="K168" s="202" t="b">
        <v>0</v>
      </c>
      <c r="L168" s="202" t="b">
        <v>0</v>
      </c>
      <c r="M168" s="202" t="b">
        <v>0</v>
      </c>
      <c r="N168" s="202" t="b">
        <v>0</v>
      </c>
    </row>
    <row r="169">
      <c r="A169" s="201"/>
      <c r="B169" s="201"/>
      <c r="C169" s="202" t="b">
        <v>0</v>
      </c>
      <c r="D169" s="201"/>
      <c r="E169" s="201"/>
      <c r="F169" s="202" t="b">
        <v>0</v>
      </c>
      <c r="G169" s="202" t="b">
        <v>0</v>
      </c>
      <c r="H169" s="202" t="b">
        <v>0</v>
      </c>
      <c r="I169" s="202" t="b">
        <v>0</v>
      </c>
      <c r="J169" s="202" t="b">
        <v>0</v>
      </c>
      <c r="K169" s="202" t="b">
        <v>0</v>
      </c>
      <c r="L169" s="202" t="b">
        <v>0</v>
      </c>
      <c r="M169" s="202" t="b">
        <v>0</v>
      </c>
      <c r="N169" s="202" t="b">
        <v>0</v>
      </c>
    </row>
    <row r="170">
      <c r="A170" s="201"/>
      <c r="B170" s="201"/>
      <c r="C170" s="202" t="b">
        <v>0</v>
      </c>
      <c r="D170" s="201"/>
      <c r="E170" s="201"/>
      <c r="F170" s="202" t="b">
        <v>0</v>
      </c>
      <c r="G170" s="202" t="b">
        <v>0</v>
      </c>
      <c r="H170" s="202" t="b">
        <v>0</v>
      </c>
      <c r="I170" s="202" t="b">
        <v>0</v>
      </c>
      <c r="J170" s="202" t="b">
        <v>0</v>
      </c>
      <c r="K170" s="202" t="b">
        <v>0</v>
      </c>
      <c r="L170" s="202" t="b">
        <v>0</v>
      </c>
      <c r="M170" s="202" t="b">
        <v>0</v>
      </c>
      <c r="N170" s="202" t="b">
        <v>0</v>
      </c>
    </row>
    <row r="171">
      <c r="A171" s="201"/>
      <c r="B171" s="201"/>
      <c r="C171" s="202" t="b">
        <v>0</v>
      </c>
      <c r="D171" s="201"/>
      <c r="E171" s="201"/>
      <c r="F171" s="202" t="b">
        <v>0</v>
      </c>
      <c r="G171" s="202" t="b">
        <v>0</v>
      </c>
      <c r="H171" s="202" t="b">
        <v>0</v>
      </c>
      <c r="I171" s="202" t="b">
        <v>0</v>
      </c>
      <c r="J171" s="202" t="b">
        <v>0</v>
      </c>
      <c r="K171" s="202" t="b">
        <v>0</v>
      </c>
      <c r="L171" s="202" t="b">
        <v>0</v>
      </c>
      <c r="M171" s="202" t="b">
        <v>0</v>
      </c>
      <c r="N171" s="202" t="b">
        <v>0</v>
      </c>
    </row>
    <row r="172">
      <c r="A172" s="201"/>
      <c r="B172" s="201"/>
      <c r="C172" s="202" t="b">
        <v>0</v>
      </c>
      <c r="D172" s="201"/>
      <c r="E172" s="201"/>
      <c r="F172" s="202" t="b">
        <v>0</v>
      </c>
      <c r="G172" s="202" t="b">
        <v>0</v>
      </c>
      <c r="H172" s="202" t="b">
        <v>0</v>
      </c>
      <c r="I172" s="202" t="b">
        <v>0</v>
      </c>
      <c r="J172" s="202" t="b">
        <v>0</v>
      </c>
      <c r="K172" s="202" t="b">
        <v>0</v>
      </c>
      <c r="L172" s="202" t="b">
        <v>0</v>
      </c>
      <c r="M172" s="202" t="b">
        <v>0</v>
      </c>
      <c r="N172" s="202" t="b">
        <v>0</v>
      </c>
    </row>
    <row r="173">
      <c r="A173" s="201"/>
      <c r="B173" s="201"/>
      <c r="C173" s="202" t="b">
        <v>0</v>
      </c>
      <c r="D173" s="201"/>
      <c r="E173" s="201"/>
      <c r="F173" s="202" t="b">
        <v>0</v>
      </c>
      <c r="G173" s="202" t="b">
        <v>0</v>
      </c>
      <c r="H173" s="202" t="b">
        <v>0</v>
      </c>
      <c r="I173" s="202" t="b">
        <v>0</v>
      </c>
      <c r="J173" s="202" t="b">
        <v>0</v>
      </c>
      <c r="K173" s="202" t="b">
        <v>0</v>
      </c>
      <c r="L173" s="202" t="b">
        <v>0</v>
      </c>
      <c r="M173" s="202" t="b">
        <v>0</v>
      </c>
      <c r="N173" s="202" t="b">
        <v>0</v>
      </c>
    </row>
    <row r="174">
      <c r="A174" s="201"/>
      <c r="B174" s="201"/>
      <c r="C174" s="202" t="b">
        <v>0</v>
      </c>
      <c r="D174" s="201"/>
      <c r="E174" s="201"/>
      <c r="F174" s="202" t="b">
        <v>0</v>
      </c>
      <c r="G174" s="202" t="b">
        <v>0</v>
      </c>
      <c r="H174" s="202" t="b">
        <v>0</v>
      </c>
      <c r="I174" s="202" t="b">
        <v>0</v>
      </c>
      <c r="J174" s="202" t="b">
        <v>0</v>
      </c>
      <c r="K174" s="202" t="b">
        <v>0</v>
      </c>
      <c r="L174" s="202" t="b">
        <v>0</v>
      </c>
      <c r="M174" s="202" t="b">
        <v>0</v>
      </c>
      <c r="N174" s="202" t="b">
        <v>0</v>
      </c>
    </row>
    <row r="175">
      <c r="A175" s="201"/>
      <c r="B175" s="201"/>
      <c r="C175" s="202" t="b">
        <v>0</v>
      </c>
      <c r="D175" s="201"/>
      <c r="E175" s="201"/>
      <c r="F175" s="202" t="b">
        <v>0</v>
      </c>
      <c r="G175" s="202" t="b">
        <v>0</v>
      </c>
      <c r="H175" s="202" t="b">
        <v>0</v>
      </c>
      <c r="I175" s="202" t="b">
        <v>0</v>
      </c>
      <c r="J175" s="202" t="b">
        <v>0</v>
      </c>
      <c r="K175" s="202" t="b">
        <v>0</v>
      </c>
      <c r="L175" s="202" t="b">
        <v>0</v>
      </c>
      <c r="M175" s="202" t="b">
        <v>0</v>
      </c>
      <c r="N175" s="202" t="b">
        <v>0</v>
      </c>
    </row>
    <row r="176">
      <c r="A176" s="201"/>
      <c r="B176" s="201"/>
      <c r="C176" s="202" t="b">
        <v>0</v>
      </c>
      <c r="D176" s="201"/>
      <c r="E176" s="201"/>
      <c r="F176" s="202" t="b">
        <v>0</v>
      </c>
      <c r="G176" s="202" t="b">
        <v>0</v>
      </c>
      <c r="H176" s="202" t="b">
        <v>0</v>
      </c>
      <c r="I176" s="202" t="b">
        <v>0</v>
      </c>
      <c r="J176" s="202" t="b">
        <v>0</v>
      </c>
      <c r="K176" s="202" t="b">
        <v>0</v>
      </c>
      <c r="L176" s="202" t="b">
        <v>0</v>
      </c>
      <c r="M176" s="202" t="b">
        <v>0</v>
      </c>
      <c r="N176" s="202" t="b">
        <v>0</v>
      </c>
    </row>
    <row r="177">
      <c r="A177" s="201"/>
      <c r="B177" s="201"/>
      <c r="C177" s="202" t="b">
        <v>0</v>
      </c>
      <c r="D177" s="201"/>
      <c r="E177" s="201"/>
      <c r="F177" s="202" t="b">
        <v>0</v>
      </c>
      <c r="G177" s="202" t="b">
        <v>0</v>
      </c>
      <c r="H177" s="202" t="b">
        <v>0</v>
      </c>
      <c r="I177" s="202" t="b">
        <v>0</v>
      </c>
      <c r="J177" s="202" t="b">
        <v>0</v>
      </c>
      <c r="K177" s="202" t="b">
        <v>0</v>
      </c>
      <c r="L177" s="202" t="b">
        <v>0</v>
      </c>
      <c r="M177" s="202" t="b">
        <v>0</v>
      </c>
      <c r="N177" s="202" t="b">
        <v>0</v>
      </c>
    </row>
    <row r="178">
      <c r="A178" s="201"/>
      <c r="B178" s="201"/>
      <c r="C178" s="202" t="b">
        <v>0</v>
      </c>
      <c r="D178" s="201"/>
      <c r="E178" s="201"/>
      <c r="F178" s="202" t="b">
        <v>0</v>
      </c>
      <c r="G178" s="202" t="b">
        <v>0</v>
      </c>
      <c r="H178" s="202" t="b">
        <v>0</v>
      </c>
      <c r="I178" s="202" t="b">
        <v>0</v>
      </c>
      <c r="J178" s="202" t="b">
        <v>0</v>
      </c>
      <c r="K178" s="202" t="b">
        <v>0</v>
      </c>
      <c r="L178" s="202" t="b">
        <v>0</v>
      </c>
      <c r="M178" s="202" t="b">
        <v>0</v>
      </c>
      <c r="N178" s="202" t="b">
        <v>0</v>
      </c>
    </row>
    <row r="179">
      <c r="A179" s="201"/>
      <c r="B179" s="201"/>
      <c r="C179" s="202" t="b">
        <v>0</v>
      </c>
      <c r="D179" s="201"/>
      <c r="E179" s="201"/>
      <c r="F179" s="202" t="b">
        <v>0</v>
      </c>
      <c r="G179" s="202" t="b">
        <v>0</v>
      </c>
      <c r="H179" s="202" t="b">
        <v>0</v>
      </c>
      <c r="I179" s="202" t="b">
        <v>0</v>
      </c>
      <c r="J179" s="202" t="b">
        <v>0</v>
      </c>
      <c r="K179" s="202" t="b">
        <v>0</v>
      </c>
      <c r="L179" s="202" t="b">
        <v>0</v>
      </c>
      <c r="M179" s="202" t="b">
        <v>0</v>
      </c>
      <c r="N179" s="202" t="b">
        <v>0</v>
      </c>
    </row>
    <row r="180">
      <c r="A180" s="201"/>
      <c r="B180" s="201"/>
      <c r="C180" s="202" t="b">
        <v>0</v>
      </c>
      <c r="D180" s="201"/>
      <c r="E180" s="201"/>
      <c r="F180" s="202" t="b">
        <v>0</v>
      </c>
      <c r="G180" s="202" t="b">
        <v>0</v>
      </c>
      <c r="H180" s="202" t="b">
        <v>0</v>
      </c>
      <c r="I180" s="202" t="b">
        <v>0</v>
      </c>
      <c r="J180" s="202" t="b">
        <v>0</v>
      </c>
      <c r="K180" s="202" t="b">
        <v>0</v>
      </c>
      <c r="L180" s="202" t="b">
        <v>0</v>
      </c>
      <c r="M180" s="202" t="b">
        <v>0</v>
      </c>
      <c r="N180" s="202" t="b">
        <v>0</v>
      </c>
    </row>
    <row r="181">
      <c r="A181" s="201"/>
      <c r="B181" s="201"/>
      <c r="C181" s="202" t="b">
        <v>0</v>
      </c>
      <c r="D181" s="201"/>
      <c r="E181" s="201"/>
      <c r="F181" s="202" t="b">
        <v>0</v>
      </c>
      <c r="G181" s="202" t="b">
        <v>0</v>
      </c>
      <c r="H181" s="202" t="b">
        <v>0</v>
      </c>
      <c r="I181" s="202" t="b">
        <v>0</v>
      </c>
      <c r="J181" s="202" t="b">
        <v>0</v>
      </c>
      <c r="K181" s="202" t="b">
        <v>0</v>
      </c>
      <c r="L181" s="202" t="b">
        <v>0</v>
      </c>
      <c r="M181" s="202" t="b">
        <v>0</v>
      </c>
      <c r="N181" s="202" t="b">
        <v>0</v>
      </c>
    </row>
    <row r="182">
      <c r="A182" s="201"/>
      <c r="B182" s="201"/>
      <c r="C182" s="202" t="b">
        <v>0</v>
      </c>
      <c r="D182" s="201"/>
      <c r="E182" s="201"/>
      <c r="F182" s="202" t="b">
        <v>0</v>
      </c>
      <c r="G182" s="202" t="b">
        <v>0</v>
      </c>
      <c r="H182" s="202" t="b">
        <v>0</v>
      </c>
      <c r="I182" s="202" t="b">
        <v>0</v>
      </c>
      <c r="J182" s="202" t="b">
        <v>0</v>
      </c>
      <c r="K182" s="202" t="b">
        <v>0</v>
      </c>
      <c r="L182" s="202" t="b">
        <v>0</v>
      </c>
      <c r="M182" s="202" t="b">
        <v>0</v>
      </c>
      <c r="N182" s="202" t="b">
        <v>0</v>
      </c>
    </row>
    <row r="183">
      <c r="A183" s="201"/>
      <c r="B183" s="201"/>
      <c r="C183" s="202" t="b">
        <v>0</v>
      </c>
      <c r="D183" s="201"/>
      <c r="E183" s="201"/>
      <c r="F183" s="202" t="b">
        <v>0</v>
      </c>
      <c r="G183" s="202" t="b">
        <v>0</v>
      </c>
      <c r="H183" s="202" t="b">
        <v>0</v>
      </c>
      <c r="I183" s="202" t="b">
        <v>0</v>
      </c>
      <c r="J183" s="202" t="b">
        <v>0</v>
      </c>
      <c r="K183" s="202" t="b">
        <v>0</v>
      </c>
      <c r="L183" s="202" t="b">
        <v>0</v>
      </c>
      <c r="M183" s="202" t="b">
        <v>0</v>
      </c>
      <c r="N183" s="202" t="b">
        <v>0</v>
      </c>
    </row>
    <row r="184">
      <c r="A184" s="201"/>
      <c r="B184" s="201"/>
      <c r="C184" s="202" t="b">
        <v>0</v>
      </c>
      <c r="D184" s="201"/>
      <c r="E184" s="201"/>
      <c r="F184" s="202" t="b">
        <v>0</v>
      </c>
      <c r="G184" s="202" t="b">
        <v>0</v>
      </c>
      <c r="H184" s="202" t="b">
        <v>0</v>
      </c>
      <c r="I184" s="202" t="b">
        <v>0</v>
      </c>
      <c r="J184" s="202" t="b">
        <v>0</v>
      </c>
      <c r="K184" s="202" t="b">
        <v>0</v>
      </c>
      <c r="L184" s="202" t="b">
        <v>0</v>
      </c>
      <c r="M184" s="202" t="b">
        <v>0</v>
      </c>
      <c r="N184" s="202" t="b">
        <v>0</v>
      </c>
    </row>
    <row r="185">
      <c r="A185" s="201"/>
      <c r="B185" s="201"/>
      <c r="C185" s="202" t="b">
        <v>0</v>
      </c>
      <c r="D185" s="201"/>
      <c r="E185" s="201"/>
      <c r="F185" s="202" t="b">
        <v>0</v>
      </c>
      <c r="G185" s="202" t="b">
        <v>0</v>
      </c>
      <c r="H185" s="202" t="b">
        <v>0</v>
      </c>
      <c r="I185" s="202" t="b">
        <v>0</v>
      </c>
      <c r="J185" s="202" t="b">
        <v>0</v>
      </c>
      <c r="K185" s="202" t="b">
        <v>0</v>
      </c>
      <c r="L185" s="202" t="b">
        <v>0</v>
      </c>
      <c r="M185" s="202" t="b">
        <v>0</v>
      </c>
      <c r="N185" s="202" t="b">
        <v>0</v>
      </c>
    </row>
    <row r="186">
      <c r="A186" s="201"/>
      <c r="B186" s="201"/>
      <c r="C186" s="202" t="b">
        <v>0</v>
      </c>
      <c r="D186" s="201"/>
      <c r="E186" s="201"/>
      <c r="F186" s="202" t="b">
        <v>0</v>
      </c>
      <c r="G186" s="202" t="b">
        <v>0</v>
      </c>
      <c r="H186" s="202" t="b">
        <v>0</v>
      </c>
      <c r="I186" s="202" t="b">
        <v>0</v>
      </c>
      <c r="J186" s="202" t="b">
        <v>0</v>
      </c>
      <c r="K186" s="202" t="b">
        <v>0</v>
      </c>
      <c r="L186" s="202" t="b">
        <v>0</v>
      </c>
      <c r="M186" s="202" t="b">
        <v>0</v>
      </c>
      <c r="N186" s="202" t="b">
        <v>0</v>
      </c>
    </row>
    <row r="187">
      <c r="A187" s="201"/>
      <c r="B187" s="201"/>
      <c r="C187" s="202" t="b">
        <v>0</v>
      </c>
      <c r="D187" s="201"/>
      <c r="E187" s="201"/>
      <c r="F187" s="202" t="b">
        <v>0</v>
      </c>
      <c r="G187" s="202" t="b">
        <v>0</v>
      </c>
      <c r="H187" s="202" t="b">
        <v>0</v>
      </c>
      <c r="I187" s="202" t="b">
        <v>0</v>
      </c>
      <c r="J187" s="202" t="b">
        <v>0</v>
      </c>
      <c r="K187" s="202" t="b">
        <v>0</v>
      </c>
      <c r="L187" s="202" t="b">
        <v>0</v>
      </c>
      <c r="M187" s="202" t="b">
        <v>0</v>
      </c>
      <c r="N187" s="202" t="b">
        <v>0</v>
      </c>
    </row>
    <row r="188">
      <c r="A188" s="201"/>
      <c r="B188" s="201"/>
      <c r="C188" s="202" t="b">
        <v>0</v>
      </c>
      <c r="D188" s="201"/>
      <c r="E188" s="201"/>
      <c r="F188" s="202" t="b">
        <v>0</v>
      </c>
      <c r="G188" s="202" t="b">
        <v>0</v>
      </c>
      <c r="H188" s="202" t="b">
        <v>0</v>
      </c>
      <c r="I188" s="202" t="b">
        <v>0</v>
      </c>
      <c r="J188" s="202" t="b">
        <v>0</v>
      </c>
      <c r="K188" s="202" t="b">
        <v>0</v>
      </c>
      <c r="L188" s="202" t="b">
        <v>0</v>
      </c>
      <c r="M188" s="202" t="b">
        <v>0</v>
      </c>
      <c r="N188" s="202" t="b">
        <v>0</v>
      </c>
    </row>
    <row r="189">
      <c r="A189" s="201"/>
      <c r="B189" s="201"/>
      <c r="C189" s="202" t="b">
        <v>0</v>
      </c>
      <c r="D189" s="201"/>
      <c r="E189" s="201"/>
      <c r="F189" s="202" t="b">
        <v>0</v>
      </c>
      <c r="G189" s="202" t="b">
        <v>0</v>
      </c>
      <c r="H189" s="202" t="b">
        <v>0</v>
      </c>
      <c r="I189" s="202" t="b">
        <v>0</v>
      </c>
      <c r="J189" s="202" t="b">
        <v>0</v>
      </c>
      <c r="K189" s="202" t="b">
        <v>0</v>
      </c>
      <c r="L189" s="202" t="b">
        <v>0</v>
      </c>
      <c r="M189" s="202" t="b">
        <v>0</v>
      </c>
      <c r="N189" s="202" t="b">
        <v>0</v>
      </c>
    </row>
    <row r="190">
      <c r="A190" s="201"/>
      <c r="B190" s="201"/>
      <c r="C190" s="202" t="b">
        <v>0</v>
      </c>
      <c r="D190" s="201"/>
      <c r="E190" s="201"/>
      <c r="F190" s="202" t="b">
        <v>0</v>
      </c>
      <c r="G190" s="202" t="b">
        <v>0</v>
      </c>
      <c r="H190" s="202" t="b">
        <v>0</v>
      </c>
      <c r="I190" s="202" t="b">
        <v>0</v>
      </c>
      <c r="J190" s="202" t="b">
        <v>0</v>
      </c>
      <c r="K190" s="202" t="b">
        <v>0</v>
      </c>
      <c r="L190" s="202" t="b">
        <v>0</v>
      </c>
      <c r="M190" s="202" t="b">
        <v>0</v>
      </c>
      <c r="N190" s="202" t="b">
        <v>0</v>
      </c>
    </row>
    <row r="191">
      <c r="A191" s="201"/>
      <c r="B191" s="201"/>
      <c r="C191" s="202" t="b">
        <v>0</v>
      </c>
      <c r="D191" s="201"/>
      <c r="E191" s="201"/>
      <c r="F191" s="202" t="b">
        <v>0</v>
      </c>
      <c r="G191" s="202" t="b">
        <v>0</v>
      </c>
      <c r="H191" s="202" t="b">
        <v>0</v>
      </c>
      <c r="I191" s="202" t="b">
        <v>0</v>
      </c>
      <c r="J191" s="202" t="b">
        <v>0</v>
      </c>
      <c r="K191" s="202" t="b">
        <v>0</v>
      </c>
      <c r="L191" s="202" t="b">
        <v>0</v>
      </c>
      <c r="M191" s="202" t="b">
        <v>0</v>
      </c>
      <c r="N191" s="202" t="b">
        <v>0</v>
      </c>
    </row>
    <row r="192">
      <c r="A192" s="201"/>
      <c r="B192" s="201"/>
      <c r="C192" s="202" t="b">
        <v>0</v>
      </c>
      <c r="D192" s="201"/>
      <c r="E192" s="201"/>
      <c r="F192" s="202" t="b">
        <v>0</v>
      </c>
      <c r="G192" s="202" t="b">
        <v>0</v>
      </c>
      <c r="H192" s="202" t="b">
        <v>0</v>
      </c>
      <c r="I192" s="202" t="b">
        <v>0</v>
      </c>
      <c r="J192" s="202" t="b">
        <v>0</v>
      </c>
      <c r="K192" s="202" t="b">
        <v>0</v>
      </c>
      <c r="L192" s="202" t="b">
        <v>0</v>
      </c>
      <c r="M192" s="202" t="b">
        <v>0</v>
      </c>
      <c r="N192" s="202" t="b">
        <v>0</v>
      </c>
    </row>
    <row r="193">
      <c r="A193" s="201"/>
      <c r="B193" s="201"/>
      <c r="C193" s="202" t="b">
        <v>0</v>
      </c>
      <c r="D193" s="201"/>
      <c r="E193" s="201"/>
      <c r="F193" s="202" t="b">
        <v>0</v>
      </c>
      <c r="G193" s="202" t="b">
        <v>0</v>
      </c>
      <c r="H193" s="202" t="b">
        <v>0</v>
      </c>
      <c r="I193" s="202" t="b">
        <v>0</v>
      </c>
      <c r="J193" s="202" t="b">
        <v>0</v>
      </c>
      <c r="K193" s="202" t="b">
        <v>0</v>
      </c>
      <c r="L193" s="202" t="b">
        <v>0</v>
      </c>
      <c r="M193" s="202" t="b">
        <v>0</v>
      </c>
      <c r="N193" s="202" t="b">
        <v>0</v>
      </c>
    </row>
    <row r="194">
      <c r="A194" s="201"/>
      <c r="B194" s="201"/>
      <c r="C194" s="202" t="b">
        <v>0</v>
      </c>
      <c r="D194" s="201"/>
      <c r="E194" s="201"/>
      <c r="F194" s="202" t="b">
        <v>0</v>
      </c>
      <c r="G194" s="202" t="b">
        <v>0</v>
      </c>
      <c r="H194" s="202" t="b">
        <v>0</v>
      </c>
      <c r="I194" s="202" t="b">
        <v>0</v>
      </c>
      <c r="J194" s="202" t="b">
        <v>0</v>
      </c>
      <c r="K194" s="202" t="b">
        <v>0</v>
      </c>
      <c r="L194" s="202" t="b">
        <v>0</v>
      </c>
      <c r="M194" s="202" t="b">
        <v>0</v>
      </c>
      <c r="N194" s="202" t="b">
        <v>0</v>
      </c>
    </row>
    <row r="195">
      <c r="A195" s="201"/>
      <c r="B195" s="201"/>
      <c r="C195" s="202" t="b">
        <v>0</v>
      </c>
      <c r="D195" s="201"/>
      <c r="E195" s="201"/>
      <c r="F195" s="202" t="b">
        <v>0</v>
      </c>
      <c r="G195" s="202" t="b">
        <v>0</v>
      </c>
      <c r="H195" s="202" t="b">
        <v>0</v>
      </c>
      <c r="I195" s="202" t="b">
        <v>0</v>
      </c>
      <c r="J195" s="202" t="b">
        <v>0</v>
      </c>
      <c r="K195" s="202" t="b">
        <v>0</v>
      </c>
      <c r="L195" s="202" t="b">
        <v>0</v>
      </c>
      <c r="M195" s="202" t="b">
        <v>0</v>
      </c>
      <c r="N195" s="202" t="b">
        <v>0</v>
      </c>
    </row>
    <row r="196">
      <c r="A196" s="201"/>
      <c r="B196" s="201"/>
      <c r="C196" s="202" t="b">
        <v>0</v>
      </c>
      <c r="D196" s="201"/>
      <c r="E196" s="201"/>
      <c r="F196" s="202" t="b">
        <v>0</v>
      </c>
      <c r="G196" s="202" t="b">
        <v>0</v>
      </c>
      <c r="H196" s="202" t="b">
        <v>0</v>
      </c>
      <c r="I196" s="202" t="b">
        <v>0</v>
      </c>
      <c r="J196" s="202" t="b">
        <v>0</v>
      </c>
      <c r="K196" s="202" t="b">
        <v>0</v>
      </c>
      <c r="L196" s="202" t="b">
        <v>0</v>
      </c>
      <c r="M196" s="202" t="b">
        <v>0</v>
      </c>
      <c r="N196" s="202" t="b">
        <v>0</v>
      </c>
    </row>
    <row r="197">
      <c r="A197" s="201"/>
      <c r="B197" s="201"/>
      <c r="C197" s="202" t="b">
        <v>0</v>
      </c>
      <c r="D197" s="201"/>
      <c r="E197" s="201"/>
      <c r="F197" s="202" t="b">
        <v>0</v>
      </c>
      <c r="G197" s="202" t="b">
        <v>0</v>
      </c>
      <c r="H197" s="202" t="b">
        <v>0</v>
      </c>
      <c r="I197" s="202" t="b">
        <v>0</v>
      </c>
      <c r="J197" s="202" t="b">
        <v>0</v>
      </c>
      <c r="K197" s="202" t="b">
        <v>0</v>
      </c>
      <c r="L197" s="202" t="b">
        <v>0</v>
      </c>
      <c r="M197" s="202" t="b">
        <v>0</v>
      </c>
      <c r="N197" s="202" t="b">
        <v>0</v>
      </c>
    </row>
    <row r="198">
      <c r="A198" s="201"/>
      <c r="B198" s="201"/>
      <c r="C198" s="202" t="b">
        <v>0</v>
      </c>
      <c r="D198" s="201"/>
      <c r="E198" s="201"/>
      <c r="F198" s="202" t="b">
        <v>0</v>
      </c>
      <c r="G198" s="202" t="b">
        <v>0</v>
      </c>
      <c r="H198" s="202" t="b">
        <v>0</v>
      </c>
      <c r="I198" s="202" t="b">
        <v>0</v>
      </c>
      <c r="J198" s="202" t="b">
        <v>0</v>
      </c>
      <c r="K198" s="202" t="b">
        <v>0</v>
      </c>
      <c r="L198" s="202" t="b">
        <v>0</v>
      </c>
      <c r="M198" s="202" t="b">
        <v>0</v>
      </c>
      <c r="N198" s="202" t="b">
        <v>0</v>
      </c>
    </row>
    <row r="199">
      <c r="A199" s="201"/>
      <c r="B199" s="201"/>
      <c r="C199" s="202" t="b">
        <v>0</v>
      </c>
      <c r="D199" s="201"/>
      <c r="E199" s="201"/>
      <c r="F199" s="202" t="b">
        <v>0</v>
      </c>
      <c r="G199" s="202" t="b">
        <v>0</v>
      </c>
      <c r="H199" s="202" t="b">
        <v>0</v>
      </c>
      <c r="I199" s="202" t="b">
        <v>0</v>
      </c>
      <c r="J199" s="202" t="b">
        <v>0</v>
      </c>
      <c r="K199" s="202" t="b">
        <v>0</v>
      </c>
      <c r="L199" s="202" t="b">
        <v>0</v>
      </c>
      <c r="M199" s="202" t="b">
        <v>0</v>
      </c>
      <c r="N199" s="202" t="b">
        <v>0</v>
      </c>
    </row>
    <row r="200">
      <c r="A200" s="201"/>
      <c r="B200" s="201"/>
      <c r="C200" s="202" t="b">
        <v>0</v>
      </c>
      <c r="D200" s="201"/>
      <c r="E200" s="201"/>
      <c r="F200" s="202" t="b">
        <v>0</v>
      </c>
      <c r="G200" s="202" t="b">
        <v>0</v>
      </c>
      <c r="H200" s="202" t="b">
        <v>0</v>
      </c>
      <c r="I200" s="202" t="b">
        <v>0</v>
      </c>
      <c r="J200" s="202" t="b">
        <v>0</v>
      </c>
      <c r="K200" s="202" t="b">
        <v>0</v>
      </c>
      <c r="L200" s="202" t="b">
        <v>0</v>
      </c>
      <c r="M200" s="202" t="b">
        <v>0</v>
      </c>
      <c r="N200" s="202" t="b">
        <v>0</v>
      </c>
    </row>
    <row r="201">
      <c r="A201" s="201"/>
      <c r="B201" s="201"/>
      <c r="C201" s="202" t="b">
        <v>0</v>
      </c>
      <c r="D201" s="201"/>
      <c r="E201" s="201"/>
      <c r="F201" s="202" t="b">
        <v>0</v>
      </c>
      <c r="G201" s="202" t="b">
        <v>0</v>
      </c>
      <c r="H201" s="202" t="b">
        <v>0</v>
      </c>
      <c r="I201" s="202" t="b">
        <v>0</v>
      </c>
      <c r="J201" s="202" t="b">
        <v>0</v>
      </c>
      <c r="K201" s="202" t="b">
        <v>0</v>
      </c>
      <c r="L201" s="202" t="b">
        <v>0</v>
      </c>
      <c r="M201" s="202" t="b">
        <v>0</v>
      </c>
      <c r="N201" s="202" t="b">
        <v>0</v>
      </c>
    </row>
    <row r="202">
      <c r="A202" s="201"/>
      <c r="B202" s="201"/>
      <c r="C202" s="202" t="b">
        <v>0</v>
      </c>
      <c r="D202" s="201"/>
      <c r="E202" s="201"/>
      <c r="F202" s="202" t="b">
        <v>0</v>
      </c>
      <c r="G202" s="202" t="b">
        <v>0</v>
      </c>
      <c r="H202" s="202" t="b">
        <v>0</v>
      </c>
      <c r="I202" s="202" t="b">
        <v>0</v>
      </c>
      <c r="J202" s="202" t="b">
        <v>0</v>
      </c>
      <c r="K202" s="202" t="b">
        <v>0</v>
      </c>
      <c r="L202" s="202" t="b">
        <v>0</v>
      </c>
      <c r="M202" s="202" t="b">
        <v>0</v>
      </c>
      <c r="N202" s="202" t="b">
        <v>0</v>
      </c>
    </row>
    <row r="203">
      <c r="A203" s="201"/>
      <c r="B203" s="201"/>
      <c r="C203" s="202" t="b">
        <v>0</v>
      </c>
      <c r="D203" s="201"/>
      <c r="E203" s="201"/>
      <c r="F203" s="202" t="b">
        <v>0</v>
      </c>
      <c r="G203" s="202" t="b">
        <v>0</v>
      </c>
      <c r="H203" s="202" t="b">
        <v>0</v>
      </c>
      <c r="I203" s="202" t="b">
        <v>0</v>
      </c>
      <c r="J203" s="202" t="b">
        <v>0</v>
      </c>
      <c r="K203" s="202" t="b">
        <v>0</v>
      </c>
      <c r="L203" s="202" t="b">
        <v>0</v>
      </c>
      <c r="M203" s="202" t="b">
        <v>0</v>
      </c>
      <c r="N203" s="202" t="b">
        <v>0</v>
      </c>
    </row>
    <row r="204">
      <c r="A204" s="201"/>
      <c r="B204" s="201"/>
      <c r="C204" s="202" t="b">
        <v>0</v>
      </c>
      <c r="D204" s="201"/>
      <c r="E204" s="201"/>
      <c r="F204" s="202" t="b">
        <v>0</v>
      </c>
      <c r="G204" s="202" t="b">
        <v>0</v>
      </c>
      <c r="H204" s="202" t="b">
        <v>0</v>
      </c>
      <c r="I204" s="202" t="b">
        <v>0</v>
      </c>
      <c r="J204" s="202" t="b">
        <v>0</v>
      </c>
      <c r="K204" s="202" t="b">
        <v>0</v>
      </c>
      <c r="L204" s="202" t="b">
        <v>0</v>
      </c>
      <c r="M204" s="202" t="b">
        <v>0</v>
      </c>
      <c r="N204" s="202" t="b">
        <v>0</v>
      </c>
    </row>
    <row r="205">
      <c r="A205" s="201"/>
      <c r="B205" s="201"/>
      <c r="C205" s="202" t="b">
        <v>0</v>
      </c>
      <c r="D205" s="201"/>
      <c r="E205" s="201"/>
      <c r="F205" s="202" t="b">
        <v>0</v>
      </c>
      <c r="G205" s="202" t="b">
        <v>0</v>
      </c>
      <c r="H205" s="202" t="b">
        <v>0</v>
      </c>
      <c r="I205" s="202" t="b">
        <v>0</v>
      </c>
      <c r="J205" s="202" t="b">
        <v>0</v>
      </c>
      <c r="K205" s="202" t="b">
        <v>0</v>
      </c>
      <c r="L205" s="202" t="b">
        <v>0</v>
      </c>
      <c r="M205" s="202" t="b">
        <v>0</v>
      </c>
      <c r="N205" s="202" t="b">
        <v>0</v>
      </c>
    </row>
    <row r="206">
      <c r="A206" s="201"/>
      <c r="B206" s="201"/>
      <c r="C206" s="202" t="b">
        <v>0</v>
      </c>
      <c r="D206" s="201"/>
      <c r="E206" s="201"/>
      <c r="F206" s="202" t="b">
        <v>0</v>
      </c>
      <c r="G206" s="202" t="b">
        <v>0</v>
      </c>
      <c r="H206" s="202" t="b">
        <v>0</v>
      </c>
      <c r="I206" s="202" t="b">
        <v>0</v>
      </c>
      <c r="J206" s="202" t="b">
        <v>0</v>
      </c>
      <c r="K206" s="202" t="b">
        <v>0</v>
      </c>
      <c r="L206" s="202" t="b">
        <v>0</v>
      </c>
      <c r="M206" s="202" t="b">
        <v>0</v>
      </c>
      <c r="N206" s="202" t="b">
        <v>0</v>
      </c>
    </row>
    <row r="207">
      <c r="A207" s="201"/>
      <c r="B207" s="201"/>
      <c r="C207" s="202" t="b">
        <v>0</v>
      </c>
      <c r="D207" s="201"/>
      <c r="E207" s="201"/>
      <c r="F207" s="202" t="b">
        <v>0</v>
      </c>
      <c r="G207" s="202" t="b">
        <v>0</v>
      </c>
      <c r="H207" s="202" t="b">
        <v>0</v>
      </c>
      <c r="I207" s="202" t="b">
        <v>0</v>
      </c>
      <c r="J207" s="202" t="b">
        <v>0</v>
      </c>
      <c r="K207" s="202" t="b">
        <v>0</v>
      </c>
      <c r="L207" s="202" t="b">
        <v>0</v>
      </c>
      <c r="M207" s="202" t="b">
        <v>0</v>
      </c>
      <c r="N207" s="202" t="b">
        <v>0</v>
      </c>
    </row>
    <row r="208">
      <c r="A208" s="201"/>
      <c r="B208" s="201"/>
      <c r="C208" s="202" t="b">
        <v>0</v>
      </c>
      <c r="D208" s="201"/>
      <c r="E208" s="201"/>
      <c r="F208" s="202" t="b">
        <v>0</v>
      </c>
      <c r="G208" s="202" t="b">
        <v>0</v>
      </c>
      <c r="H208" s="202" t="b">
        <v>0</v>
      </c>
      <c r="I208" s="202" t="b">
        <v>0</v>
      </c>
      <c r="J208" s="202" t="b">
        <v>0</v>
      </c>
      <c r="K208" s="202" t="b">
        <v>0</v>
      </c>
      <c r="L208" s="202" t="b">
        <v>0</v>
      </c>
      <c r="M208" s="202" t="b">
        <v>0</v>
      </c>
      <c r="N208" s="202" t="b">
        <v>0</v>
      </c>
    </row>
    <row r="209">
      <c r="A209" s="201"/>
      <c r="B209" s="201"/>
      <c r="C209" s="202" t="b">
        <v>0</v>
      </c>
      <c r="D209" s="201"/>
      <c r="E209" s="201"/>
      <c r="F209" s="202" t="b">
        <v>0</v>
      </c>
      <c r="G209" s="202" t="b">
        <v>0</v>
      </c>
      <c r="H209" s="202" t="b">
        <v>0</v>
      </c>
      <c r="I209" s="202" t="b">
        <v>0</v>
      </c>
      <c r="J209" s="202" t="b">
        <v>0</v>
      </c>
      <c r="K209" s="202" t="b">
        <v>0</v>
      </c>
      <c r="L209" s="202" t="b">
        <v>0</v>
      </c>
      <c r="M209" s="202" t="b">
        <v>0</v>
      </c>
      <c r="N209" s="202" t="b">
        <v>0</v>
      </c>
    </row>
    <row r="210">
      <c r="A210" s="201"/>
      <c r="B210" s="201"/>
      <c r="C210" s="202" t="b">
        <v>0</v>
      </c>
      <c r="D210" s="201"/>
      <c r="E210" s="201"/>
      <c r="F210" s="202" t="b">
        <v>0</v>
      </c>
      <c r="G210" s="202" t="b">
        <v>0</v>
      </c>
      <c r="H210" s="202" t="b">
        <v>0</v>
      </c>
      <c r="I210" s="202" t="b">
        <v>0</v>
      </c>
      <c r="J210" s="202" t="b">
        <v>0</v>
      </c>
      <c r="K210" s="202" t="b">
        <v>0</v>
      </c>
      <c r="L210" s="202" t="b">
        <v>0</v>
      </c>
      <c r="M210" s="202" t="b">
        <v>0</v>
      </c>
      <c r="N210" s="202" t="b">
        <v>0</v>
      </c>
    </row>
    <row r="211">
      <c r="A211" s="201"/>
      <c r="B211" s="201"/>
      <c r="C211" s="202" t="b">
        <v>0</v>
      </c>
      <c r="D211" s="201"/>
      <c r="E211" s="201"/>
      <c r="F211" s="202" t="b">
        <v>0</v>
      </c>
      <c r="G211" s="202" t="b">
        <v>0</v>
      </c>
      <c r="H211" s="202" t="b">
        <v>0</v>
      </c>
      <c r="I211" s="202" t="b">
        <v>0</v>
      </c>
      <c r="J211" s="202" t="b">
        <v>0</v>
      </c>
      <c r="K211" s="202" t="b">
        <v>0</v>
      </c>
      <c r="L211" s="202" t="b">
        <v>0</v>
      </c>
      <c r="M211" s="202" t="b">
        <v>0</v>
      </c>
      <c r="N211" s="202" t="b">
        <v>0</v>
      </c>
    </row>
    <row r="212">
      <c r="A212" s="201"/>
      <c r="B212" s="201"/>
      <c r="C212" s="202" t="b">
        <v>0</v>
      </c>
      <c r="D212" s="201"/>
      <c r="E212" s="201"/>
      <c r="F212" s="202" t="b">
        <v>0</v>
      </c>
      <c r="G212" s="202" t="b">
        <v>0</v>
      </c>
      <c r="H212" s="202" t="b">
        <v>0</v>
      </c>
      <c r="I212" s="202" t="b">
        <v>0</v>
      </c>
      <c r="J212" s="202" t="b">
        <v>0</v>
      </c>
      <c r="K212" s="202" t="b">
        <v>0</v>
      </c>
      <c r="L212" s="202" t="b">
        <v>0</v>
      </c>
      <c r="M212" s="202" t="b">
        <v>0</v>
      </c>
      <c r="N212" s="202" t="b">
        <v>0</v>
      </c>
    </row>
    <row r="213">
      <c r="A213" s="201"/>
      <c r="B213" s="201"/>
      <c r="C213" s="202" t="b">
        <v>0</v>
      </c>
      <c r="D213" s="201"/>
      <c r="E213" s="201"/>
      <c r="F213" s="202" t="b">
        <v>0</v>
      </c>
      <c r="G213" s="202" t="b">
        <v>0</v>
      </c>
      <c r="H213" s="202" t="b">
        <v>0</v>
      </c>
      <c r="I213" s="202" t="b">
        <v>0</v>
      </c>
      <c r="J213" s="202" t="b">
        <v>0</v>
      </c>
      <c r="K213" s="202" t="b">
        <v>0</v>
      </c>
      <c r="L213" s="202" t="b">
        <v>0</v>
      </c>
      <c r="M213" s="202" t="b">
        <v>0</v>
      </c>
      <c r="N213" s="202" t="b">
        <v>0</v>
      </c>
    </row>
    <row r="214">
      <c r="A214" s="201"/>
      <c r="B214" s="201"/>
      <c r="C214" s="202" t="b">
        <v>0</v>
      </c>
      <c r="D214" s="201"/>
      <c r="E214" s="201"/>
      <c r="F214" s="202" t="b">
        <v>0</v>
      </c>
      <c r="G214" s="202" t="b">
        <v>0</v>
      </c>
      <c r="H214" s="202" t="b">
        <v>0</v>
      </c>
      <c r="I214" s="202" t="b">
        <v>0</v>
      </c>
      <c r="J214" s="202" t="b">
        <v>0</v>
      </c>
      <c r="K214" s="202" t="b">
        <v>0</v>
      </c>
      <c r="L214" s="202" t="b">
        <v>0</v>
      </c>
      <c r="M214" s="202" t="b">
        <v>0</v>
      </c>
      <c r="N214" s="202" t="b">
        <v>0</v>
      </c>
    </row>
    <row r="215">
      <c r="A215" s="201"/>
      <c r="B215" s="201"/>
      <c r="C215" s="202" t="b">
        <v>0</v>
      </c>
      <c r="D215" s="201"/>
      <c r="E215" s="201"/>
      <c r="F215" s="202" t="b">
        <v>0</v>
      </c>
      <c r="G215" s="202" t="b">
        <v>0</v>
      </c>
      <c r="H215" s="202" t="b">
        <v>0</v>
      </c>
      <c r="I215" s="202" t="b">
        <v>0</v>
      </c>
      <c r="J215" s="202" t="b">
        <v>0</v>
      </c>
      <c r="K215" s="202" t="b">
        <v>0</v>
      </c>
      <c r="L215" s="202" t="b">
        <v>0</v>
      </c>
      <c r="M215" s="202" t="b">
        <v>0</v>
      </c>
      <c r="N215" s="202" t="b">
        <v>0</v>
      </c>
    </row>
    <row r="216">
      <c r="A216" s="201"/>
      <c r="B216" s="201"/>
      <c r="C216" s="202" t="b">
        <v>0</v>
      </c>
      <c r="D216" s="201"/>
      <c r="E216" s="201"/>
      <c r="F216" s="202" t="b">
        <v>0</v>
      </c>
      <c r="G216" s="202" t="b">
        <v>0</v>
      </c>
      <c r="H216" s="202" t="b">
        <v>0</v>
      </c>
      <c r="I216" s="202" t="b">
        <v>0</v>
      </c>
      <c r="J216" s="202" t="b">
        <v>0</v>
      </c>
      <c r="K216" s="202" t="b">
        <v>0</v>
      </c>
      <c r="L216" s="202" t="b">
        <v>0</v>
      </c>
      <c r="M216" s="202" t="b">
        <v>0</v>
      </c>
      <c r="N216" s="202" t="b">
        <v>0</v>
      </c>
    </row>
    <row r="217">
      <c r="A217" s="201"/>
      <c r="B217" s="201"/>
      <c r="C217" s="202" t="b">
        <v>0</v>
      </c>
      <c r="D217" s="201"/>
      <c r="E217" s="201"/>
      <c r="F217" s="202" t="b">
        <v>0</v>
      </c>
      <c r="G217" s="202" t="b">
        <v>0</v>
      </c>
      <c r="H217" s="202" t="b">
        <v>0</v>
      </c>
      <c r="I217" s="202" t="b">
        <v>0</v>
      </c>
      <c r="J217" s="202" t="b">
        <v>0</v>
      </c>
      <c r="K217" s="202" t="b">
        <v>0</v>
      </c>
      <c r="L217" s="202" t="b">
        <v>0</v>
      </c>
      <c r="M217" s="202" t="b">
        <v>0</v>
      </c>
      <c r="N217" s="202" t="b">
        <v>0</v>
      </c>
    </row>
    <row r="218">
      <c r="A218" s="201"/>
      <c r="B218" s="201"/>
      <c r="C218" s="202" t="b">
        <v>0</v>
      </c>
      <c r="D218" s="201"/>
      <c r="E218" s="201"/>
      <c r="F218" s="202" t="b">
        <v>0</v>
      </c>
      <c r="G218" s="202" t="b">
        <v>0</v>
      </c>
      <c r="H218" s="202" t="b">
        <v>0</v>
      </c>
      <c r="I218" s="202" t="b">
        <v>0</v>
      </c>
      <c r="J218" s="202" t="b">
        <v>0</v>
      </c>
      <c r="K218" s="202" t="b">
        <v>0</v>
      </c>
      <c r="L218" s="202" t="b">
        <v>0</v>
      </c>
      <c r="M218" s="202" t="b">
        <v>0</v>
      </c>
      <c r="N218" s="202" t="b">
        <v>0</v>
      </c>
    </row>
    <row r="219">
      <c r="A219" s="201"/>
      <c r="B219" s="201"/>
      <c r="C219" s="202" t="b">
        <v>0</v>
      </c>
      <c r="D219" s="201"/>
      <c r="E219" s="201"/>
      <c r="F219" s="202" t="b">
        <v>0</v>
      </c>
      <c r="G219" s="202" t="b">
        <v>0</v>
      </c>
      <c r="H219" s="202" t="b">
        <v>0</v>
      </c>
      <c r="I219" s="202" t="b">
        <v>0</v>
      </c>
      <c r="J219" s="202" t="b">
        <v>0</v>
      </c>
      <c r="K219" s="202" t="b">
        <v>0</v>
      </c>
      <c r="L219" s="202" t="b">
        <v>0</v>
      </c>
      <c r="M219" s="202" t="b">
        <v>0</v>
      </c>
      <c r="N219" s="202" t="b">
        <v>0</v>
      </c>
    </row>
    <row r="220">
      <c r="A220" s="201"/>
      <c r="B220" s="201"/>
      <c r="C220" s="202" t="b">
        <v>0</v>
      </c>
      <c r="D220" s="201"/>
      <c r="E220" s="201"/>
      <c r="F220" s="202" t="b">
        <v>0</v>
      </c>
      <c r="G220" s="202" t="b">
        <v>0</v>
      </c>
      <c r="H220" s="202" t="b">
        <v>0</v>
      </c>
      <c r="I220" s="202" t="b">
        <v>0</v>
      </c>
      <c r="J220" s="202" t="b">
        <v>0</v>
      </c>
      <c r="K220" s="202" t="b">
        <v>0</v>
      </c>
      <c r="L220" s="202" t="b">
        <v>0</v>
      </c>
      <c r="M220" s="202" t="b">
        <v>0</v>
      </c>
      <c r="N220" s="202" t="b">
        <v>0</v>
      </c>
    </row>
    <row r="221">
      <c r="A221" s="201"/>
      <c r="B221" s="201"/>
      <c r="C221" s="202" t="b">
        <v>0</v>
      </c>
      <c r="D221" s="201"/>
      <c r="E221" s="201"/>
      <c r="F221" s="202" t="b">
        <v>0</v>
      </c>
      <c r="G221" s="202" t="b">
        <v>0</v>
      </c>
      <c r="H221" s="202" t="b">
        <v>0</v>
      </c>
      <c r="I221" s="202" t="b">
        <v>0</v>
      </c>
      <c r="J221" s="202" t="b">
        <v>0</v>
      </c>
      <c r="K221" s="202" t="b">
        <v>0</v>
      </c>
      <c r="L221" s="202" t="b">
        <v>0</v>
      </c>
      <c r="M221" s="202" t="b">
        <v>0</v>
      </c>
      <c r="N221" s="202" t="b">
        <v>0</v>
      </c>
    </row>
    <row r="222">
      <c r="A222" s="201"/>
      <c r="B222" s="201"/>
      <c r="C222" s="202" t="b">
        <v>0</v>
      </c>
      <c r="D222" s="201"/>
      <c r="E222" s="201"/>
      <c r="F222" s="202" t="b">
        <v>0</v>
      </c>
      <c r="G222" s="202" t="b">
        <v>0</v>
      </c>
      <c r="H222" s="202" t="b">
        <v>0</v>
      </c>
      <c r="I222" s="202" t="b">
        <v>0</v>
      </c>
      <c r="J222" s="202" t="b">
        <v>0</v>
      </c>
      <c r="K222" s="202" t="b">
        <v>0</v>
      </c>
      <c r="L222" s="202" t="b">
        <v>0</v>
      </c>
      <c r="M222" s="202" t="b">
        <v>0</v>
      </c>
      <c r="N222" s="202" t="b">
        <v>0</v>
      </c>
    </row>
    <row r="223">
      <c r="A223" s="201"/>
      <c r="B223" s="201"/>
      <c r="C223" s="202" t="b">
        <v>0</v>
      </c>
      <c r="D223" s="201"/>
      <c r="E223" s="201"/>
      <c r="F223" s="202" t="b">
        <v>0</v>
      </c>
      <c r="G223" s="202" t="b">
        <v>0</v>
      </c>
      <c r="H223" s="202" t="b">
        <v>0</v>
      </c>
      <c r="I223" s="202" t="b">
        <v>0</v>
      </c>
      <c r="J223" s="202" t="b">
        <v>0</v>
      </c>
      <c r="K223" s="202" t="b">
        <v>0</v>
      </c>
      <c r="L223" s="202" t="b">
        <v>0</v>
      </c>
      <c r="M223" s="202" t="b">
        <v>0</v>
      </c>
      <c r="N223" s="202" t="b">
        <v>0</v>
      </c>
    </row>
    <row r="224">
      <c r="A224" s="201"/>
      <c r="B224" s="201"/>
      <c r="C224" s="202" t="b">
        <v>0</v>
      </c>
      <c r="D224" s="201"/>
      <c r="E224" s="201"/>
      <c r="F224" s="202" t="b">
        <v>0</v>
      </c>
      <c r="G224" s="202" t="b">
        <v>0</v>
      </c>
      <c r="H224" s="202" t="b">
        <v>0</v>
      </c>
      <c r="I224" s="202" t="b">
        <v>0</v>
      </c>
      <c r="J224" s="202" t="b">
        <v>0</v>
      </c>
      <c r="K224" s="202" t="b">
        <v>0</v>
      </c>
      <c r="L224" s="202" t="b">
        <v>0</v>
      </c>
      <c r="M224" s="202" t="b">
        <v>0</v>
      </c>
      <c r="N224" s="202" t="b">
        <v>0</v>
      </c>
    </row>
    <row r="225">
      <c r="A225" s="201"/>
      <c r="B225" s="201"/>
      <c r="C225" s="202" t="b">
        <v>0</v>
      </c>
      <c r="D225" s="201"/>
      <c r="E225" s="201"/>
      <c r="F225" s="202" t="b">
        <v>0</v>
      </c>
      <c r="G225" s="202" t="b">
        <v>0</v>
      </c>
      <c r="H225" s="202" t="b">
        <v>0</v>
      </c>
      <c r="I225" s="202" t="b">
        <v>0</v>
      </c>
      <c r="J225" s="202" t="b">
        <v>0</v>
      </c>
      <c r="K225" s="202" t="b">
        <v>0</v>
      </c>
      <c r="L225" s="202" t="b">
        <v>0</v>
      </c>
      <c r="M225" s="202" t="b">
        <v>0</v>
      </c>
      <c r="N225" s="202" t="b">
        <v>0</v>
      </c>
    </row>
    <row r="226">
      <c r="A226" s="201"/>
      <c r="B226" s="201"/>
      <c r="C226" s="202" t="b">
        <v>0</v>
      </c>
      <c r="D226" s="201"/>
      <c r="E226" s="201"/>
      <c r="F226" s="202" t="b">
        <v>0</v>
      </c>
      <c r="G226" s="202" t="b">
        <v>0</v>
      </c>
      <c r="H226" s="202" t="b">
        <v>0</v>
      </c>
      <c r="I226" s="202" t="b">
        <v>0</v>
      </c>
      <c r="J226" s="202" t="b">
        <v>0</v>
      </c>
      <c r="K226" s="202" t="b">
        <v>0</v>
      </c>
      <c r="L226" s="202" t="b">
        <v>0</v>
      </c>
      <c r="M226" s="202" t="b">
        <v>0</v>
      </c>
      <c r="N226" s="202" t="b">
        <v>0</v>
      </c>
    </row>
    <row r="227">
      <c r="A227" s="201"/>
      <c r="B227" s="201"/>
      <c r="C227" s="202" t="b">
        <v>0</v>
      </c>
      <c r="D227" s="201"/>
      <c r="E227" s="201"/>
      <c r="F227" s="202" t="b">
        <v>0</v>
      </c>
      <c r="G227" s="202" t="b">
        <v>0</v>
      </c>
      <c r="H227" s="202" t="b">
        <v>0</v>
      </c>
      <c r="I227" s="202" t="b">
        <v>0</v>
      </c>
      <c r="J227" s="202" t="b">
        <v>0</v>
      </c>
      <c r="K227" s="202" t="b">
        <v>0</v>
      </c>
      <c r="L227" s="202" t="b">
        <v>0</v>
      </c>
      <c r="M227" s="202" t="b">
        <v>0</v>
      </c>
      <c r="N227" s="202" t="b">
        <v>0</v>
      </c>
    </row>
    <row r="228">
      <c r="A228" s="201"/>
      <c r="B228" s="201"/>
      <c r="C228" s="202" t="b">
        <v>0</v>
      </c>
      <c r="D228" s="201"/>
      <c r="E228" s="201"/>
      <c r="F228" s="202" t="b">
        <v>0</v>
      </c>
      <c r="G228" s="202" t="b">
        <v>0</v>
      </c>
      <c r="H228" s="202" t="b">
        <v>0</v>
      </c>
      <c r="I228" s="202" t="b">
        <v>0</v>
      </c>
      <c r="J228" s="202" t="b">
        <v>0</v>
      </c>
      <c r="K228" s="202" t="b">
        <v>0</v>
      </c>
      <c r="L228" s="202" t="b">
        <v>0</v>
      </c>
      <c r="M228" s="202" t="b">
        <v>0</v>
      </c>
      <c r="N228" s="202" t="b">
        <v>0</v>
      </c>
    </row>
    <row r="229">
      <c r="A229" s="201"/>
      <c r="B229" s="201"/>
      <c r="C229" s="202" t="b">
        <v>0</v>
      </c>
      <c r="D229" s="201"/>
      <c r="E229" s="201"/>
      <c r="F229" s="202" t="b">
        <v>0</v>
      </c>
      <c r="G229" s="202" t="b">
        <v>0</v>
      </c>
      <c r="H229" s="202" t="b">
        <v>0</v>
      </c>
      <c r="I229" s="202" t="b">
        <v>0</v>
      </c>
      <c r="J229" s="202" t="b">
        <v>0</v>
      </c>
      <c r="K229" s="202" t="b">
        <v>0</v>
      </c>
      <c r="L229" s="202" t="b">
        <v>0</v>
      </c>
      <c r="M229" s="202" t="b">
        <v>0</v>
      </c>
      <c r="N229" s="202" t="b">
        <v>0</v>
      </c>
    </row>
    <row r="230">
      <c r="A230" s="201"/>
      <c r="B230" s="201"/>
      <c r="C230" s="202" t="b">
        <v>0</v>
      </c>
      <c r="D230" s="201"/>
      <c r="E230" s="201"/>
      <c r="F230" s="202" t="b">
        <v>0</v>
      </c>
      <c r="G230" s="202" t="b">
        <v>0</v>
      </c>
      <c r="H230" s="202" t="b">
        <v>0</v>
      </c>
      <c r="I230" s="202" t="b">
        <v>0</v>
      </c>
      <c r="J230" s="202" t="b">
        <v>0</v>
      </c>
      <c r="K230" s="202" t="b">
        <v>0</v>
      </c>
      <c r="L230" s="202" t="b">
        <v>0</v>
      </c>
      <c r="M230" s="202" t="b">
        <v>0</v>
      </c>
      <c r="N230" s="202" t="b">
        <v>0</v>
      </c>
    </row>
    <row r="231">
      <c r="A231" s="201"/>
      <c r="B231" s="201"/>
      <c r="C231" s="202" t="b">
        <v>0</v>
      </c>
      <c r="D231" s="201"/>
      <c r="E231" s="201"/>
      <c r="F231" s="202" t="b">
        <v>0</v>
      </c>
      <c r="G231" s="202" t="b">
        <v>0</v>
      </c>
      <c r="H231" s="202" t="b">
        <v>0</v>
      </c>
      <c r="I231" s="202" t="b">
        <v>0</v>
      </c>
      <c r="J231" s="202" t="b">
        <v>0</v>
      </c>
      <c r="K231" s="202" t="b">
        <v>0</v>
      </c>
      <c r="L231" s="202" t="b">
        <v>0</v>
      </c>
      <c r="M231" s="202" t="b">
        <v>0</v>
      </c>
      <c r="N231" s="202" t="b">
        <v>0</v>
      </c>
    </row>
    <row r="232">
      <c r="A232" s="201"/>
      <c r="B232" s="201"/>
      <c r="C232" s="202" t="b">
        <v>0</v>
      </c>
      <c r="D232" s="201"/>
      <c r="E232" s="201"/>
      <c r="F232" s="202" t="b">
        <v>0</v>
      </c>
      <c r="G232" s="202" t="b">
        <v>0</v>
      </c>
      <c r="H232" s="202" t="b">
        <v>0</v>
      </c>
      <c r="I232" s="202" t="b">
        <v>0</v>
      </c>
      <c r="J232" s="202" t="b">
        <v>0</v>
      </c>
      <c r="K232" s="202" t="b">
        <v>0</v>
      </c>
      <c r="L232" s="202" t="b">
        <v>0</v>
      </c>
      <c r="M232" s="202" t="b">
        <v>0</v>
      </c>
      <c r="N232" s="202" t="b">
        <v>0</v>
      </c>
    </row>
    <row r="233">
      <c r="A233" s="201"/>
      <c r="B233" s="201"/>
      <c r="C233" s="202" t="b">
        <v>0</v>
      </c>
      <c r="D233" s="201"/>
      <c r="E233" s="201"/>
      <c r="F233" s="202" t="b">
        <v>0</v>
      </c>
      <c r="G233" s="202" t="b">
        <v>0</v>
      </c>
      <c r="H233" s="202" t="b">
        <v>0</v>
      </c>
      <c r="I233" s="202" t="b">
        <v>0</v>
      </c>
      <c r="J233" s="202" t="b">
        <v>0</v>
      </c>
      <c r="K233" s="202" t="b">
        <v>0</v>
      </c>
      <c r="L233" s="202" t="b">
        <v>0</v>
      </c>
      <c r="M233" s="202" t="b">
        <v>0</v>
      </c>
      <c r="N233" s="202" t="b">
        <v>0</v>
      </c>
    </row>
    <row r="234">
      <c r="A234" s="201"/>
      <c r="B234" s="201"/>
      <c r="C234" s="202" t="b">
        <v>0</v>
      </c>
      <c r="D234" s="201"/>
      <c r="E234" s="201"/>
      <c r="F234" s="202" t="b">
        <v>0</v>
      </c>
      <c r="G234" s="202" t="b">
        <v>0</v>
      </c>
      <c r="H234" s="202" t="b">
        <v>0</v>
      </c>
      <c r="I234" s="202" t="b">
        <v>0</v>
      </c>
      <c r="J234" s="202" t="b">
        <v>0</v>
      </c>
      <c r="K234" s="202" t="b">
        <v>0</v>
      </c>
      <c r="L234" s="202" t="b">
        <v>0</v>
      </c>
      <c r="M234" s="202" t="b">
        <v>0</v>
      </c>
      <c r="N234" s="202" t="b">
        <v>0</v>
      </c>
    </row>
    <row r="235">
      <c r="A235" s="201"/>
      <c r="B235" s="201"/>
      <c r="C235" s="202" t="b">
        <v>0</v>
      </c>
      <c r="D235" s="201"/>
      <c r="E235" s="201"/>
      <c r="F235" s="202" t="b">
        <v>0</v>
      </c>
      <c r="G235" s="202" t="b">
        <v>0</v>
      </c>
      <c r="H235" s="202" t="b">
        <v>0</v>
      </c>
      <c r="I235" s="202" t="b">
        <v>0</v>
      </c>
      <c r="J235" s="202" t="b">
        <v>0</v>
      </c>
      <c r="K235" s="202" t="b">
        <v>0</v>
      </c>
      <c r="L235" s="202" t="b">
        <v>0</v>
      </c>
      <c r="M235" s="202" t="b">
        <v>0</v>
      </c>
      <c r="N235" s="202" t="b">
        <v>0</v>
      </c>
    </row>
    <row r="236">
      <c r="A236" s="201"/>
      <c r="B236" s="201"/>
      <c r="C236" s="202" t="b">
        <v>0</v>
      </c>
      <c r="D236" s="201"/>
      <c r="E236" s="201"/>
      <c r="F236" s="202" t="b">
        <v>0</v>
      </c>
      <c r="G236" s="202" t="b">
        <v>0</v>
      </c>
      <c r="H236" s="202" t="b">
        <v>0</v>
      </c>
      <c r="I236" s="202" t="b">
        <v>0</v>
      </c>
      <c r="J236" s="202" t="b">
        <v>0</v>
      </c>
      <c r="K236" s="202" t="b">
        <v>0</v>
      </c>
      <c r="L236" s="202" t="b">
        <v>0</v>
      </c>
      <c r="M236" s="202" t="b">
        <v>0</v>
      </c>
      <c r="N236" s="202" t="b">
        <v>0</v>
      </c>
    </row>
    <row r="237">
      <c r="A237" s="201"/>
      <c r="B237" s="201"/>
      <c r="C237" s="202" t="b">
        <v>0</v>
      </c>
      <c r="D237" s="201"/>
      <c r="E237" s="201"/>
      <c r="F237" s="202" t="b">
        <v>0</v>
      </c>
      <c r="G237" s="202" t="b">
        <v>0</v>
      </c>
      <c r="H237" s="202" t="b">
        <v>0</v>
      </c>
      <c r="I237" s="202" t="b">
        <v>0</v>
      </c>
      <c r="J237" s="202" t="b">
        <v>0</v>
      </c>
      <c r="K237" s="202" t="b">
        <v>0</v>
      </c>
      <c r="L237" s="202" t="b">
        <v>0</v>
      </c>
      <c r="M237" s="202" t="b">
        <v>0</v>
      </c>
      <c r="N237" s="202" t="b">
        <v>0</v>
      </c>
    </row>
    <row r="238">
      <c r="A238" s="201"/>
      <c r="B238" s="201"/>
      <c r="C238" s="202" t="b">
        <v>0</v>
      </c>
      <c r="D238" s="201"/>
      <c r="E238" s="201"/>
      <c r="F238" s="202" t="b">
        <v>0</v>
      </c>
      <c r="G238" s="202" t="b">
        <v>0</v>
      </c>
      <c r="H238" s="202" t="b">
        <v>0</v>
      </c>
      <c r="I238" s="202" t="b">
        <v>0</v>
      </c>
      <c r="J238" s="202" t="b">
        <v>0</v>
      </c>
      <c r="K238" s="202" t="b">
        <v>0</v>
      </c>
      <c r="L238" s="202" t="b">
        <v>0</v>
      </c>
      <c r="M238" s="202" t="b">
        <v>0</v>
      </c>
      <c r="N238" s="202" t="b">
        <v>0</v>
      </c>
    </row>
    <row r="239">
      <c r="A239" s="201"/>
      <c r="B239" s="201"/>
      <c r="C239" s="202" t="b">
        <v>0</v>
      </c>
      <c r="D239" s="201"/>
      <c r="E239" s="201"/>
      <c r="F239" s="202" t="b">
        <v>0</v>
      </c>
      <c r="G239" s="202" t="b">
        <v>0</v>
      </c>
      <c r="H239" s="202" t="b">
        <v>0</v>
      </c>
      <c r="I239" s="202" t="b">
        <v>0</v>
      </c>
      <c r="J239" s="202" t="b">
        <v>0</v>
      </c>
      <c r="K239" s="202" t="b">
        <v>0</v>
      </c>
      <c r="L239" s="202" t="b">
        <v>0</v>
      </c>
      <c r="M239" s="202" t="b">
        <v>0</v>
      </c>
      <c r="N239" s="202" t="b">
        <v>0</v>
      </c>
    </row>
    <row r="240">
      <c r="A240" s="201"/>
      <c r="B240" s="201"/>
      <c r="C240" s="202" t="b">
        <v>0</v>
      </c>
      <c r="D240" s="201"/>
      <c r="E240" s="201"/>
      <c r="F240" s="202" t="b">
        <v>0</v>
      </c>
      <c r="G240" s="202" t="b">
        <v>0</v>
      </c>
      <c r="H240" s="202" t="b">
        <v>0</v>
      </c>
      <c r="I240" s="202" t="b">
        <v>0</v>
      </c>
      <c r="J240" s="202" t="b">
        <v>0</v>
      </c>
      <c r="K240" s="202" t="b">
        <v>0</v>
      </c>
      <c r="L240" s="202" t="b">
        <v>0</v>
      </c>
      <c r="M240" s="202" t="b">
        <v>0</v>
      </c>
      <c r="N240" s="202" t="b">
        <v>0</v>
      </c>
    </row>
    <row r="241">
      <c r="A241" s="201"/>
      <c r="B241" s="201"/>
      <c r="C241" s="202" t="b">
        <v>0</v>
      </c>
      <c r="D241" s="201"/>
      <c r="E241" s="201"/>
      <c r="F241" s="202" t="b">
        <v>0</v>
      </c>
      <c r="G241" s="202" t="b">
        <v>0</v>
      </c>
      <c r="H241" s="202" t="b">
        <v>0</v>
      </c>
      <c r="I241" s="202" t="b">
        <v>0</v>
      </c>
      <c r="J241" s="202" t="b">
        <v>0</v>
      </c>
      <c r="K241" s="202" t="b">
        <v>0</v>
      </c>
      <c r="L241" s="202" t="b">
        <v>0</v>
      </c>
      <c r="M241" s="202" t="b">
        <v>0</v>
      </c>
      <c r="N241" s="202" t="b">
        <v>0</v>
      </c>
    </row>
    <row r="242">
      <c r="A242" s="201"/>
      <c r="B242" s="201"/>
      <c r="C242" s="202" t="b">
        <v>0</v>
      </c>
      <c r="D242" s="201"/>
      <c r="E242" s="201"/>
      <c r="F242" s="202" t="b">
        <v>0</v>
      </c>
      <c r="G242" s="202" t="b">
        <v>0</v>
      </c>
      <c r="H242" s="202" t="b">
        <v>0</v>
      </c>
      <c r="I242" s="202" t="b">
        <v>0</v>
      </c>
      <c r="J242" s="202" t="b">
        <v>0</v>
      </c>
      <c r="K242" s="202" t="b">
        <v>0</v>
      </c>
      <c r="L242" s="202" t="b">
        <v>0</v>
      </c>
      <c r="M242" s="202" t="b">
        <v>0</v>
      </c>
      <c r="N242" s="202" t="b">
        <v>0</v>
      </c>
    </row>
    <row r="243">
      <c r="A243" s="201"/>
      <c r="B243" s="201"/>
      <c r="C243" s="202" t="b">
        <v>0</v>
      </c>
      <c r="D243" s="201"/>
      <c r="E243" s="201"/>
      <c r="F243" s="202" t="b">
        <v>0</v>
      </c>
      <c r="G243" s="202" t="b">
        <v>0</v>
      </c>
      <c r="H243" s="202" t="b">
        <v>0</v>
      </c>
      <c r="I243" s="202" t="b">
        <v>0</v>
      </c>
      <c r="J243" s="202" t="b">
        <v>0</v>
      </c>
      <c r="K243" s="202" t="b">
        <v>0</v>
      </c>
      <c r="L243" s="202" t="b">
        <v>0</v>
      </c>
      <c r="M243" s="202" t="b">
        <v>0</v>
      </c>
      <c r="N243" s="202" t="b">
        <v>0</v>
      </c>
    </row>
    <row r="244">
      <c r="A244" s="201"/>
      <c r="B244" s="201"/>
      <c r="C244" s="202" t="b">
        <v>0</v>
      </c>
      <c r="D244" s="201"/>
      <c r="E244" s="201"/>
      <c r="F244" s="202" t="b">
        <v>0</v>
      </c>
      <c r="G244" s="202" t="b">
        <v>0</v>
      </c>
      <c r="H244" s="202" t="b">
        <v>0</v>
      </c>
      <c r="I244" s="202" t="b">
        <v>0</v>
      </c>
      <c r="J244" s="202" t="b">
        <v>0</v>
      </c>
      <c r="K244" s="202" t="b">
        <v>0</v>
      </c>
      <c r="L244" s="202" t="b">
        <v>0</v>
      </c>
      <c r="M244" s="202" t="b">
        <v>0</v>
      </c>
      <c r="N244" s="202" t="b">
        <v>0</v>
      </c>
    </row>
    <row r="245">
      <c r="A245" s="201"/>
      <c r="B245" s="201"/>
      <c r="C245" s="202" t="b">
        <v>0</v>
      </c>
      <c r="D245" s="201"/>
      <c r="E245" s="201"/>
      <c r="F245" s="202" t="b">
        <v>0</v>
      </c>
      <c r="G245" s="202" t="b">
        <v>0</v>
      </c>
      <c r="H245" s="202" t="b">
        <v>0</v>
      </c>
      <c r="I245" s="202" t="b">
        <v>0</v>
      </c>
      <c r="J245" s="202" t="b">
        <v>0</v>
      </c>
      <c r="K245" s="202" t="b">
        <v>0</v>
      </c>
      <c r="L245" s="202" t="b">
        <v>0</v>
      </c>
      <c r="M245" s="202" t="b">
        <v>0</v>
      </c>
      <c r="N245" s="202" t="b">
        <v>0</v>
      </c>
    </row>
    <row r="246">
      <c r="A246" s="201"/>
      <c r="B246" s="201"/>
      <c r="C246" s="202" t="b">
        <v>0</v>
      </c>
      <c r="D246" s="201"/>
      <c r="E246" s="201"/>
      <c r="F246" s="202" t="b">
        <v>0</v>
      </c>
      <c r="G246" s="202" t="b">
        <v>0</v>
      </c>
      <c r="H246" s="202" t="b">
        <v>0</v>
      </c>
      <c r="I246" s="202" t="b">
        <v>0</v>
      </c>
      <c r="J246" s="202" t="b">
        <v>0</v>
      </c>
      <c r="K246" s="202" t="b">
        <v>0</v>
      </c>
      <c r="L246" s="202" t="b">
        <v>0</v>
      </c>
      <c r="M246" s="202" t="b">
        <v>0</v>
      </c>
      <c r="N246" s="202" t="b">
        <v>0</v>
      </c>
    </row>
    <row r="247">
      <c r="A247" s="201"/>
      <c r="B247" s="201"/>
      <c r="C247" s="202" t="b">
        <v>0</v>
      </c>
      <c r="D247" s="201"/>
      <c r="E247" s="201"/>
      <c r="F247" s="202" t="b">
        <v>0</v>
      </c>
      <c r="G247" s="202" t="b">
        <v>0</v>
      </c>
      <c r="H247" s="202" t="b">
        <v>0</v>
      </c>
      <c r="I247" s="202" t="b">
        <v>0</v>
      </c>
      <c r="J247" s="202" t="b">
        <v>0</v>
      </c>
      <c r="K247" s="202" t="b">
        <v>0</v>
      </c>
      <c r="L247" s="202" t="b">
        <v>0</v>
      </c>
      <c r="M247" s="202" t="b">
        <v>0</v>
      </c>
      <c r="N247" s="202" t="b">
        <v>0</v>
      </c>
    </row>
    <row r="248">
      <c r="A248" s="201"/>
      <c r="B248" s="201"/>
      <c r="C248" s="202" t="b">
        <v>0</v>
      </c>
      <c r="D248" s="201"/>
      <c r="E248" s="201"/>
      <c r="F248" s="202" t="b">
        <v>0</v>
      </c>
      <c r="G248" s="202" t="b">
        <v>0</v>
      </c>
      <c r="H248" s="202" t="b">
        <v>0</v>
      </c>
      <c r="I248" s="202" t="b">
        <v>0</v>
      </c>
      <c r="J248" s="202" t="b">
        <v>0</v>
      </c>
      <c r="K248" s="202" t="b">
        <v>0</v>
      </c>
      <c r="L248" s="202" t="b">
        <v>0</v>
      </c>
      <c r="M248" s="202" t="b">
        <v>0</v>
      </c>
      <c r="N248" s="202" t="b">
        <v>0</v>
      </c>
    </row>
    <row r="249">
      <c r="A249" s="201"/>
      <c r="B249" s="201"/>
      <c r="C249" s="202" t="b">
        <v>0</v>
      </c>
      <c r="D249" s="201"/>
      <c r="E249" s="201"/>
      <c r="F249" s="202" t="b">
        <v>0</v>
      </c>
      <c r="G249" s="202" t="b">
        <v>0</v>
      </c>
      <c r="H249" s="202" t="b">
        <v>0</v>
      </c>
      <c r="I249" s="202" t="b">
        <v>0</v>
      </c>
      <c r="J249" s="202" t="b">
        <v>0</v>
      </c>
      <c r="K249" s="202" t="b">
        <v>0</v>
      </c>
      <c r="L249" s="202" t="b">
        <v>0</v>
      </c>
      <c r="M249" s="202" t="b">
        <v>0</v>
      </c>
      <c r="N249" s="202" t="b">
        <v>0</v>
      </c>
    </row>
    <row r="250">
      <c r="A250" s="201"/>
      <c r="B250" s="201"/>
      <c r="C250" s="202" t="b">
        <v>0</v>
      </c>
      <c r="D250" s="201"/>
      <c r="E250" s="201"/>
      <c r="F250" s="202" t="b">
        <v>0</v>
      </c>
      <c r="G250" s="202" t="b">
        <v>0</v>
      </c>
      <c r="H250" s="202" t="b">
        <v>0</v>
      </c>
      <c r="I250" s="202" t="b">
        <v>0</v>
      </c>
      <c r="J250" s="202" t="b">
        <v>0</v>
      </c>
      <c r="K250" s="202" t="b">
        <v>0</v>
      </c>
      <c r="L250" s="202" t="b">
        <v>0</v>
      </c>
      <c r="M250" s="202" t="b">
        <v>0</v>
      </c>
      <c r="N250" s="202" t="b">
        <v>0</v>
      </c>
    </row>
    <row r="251">
      <c r="A251" s="201"/>
      <c r="B251" s="201"/>
      <c r="C251" s="202" t="b">
        <v>0</v>
      </c>
      <c r="D251" s="201"/>
      <c r="E251" s="201"/>
      <c r="F251" s="202" t="b">
        <v>0</v>
      </c>
      <c r="G251" s="202" t="b">
        <v>0</v>
      </c>
      <c r="H251" s="202" t="b">
        <v>0</v>
      </c>
      <c r="I251" s="202" t="b">
        <v>0</v>
      </c>
      <c r="J251" s="202" t="b">
        <v>0</v>
      </c>
      <c r="K251" s="202" t="b">
        <v>0</v>
      </c>
      <c r="L251" s="202" t="b">
        <v>0</v>
      </c>
      <c r="M251" s="202" t="b">
        <v>0</v>
      </c>
      <c r="N251" s="202" t="b">
        <v>0</v>
      </c>
    </row>
    <row r="252">
      <c r="A252" s="201"/>
      <c r="B252" s="201"/>
      <c r="C252" s="202" t="b">
        <v>0</v>
      </c>
      <c r="D252" s="201"/>
      <c r="E252" s="201"/>
      <c r="F252" s="202" t="b">
        <v>0</v>
      </c>
      <c r="G252" s="202" t="b">
        <v>0</v>
      </c>
      <c r="H252" s="202" t="b">
        <v>0</v>
      </c>
      <c r="I252" s="202" t="b">
        <v>0</v>
      </c>
      <c r="J252" s="202" t="b">
        <v>0</v>
      </c>
      <c r="K252" s="202" t="b">
        <v>0</v>
      </c>
      <c r="L252" s="202" t="b">
        <v>0</v>
      </c>
      <c r="M252" s="202" t="b">
        <v>0</v>
      </c>
      <c r="N252" s="202" t="b">
        <v>0</v>
      </c>
    </row>
    <row r="253">
      <c r="A253" s="201"/>
      <c r="B253" s="201"/>
      <c r="C253" s="202" t="b">
        <v>0</v>
      </c>
      <c r="D253" s="201"/>
      <c r="E253" s="201"/>
      <c r="F253" s="202" t="b">
        <v>0</v>
      </c>
      <c r="G253" s="202" t="b">
        <v>0</v>
      </c>
      <c r="H253" s="202" t="b">
        <v>0</v>
      </c>
      <c r="I253" s="202" t="b">
        <v>0</v>
      </c>
      <c r="J253" s="202" t="b">
        <v>0</v>
      </c>
      <c r="K253" s="202" t="b">
        <v>0</v>
      </c>
      <c r="L253" s="202" t="b">
        <v>0</v>
      </c>
      <c r="M253" s="202" t="b">
        <v>0</v>
      </c>
      <c r="N253" s="202" t="b">
        <v>0</v>
      </c>
    </row>
    <row r="254">
      <c r="A254" s="201"/>
      <c r="B254" s="201"/>
      <c r="C254" s="202" t="b">
        <v>0</v>
      </c>
      <c r="D254" s="201"/>
      <c r="E254" s="201"/>
      <c r="F254" s="202" t="b">
        <v>0</v>
      </c>
      <c r="G254" s="202" t="b">
        <v>0</v>
      </c>
      <c r="H254" s="202" t="b">
        <v>0</v>
      </c>
      <c r="I254" s="202" t="b">
        <v>0</v>
      </c>
      <c r="J254" s="202" t="b">
        <v>0</v>
      </c>
      <c r="K254" s="202" t="b">
        <v>0</v>
      </c>
      <c r="L254" s="202" t="b">
        <v>0</v>
      </c>
      <c r="M254" s="202" t="b">
        <v>0</v>
      </c>
      <c r="N254" s="202" t="b">
        <v>0</v>
      </c>
    </row>
    <row r="255">
      <c r="A255" s="201"/>
      <c r="B255" s="201"/>
      <c r="C255" s="202" t="b">
        <v>0</v>
      </c>
      <c r="D255" s="201"/>
      <c r="E255" s="201"/>
      <c r="F255" s="202" t="b">
        <v>0</v>
      </c>
      <c r="G255" s="202" t="b">
        <v>0</v>
      </c>
      <c r="H255" s="202" t="b">
        <v>0</v>
      </c>
      <c r="I255" s="202" t="b">
        <v>0</v>
      </c>
      <c r="J255" s="202" t="b">
        <v>0</v>
      </c>
      <c r="K255" s="202" t="b">
        <v>0</v>
      </c>
      <c r="L255" s="202" t="b">
        <v>0</v>
      </c>
      <c r="M255" s="202" t="b">
        <v>0</v>
      </c>
      <c r="N255" s="202" t="b">
        <v>0</v>
      </c>
    </row>
    <row r="256">
      <c r="A256" s="201"/>
      <c r="B256" s="201"/>
      <c r="C256" s="202" t="b">
        <v>0</v>
      </c>
      <c r="D256" s="201"/>
      <c r="E256" s="201"/>
      <c r="F256" s="202" t="b">
        <v>0</v>
      </c>
      <c r="G256" s="202" t="b">
        <v>0</v>
      </c>
      <c r="H256" s="202" t="b">
        <v>0</v>
      </c>
      <c r="I256" s="202" t="b">
        <v>0</v>
      </c>
      <c r="J256" s="202" t="b">
        <v>0</v>
      </c>
      <c r="K256" s="202" t="b">
        <v>0</v>
      </c>
      <c r="L256" s="202" t="b">
        <v>0</v>
      </c>
      <c r="M256" s="202" t="b">
        <v>0</v>
      </c>
      <c r="N256" s="202" t="b">
        <v>0</v>
      </c>
    </row>
    <row r="257">
      <c r="A257" s="201"/>
      <c r="B257" s="201"/>
      <c r="C257" s="202" t="b">
        <v>0</v>
      </c>
      <c r="D257" s="201"/>
      <c r="E257" s="201"/>
      <c r="F257" s="202" t="b">
        <v>0</v>
      </c>
      <c r="G257" s="202" t="b">
        <v>0</v>
      </c>
      <c r="H257" s="202" t="b">
        <v>0</v>
      </c>
      <c r="I257" s="202" t="b">
        <v>0</v>
      </c>
      <c r="J257" s="202" t="b">
        <v>0</v>
      </c>
      <c r="K257" s="202" t="b">
        <v>0</v>
      </c>
      <c r="L257" s="202" t="b">
        <v>0</v>
      </c>
      <c r="M257" s="202" t="b">
        <v>0</v>
      </c>
      <c r="N257" s="202" t="b">
        <v>0</v>
      </c>
    </row>
    <row r="258">
      <c r="A258" s="201"/>
      <c r="B258" s="201"/>
      <c r="C258" s="202" t="b">
        <v>0</v>
      </c>
      <c r="D258" s="201"/>
      <c r="E258" s="201"/>
      <c r="F258" s="202" t="b">
        <v>0</v>
      </c>
      <c r="G258" s="202" t="b">
        <v>0</v>
      </c>
      <c r="H258" s="202" t="b">
        <v>0</v>
      </c>
      <c r="I258" s="202" t="b">
        <v>0</v>
      </c>
      <c r="J258" s="202" t="b">
        <v>0</v>
      </c>
      <c r="K258" s="202" t="b">
        <v>0</v>
      </c>
      <c r="L258" s="202" t="b">
        <v>0</v>
      </c>
      <c r="M258" s="202" t="b">
        <v>0</v>
      </c>
      <c r="N258" s="202" t="b">
        <v>0</v>
      </c>
    </row>
    <row r="259">
      <c r="A259" s="201"/>
      <c r="B259" s="201"/>
      <c r="C259" s="202" t="b">
        <v>0</v>
      </c>
      <c r="D259" s="201"/>
      <c r="E259" s="201"/>
      <c r="F259" s="202" t="b">
        <v>0</v>
      </c>
      <c r="G259" s="202" t="b">
        <v>0</v>
      </c>
      <c r="H259" s="202" t="b">
        <v>0</v>
      </c>
      <c r="I259" s="202" t="b">
        <v>0</v>
      </c>
      <c r="J259" s="202" t="b">
        <v>0</v>
      </c>
      <c r="K259" s="202" t="b">
        <v>0</v>
      </c>
      <c r="L259" s="202" t="b">
        <v>0</v>
      </c>
      <c r="M259" s="202" t="b">
        <v>0</v>
      </c>
      <c r="N259" s="202" t="b">
        <v>0</v>
      </c>
    </row>
    <row r="260">
      <c r="A260" s="201"/>
      <c r="B260" s="201"/>
      <c r="C260" s="202" t="b">
        <v>0</v>
      </c>
      <c r="D260" s="201"/>
      <c r="E260" s="201"/>
      <c r="F260" s="202" t="b">
        <v>0</v>
      </c>
      <c r="G260" s="202" t="b">
        <v>0</v>
      </c>
      <c r="H260" s="202" t="b">
        <v>0</v>
      </c>
      <c r="I260" s="202" t="b">
        <v>0</v>
      </c>
      <c r="J260" s="202" t="b">
        <v>0</v>
      </c>
      <c r="K260" s="202" t="b">
        <v>0</v>
      </c>
      <c r="L260" s="202" t="b">
        <v>0</v>
      </c>
      <c r="M260" s="202" t="b">
        <v>0</v>
      </c>
      <c r="N260" s="202" t="b">
        <v>0</v>
      </c>
    </row>
    <row r="261">
      <c r="A261" s="201"/>
      <c r="B261" s="201"/>
      <c r="C261" s="202" t="b">
        <v>0</v>
      </c>
      <c r="D261" s="201"/>
      <c r="E261" s="201"/>
      <c r="F261" s="202" t="b">
        <v>0</v>
      </c>
      <c r="G261" s="202" t="b">
        <v>0</v>
      </c>
      <c r="H261" s="202" t="b">
        <v>0</v>
      </c>
      <c r="I261" s="202" t="b">
        <v>0</v>
      </c>
      <c r="J261" s="202" t="b">
        <v>0</v>
      </c>
      <c r="K261" s="202" t="b">
        <v>0</v>
      </c>
      <c r="L261" s="202" t="b">
        <v>0</v>
      </c>
      <c r="M261" s="202" t="b">
        <v>0</v>
      </c>
      <c r="N261" s="202" t="b">
        <v>0</v>
      </c>
    </row>
    <row r="262">
      <c r="A262" s="201"/>
      <c r="B262" s="201"/>
      <c r="C262" s="202" t="b">
        <v>0</v>
      </c>
      <c r="D262" s="201"/>
      <c r="E262" s="201"/>
      <c r="F262" s="202" t="b">
        <v>0</v>
      </c>
      <c r="G262" s="202" t="b">
        <v>0</v>
      </c>
      <c r="H262" s="202" t="b">
        <v>0</v>
      </c>
      <c r="I262" s="202" t="b">
        <v>0</v>
      </c>
      <c r="J262" s="202" t="b">
        <v>0</v>
      </c>
      <c r="K262" s="202" t="b">
        <v>0</v>
      </c>
      <c r="L262" s="202" t="b">
        <v>0</v>
      </c>
      <c r="M262" s="202" t="b">
        <v>0</v>
      </c>
      <c r="N262" s="202" t="b">
        <v>0</v>
      </c>
    </row>
    <row r="263">
      <c r="A263" s="201"/>
      <c r="B263" s="201"/>
      <c r="C263" s="202" t="b">
        <v>0</v>
      </c>
      <c r="D263" s="201"/>
      <c r="E263" s="201"/>
      <c r="F263" s="202" t="b">
        <v>0</v>
      </c>
      <c r="G263" s="202" t="b">
        <v>0</v>
      </c>
      <c r="H263" s="202" t="b">
        <v>0</v>
      </c>
      <c r="I263" s="202" t="b">
        <v>0</v>
      </c>
      <c r="J263" s="202" t="b">
        <v>0</v>
      </c>
      <c r="K263" s="202" t="b">
        <v>0</v>
      </c>
      <c r="L263" s="202" t="b">
        <v>0</v>
      </c>
      <c r="M263" s="202" t="b">
        <v>0</v>
      </c>
      <c r="N263" s="202" t="b">
        <v>0</v>
      </c>
    </row>
    <row r="264">
      <c r="A264" s="201"/>
      <c r="B264" s="201"/>
      <c r="C264" s="202" t="b">
        <v>0</v>
      </c>
      <c r="D264" s="201"/>
      <c r="E264" s="201"/>
      <c r="F264" s="202" t="b">
        <v>0</v>
      </c>
      <c r="G264" s="202" t="b">
        <v>0</v>
      </c>
      <c r="H264" s="202" t="b">
        <v>0</v>
      </c>
      <c r="I264" s="202" t="b">
        <v>0</v>
      </c>
      <c r="J264" s="202" t="b">
        <v>0</v>
      </c>
      <c r="K264" s="202" t="b">
        <v>0</v>
      </c>
      <c r="L264" s="202" t="b">
        <v>0</v>
      </c>
      <c r="M264" s="202" t="b">
        <v>0</v>
      </c>
      <c r="N264" s="202" t="b">
        <v>0</v>
      </c>
    </row>
    <row r="265">
      <c r="A265" s="201"/>
      <c r="B265" s="201"/>
      <c r="C265" s="202" t="b">
        <v>0</v>
      </c>
      <c r="D265" s="201"/>
      <c r="E265" s="201"/>
      <c r="F265" s="202" t="b">
        <v>0</v>
      </c>
      <c r="G265" s="202" t="b">
        <v>0</v>
      </c>
      <c r="H265" s="202" t="b">
        <v>0</v>
      </c>
      <c r="I265" s="202" t="b">
        <v>0</v>
      </c>
      <c r="J265" s="202" t="b">
        <v>0</v>
      </c>
      <c r="K265" s="202" t="b">
        <v>0</v>
      </c>
      <c r="L265" s="202" t="b">
        <v>0</v>
      </c>
      <c r="M265" s="202" t="b">
        <v>0</v>
      </c>
      <c r="N265" s="202" t="b">
        <v>0</v>
      </c>
    </row>
    <row r="266">
      <c r="A266" s="201"/>
      <c r="B266" s="201"/>
      <c r="C266" s="202" t="b">
        <v>0</v>
      </c>
      <c r="D266" s="201"/>
      <c r="E266" s="201"/>
      <c r="F266" s="202" t="b">
        <v>0</v>
      </c>
      <c r="G266" s="202" t="b">
        <v>0</v>
      </c>
      <c r="H266" s="202" t="b">
        <v>0</v>
      </c>
      <c r="I266" s="202" t="b">
        <v>0</v>
      </c>
      <c r="J266" s="202" t="b">
        <v>0</v>
      </c>
      <c r="K266" s="202" t="b">
        <v>0</v>
      </c>
      <c r="L266" s="202" t="b">
        <v>0</v>
      </c>
      <c r="M266" s="202" t="b">
        <v>0</v>
      </c>
      <c r="N266" s="202" t="b">
        <v>0</v>
      </c>
    </row>
    <row r="267">
      <c r="A267" s="201"/>
      <c r="B267" s="201"/>
      <c r="C267" s="202" t="b">
        <v>0</v>
      </c>
      <c r="D267" s="201"/>
      <c r="E267" s="201"/>
      <c r="F267" s="202" t="b">
        <v>0</v>
      </c>
      <c r="G267" s="202" t="b">
        <v>0</v>
      </c>
      <c r="H267" s="202" t="b">
        <v>0</v>
      </c>
      <c r="I267" s="202" t="b">
        <v>0</v>
      </c>
      <c r="J267" s="202" t="b">
        <v>0</v>
      </c>
      <c r="K267" s="202" t="b">
        <v>0</v>
      </c>
      <c r="L267" s="202" t="b">
        <v>0</v>
      </c>
      <c r="M267" s="202" t="b">
        <v>0</v>
      </c>
      <c r="N267" s="202" t="b">
        <v>0</v>
      </c>
    </row>
    <row r="268">
      <c r="A268" s="201"/>
      <c r="B268" s="201"/>
      <c r="C268" s="202" t="b">
        <v>0</v>
      </c>
      <c r="D268" s="201"/>
      <c r="E268" s="201"/>
      <c r="F268" s="202" t="b">
        <v>0</v>
      </c>
      <c r="G268" s="202" t="b">
        <v>0</v>
      </c>
      <c r="H268" s="202" t="b">
        <v>0</v>
      </c>
      <c r="I268" s="202" t="b">
        <v>0</v>
      </c>
      <c r="J268" s="202" t="b">
        <v>0</v>
      </c>
      <c r="K268" s="202" t="b">
        <v>0</v>
      </c>
      <c r="L268" s="202" t="b">
        <v>0</v>
      </c>
      <c r="M268" s="202" t="b">
        <v>0</v>
      </c>
      <c r="N268" s="202" t="b">
        <v>0</v>
      </c>
    </row>
    <row r="269">
      <c r="A269" s="201"/>
      <c r="B269" s="201"/>
      <c r="C269" s="202" t="b">
        <v>0</v>
      </c>
      <c r="D269" s="201"/>
      <c r="E269" s="201"/>
      <c r="F269" s="202" t="b">
        <v>0</v>
      </c>
      <c r="G269" s="202" t="b">
        <v>0</v>
      </c>
      <c r="H269" s="202" t="b">
        <v>0</v>
      </c>
      <c r="I269" s="202" t="b">
        <v>0</v>
      </c>
      <c r="J269" s="202" t="b">
        <v>0</v>
      </c>
      <c r="K269" s="202" t="b">
        <v>0</v>
      </c>
      <c r="L269" s="202" t="b">
        <v>0</v>
      </c>
      <c r="M269" s="202" t="b">
        <v>0</v>
      </c>
      <c r="N269" s="202" t="b">
        <v>0</v>
      </c>
    </row>
    <row r="270">
      <c r="A270" s="201"/>
      <c r="B270" s="201"/>
      <c r="C270" s="202" t="b">
        <v>0</v>
      </c>
      <c r="D270" s="201"/>
      <c r="E270" s="201"/>
      <c r="F270" s="202" t="b">
        <v>0</v>
      </c>
      <c r="G270" s="202" t="b">
        <v>0</v>
      </c>
      <c r="H270" s="202" t="b">
        <v>0</v>
      </c>
      <c r="I270" s="202" t="b">
        <v>0</v>
      </c>
      <c r="J270" s="202" t="b">
        <v>0</v>
      </c>
      <c r="K270" s="202" t="b">
        <v>0</v>
      </c>
      <c r="L270" s="202" t="b">
        <v>0</v>
      </c>
      <c r="M270" s="202" t="b">
        <v>0</v>
      </c>
      <c r="N270" s="202" t="b">
        <v>0</v>
      </c>
    </row>
    <row r="271">
      <c r="A271" s="201"/>
      <c r="B271" s="201"/>
      <c r="C271" s="202" t="b">
        <v>0</v>
      </c>
      <c r="D271" s="201"/>
      <c r="E271" s="201"/>
      <c r="F271" s="202" t="b">
        <v>0</v>
      </c>
      <c r="G271" s="202" t="b">
        <v>0</v>
      </c>
      <c r="H271" s="202" t="b">
        <v>0</v>
      </c>
      <c r="I271" s="202" t="b">
        <v>0</v>
      </c>
      <c r="J271" s="202" t="b">
        <v>0</v>
      </c>
      <c r="K271" s="202" t="b">
        <v>0</v>
      </c>
      <c r="L271" s="202" t="b">
        <v>0</v>
      </c>
      <c r="M271" s="202" t="b">
        <v>0</v>
      </c>
      <c r="N271" s="202" t="b">
        <v>0</v>
      </c>
    </row>
    <row r="272">
      <c r="A272" s="201"/>
      <c r="B272" s="201"/>
      <c r="C272" s="202" t="b">
        <v>0</v>
      </c>
      <c r="D272" s="201"/>
      <c r="E272" s="201"/>
      <c r="F272" s="202" t="b">
        <v>0</v>
      </c>
      <c r="G272" s="202" t="b">
        <v>0</v>
      </c>
      <c r="H272" s="202" t="b">
        <v>0</v>
      </c>
      <c r="I272" s="202" t="b">
        <v>0</v>
      </c>
      <c r="J272" s="202" t="b">
        <v>0</v>
      </c>
      <c r="K272" s="202" t="b">
        <v>0</v>
      </c>
      <c r="L272" s="202" t="b">
        <v>0</v>
      </c>
      <c r="M272" s="202" t="b">
        <v>0</v>
      </c>
      <c r="N272" s="202" t="b">
        <v>0</v>
      </c>
    </row>
    <row r="273">
      <c r="A273" s="201"/>
      <c r="B273" s="201"/>
      <c r="C273" s="202" t="b">
        <v>0</v>
      </c>
      <c r="D273" s="201"/>
      <c r="E273" s="201"/>
      <c r="F273" s="202" t="b">
        <v>0</v>
      </c>
      <c r="G273" s="202" t="b">
        <v>0</v>
      </c>
      <c r="H273" s="202" t="b">
        <v>0</v>
      </c>
      <c r="I273" s="202" t="b">
        <v>0</v>
      </c>
      <c r="J273" s="202" t="b">
        <v>0</v>
      </c>
      <c r="K273" s="202" t="b">
        <v>0</v>
      </c>
      <c r="L273" s="202" t="b">
        <v>0</v>
      </c>
      <c r="M273" s="202" t="b">
        <v>0</v>
      </c>
      <c r="N273" s="202" t="b">
        <v>0</v>
      </c>
    </row>
    <row r="274">
      <c r="A274" s="201"/>
      <c r="B274" s="201"/>
      <c r="C274" s="202" t="b">
        <v>0</v>
      </c>
      <c r="D274" s="201"/>
      <c r="E274" s="201"/>
      <c r="F274" s="202" t="b">
        <v>0</v>
      </c>
      <c r="G274" s="202" t="b">
        <v>0</v>
      </c>
      <c r="H274" s="202" t="b">
        <v>0</v>
      </c>
      <c r="I274" s="202" t="b">
        <v>0</v>
      </c>
      <c r="J274" s="202" t="b">
        <v>0</v>
      </c>
      <c r="K274" s="202" t="b">
        <v>0</v>
      </c>
      <c r="L274" s="202" t="b">
        <v>0</v>
      </c>
      <c r="M274" s="202" t="b">
        <v>0</v>
      </c>
      <c r="N274" s="202" t="b">
        <v>0</v>
      </c>
    </row>
    <row r="275">
      <c r="A275" s="201"/>
      <c r="B275" s="201"/>
      <c r="C275" s="202" t="b">
        <v>0</v>
      </c>
      <c r="D275" s="201"/>
      <c r="E275" s="201"/>
      <c r="F275" s="202" t="b">
        <v>0</v>
      </c>
      <c r="G275" s="202" t="b">
        <v>0</v>
      </c>
      <c r="H275" s="202" t="b">
        <v>0</v>
      </c>
      <c r="I275" s="202" t="b">
        <v>0</v>
      </c>
      <c r="J275" s="202" t="b">
        <v>0</v>
      </c>
      <c r="K275" s="202" t="b">
        <v>0</v>
      </c>
      <c r="L275" s="202" t="b">
        <v>0</v>
      </c>
      <c r="M275" s="202" t="b">
        <v>0</v>
      </c>
      <c r="N275" s="202" t="b">
        <v>0</v>
      </c>
    </row>
    <row r="276">
      <c r="A276" s="201"/>
      <c r="B276" s="201"/>
      <c r="C276" s="202" t="b">
        <v>0</v>
      </c>
      <c r="D276" s="201"/>
      <c r="E276" s="201"/>
      <c r="F276" s="202" t="b">
        <v>0</v>
      </c>
      <c r="G276" s="202" t="b">
        <v>0</v>
      </c>
      <c r="H276" s="202" t="b">
        <v>0</v>
      </c>
      <c r="I276" s="202" t="b">
        <v>0</v>
      </c>
      <c r="J276" s="202" t="b">
        <v>0</v>
      </c>
      <c r="K276" s="202" t="b">
        <v>0</v>
      </c>
      <c r="L276" s="202" t="b">
        <v>0</v>
      </c>
      <c r="M276" s="202" t="b">
        <v>0</v>
      </c>
      <c r="N276" s="202" t="b">
        <v>0</v>
      </c>
    </row>
    <row r="277">
      <c r="A277" s="201"/>
      <c r="B277" s="201"/>
      <c r="C277" s="202" t="b">
        <v>0</v>
      </c>
      <c r="D277" s="201"/>
      <c r="E277" s="201"/>
      <c r="F277" s="202" t="b">
        <v>0</v>
      </c>
      <c r="G277" s="202" t="b">
        <v>0</v>
      </c>
      <c r="H277" s="202" t="b">
        <v>0</v>
      </c>
      <c r="I277" s="202" t="b">
        <v>0</v>
      </c>
      <c r="J277" s="202" t="b">
        <v>0</v>
      </c>
      <c r="K277" s="202" t="b">
        <v>0</v>
      </c>
      <c r="L277" s="202" t="b">
        <v>0</v>
      </c>
      <c r="M277" s="202" t="b">
        <v>0</v>
      </c>
      <c r="N277" s="202" t="b">
        <v>0</v>
      </c>
    </row>
    <row r="278">
      <c r="A278" s="201"/>
      <c r="B278" s="201"/>
      <c r="C278" s="202" t="b">
        <v>0</v>
      </c>
      <c r="D278" s="201"/>
      <c r="E278" s="201"/>
      <c r="F278" s="202" t="b">
        <v>0</v>
      </c>
      <c r="G278" s="202" t="b">
        <v>0</v>
      </c>
      <c r="H278" s="202" t="b">
        <v>0</v>
      </c>
      <c r="I278" s="202" t="b">
        <v>0</v>
      </c>
      <c r="J278" s="202" t="b">
        <v>0</v>
      </c>
      <c r="K278" s="202" t="b">
        <v>0</v>
      </c>
      <c r="L278" s="202" t="b">
        <v>0</v>
      </c>
      <c r="M278" s="202" t="b">
        <v>0</v>
      </c>
      <c r="N278" s="202" t="b">
        <v>0</v>
      </c>
    </row>
    <row r="279">
      <c r="A279" s="201"/>
      <c r="B279" s="201"/>
      <c r="C279" s="202" t="b">
        <v>0</v>
      </c>
      <c r="D279" s="201"/>
      <c r="E279" s="201"/>
      <c r="F279" s="202" t="b">
        <v>0</v>
      </c>
      <c r="G279" s="202" t="b">
        <v>0</v>
      </c>
      <c r="H279" s="202" t="b">
        <v>0</v>
      </c>
      <c r="I279" s="202" t="b">
        <v>0</v>
      </c>
      <c r="J279" s="202" t="b">
        <v>0</v>
      </c>
      <c r="K279" s="202" t="b">
        <v>0</v>
      </c>
      <c r="L279" s="202" t="b">
        <v>0</v>
      </c>
      <c r="M279" s="202" t="b">
        <v>0</v>
      </c>
      <c r="N279" s="202" t="b">
        <v>0</v>
      </c>
    </row>
    <row r="280">
      <c r="A280" s="201"/>
      <c r="B280" s="201"/>
      <c r="C280" s="202" t="b">
        <v>0</v>
      </c>
      <c r="D280" s="201"/>
      <c r="E280" s="201"/>
      <c r="F280" s="202" t="b">
        <v>0</v>
      </c>
      <c r="G280" s="202" t="b">
        <v>0</v>
      </c>
      <c r="H280" s="202" t="b">
        <v>0</v>
      </c>
      <c r="I280" s="202" t="b">
        <v>0</v>
      </c>
      <c r="J280" s="202" t="b">
        <v>0</v>
      </c>
      <c r="K280" s="202" t="b">
        <v>0</v>
      </c>
      <c r="L280" s="202" t="b">
        <v>0</v>
      </c>
      <c r="M280" s="202" t="b">
        <v>0</v>
      </c>
      <c r="N280" s="202" t="b">
        <v>0</v>
      </c>
    </row>
    <row r="281">
      <c r="A281" s="201"/>
      <c r="B281" s="201"/>
      <c r="C281" s="202" t="b">
        <v>0</v>
      </c>
      <c r="D281" s="201"/>
      <c r="E281" s="201"/>
      <c r="F281" s="202" t="b">
        <v>0</v>
      </c>
      <c r="G281" s="202" t="b">
        <v>0</v>
      </c>
      <c r="H281" s="202" t="b">
        <v>0</v>
      </c>
      <c r="I281" s="202" t="b">
        <v>0</v>
      </c>
      <c r="J281" s="202" t="b">
        <v>0</v>
      </c>
      <c r="K281" s="202" t="b">
        <v>0</v>
      </c>
      <c r="L281" s="202" t="b">
        <v>0</v>
      </c>
      <c r="M281" s="202" t="b">
        <v>0</v>
      </c>
      <c r="N281" s="202" t="b">
        <v>0</v>
      </c>
    </row>
    <row r="282">
      <c r="A282" s="201"/>
      <c r="B282" s="201"/>
      <c r="C282" s="202" t="b">
        <v>0</v>
      </c>
      <c r="D282" s="201"/>
      <c r="E282" s="201"/>
      <c r="F282" s="202" t="b">
        <v>0</v>
      </c>
      <c r="G282" s="202" t="b">
        <v>0</v>
      </c>
      <c r="H282" s="202" t="b">
        <v>0</v>
      </c>
      <c r="I282" s="202" t="b">
        <v>0</v>
      </c>
      <c r="J282" s="202" t="b">
        <v>0</v>
      </c>
      <c r="K282" s="202" t="b">
        <v>0</v>
      </c>
      <c r="L282" s="202" t="b">
        <v>0</v>
      </c>
      <c r="M282" s="202" t="b">
        <v>0</v>
      </c>
      <c r="N282" s="202" t="b">
        <v>0</v>
      </c>
    </row>
    <row r="283">
      <c r="A283" s="201"/>
      <c r="B283" s="201"/>
      <c r="C283" s="202" t="b">
        <v>0</v>
      </c>
      <c r="D283" s="201"/>
      <c r="E283" s="201"/>
      <c r="F283" s="202" t="b">
        <v>0</v>
      </c>
      <c r="G283" s="202" t="b">
        <v>0</v>
      </c>
      <c r="H283" s="202" t="b">
        <v>0</v>
      </c>
      <c r="I283" s="202" t="b">
        <v>0</v>
      </c>
      <c r="J283" s="202" t="b">
        <v>0</v>
      </c>
      <c r="K283" s="202" t="b">
        <v>0</v>
      </c>
      <c r="L283" s="202" t="b">
        <v>0</v>
      </c>
      <c r="M283" s="202" t="b">
        <v>0</v>
      </c>
      <c r="N283" s="202" t="b">
        <v>0</v>
      </c>
    </row>
    <row r="284">
      <c r="A284" s="201"/>
      <c r="B284" s="201"/>
      <c r="C284" s="202" t="b">
        <v>0</v>
      </c>
      <c r="D284" s="201"/>
      <c r="E284" s="201"/>
      <c r="F284" s="202" t="b">
        <v>0</v>
      </c>
      <c r="G284" s="202" t="b">
        <v>0</v>
      </c>
      <c r="H284" s="202" t="b">
        <v>0</v>
      </c>
      <c r="I284" s="202" t="b">
        <v>0</v>
      </c>
      <c r="J284" s="202" t="b">
        <v>0</v>
      </c>
      <c r="K284" s="202" t="b">
        <v>0</v>
      </c>
      <c r="L284" s="202" t="b">
        <v>0</v>
      </c>
      <c r="M284" s="202" t="b">
        <v>0</v>
      </c>
      <c r="N284" s="202" t="b">
        <v>0</v>
      </c>
    </row>
    <row r="285">
      <c r="A285" s="201"/>
      <c r="B285" s="201"/>
      <c r="C285" s="202" t="b">
        <v>0</v>
      </c>
      <c r="D285" s="201"/>
      <c r="E285" s="201"/>
      <c r="F285" s="202" t="b">
        <v>0</v>
      </c>
      <c r="G285" s="202" t="b">
        <v>0</v>
      </c>
      <c r="H285" s="202" t="b">
        <v>0</v>
      </c>
      <c r="I285" s="202" t="b">
        <v>0</v>
      </c>
      <c r="J285" s="202" t="b">
        <v>0</v>
      </c>
      <c r="K285" s="202" t="b">
        <v>0</v>
      </c>
      <c r="L285" s="202" t="b">
        <v>0</v>
      </c>
      <c r="M285" s="202" t="b">
        <v>0</v>
      </c>
      <c r="N285" s="202" t="b">
        <v>0</v>
      </c>
    </row>
    <row r="286">
      <c r="A286" s="201"/>
      <c r="B286" s="201"/>
      <c r="C286" s="202" t="b">
        <v>0</v>
      </c>
      <c r="D286" s="201"/>
      <c r="E286" s="201"/>
      <c r="F286" s="202" t="b">
        <v>0</v>
      </c>
      <c r="G286" s="202" t="b">
        <v>0</v>
      </c>
      <c r="H286" s="202" t="b">
        <v>0</v>
      </c>
      <c r="I286" s="202" t="b">
        <v>0</v>
      </c>
      <c r="J286" s="202" t="b">
        <v>0</v>
      </c>
      <c r="K286" s="202" t="b">
        <v>0</v>
      </c>
      <c r="L286" s="202" t="b">
        <v>0</v>
      </c>
      <c r="M286" s="202" t="b">
        <v>0</v>
      </c>
      <c r="N286" s="202" t="b">
        <v>0</v>
      </c>
    </row>
    <row r="287">
      <c r="A287" s="201"/>
      <c r="B287" s="201"/>
      <c r="C287" s="202" t="b">
        <v>0</v>
      </c>
      <c r="D287" s="201"/>
      <c r="E287" s="201"/>
      <c r="F287" s="202" t="b">
        <v>0</v>
      </c>
      <c r="G287" s="202" t="b">
        <v>0</v>
      </c>
      <c r="H287" s="202" t="b">
        <v>0</v>
      </c>
      <c r="I287" s="202" t="b">
        <v>0</v>
      </c>
      <c r="J287" s="202" t="b">
        <v>0</v>
      </c>
      <c r="K287" s="202" t="b">
        <v>0</v>
      </c>
      <c r="L287" s="202" t="b">
        <v>0</v>
      </c>
      <c r="M287" s="202" t="b">
        <v>0</v>
      </c>
      <c r="N287" s="202" t="b">
        <v>0</v>
      </c>
    </row>
    <row r="288">
      <c r="A288" s="201"/>
      <c r="B288" s="201"/>
      <c r="C288" s="202" t="b">
        <v>0</v>
      </c>
      <c r="D288" s="201"/>
      <c r="E288" s="201"/>
      <c r="F288" s="202" t="b">
        <v>0</v>
      </c>
      <c r="G288" s="202" t="b">
        <v>0</v>
      </c>
      <c r="H288" s="202" t="b">
        <v>0</v>
      </c>
      <c r="I288" s="202" t="b">
        <v>0</v>
      </c>
      <c r="J288" s="202" t="b">
        <v>0</v>
      </c>
      <c r="K288" s="202" t="b">
        <v>0</v>
      </c>
      <c r="L288" s="202" t="b">
        <v>0</v>
      </c>
      <c r="M288" s="202" t="b">
        <v>0</v>
      </c>
      <c r="N288" s="202" t="b">
        <v>0</v>
      </c>
    </row>
    <row r="289">
      <c r="A289" s="201"/>
      <c r="B289" s="201"/>
      <c r="C289" s="202" t="b">
        <v>0</v>
      </c>
      <c r="D289" s="201"/>
      <c r="E289" s="201"/>
      <c r="F289" s="202" t="b">
        <v>0</v>
      </c>
      <c r="G289" s="202" t="b">
        <v>0</v>
      </c>
      <c r="H289" s="202" t="b">
        <v>0</v>
      </c>
      <c r="I289" s="202" t="b">
        <v>0</v>
      </c>
      <c r="J289" s="202" t="b">
        <v>0</v>
      </c>
      <c r="K289" s="202" t="b">
        <v>0</v>
      </c>
      <c r="L289" s="202" t="b">
        <v>0</v>
      </c>
      <c r="M289" s="202" t="b">
        <v>0</v>
      </c>
      <c r="N289" s="202" t="b">
        <v>0</v>
      </c>
    </row>
    <row r="290">
      <c r="A290" s="201"/>
      <c r="B290" s="201"/>
      <c r="C290" s="202" t="b">
        <v>0</v>
      </c>
      <c r="D290" s="201"/>
      <c r="E290" s="201"/>
      <c r="F290" s="202" t="b">
        <v>0</v>
      </c>
      <c r="G290" s="202" t="b">
        <v>0</v>
      </c>
      <c r="H290" s="202" t="b">
        <v>0</v>
      </c>
      <c r="I290" s="202" t="b">
        <v>0</v>
      </c>
      <c r="J290" s="202" t="b">
        <v>0</v>
      </c>
      <c r="K290" s="202" t="b">
        <v>0</v>
      </c>
      <c r="L290" s="202" t="b">
        <v>0</v>
      </c>
      <c r="M290" s="202" t="b">
        <v>0</v>
      </c>
      <c r="N290" s="202" t="b">
        <v>0</v>
      </c>
    </row>
    <row r="291">
      <c r="A291" s="201"/>
      <c r="B291" s="201"/>
      <c r="C291" s="202" t="b">
        <v>0</v>
      </c>
      <c r="D291" s="201"/>
      <c r="E291" s="201"/>
      <c r="F291" s="202" t="b">
        <v>0</v>
      </c>
      <c r="G291" s="202" t="b">
        <v>0</v>
      </c>
      <c r="H291" s="202" t="b">
        <v>0</v>
      </c>
      <c r="I291" s="202" t="b">
        <v>0</v>
      </c>
      <c r="J291" s="202" t="b">
        <v>0</v>
      </c>
      <c r="K291" s="202" t="b">
        <v>0</v>
      </c>
      <c r="L291" s="202" t="b">
        <v>0</v>
      </c>
      <c r="M291" s="202" t="b">
        <v>0</v>
      </c>
      <c r="N291" s="202" t="b">
        <v>0</v>
      </c>
    </row>
    <row r="292">
      <c r="A292" s="201"/>
      <c r="B292" s="201"/>
      <c r="C292" s="202" t="b">
        <v>0</v>
      </c>
      <c r="D292" s="201"/>
      <c r="E292" s="201"/>
      <c r="F292" s="202" t="b">
        <v>0</v>
      </c>
      <c r="G292" s="202" t="b">
        <v>0</v>
      </c>
      <c r="H292" s="202" t="b">
        <v>0</v>
      </c>
      <c r="I292" s="202" t="b">
        <v>0</v>
      </c>
      <c r="J292" s="202" t="b">
        <v>0</v>
      </c>
      <c r="K292" s="202" t="b">
        <v>0</v>
      </c>
      <c r="L292" s="202" t="b">
        <v>0</v>
      </c>
      <c r="M292" s="202" t="b">
        <v>0</v>
      </c>
      <c r="N292" s="202" t="b">
        <v>0</v>
      </c>
    </row>
    <row r="293">
      <c r="A293" s="201"/>
      <c r="B293" s="201"/>
      <c r="C293" s="202" t="b">
        <v>0</v>
      </c>
      <c r="D293" s="201"/>
      <c r="E293" s="201"/>
      <c r="F293" s="202" t="b">
        <v>0</v>
      </c>
      <c r="G293" s="202" t="b">
        <v>0</v>
      </c>
      <c r="H293" s="202" t="b">
        <v>0</v>
      </c>
      <c r="I293" s="202" t="b">
        <v>0</v>
      </c>
      <c r="J293" s="202" t="b">
        <v>0</v>
      </c>
      <c r="K293" s="202" t="b">
        <v>0</v>
      </c>
      <c r="L293" s="202" t="b">
        <v>0</v>
      </c>
      <c r="M293" s="202" t="b">
        <v>0</v>
      </c>
      <c r="N293" s="202" t="b">
        <v>0</v>
      </c>
    </row>
    <row r="294">
      <c r="A294" s="201"/>
      <c r="B294" s="201"/>
      <c r="C294" s="202" t="b">
        <v>0</v>
      </c>
      <c r="D294" s="201"/>
      <c r="E294" s="201"/>
      <c r="F294" s="202" t="b">
        <v>0</v>
      </c>
      <c r="G294" s="202" t="b">
        <v>0</v>
      </c>
      <c r="H294" s="202" t="b">
        <v>0</v>
      </c>
      <c r="I294" s="202" t="b">
        <v>0</v>
      </c>
      <c r="J294" s="202" t="b">
        <v>0</v>
      </c>
      <c r="K294" s="202" t="b">
        <v>0</v>
      </c>
      <c r="L294" s="202" t="b">
        <v>0</v>
      </c>
      <c r="M294" s="202" t="b">
        <v>0</v>
      </c>
      <c r="N294" s="202" t="b">
        <v>0</v>
      </c>
    </row>
    <row r="295">
      <c r="A295" s="201"/>
      <c r="B295" s="201"/>
      <c r="C295" s="202" t="b">
        <v>0</v>
      </c>
      <c r="D295" s="201"/>
      <c r="E295" s="201"/>
      <c r="F295" s="202" t="b">
        <v>0</v>
      </c>
      <c r="G295" s="202" t="b">
        <v>0</v>
      </c>
      <c r="H295" s="202" t="b">
        <v>0</v>
      </c>
      <c r="I295" s="202" t="b">
        <v>0</v>
      </c>
      <c r="J295" s="202" t="b">
        <v>0</v>
      </c>
      <c r="K295" s="202" t="b">
        <v>0</v>
      </c>
      <c r="L295" s="202" t="b">
        <v>0</v>
      </c>
      <c r="M295" s="202" t="b">
        <v>0</v>
      </c>
      <c r="N295" s="202" t="b">
        <v>0</v>
      </c>
    </row>
    <row r="296">
      <c r="A296" s="201"/>
      <c r="B296" s="201"/>
      <c r="C296" s="202" t="b">
        <v>0</v>
      </c>
      <c r="D296" s="201"/>
      <c r="E296" s="201"/>
      <c r="F296" s="202" t="b">
        <v>0</v>
      </c>
      <c r="G296" s="202" t="b">
        <v>0</v>
      </c>
      <c r="H296" s="202" t="b">
        <v>0</v>
      </c>
      <c r="I296" s="202" t="b">
        <v>0</v>
      </c>
      <c r="J296" s="202" t="b">
        <v>0</v>
      </c>
      <c r="K296" s="202" t="b">
        <v>0</v>
      </c>
      <c r="L296" s="202" t="b">
        <v>0</v>
      </c>
      <c r="M296" s="202" t="b">
        <v>0</v>
      </c>
      <c r="N296" s="202" t="b">
        <v>0</v>
      </c>
    </row>
    <row r="297">
      <c r="A297" s="201"/>
      <c r="B297" s="201"/>
      <c r="C297" s="202" t="b">
        <v>0</v>
      </c>
      <c r="D297" s="201"/>
      <c r="E297" s="201"/>
      <c r="F297" s="202" t="b">
        <v>0</v>
      </c>
      <c r="G297" s="202" t="b">
        <v>0</v>
      </c>
      <c r="H297" s="202" t="b">
        <v>0</v>
      </c>
      <c r="I297" s="202" t="b">
        <v>0</v>
      </c>
      <c r="J297" s="202" t="b">
        <v>0</v>
      </c>
      <c r="K297" s="202" t="b">
        <v>0</v>
      </c>
      <c r="L297" s="202" t="b">
        <v>0</v>
      </c>
      <c r="M297" s="202" t="b">
        <v>0</v>
      </c>
      <c r="N297" s="202" t="b">
        <v>0</v>
      </c>
    </row>
    <row r="298">
      <c r="A298" s="201"/>
      <c r="B298" s="201"/>
      <c r="C298" s="202" t="b">
        <v>0</v>
      </c>
      <c r="D298" s="201"/>
      <c r="E298" s="201"/>
      <c r="F298" s="202" t="b">
        <v>0</v>
      </c>
      <c r="G298" s="202" t="b">
        <v>0</v>
      </c>
      <c r="H298" s="202" t="b">
        <v>0</v>
      </c>
      <c r="I298" s="202" t="b">
        <v>0</v>
      </c>
      <c r="J298" s="202" t="b">
        <v>0</v>
      </c>
      <c r="K298" s="202" t="b">
        <v>0</v>
      </c>
      <c r="L298" s="202" t="b">
        <v>0</v>
      </c>
      <c r="M298" s="202" t="b">
        <v>0</v>
      </c>
      <c r="N298" s="202" t="b">
        <v>0</v>
      </c>
    </row>
    <row r="299">
      <c r="A299" s="201"/>
      <c r="B299" s="201"/>
      <c r="C299" s="202" t="b">
        <v>0</v>
      </c>
      <c r="D299" s="201"/>
      <c r="E299" s="201"/>
      <c r="F299" s="202" t="b">
        <v>0</v>
      </c>
      <c r="G299" s="202" t="b">
        <v>0</v>
      </c>
      <c r="H299" s="202" t="b">
        <v>0</v>
      </c>
      <c r="I299" s="202" t="b">
        <v>0</v>
      </c>
      <c r="J299" s="202" t="b">
        <v>0</v>
      </c>
      <c r="K299" s="202" t="b">
        <v>0</v>
      </c>
      <c r="L299" s="202" t="b">
        <v>0</v>
      </c>
      <c r="M299" s="202" t="b">
        <v>0</v>
      </c>
      <c r="N299" s="202" t="b">
        <v>0</v>
      </c>
    </row>
    <row r="300">
      <c r="A300" s="201"/>
      <c r="B300" s="201"/>
      <c r="C300" s="202" t="b">
        <v>0</v>
      </c>
      <c r="D300" s="201"/>
      <c r="E300" s="201"/>
      <c r="F300" s="202" t="b">
        <v>0</v>
      </c>
      <c r="G300" s="202" t="b">
        <v>0</v>
      </c>
      <c r="H300" s="202" t="b">
        <v>0</v>
      </c>
      <c r="I300" s="202" t="b">
        <v>0</v>
      </c>
      <c r="J300" s="202" t="b">
        <v>0</v>
      </c>
      <c r="K300" s="202" t="b">
        <v>0</v>
      </c>
      <c r="L300" s="202" t="b">
        <v>0</v>
      </c>
      <c r="M300" s="202" t="b">
        <v>0</v>
      </c>
      <c r="N300" s="202" t="b">
        <v>0</v>
      </c>
    </row>
    <row r="301">
      <c r="A301" s="201"/>
      <c r="B301" s="201"/>
      <c r="C301" s="202" t="b">
        <v>0</v>
      </c>
      <c r="D301" s="201"/>
      <c r="E301" s="201"/>
      <c r="F301" s="202" t="b">
        <v>0</v>
      </c>
      <c r="G301" s="202" t="b">
        <v>0</v>
      </c>
      <c r="H301" s="202" t="b">
        <v>0</v>
      </c>
      <c r="I301" s="202" t="b">
        <v>0</v>
      </c>
      <c r="J301" s="202" t="b">
        <v>0</v>
      </c>
      <c r="K301" s="202" t="b">
        <v>0</v>
      </c>
      <c r="L301" s="202" t="b">
        <v>0</v>
      </c>
      <c r="M301" s="202" t="b">
        <v>0</v>
      </c>
      <c r="N301" s="202" t="b">
        <v>0</v>
      </c>
    </row>
    <row r="302">
      <c r="A302" s="201"/>
      <c r="B302" s="201"/>
      <c r="C302" s="202" t="b">
        <v>0</v>
      </c>
      <c r="D302" s="201"/>
      <c r="E302" s="201"/>
      <c r="F302" s="202" t="b">
        <v>0</v>
      </c>
      <c r="G302" s="202" t="b">
        <v>0</v>
      </c>
      <c r="H302" s="202" t="b">
        <v>0</v>
      </c>
      <c r="I302" s="202" t="b">
        <v>0</v>
      </c>
      <c r="J302" s="202" t="b">
        <v>0</v>
      </c>
      <c r="K302" s="202" t="b">
        <v>0</v>
      </c>
      <c r="L302" s="202" t="b">
        <v>0</v>
      </c>
      <c r="M302" s="202" t="b">
        <v>0</v>
      </c>
      <c r="N302" s="202" t="b">
        <v>0</v>
      </c>
    </row>
    <row r="303">
      <c r="A303" s="201"/>
      <c r="B303" s="201"/>
      <c r="C303" s="202" t="b">
        <v>0</v>
      </c>
      <c r="D303" s="201"/>
      <c r="E303" s="201"/>
      <c r="F303" s="202" t="b">
        <v>0</v>
      </c>
      <c r="G303" s="202" t="b">
        <v>0</v>
      </c>
      <c r="H303" s="202" t="b">
        <v>0</v>
      </c>
      <c r="I303" s="202" t="b">
        <v>0</v>
      </c>
      <c r="J303" s="202" t="b">
        <v>0</v>
      </c>
      <c r="K303" s="202" t="b">
        <v>0</v>
      </c>
      <c r="L303" s="202" t="b">
        <v>0</v>
      </c>
      <c r="M303" s="202" t="b">
        <v>0</v>
      </c>
      <c r="N303" s="202" t="b">
        <v>0</v>
      </c>
    </row>
    <row r="304">
      <c r="A304" s="201"/>
      <c r="B304" s="201"/>
      <c r="C304" s="202" t="b">
        <v>0</v>
      </c>
      <c r="D304" s="201"/>
      <c r="E304" s="201"/>
      <c r="F304" s="202" t="b">
        <v>0</v>
      </c>
      <c r="G304" s="202" t="b">
        <v>0</v>
      </c>
      <c r="H304" s="202" t="b">
        <v>0</v>
      </c>
      <c r="I304" s="202" t="b">
        <v>0</v>
      </c>
      <c r="J304" s="202" t="b">
        <v>0</v>
      </c>
      <c r="K304" s="202" t="b">
        <v>0</v>
      </c>
      <c r="L304" s="202" t="b">
        <v>0</v>
      </c>
      <c r="M304" s="202" t="b">
        <v>0</v>
      </c>
      <c r="N304" s="202" t="b">
        <v>0</v>
      </c>
    </row>
    <row r="305">
      <c r="A305" s="201"/>
      <c r="B305" s="201"/>
      <c r="C305" s="202" t="b">
        <v>0</v>
      </c>
      <c r="D305" s="201"/>
      <c r="E305" s="201"/>
      <c r="F305" s="202" t="b">
        <v>0</v>
      </c>
      <c r="G305" s="202" t="b">
        <v>0</v>
      </c>
      <c r="H305" s="202" t="b">
        <v>0</v>
      </c>
      <c r="I305" s="202" t="b">
        <v>0</v>
      </c>
      <c r="J305" s="202" t="b">
        <v>0</v>
      </c>
      <c r="K305" s="202" t="b">
        <v>0</v>
      </c>
      <c r="L305" s="202" t="b">
        <v>0</v>
      </c>
      <c r="M305" s="202" t="b">
        <v>0</v>
      </c>
      <c r="N305" s="202" t="b">
        <v>0</v>
      </c>
    </row>
    <row r="306">
      <c r="A306" s="201"/>
      <c r="B306" s="201"/>
      <c r="C306" s="202" t="b">
        <v>0</v>
      </c>
      <c r="D306" s="201"/>
      <c r="E306" s="201"/>
      <c r="F306" s="202" t="b">
        <v>0</v>
      </c>
      <c r="G306" s="202" t="b">
        <v>0</v>
      </c>
      <c r="H306" s="202" t="b">
        <v>0</v>
      </c>
      <c r="I306" s="202" t="b">
        <v>0</v>
      </c>
      <c r="J306" s="202" t="b">
        <v>0</v>
      </c>
      <c r="K306" s="202" t="b">
        <v>0</v>
      </c>
      <c r="L306" s="202" t="b">
        <v>0</v>
      </c>
      <c r="M306" s="202" t="b">
        <v>0</v>
      </c>
      <c r="N306" s="202" t="b">
        <v>0</v>
      </c>
    </row>
    <row r="307">
      <c r="A307" s="201"/>
      <c r="B307" s="201"/>
      <c r="C307" s="202" t="b">
        <v>0</v>
      </c>
      <c r="D307" s="201"/>
      <c r="E307" s="201"/>
      <c r="F307" s="202" t="b">
        <v>0</v>
      </c>
      <c r="G307" s="202" t="b">
        <v>0</v>
      </c>
      <c r="H307" s="202" t="b">
        <v>0</v>
      </c>
      <c r="I307" s="202" t="b">
        <v>0</v>
      </c>
      <c r="J307" s="202" t="b">
        <v>0</v>
      </c>
      <c r="K307" s="202" t="b">
        <v>0</v>
      </c>
      <c r="L307" s="202" t="b">
        <v>0</v>
      </c>
      <c r="M307" s="202" t="b">
        <v>0</v>
      </c>
      <c r="N307" s="202" t="b">
        <v>0</v>
      </c>
    </row>
    <row r="308">
      <c r="A308" s="201"/>
      <c r="B308" s="201"/>
      <c r="C308" s="202" t="b">
        <v>0</v>
      </c>
      <c r="D308" s="201"/>
      <c r="E308" s="201"/>
      <c r="F308" s="202" t="b">
        <v>0</v>
      </c>
      <c r="G308" s="202" t="b">
        <v>0</v>
      </c>
      <c r="H308" s="202" t="b">
        <v>0</v>
      </c>
      <c r="I308" s="202" t="b">
        <v>0</v>
      </c>
      <c r="J308" s="202" t="b">
        <v>0</v>
      </c>
      <c r="K308" s="202" t="b">
        <v>0</v>
      </c>
      <c r="L308" s="202" t="b">
        <v>0</v>
      </c>
      <c r="M308" s="202" t="b">
        <v>0</v>
      </c>
      <c r="N308" s="202" t="b">
        <v>0</v>
      </c>
    </row>
    <row r="309">
      <c r="A309" s="201"/>
      <c r="B309" s="201"/>
      <c r="C309" s="202" t="b">
        <v>0</v>
      </c>
      <c r="D309" s="201"/>
      <c r="E309" s="201"/>
      <c r="F309" s="202" t="b">
        <v>0</v>
      </c>
      <c r="G309" s="202" t="b">
        <v>0</v>
      </c>
      <c r="H309" s="202" t="b">
        <v>0</v>
      </c>
      <c r="I309" s="202" t="b">
        <v>0</v>
      </c>
      <c r="J309" s="202" t="b">
        <v>0</v>
      </c>
      <c r="K309" s="202" t="b">
        <v>0</v>
      </c>
      <c r="L309" s="202" t="b">
        <v>0</v>
      </c>
      <c r="M309" s="202" t="b">
        <v>0</v>
      </c>
      <c r="N309" s="202" t="b">
        <v>0</v>
      </c>
    </row>
    <row r="310">
      <c r="A310" s="201"/>
      <c r="B310" s="201"/>
      <c r="C310" s="202" t="b">
        <v>0</v>
      </c>
      <c r="D310" s="201"/>
      <c r="E310" s="201"/>
      <c r="F310" s="202" t="b">
        <v>0</v>
      </c>
      <c r="G310" s="202" t="b">
        <v>0</v>
      </c>
      <c r="H310" s="202" t="b">
        <v>0</v>
      </c>
      <c r="I310" s="202" t="b">
        <v>0</v>
      </c>
      <c r="J310" s="202" t="b">
        <v>0</v>
      </c>
      <c r="K310" s="202" t="b">
        <v>0</v>
      </c>
      <c r="L310" s="202" t="b">
        <v>0</v>
      </c>
      <c r="M310" s="202" t="b">
        <v>0</v>
      </c>
      <c r="N310" s="202" t="b">
        <v>0</v>
      </c>
    </row>
    <row r="311">
      <c r="A311" s="201"/>
      <c r="B311" s="201"/>
      <c r="C311" s="202" t="b">
        <v>0</v>
      </c>
      <c r="D311" s="201"/>
      <c r="E311" s="201"/>
      <c r="F311" s="202" t="b">
        <v>0</v>
      </c>
      <c r="G311" s="202" t="b">
        <v>0</v>
      </c>
      <c r="H311" s="202" t="b">
        <v>0</v>
      </c>
      <c r="I311" s="202" t="b">
        <v>0</v>
      </c>
      <c r="J311" s="202" t="b">
        <v>0</v>
      </c>
      <c r="K311" s="202" t="b">
        <v>0</v>
      </c>
      <c r="L311" s="202" t="b">
        <v>0</v>
      </c>
      <c r="M311" s="202" t="b">
        <v>0</v>
      </c>
      <c r="N311" s="202" t="b">
        <v>0</v>
      </c>
    </row>
    <row r="312">
      <c r="A312" s="201"/>
      <c r="B312" s="201"/>
      <c r="C312" s="202" t="b">
        <v>0</v>
      </c>
      <c r="D312" s="201"/>
      <c r="E312" s="201"/>
      <c r="F312" s="202" t="b">
        <v>0</v>
      </c>
      <c r="G312" s="202" t="b">
        <v>0</v>
      </c>
      <c r="H312" s="202" t="b">
        <v>0</v>
      </c>
      <c r="I312" s="202" t="b">
        <v>0</v>
      </c>
      <c r="J312" s="202" t="b">
        <v>0</v>
      </c>
      <c r="K312" s="202" t="b">
        <v>0</v>
      </c>
      <c r="L312" s="202" t="b">
        <v>0</v>
      </c>
      <c r="M312" s="202" t="b">
        <v>0</v>
      </c>
      <c r="N312" s="202" t="b">
        <v>0</v>
      </c>
    </row>
    <row r="313">
      <c r="A313" s="201"/>
      <c r="B313" s="201"/>
      <c r="C313" s="202" t="b">
        <v>0</v>
      </c>
      <c r="D313" s="201"/>
      <c r="E313" s="201"/>
      <c r="F313" s="202" t="b">
        <v>0</v>
      </c>
      <c r="G313" s="202" t="b">
        <v>0</v>
      </c>
      <c r="H313" s="202" t="b">
        <v>0</v>
      </c>
      <c r="I313" s="202" t="b">
        <v>0</v>
      </c>
      <c r="J313" s="202" t="b">
        <v>0</v>
      </c>
      <c r="K313" s="202" t="b">
        <v>0</v>
      </c>
      <c r="L313" s="202" t="b">
        <v>0</v>
      </c>
      <c r="M313" s="202" t="b">
        <v>0</v>
      </c>
      <c r="N313" s="202" t="b">
        <v>0</v>
      </c>
    </row>
    <row r="314">
      <c r="A314" s="201"/>
      <c r="B314" s="201"/>
      <c r="C314" s="202" t="b">
        <v>0</v>
      </c>
      <c r="D314" s="201"/>
      <c r="E314" s="201"/>
      <c r="F314" s="202" t="b">
        <v>0</v>
      </c>
      <c r="G314" s="202" t="b">
        <v>0</v>
      </c>
      <c r="H314" s="202" t="b">
        <v>0</v>
      </c>
      <c r="I314" s="202" t="b">
        <v>0</v>
      </c>
      <c r="J314" s="202" t="b">
        <v>0</v>
      </c>
      <c r="K314" s="202" t="b">
        <v>0</v>
      </c>
      <c r="L314" s="202" t="b">
        <v>0</v>
      </c>
      <c r="M314" s="202" t="b">
        <v>0</v>
      </c>
      <c r="N314" s="202" t="b">
        <v>0</v>
      </c>
    </row>
    <row r="315">
      <c r="A315" s="201"/>
      <c r="B315" s="201"/>
      <c r="C315" s="202" t="b">
        <v>0</v>
      </c>
      <c r="D315" s="201"/>
      <c r="E315" s="201"/>
      <c r="F315" s="202" t="b">
        <v>0</v>
      </c>
      <c r="G315" s="202" t="b">
        <v>0</v>
      </c>
      <c r="H315" s="202" t="b">
        <v>0</v>
      </c>
      <c r="I315" s="202" t="b">
        <v>0</v>
      </c>
      <c r="J315" s="202" t="b">
        <v>0</v>
      </c>
      <c r="K315" s="202" t="b">
        <v>0</v>
      </c>
      <c r="L315" s="202" t="b">
        <v>0</v>
      </c>
      <c r="M315" s="202" t="b">
        <v>0</v>
      </c>
      <c r="N315" s="202" t="b">
        <v>0</v>
      </c>
    </row>
    <row r="316">
      <c r="A316" s="201"/>
      <c r="B316" s="201"/>
      <c r="C316" s="202" t="b">
        <v>0</v>
      </c>
      <c r="D316" s="201"/>
      <c r="E316" s="201"/>
      <c r="F316" s="202" t="b">
        <v>0</v>
      </c>
      <c r="G316" s="202" t="b">
        <v>0</v>
      </c>
      <c r="H316" s="202" t="b">
        <v>0</v>
      </c>
      <c r="I316" s="202" t="b">
        <v>0</v>
      </c>
      <c r="J316" s="202" t="b">
        <v>0</v>
      </c>
      <c r="K316" s="202" t="b">
        <v>0</v>
      </c>
      <c r="L316" s="202" t="b">
        <v>0</v>
      </c>
      <c r="M316" s="202" t="b">
        <v>0</v>
      </c>
      <c r="N316" s="202" t="b">
        <v>0</v>
      </c>
    </row>
    <row r="317">
      <c r="A317" s="201"/>
      <c r="B317" s="201"/>
      <c r="C317" s="202" t="b">
        <v>0</v>
      </c>
      <c r="D317" s="201"/>
      <c r="E317" s="201"/>
      <c r="F317" s="202" t="b">
        <v>0</v>
      </c>
      <c r="G317" s="202" t="b">
        <v>0</v>
      </c>
      <c r="H317" s="202" t="b">
        <v>0</v>
      </c>
      <c r="I317" s="202" t="b">
        <v>0</v>
      </c>
      <c r="J317" s="202" t="b">
        <v>0</v>
      </c>
      <c r="K317" s="202" t="b">
        <v>0</v>
      </c>
      <c r="L317" s="202" t="b">
        <v>0</v>
      </c>
      <c r="M317" s="202" t="b">
        <v>0</v>
      </c>
      <c r="N317" s="202" t="b">
        <v>0</v>
      </c>
    </row>
    <row r="318">
      <c r="A318" s="201"/>
      <c r="B318" s="201"/>
      <c r="C318" s="202" t="b">
        <v>0</v>
      </c>
      <c r="D318" s="201"/>
      <c r="E318" s="201"/>
      <c r="F318" s="202" t="b">
        <v>0</v>
      </c>
      <c r="G318" s="202" t="b">
        <v>0</v>
      </c>
      <c r="H318" s="202" t="b">
        <v>0</v>
      </c>
      <c r="I318" s="202" t="b">
        <v>0</v>
      </c>
      <c r="J318" s="202" t="b">
        <v>0</v>
      </c>
      <c r="K318" s="202" t="b">
        <v>0</v>
      </c>
      <c r="L318" s="202" t="b">
        <v>0</v>
      </c>
      <c r="M318" s="202" t="b">
        <v>0</v>
      </c>
      <c r="N318" s="202" t="b">
        <v>0</v>
      </c>
    </row>
    <row r="319">
      <c r="A319" s="201"/>
      <c r="B319" s="201"/>
      <c r="C319" s="202" t="b">
        <v>0</v>
      </c>
      <c r="D319" s="201"/>
      <c r="E319" s="201"/>
      <c r="F319" s="202" t="b">
        <v>0</v>
      </c>
      <c r="G319" s="202" t="b">
        <v>0</v>
      </c>
      <c r="H319" s="202" t="b">
        <v>0</v>
      </c>
      <c r="I319" s="202" t="b">
        <v>0</v>
      </c>
      <c r="J319" s="202" t="b">
        <v>0</v>
      </c>
      <c r="K319" s="202" t="b">
        <v>0</v>
      </c>
      <c r="L319" s="202" t="b">
        <v>0</v>
      </c>
      <c r="M319" s="202" t="b">
        <v>0</v>
      </c>
      <c r="N319" s="202" t="b">
        <v>0</v>
      </c>
    </row>
    <row r="320">
      <c r="A320" s="201"/>
      <c r="B320" s="201"/>
      <c r="C320" s="202" t="b">
        <v>0</v>
      </c>
      <c r="D320" s="201"/>
      <c r="E320" s="201"/>
      <c r="F320" s="202" t="b">
        <v>0</v>
      </c>
      <c r="G320" s="202" t="b">
        <v>0</v>
      </c>
      <c r="H320" s="202" t="b">
        <v>0</v>
      </c>
      <c r="I320" s="202" t="b">
        <v>0</v>
      </c>
      <c r="J320" s="202" t="b">
        <v>0</v>
      </c>
      <c r="K320" s="202" t="b">
        <v>0</v>
      </c>
      <c r="L320" s="202" t="b">
        <v>0</v>
      </c>
      <c r="M320" s="202" t="b">
        <v>0</v>
      </c>
      <c r="N320" s="202" t="b">
        <v>0</v>
      </c>
    </row>
    <row r="321">
      <c r="A321" s="201"/>
      <c r="B321" s="201"/>
      <c r="C321" s="202" t="b">
        <v>0</v>
      </c>
      <c r="D321" s="201"/>
      <c r="E321" s="201"/>
      <c r="F321" s="202" t="b">
        <v>0</v>
      </c>
      <c r="G321" s="202" t="b">
        <v>0</v>
      </c>
      <c r="H321" s="202" t="b">
        <v>0</v>
      </c>
      <c r="I321" s="202" t="b">
        <v>0</v>
      </c>
      <c r="J321" s="202" t="b">
        <v>0</v>
      </c>
      <c r="K321" s="202" t="b">
        <v>0</v>
      </c>
      <c r="L321" s="202" t="b">
        <v>0</v>
      </c>
      <c r="M321" s="202" t="b">
        <v>0</v>
      </c>
      <c r="N321" s="202" t="b">
        <v>0</v>
      </c>
    </row>
    <row r="322">
      <c r="A322" s="201"/>
      <c r="B322" s="201"/>
      <c r="C322" s="202" t="b">
        <v>0</v>
      </c>
      <c r="D322" s="201"/>
      <c r="E322" s="201"/>
      <c r="F322" s="202" t="b">
        <v>0</v>
      </c>
      <c r="G322" s="202" t="b">
        <v>0</v>
      </c>
      <c r="H322" s="202" t="b">
        <v>0</v>
      </c>
      <c r="I322" s="202" t="b">
        <v>0</v>
      </c>
      <c r="J322" s="202" t="b">
        <v>0</v>
      </c>
      <c r="K322" s="202" t="b">
        <v>0</v>
      </c>
      <c r="L322" s="202" t="b">
        <v>0</v>
      </c>
      <c r="M322" s="202" t="b">
        <v>0</v>
      </c>
      <c r="N322" s="202" t="b">
        <v>0</v>
      </c>
    </row>
    <row r="323">
      <c r="A323" s="201"/>
      <c r="B323" s="201"/>
      <c r="C323" s="202" t="b">
        <v>0</v>
      </c>
      <c r="D323" s="201"/>
      <c r="E323" s="201"/>
      <c r="F323" s="202" t="b">
        <v>0</v>
      </c>
      <c r="G323" s="202" t="b">
        <v>0</v>
      </c>
      <c r="H323" s="202" t="b">
        <v>0</v>
      </c>
      <c r="I323" s="202" t="b">
        <v>0</v>
      </c>
      <c r="J323" s="202" t="b">
        <v>0</v>
      </c>
      <c r="K323" s="202" t="b">
        <v>0</v>
      </c>
      <c r="L323" s="202" t="b">
        <v>0</v>
      </c>
      <c r="M323" s="202" t="b">
        <v>0</v>
      </c>
      <c r="N323" s="202" t="b">
        <v>0</v>
      </c>
    </row>
    <row r="324">
      <c r="A324" s="201"/>
      <c r="B324" s="201"/>
      <c r="C324" s="202" t="b">
        <v>0</v>
      </c>
      <c r="D324" s="201"/>
      <c r="E324" s="201"/>
      <c r="F324" s="202" t="b">
        <v>0</v>
      </c>
      <c r="G324" s="202" t="b">
        <v>0</v>
      </c>
      <c r="H324" s="202" t="b">
        <v>0</v>
      </c>
      <c r="I324" s="202" t="b">
        <v>0</v>
      </c>
      <c r="J324" s="202" t="b">
        <v>0</v>
      </c>
      <c r="K324" s="202" t="b">
        <v>0</v>
      </c>
      <c r="L324" s="202" t="b">
        <v>0</v>
      </c>
      <c r="M324" s="202" t="b">
        <v>0</v>
      </c>
      <c r="N324" s="202" t="b">
        <v>0</v>
      </c>
    </row>
    <row r="325">
      <c r="A325" s="201"/>
      <c r="B325" s="201"/>
      <c r="C325" s="202" t="b">
        <v>0</v>
      </c>
      <c r="D325" s="201"/>
      <c r="E325" s="201"/>
      <c r="F325" s="202" t="b">
        <v>0</v>
      </c>
      <c r="G325" s="202" t="b">
        <v>0</v>
      </c>
      <c r="H325" s="202" t="b">
        <v>0</v>
      </c>
      <c r="I325" s="202" t="b">
        <v>0</v>
      </c>
      <c r="J325" s="202" t="b">
        <v>0</v>
      </c>
      <c r="K325" s="202" t="b">
        <v>0</v>
      </c>
      <c r="L325" s="202" t="b">
        <v>0</v>
      </c>
      <c r="M325" s="202" t="b">
        <v>0</v>
      </c>
      <c r="N325" s="202" t="b">
        <v>0</v>
      </c>
    </row>
    <row r="326">
      <c r="A326" s="201"/>
      <c r="B326" s="201"/>
      <c r="C326" s="202" t="b">
        <v>0</v>
      </c>
      <c r="D326" s="201"/>
      <c r="E326" s="201"/>
      <c r="F326" s="202" t="b">
        <v>0</v>
      </c>
      <c r="G326" s="202" t="b">
        <v>0</v>
      </c>
      <c r="H326" s="202" t="b">
        <v>0</v>
      </c>
      <c r="I326" s="202" t="b">
        <v>0</v>
      </c>
      <c r="J326" s="202" t="b">
        <v>0</v>
      </c>
      <c r="K326" s="202" t="b">
        <v>0</v>
      </c>
      <c r="L326" s="202" t="b">
        <v>0</v>
      </c>
      <c r="M326" s="202" t="b">
        <v>0</v>
      </c>
      <c r="N326" s="202" t="b">
        <v>0</v>
      </c>
    </row>
    <row r="327">
      <c r="A327" s="201"/>
      <c r="B327" s="201"/>
      <c r="C327" s="202" t="b">
        <v>0</v>
      </c>
      <c r="D327" s="201"/>
      <c r="E327" s="201"/>
      <c r="F327" s="202" t="b">
        <v>0</v>
      </c>
      <c r="G327" s="202" t="b">
        <v>0</v>
      </c>
      <c r="H327" s="202" t="b">
        <v>0</v>
      </c>
      <c r="I327" s="202" t="b">
        <v>0</v>
      </c>
      <c r="J327" s="202" t="b">
        <v>0</v>
      </c>
      <c r="K327" s="202" t="b">
        <v>0</v>
      </c>
      <c r="L327" s="202" t="b">
        <v>0</v>
      </c>
      <c r="M327" s="202" t="b">
        <v>0</v>
      </c>
      <c r="N327" s="202" t="b">
        <v>0</v>
      </c>
    </row>
    <row r="328">
      <c r="A328" s="201"/>
      <c r="B328" s="201"/>
      <c r="C328" s="202" t="b">
        <v>0</v>
      </c>
      <c r="D328" s="201"/>
      <c r="E328" s="201"/>
      <c r="F328" s="202" t="b">
        <v>0</v>
      </c>
      <c r="G328" s="202" t="b">
        <v>0</v>
      </c>
      <c r="H328" s="202" t="b">
        <v>0</v>
      </c>
      <c r="I328" s="202" t="b">
        <v>0</v>
      </c>
      <c r="J328" s="202" t="b">
        <v>0</v>
      </c>
      <c r="K328" s="202" t="b">
        <v>0</v>
      </c>
      <c r="L328" s="202" t="b">
        <v>0</v>
      </c>
      <c r="M328" s="202" t="b">
        <v>0</v>
      </c>
      <c r="N328" s="202" t="b">
        <v>0</v>
      </c>
    </row>
    <row r="329">
      <c r="A329" s="201"/>
      <c r="B329" s="201"/>
      <c r="C329" s="202" t="b">
        <v>0</v>
      </c>
      <c r="D329" s="201"/>
      <c r="E329" s="201"/>
      <c r="F329" s="202" t="b">
        <v>0</v>
      </c>
      <c r="G329" s="202" t="b">
        <v>0</v>
      </c>
      <c r="H329" s="202" t="b">
        <v>0</v>
      </c>
      <c r="I329" s="202" t="b">
        <v>0</v>
      </c>
      <c r="J329" s="202" t="b">
        <v>0</v>
      </c>
      <c r="K329" s="202" t="b">
        <v>0</v>
      </c>
      <c r="L329" s="202" t="b">
        <v>0</v>
      </c>
      <c r="M329" s="202" t="b">
        <v>0</v>
      </c>
      <c r="N329" s="202" t="b">
        <v>0</v>
      </c>
    </row>
    <row r="330">
      <c r="A330" s="201"/>
      <c r="B330" s="201"/>
      <c r="C330" s="202" t="b">
        <v>0</v>
      </c>
      <c r="D330" s="201"/>
      <c r="E330" s="201"/>
      <c r="F330" s="202" t="b">
        <v>0</v>
      </c>
      <c r="G330" s="202" t="b">
        <v>0</v>
      </c>
      <c r="H330" s="202" t="b">
        <v>0</v>
      </c>
      <c r="I330" s="202" t="b">
        <v>0</v>
      </c>
      <c r="J330" s="202" t="b">
        <v>0</v>
      </c>
      <c r="K330" s="202" t="b">
        <v>0</v>
      </c>
      <c r="L330" s="202" t="b">
        <v>0</v>
      </c>
      <c r="M330" s="202" t="b">
        <v>0</v>
      </c>
      <c r="N330" s="202" t="b">
        <v>0</v>
      </c>
    </row>
    <row r="331">
      <c r="A331" s="201"/>
      <c r="B331" s="201"/>
      <c r="C331" s="202" t="b">
        <v>0</v>
      </c>
      <c r="D331" s="201"/>
      <c r="E331" s="201"/>
      <c r="F331" s="202" t="b">
        <v>0</v>
      </c>
      <c r="G331" s="202" t="b">
        <v>0</v>
      </c>
      <c r="H331" s="202" t="b">
        <v>0</v>
      </c>
      <c r="I331" s="202" t="b">
        <v>0</v>
      </c>
      <c r="J331" s="202" t="b">
        <v>0</v>
      </c>
      <c r="K331" s="202" t="b">
        <v>0</v>
      </c>
      <c r="L331" s="202" t="b">
        <v>0</v>
      </c>
      <c r="M331" s="202" t="b">
        <v>0</v>
      </c>
      <c r="N331" s="202" t="b">
        <v>0</v>
      </c>
    </row>
    <row r="332">
      <c r="A332" s="201"/>
      <c r="B332" s="201"/>
      <c r="C332" s="202" t="b">
        <v>0</v>
      </c>
      <c r="D332" s="201"/>
      <c r="E332" s="201"/>
      <c r="F332" s="202" t="b">
        <v>0</v>
      </c>
      <c r="G332" s="202" t="b">
        <v>0</v>
      </c>
      <c r="H332" s="202" t="b">
        <v>0</v>
      </c>
      <c r="I332" s="202" t="b">
        <v>0</v>
      </c>
      <c r="J332" s="202" t="b">
        <v>0</v>
      </c>
      <c r="K332" s="202" t="b">
        <v>0</v>
      </c>
      <c r="L332" s="202" t="b">
        <v>0</v>
      </c>
      <c r="M332" s="202" t="b">
        <v>0</v>
      </c>
      <c r="N332" s="202" t="b">
        <v>0</v>
      </c>
    </row>
    <row r="333">
      <c r="A333" s="201"/>
      <c r="B333" s="201"/>
      <c r="C333" s="202" t="b">
        <v>0</v>
      </c>
      <c r="D333" s="201"/>
      <c r="E333" s="201"/>
      <c r="F333" s="202" t="b">
        <v>0</v>
      </c>
      <c r="G333" s="202" t="b">
        <v>0</v>
      </c>
      <c r="H333" s="202" t="b">
        <v>0</v>
      </c>
      <c r="I333" s="202" t="b">
        <v>0</v>
      </c>
      <c r="J333" s="202" t="b">
        <v>0</v>
      </c>
      <c r="K333" s="202" t="b">
        <v>0</v>
      </c>
      <c r="L333" s="202" t="b">
        <v>0</v>
      </c>
      <c r="M333" s="202" t="b">
        <v>0</v>
      </c>
      <c r="N333" s="202" t="b">
        <v>0</v>
      </c>
    </row>
    <row r="334">
      <c r="A334" s="201"/>
      <c r="B334" s="201"/>
      <c r="C334" s="202" t="b">
        <v>0</v>
      </c>
      <c r="D334" s="201"/>
      <c r="E334" s="201"/>
      <c r="F334" s="202" t="b">
        <v>0</v>
      </c>
      <c r="G334" s="202" t="b">
        <v>0</v>
      </c>
      <c r="H334" s="202" t="b">
        <v>0</v>
      </c>
      <c r="I334" s="202" t="b">
        <v>0</v>
      </c>
      <c r="J334" s="202" t="b">
        <v>0</v>
      </c>
      <c r="K334" s="202" t="b">
        <v>0</v>
      </c>
      <c r="L334" s="202" t="b">
        <v>0</v>
      </c>
      <c r="M334" s="202" t="b">
        <v>0</v>
      </c>
      <c r="N334" s="202" t="b">
        <v>0</v>
      </c>
    </row>
    <row r="335">
      <c r="A335" s="201"/>
      <c r="B335" s="201"/>
      <c r="C335" s="202" t="b">
        <v>0</v>
      </c>
      <c r="D335" s="201"/>
      <c r="E335" s="201"/>
      <c r="F335" s="202" t="b">
        <v>0</v>
      </c>
      <c r="G335" s="202" t="b">
        <v>0</v>
      </c>
      <c r="H335" s="202" t="b">
        <v>0</v>
      </c>
      <c r="I335" s="202" t="b">
        <v>0</v>
      </c>
      <c r="J335" s="202" t="b">
        <v>0</v>
      </c>
      <c r="K335" s="202" t="b">
        <v>0</v>
      </c>
      <c r="L335" s="202" t="b">
        <v>0</v>
      </c>
      <c r="M335" s="202" t="b">
        <v>0</v>
      </c>
      <c r="N335" s="202" t="b">
        <v>0</v>
      </c>
    </row>
    <row r="336">
      <c r="A336" s="201"/>
      <c r="B336" s="201"/>
      <c r="C336" s="202" t="b">
        <v>0</v>
      </c>
      <c r="D336" s="201"/>
      <c r="E336" s="201"/>
      <c r="F336" s="202" t="b">
        <v>0</v>
      </c>
      <c r="G336" s="202" t="b">
        <v>0</v>
      </c>
      <c r="H336" s="202" t="b">
        <v>0</v>
      </c>
      <c r="I336" s="202" t="b">
        <v>0</v>
      </c>
      <c r="J336" s="202" t="b">
        <v>0</v>
      </c>
      <c r="K336" s="202" t="b">
        <v>0</v>
      </c>
      <c r="L336" s="202" t="b">
        <v>0</v>
      </c>
      <c r="M336" s="202" t="b">
        <v>0</v>
      </c>
      <c r="N336" s="202" t="b">
        <v>0</v>
      </c>
    </row>
    <row r="337">
      <c r="A337" s="201"/>
      <c r="B337" s="201"/>
      <c r="C337" s="202" t="b">
        <v>0</v>
      </c>
      <c r="D337" s="201"/>
      <c r="E337" s="201"/>
      <c r="F337" s="202" t="b">
        <v>0</v>
      </c>
      <c r="G337" s="202" t="b">
        <v>0</v>
      </c>
      <c r="H337" s="202" t="b">
        <v>0</v>
      </c>
      <c r="I337" s="202" t="b">
        <v>0</v>
      </c>
      <c r="J337" s="202" t="b">
        <v>0</v>
      </c>
      <c r="K337" s="202" t="b">
        <v>0</v>
      </c>
      <c r="L337" s="202" t="b">
        <v>0</v>
      </c>
      <c r="M337" s="202" t="b">
        <v>0</v>
      </c>
      <c r="N337" s="202" t="b">
        <v>0</v>
      </c>
    </row>
    <row r="338">
      <c r="A338" s="201"/>
      <c r="B338" s="201"/>
      <c r="C338" s="202" t="b">
        <v>0</v>
      </c>
      <c r="D338" s="201"/>
      <c r="E338" s="201"/>
      <c r="F338" s="202" t="b">
        <v>0</v>
      </c>
      <c r="G338" s="202" t="b">
        <v>0</v>
      </c>
      <c r="H338" s="202" t="b">
        <v>0</v>
      </c>
      <c r="I338" s="202" t="b">
        <v>0</v>
      </c>
      <c r="J338" s="202" t="b">
        <v>0</v>
      </c>
      <c r="K338" s="202" t="b">
        <v>0</v>
      </c>
      <c r="L338" s="202" t="b">
        <v>0</v>
      </c>
      <c r="M338" s="202" t="b">
        <v>0</v>
      </c>
      <c r="N338" s="202" t="b">
        <v>0</v>
      </c>
    </row>
    <row r="339">
      <c r="A339" s="201"/>
      <c r="B339" s="201"/>
      <c r="C339" s="202" t="b">
        <v>0</v>
      </c>
      <c r="D339" s="201"/>
      <c r="E339" s="201"/>
      <c r="F339" s="202" t="b">
        <v>0</v>
      </c>
      <c r="G339" s="202" t="b">
        <v>0</v>
      </c>
      <c r="H339" s="202" t="b">
        <v>0</v>
      </c>
      <c r="I339" s="202" t="b">
        <v>0</v>
      </c>
      <c r="J339" s="202" t="b">
        <v>0</v>
      </c>
      <c r="K339" s="202" t="b">
        <v>0</v>
      </c>
      <c r="L339" s="202" t="b">
        <v>0</v>
      </c>
      <c r="M339" s="202" t="b">
        <v>0</v>
      </c>
      <c r="N339" s="202" t="b">
        <v>0</v>
      </c>
    </row>
    <row r="340">
      <c r="A340" s="201"/>
      <c r="B340" s="201"/>
      <c r="C340" s="202" t="b">
        <v>0</v>
      </c>
      <c r="D340" s="201"/>
      <c r="E340" s="201"/>
      <c r="F340" s="202" t="b">
        <v>0</v>
      </c>
      <c r="G340" s="202" t="b">
        <v>0</v>
      </c>
      <c r="H340" s="202" t="b">
        <v>0</v>
      </c>
      <c r="I340" s="202" t="b">
        <v>0</v>
      </c>
      <c r="J340" s="202" t="b">
        <v>0</v>
      </c>
      <c r="K340" s="202" t="b">
        <v>0</v>
      </c>
      <c r="L340" s="202" t="b">
        <v>0</v>
      </c>
      <c r="M340" s="202" t="b">
        <v>0</v>
      </c>
      <c r="N340" s="202" t="b">
        <v>0</v>
      </c>
    </row>
    <row r="341">
      <c r="A341" s="201"/>
      <c r="B341" s="201"/>
      <c r="C341" s="202" t="b">
        <v>0</v>
      </c>
      <c r="D341" s="201"/>
      <c r="E341" s="201"/>
      <c r="F341" s="202" t="b">
        <v>0</v>
      </c>
      <c r="G341" s="202" t="b">
        <v>0</v>
      </c>
      <c r="H341" s="202" t="b">
        <v>0</v>
      </c>
      <c r="I341" s="202" t="b">
        <v>0</v>
      </c>
      <c r="J341" s="202" t="b">
        <v>0</v>
      </c>
      <c r="K341" s="202" t="b">
        <v>0</v>
      </c>
      <c r="L341" s="202" t="b">
        <v>0</v>
      </c>
      <c r="M341" s="202" t="b">
        <v>0</v>
      </c>
      <c r="N341" s="202" t="b">
        <v>0</v>
      </c>
    </row>
    <row r="342">
      <c r="A342" s="201"/>
      <c r="B342" s="201"/>
      <c r="C342" s="202" t="b">
        <v>0</v>
      </c>
      <c r="D342" s="201"/>
      <c r="E342" s="201"/>
      <c r="F342" s="202" t="b">
        <v>0</v>
      </c>
      <c r="G342" s="202" t="b">
        <v>0</v>
      </c>
      <c r="H342" s="202" t="b">
        <v>0</v>
      </c>
      <c r="I342" s="202" t="b">
        <v>0</v>
      </c>
      <c r="J342" s="202" t="b">
        <v>0</v>
      </c>
      <c r="K342" s="202" t="b">
        <v>0</v>
      </c>
      <c r="L342" s="202" t="b">
        <v>0</v>
      </c>
      <c r="M342" s="202" t="b">
        <v>0</v>
      </c>
      <c r="N342" s="202" t="b">
        <v>0</v>
      </c>
    </row>
    <row r="343">
      <c r="A343" s="201"/>
      <c r="B343" s="201"/>
      <c r="C343" s="202" t="b">
        <v>0</v>
      </c>
      <c r="D343" s="201"/>
      <c r="E343" s="201"/>
      <c r="F343" s="202" t="b">
        <v>0</v>
      </c>
      <c r="G343" s="202" t="b">
        <v>0</v>
      </c>
      <c r="H343" s="202" t="b">
        <v>0</v>
      </c>
      <c r="I343" s="202" t="b">
        <v>0</v>
      </c>
      <c r="J343" s="202" t="b">
        <v>0</v>
      </c>
      <c r="K343" s="202" t="b">
        <v>0</v>
      </c>
      <c r="L343" s="202" t="b">
        <v>0</v>
      </c>
      <c r="M343" s="202" t="b">
        <v>0</v>
      </c>
      <c r="N343" s="202" t="b">
        <v>0</v>
      </c>
    </row>
    <row r="344">
      <c r="A344" s="201"/>
      <c r="B344" s="201"/>
      <c r="C344" s="202" t="b">
        <v>0</v>
      </c>
      <c r="D344" s="201"/>
      <c r="E344" s="201"/>
      <c r="F344" s="202" t="b">
        <v>0</v>
      </c>
      <c r="G344" s="202" t="b">
        <v>0</v>
      </c>
      <c r="H344" s="202" t="b">
        <v>0</v>
      </c>
      <c r="I344" s="202" t="b">
        <v>0</v>
      </c>
      <c r="J344" s="202" t="b">
        <v>0</v>
      </c>
      <c r="K344" s="202" t="b">
        <v>0</v>
      </c>
      <c r="L344" s="202" t="b">
        <v>0</v>
      </c>
      <c r="M344" s="202" t="b">
        <v>0</v>
      </c>
      <c r="N344" s="202" t="b">
        <v>0</v>
      </c>
    </row>
    <row r="345">
      <c r="A345" s="201"/>
      <c r="B345" s="201"/>
      <c r="C345" s="202" t="b">
        <v>0</v>
      </c>
      <c r="D345" s="201"/>
      <c r="E345" s="201"/>
      <c r="F345" s="202" t="b">
        <v>0</v>
      </c>
      <c r="G345" s="202" t="b">
        <v>0</v>
      </c>
      <c r="H345" s="202" t="b">
        <v>0</v>
      </c>
      <c r="I345" s="202" t="b">
        <v>0</v>
      </c>
      <c r="J345" s="202" t="b">
        <v>0</v>
      </c>
      <c r="K345" s="202" t="b">
        <v>0</v>
      </c>
      <c r="L345" s="202" t="b">
        <v>0</v>
      </c>
      <c r="M345" s="202" t="b">
        <v>0</v>
      </c>
      <c r="N345" s="202" t="b">
        <v>0</v>
      </c>
    </row>
    <row r="346">
      <c r="A346" s="201"/>
      <c r="B346" s="201"/>
      <c r="C346" s="202" t="b">
        <v>0</v>
      </c>
      <c r="D346" s="201"/>
      <c r="E346" s="201"/>
      <c r="F346" s="202" t="b">
        <v>0</v>
      </c>
      <c r="G346" s="202" t="b">
        <v>0</v>
      </c>
      <c r="H346" s="202" t="b">
        <v>0</v>
      </c>
      <c r="I346" s="202" t="b">
        <v>0</v>
      </c>
      <c r="J346" s="202" t="b">
        <v>0</v>
      </c>
      <c r="K346" s="202" t="b">
        <v>0</v>
      </c>
      <c r="L346" s="202" t="b">
        <v>0</v>
      </c>
      <c r="M346" s="202" t="b">
        <v>0</v>
      </c>
      <c r="N346" s="202" t="b">
        <v>0</v>
      </c>
    </row>
    <row r="347">
      <c r="A347" s="201"/>
      <c r="B347" s="201"/>
      <c r="C347" s="202" t="b">
        <v>0</v>
      </c>
      <c r="D347" s="201"/>
      <c r="E347" s="201"/>
      <c r="F347" s="202" t="b">
        <v>0</v>
      </c>
      <c r="G347" s="202" t="b">
        <v>0</v>
      </c>
      <c r="H347" s="202" t="b">
        <v>0</v>
      </c>
      <c r="I347" s="202" t="b">
        <v>0</v>
      </c>
      <c r="J347" s="202" t="b">
        <v>0</v>
      </c>
      <c r="K347" s="202" t="b">
        <v>0</v>
      </c>
      <c r="L347" s="202" t="b">
        <v>0</v>
      </c>
      <c r="M347" s="202" t="b">
        <v>0</v>
      </c>
      <c r="N347" s="202" t="b">
        <v>0</v>
      </c>
    </row>
    <row r="348">
      <c r="A348" s="201"/>
      <c r="B348" s="201"/>
      <c r="C348" s="202" t="b">
        <v>0</v>
      </c>
      <c r="D348" s="201"/>
      <c r="E348" s="201"/>
      <c r="F348" s="202" t="b">
        <v>0</v>
      </c>
      <c r="G348" s="202" t="b">
        <v>0</v>
      </c>
      <c r="H348" s="202" t="b">
        <v>0</v>
      </c>
      <c r="I348" s="202" t="b">
        <v>0</v>
      </c>
      <c r="J348" s="202" t="b">
        <v>0</v>
      </c>
      <c r="K348" s="202" t="b">
        <v>0</v>
      </c>
      <c r="L348" s="202" t="b">
        <v>0</v>
      </c>
      <c r="M348" s="202" t="b">
        <v>0</v>
      </c>
      <c r="N348" s="202" t="b">
        <v>0</v>
      </c>
    </row>
    <row r="349">
      <c r="A349" s="201"/>
      <c r="B349" s="201"/>
      <c r="C349" s="202" t="b">
        <v>0</v>
      </c>
      <c r="D349" s="201"/>
      <c r="E349" s="201"/>
      <c r="F349" s="202" t="b">
        <v>0</v>
      </c>
      <c r="G349" s="202" t="b">
        <v>0</v>
      </c>
      <c r="H349" s="202" t="b">
        <v>0</v>
      </c>
      <c r="I349" s="202" t="b">
        <v>0</v>
      </c>
      <c r="J349" s="202" t="b">
        <v>0</v>
      </c>
      <c r="K349" s="202" t="b">
        <v>0</v>
      </c>
      <c r="L349" s="202" t="b">
        <v>0</v>
      </c>
      <c r="M349" s="202" t="b">
        <v>0</v>
      </c>
      <c r="N349" s="202" t="b">
        <v>0</v>
      </c>
    </row>
    <row r="350">
      <c r="A350" s="201"/>
      <c r="B350" s="201"/>
      <c r="C350" s="202" t="b">
        <v>0</v>
      </c>
      <c r="D350" s="201"/>
      <c r="E350" s="201"/>
      <c r="F350" s="202" t="b">
        <v>0</v>
      </c>
      <c r="G350" s="202" t="b">
        <v>0</v>
      </c>
      <c r="H350" s="202" t="b">
        <v>0</v>
      </c>
      <c r="I350" s="202" t="b">
        <v>0</v>
      </c>
      <c r="J350" s="202" t="b">
        <v>0</v>
      </c>
      <c r="K350" s="202" t="b">
        <v>0</v>
      </c>
      <c r="L350" s="202" t="b">
        <v>0</v>
      </c>
      <c r="M350" s="202" t="b">
        <v>0</v>
      </c>
      <c r="N350" s="202" t="b">
        <v>0</v>
      </c>
    </row>
    <row r="351">
      <c r="A351" s="201"/>
      <c r="B351" s="201"/>
      <c r="C351" s="202" t="b">
        <v>0</v>
      </c>
      <c r="D351" s="201"/>
      <c r="E351" s="201"/>
      <c r="F351" s="202" t="b">
        <v>0</v>
      </c>
      <c r="G351" s="202" t="b">
        <v>0</v>
      </c>
      <c r="H351" s="202" t="b">
        <v>0</v>
      </c>
      <c r="I351" s="202" t="b">
        <v>0</v>
      </c>
      <c r="J351" s="202" t="b">
        <v>0</v>
      </c>
      <c r="K351" s="202" t="b">
        <v>0</v>
      </c>
      <c r="L351" s="202" t="b">
        <v>0</v>
      </c>
      <c r="M351" s="202" t="b">
        <v>0</v>
      </c>
      <c r="N351" s="202" t="b">
        <v>0</v>
      </c>
    </row>
    <row r="352">
      <c r="A352" s="201"/>
      <c r="B352" s="201"/>
      <c r="C352" s="202" t="b">
        <v>0</v>
      </c>
      <c r="D352" s="201"/>
      <c r="E352" s="201"/>
      <c r="F352" s="202" t="b">
        <v>0</v>
      </c>
      <c r="G352" s="202" t="b">
        <v>0</v>
      </c>
      <c r="H352" s="202" t="b">
        <v>0</v>
      </c>
      <c r="I352" s="202" t="b">
        <v>0</v>
      </c>
      <c r="J352" s="202" t="b">
        <v>0</v>
      </c>
      <c r="K352" s="202" t="b">
        <v>0</v>
      </c>
      <c r="L352" s="202" t="b">
        <v>0</v>
      </c>
      <c r="M352" s="202" t="b">
        <v>0</v>
      </c>
      <c r="N352" s="202" t="b">
        <v>0</v>
      </c>
    </row>
    <row r="353">
      <c r="A353" s="201"/>
      <c r="B353" s="201"/>
      <c r="C353" s="202" t="b">
        <v>0</v>
      </c>
      <c r="D353" s="201"/>
      <c r="E353" s="201"/>
      <c r="F353" s="202" t="b">
        <v>0</v>
      </c>
      <c r="G353" s="202" t="b">
        <v>0</v>
      </c>
      <c r="H353" s="202" t="b">
        <v>0</v>
      </c>
      <c r="I353" s="202" t="b">
        <v>0</v>
      </c>
      <c r="J353" s="202" t="b">
        <v>0</v>
      </c>
      <c r="K353" s="202" t="b">
        <v>0</v>
      </c>
      <c r="L353" s="202" t="b">
        <v>0</v>
      </c>
      <c r="M353" s="202" t="b">
        <v>0</v>
      </c>
      <c r="N353" s="202" t="b">
        <v>0</v>
      </c>
    </row>
    <row r="354">
      <c r="A354" s="201"/>
      <c r="B354" s="201"/>
      <c r="C354" s="202" t="b">
        <v>0</v>
      </c>
      <c r="D354" s="201"/>
      <c r="E354" s="201"/>
      <c r="F354" s="202" t="b">
        <v>0</v>
      </c>
      <c r="G354" s="202" t="b">
        <v>0</v>
      </c>
      <c r="H354" s="202" t="b">
        <v>0</v>
      </c>
      <c r="I354" s="202" t="b">
        <v>0</v>
      </c>
      <c r="J354" s="202" t="b">
        <v>0</v>
      </c>
      <c r="K354" s="202" t="b">
        <v>0</v>
      </c>
      <c r="L354" s="202" t="b">
        <v>0</v>
      </c>
      <c r="M354" s="202" t="b">
        <v>0</v>
      </c>
      <c r="N354" s="202" t="b">
        <v>0</v>
      </c>
    </row>
    <row r="355">
      <c r="A355" s="201"/>
      <c r="B355" s="201"/>
      <c r="C355" s="202" t="b">
        <v>0</v>
      </c>
      <c r="D355" s="201"/>
      <c r="E355" s="201"/>
      <c r="F355" s="202" t="b">
        <v>0</v>
      </c>
      <c r="G355" s="202" t="b">
        <v>0</v>
      </c>
      <c r="H355" s="202" t="b">
        <v>0</v>
      </c>
      <c r="I355" s="202" t="b">
        <v>0</v>
      </c>
      <c r="J355" s="202" t="b">
        <v>0</v>
      </c>
      <c r="K355" s="202" t="b">
        <v>0</v>
      </c>
      <c r="L355" s="202" t="b">
        <v>0</v>
      </c>
      <c r="M355" s="202" t="b">
        <v>0</v>
      </c>
      <c r="N355" s="202" t="b">
        <v>0</v>
      </c>
    </row>
    <row r="356">
      <c r="A356" s="201"/>
      <c r="B356" s="201"/>
      <c r="C356" s="202" t="b">
        <v>0</v>
      </c>
      <c r="D356" s="201"/>
      <c r="E356" s="201"/>
      <c r="F356" s="202" t="b">
        <v>0</v>
      </c>
      <c r="G356" s="202" t="b">
        <v>0</v>
      </c>
      <c r="H356" s="202" t="b">
        <v>0</v>
      </c>
      <c r="I356" s="202" t="b">
        <v>0</v>
      </c>
      <c r="J356" s="202" t="b">
        <v>0</v>
      </c>
      <c r="K356" s="202" t="b">
        <v>0</v>
      </c>
      <c r="L356" s="202" t="b">
        <v>0</v>
      </c>
      <c r="M356" s="202" t="b">
        <v>0</v>
      </c>
      <c r="N356" s="202" t="b">
        <v>0</v>
      </c>
    </row>
    <row r="357">
      <c r="A357" s="201"/>
      <c r="B357" s="201"/>
      <c r="C357" s="202" t="b">
        <v>0</v>
      </c>
      <c r="D357" s="201"/>
      <c r="E357" s="201"/>
      <c r="F357" s="202" t="b">
        <v>0</v>
      </c>
      <c r="G357" s="202" t="b">
        <v>0</v>
      </c>
      <c r="H357" s="202" t="b">
        <v>0</v>
      </c>
      <c r="I357" s="202" t="b">
        <v>0</v>
      </c>
      <c r="J357" s="202" t="b">
        <v>0</v>
      </c>
      <c r="K357" s="202" t="b">
        <v>0</v>
      </c>
      <c r="L357" s="202" t="b">
        <v>0</v>
      </c>
      <c r="M357" s="202" t="b">
        <v>0</v>
      </c>
      <c r="N357" s="202" t="b">
        <v>0</v>
      </c>
    </row>
    <row r="358">
      <c r="A358" s="201"/>
      <c r="B358" s="201"/>
      <c r="C358" s="202" t="b">
        <v>0</v>
      </c>
      <c r="D358" s="201"/>
      <c r="E358" s="201"/>
      <c r="F358" s="202" t="b">
        <v>0</v>
      </c>
      <c r="G358" s="202" t="b">
        <v>0</v>
      </c>
      <c r="H358" s="202" t="b">
        <v>0</v>
      </c>
      <c r="I358" s="202" t="b">
        <v>0</v>
      </c>
      <c r="J358" s="202" t="b">
        <v>0</v>
      </c>
      <c r="K358" s="202" t="b">
        <v>0</v>
      </c>
      <c r="L358" s="202" t="b">
        <v>0</v>
      </c>
      <c r="M358" s="202" t="b">
        <v>0</v>
      </c>
      <c r="N358" s="202" t="b">
        <v>0</v>
      </c>
    </row>
    <row r="359">
      <c r="A359" s="201"/>
      <c r="B359" s="201"/>
      <c r="C359" s="202" t="b">
        <v>0</v>
      </c>
      <c r="D359" s="201"/>
      <c r="E359" s="201"/>
      <c r="F359" s="202" t="b">
        <v>0</v>
      </c>
      <c r="G359" s="202" t="b">
        <v>0</v>
      </c>
      <c r="H359" s="202" t="b">
        <v>0</v>
      </c>
      <c r="I359" s="202" t="b">
        <v>0</v>
      </c>
      <c r="J359" s="202" t="b">
        <v>0</v>
      </c>
      <c r="K359" s="202" t="b">
        <v>0</v>
      </c>
      <c r="L359" s="202" t="b">
        <v>0</v>
      </c>
      <c r="M359" s="202" t="b">
        <v>0</v>
      </c>
      <c r="N359" s="202" t="b">
        <v>0</v>
      </c>
    </row>
    <row r="360">
      <c r="A360" s="201"/>
      <c r="B360" s="201"/>
      <c r="C360" s="202" t="b">
        <v>0</v>
      </c>
      <c r="D360" s="201"/>
      <c r="E360" s="201"/>
      <c r="F360" s="202" t="b">
        <v>0</v>
      </c>
      <c r="G360" s="202" t="b">
        <v>0</v>
      </c>
      <c r="H360" s="202" t="b">
        <v>0</v>
      </c>
      <c r="I360" s="202" t="b">
        <v>0</v>
      </c>
      <c r="J360" s="202" t="b">
        <v>0</v>
      </c>
      <c r="K360" s="202" t="b">
        <v>0</v>
      </c>
      <c r="L360" s="202" t="b">
        <v>0</v>
      </c>
      <c r="M360" s="202" t="b">
        <v>0</v>
      </c>
      <c r="N360" s="202" t="b">
        <v>0</v>
      </c>
    </row>
    <row r="361">
      <c r="A361" s="201"/>
      <c r="B361" s="201"/>
      <c r="C361" s="202" t="b">
        <v>0</v>
      </c>
      <c r="D361" s="201"/>
      <c r="E361" s="201"/>
      <c r="F361" s="202" t="b">
        <v>0</v>
      </c>
      <c r="G361" s="202" t="b">
        <v>0</v>
      </c>
      <c r="H361" s="202" t="b">
        <v>0</v>
      </c>
      <c r="I361" s="202" t="b">
        <v>0</v>
      </c>
      <c r="J361" s="202" t="b">
        <v>0</v>
      </c>
      <c r="K361" s="202" t="b">
        <v>0</v>
      </c>
      <c r="L361" s="202" t="b">
        <v>0</v>
      </c>
      <c r="M361" s="202" t="b">
        <v>0</v>
      </c>
      <c r="N361" s="202" t="b">
        <v>0</v>
      </c>
    </row>
    <row r="362">
      <c r="A362" s="201"/>
      <c r="B362" s="201"/>
      <c r="C362" s="202" t="b">
        <v>0</v>
      </c>
      <c r="D362" s="201"/>
      <c r="E362" s="201"/>
      <c r="F362" s="202" t="b">
        <v>0</v>
      </c>
      <c r="G362" s="202" t="b">
        <v>0</v>
      </c>
      <c r="H362" s="202" t="b">
        <v>0</v>
      </c>
      <c r="I362" s="202" t="b">
        <v>0</v>
      </c>
      <c r="J362" s="202" t="b">
        <v>0</v>
      </c>
      <c r="K362" s="202" t="b">
        <v>0</v>
      </c>
      <c r="L362" s="202" t="b">
        <v>0</v>
      </c>
      <c r="M362" s="202" t="b">
        <v>0</v>
      </c>
      <c r="N362" s="202" t="b">
        <v>0</v>
      </c>
    </row>
    <row r="363">
      <c r="A363" s="201"/>
      <c r="B363" s="201"/>
      <c r="C363" s="202" t="b">
        <v>0</v>
      </c>
      <c r="D363" s="201"/>
      <c r="E363" s="201"/>
      <c r="F363" s="202" t="b">
        <v>0</v>
      </c>
      <c r="G363" s="202" t="b">
        <v>0</v>
      </c>
      <c r="H363" s="202" t="b">
        <v>0</v>
      </c>
      <c r="I363" s="202" t="b">
        <v>0</v>
      </c>
      <c r="J363" s="202" t="b">
        <v>0</v>
      </c>
      <c r="K363" s="202" t="b">
        <v>0</v>
      </c>
      <c r="L363" s="202" t="b">
        <v>0</v>
      </c>
      <c r="M363" s="202" t="b">
        <v>0</v>
      </c>
      <c r="N363" s="202" t="b">
        <v>0</v>
      </c>
    </row>
    <row r="364">
      <c r="A364" s="201"/>
      <c r="B364" s="201"/>
      <c r="C364" s="202" t="b">
        <v>0</v>
      </c>
      <c r="D364" s="201"/>
      <c r="E364" s="201"/>
      <c r="F364" s="202" t="b">
        <v>0</v>
      </c>
      <c r="G364" s="202" t="b">
        <v>0</v>
      </c>
      <c r="H364" s="202" t="b">
        <v>0</v>
      </c>
      <c r="I364" s="202" t="b">
        <v>0</v>
      </c>
      <c r="J364" s="202" t="b">
        <v>0</v>
      </c>
      <c r="K364" s="202" t="b">
        <v>0</v>
      </c>
      <c r="L364" s="202" t="b">
        <v>0</v>
      </c>
      <c r="M364" s="202" t="b">
        <v>0</v>
      </c>
      <c r="N364" s="202" t="b">
        <v>0</v>
      </c>
    </row>
    <row r="365">
      <c r="A365" s="201"/>
      <c r="B365" s="201"/>
      <c r="C365" s="202" t="b">
        <v>0</v>
      </c>
      <c r="D365" s="201"/>
      <c r="E365" s="201"/>
      <c r="F365" s="202" t="b">
        <v>0</v>
      </c>
      <c r="G365" s="202" t="b">
        <v>0</v>
      </c>
      <c r="H365" s="202" t="b">
        <v>0</v>
      </c>
      <c r="I365" s="202" t="b">
        <v>0</v>
      </c>
      <c r="J365" s="202" t="b">
        <v>0</v>
      </c>
      <c r="K365" s="202" t="b">
        <v>0</v>
      </c>
      <c r="L365" s="202" t="b">
        <v>0</v>
      </c>
      <c r="M365" s="202" t="b">
        <v>0</v>
      </c>
      <c r="N365" s="202" t="b">
        <v>0</v>
      </c>
    </row>
    <row r="366">
      <c r="A366" s="201"/>
      <c r="B366" s="201"/>
      <c r="C366" s="202" t="b">
        <v>0</v>
      </c>
      <c r="D366" s="201"/>
      <c r="E366" s="201"/>
      <c r="F366" s="202" t="b">
        <v>0</v>
      </c>
      <c r="G366" s="202" t="b">
        <v>0</v>
      </c>
      <c r="H366" s="202" t="b">
        <v>0</v>
      </c>
      <c r="I366" s="202" t="b">
        <v>0</v>
      </c>
      <c r="J366" s="202" t="b">
        <v>0</v>
      </c>
      <c r="K366" s="202" t="b">
        <v>0</v>
      </c>
      <c r="L366" s="202" t="b">
        <v>0</v>
      </c>
      <c r="M366" s="202" t="b">
        <v>0</v>
      </c>
      <c r="N366" s="202" t="b">
        <v>0</v>
      </c>
    </row>
    <row r="367">
      <c r="A367" s="201"/>
      <c r="B367" s="201"/>
      <c r="C367" s="202" t="b">
        <v>0</v>
      </c>
      <c r="D367" s="201"/>
      <c r="E367" s="201"/>
      <c r="F367" s="202" t="b">
        <v>0</v>
      </c>
      <c r="G367" s="202" t="b">
        <v>0</v>
      </c>
      <c r="H367" s="202" t="b">
        <v>0</v>
      </c>
      <c r="I367" s="202" t="b">
        <v>0</v>
      </c>
      <c r="J367" s="202" t="b">
        <v>0</v>
      </c>
      <c r="K367" s="202" t="b">
        <v>0</v>
      </c>
      <c r="L367" s="202" t="b">
        <v>0</v>
      </c>
      <c r="M367" s="202" t="b">
        <v>0</v>
      </c>
      <c r="N367" s="202" t="b">
        <v>0</v>
      </c>
    </row>
    <row r="368">
      <c r="A368" s="201"/>
      <c r="B368" s="201"/>
      <c r="C368" s="202" t="b">
        <v>0</v>
      </c>
      <c r="D368" s="201"/>
      <c r="E368" s="201"/>
      <c r="F368" s="202" t="b">
        <v>0</v>
      </c>
      <c r="G368" s="202" t="b">
        <v>0</v>
      </c>
      <c r="H368" s="202" t="b">
        <v>0</v>
      </c>
      <c r="I368" s="202" t="b">
        <v>0</v>
      </c>
      <c r="J368" s="202" t="b">
        <v>0</v>
      </c>
      <c r="K368" s="202" t="b">
        <v>0</v>
      </c>
      <c r="L368" s="202" t="b">
        <v>0</v>
      </c>
      <c r="M368" s="202" t="b">
        <v>0</v>
      </c>
      <c r="N368" s="202" t="b">
        <v>0</v>
      </c>
    </row>
    <row r="369">
      <c r="A369" s="201"/>
      <c r="B369" s="201"/>
      <c r="C369" s="202" t="b">
        <v>0</v>
      </c>
      <c r="D369" s="201"/>
      <c r="E369" s="201"/>
      <c r="F369" s="202" t="b">
        <v>0</v>
      </c>
      <c r="G369" s="202" t="b">
        <v>0</v>
      </c>
      <c r="H369" s="202" t="b">
        <v>0</v>
      </c>
      <c r="I369" s="202" t="b">
        <v>0</v>
      </c>
      <c r="J369" s="202" t="b">
        <v>0</v>
      </c>
      <c r="K369" s="202" t="b">
        <v>0</v>
      </c>
      <c r="L369" s="202" t="b">
        <v>0</v>
      </c>
      <c r="M369" s="202" t="b">
        <v>0</v>
      </c>
      <c r="N369" s="202" t="b">
        <v>0</v>
      </c>
    </row>
    <row r="370">
      <c r="A370" s="201"/>
      <c r="B370" s="201"/>
      <c r="C370" s="202" t="b">
        <v>0</v>
      </c>
      <c r="D370" s="201"/>
      <c r="E370" s="201"/>
      <c r="F370" s="202" t="b">
        <v>0</v>
      </c>
      <c r="G370" s="202" t="b">
        <v>0</v>
      </c>
      <c r="H370" s="202" t="b">
        <v>0</v>
      </c>
      <c r="I370" s="202" t="b">
        <v>0</v>
      </c>
      <c r="J370" s="202" t="b">
        <v>0</v>
      </c>
      <c r="K370" s="202" t="b">
        <v>0</v>
      </c>
      <c r="L370" s="202" t="b">
        <v>0</v>
      </c>
      <c r="M370" s="202" t="b">
        <v>0</v>
      </c>
      <c r="N370" s="202" t="b">
        <v>0</v>
      </c>
    </row>
    <row r="371">
      <c r="A371" s="201"/>
      <c r="B371" s="201"/>
      <c r="C371" s="202" t="b">
        <v>0</v>
      </c>
      <c r="D371" s="201"/>
      <c r="E371" s="201"/>
      <c r="F371" s="202" t="b">
        <v>0</v>
      </c>
      <c r="G371" s="202" t="b">
        <v>0</v>
      </c>
      <c r="H371" s="202" t="b">
        <v>0</v>
      </c>
      <c r="I371" s="202" t="b">
        <v>0</v>
      </c>
      <c r="J371" s="202" t="b">
        <v>0</v>
      </c>
      <c r="K371" s="202" t="b">
        <v>0</v>
      </c>
      <c r="L371" s="202" t="b">
        <v>0</v>
      </c>
      <c r="M371" s="202" t="b">
        <v>0</v>
      </c>
      <c r="N371" s="202" t="b">
        <v>0</v>
      </c>
    </row>
    <row r="372">
      <c r="A372" s="201"/>
      <c r="B372" s="201"/>
      <c r="C372" s="202" t="b">
        <v>0</v>
      </c>
      <c r="D372" s="201"/>
      <c r="E372" s="201"/>
      <c r="F372" s="202" t="b">
        <v>0</v>
      </c>
      <c r="G372" s="202" t="b">
        <v>0</v>
      </c>
      <c r="H372" s="202" t="b">
        <v>0</v>
      </c>
      <c r="I372" s="202" t="b">
        <v>0</v>
      </c>
      <c r="J372" s="202" t="b">
        <v>0</v>
      </c>
      <c r="K372" s="202" t="b">
        <v>0</v>
      </c>
      <c r="L372" s="202" t="b">
        <v>0</v>
      </c>
      <c r="M372" s="202" t="b">
        <v>0</v>
      </c>
      <c r="N372" s="202" t="b">
        <v>0</v>
      </c>
    </row>
    <row r="373">
      <c r="A373" s="201"/>
      <c r="B373" s="201"/>
      <c r="C373" s="202" t="b">
        <v>0</v>
      </c>
      <c r="D373" s="201"/>
      <c r="E373" s="201"/>
      <c r="F373" s="202" t="b">
        <v>0</v>
      </c>
      <c r="G373" s="202" t="b">
        <v>0</v>
      </c>
      <c r="H373" s="202" t="b">
        <v>0</v>
      </c>
      <c r="I373" s="202" t="b">
        <v>0</v>
      </c>
      <c r="J373" s="202" t="b">
        <v>0</v>
      </c>
      <c r="K373" s="202" t="b">
        <v>0</v>
      </c>
      <c r="L373" s="202" t="b">
        <v>0</v>
      </c>
      <c r="M373" s="202" t="b">
        <v>0</v>
      </c>
      <c r="N373" s="202" t="b">
        <v>0</v>
      </c>
    </row>
    <row r="374">
      <c r="A374" s="201"/>
      <c r="B374" s="201"/>
      <c r="C374" s="202" t="b">
        <v>0</v>
      </c>
      <c r="D374" s="201"/>
      <c r="E374" s="201"/>
      <c r="F374" s="202" t="b">
        <v>0</v>
      </c>
      <c r="G374" s="202" t="b">
        <v>0</v>
      </c>
      <c r="H374" s="202" t="b">
        <v>0</v>
      </c>
      <c r="I374" s="202" t="b">
        <v>0</v>
      </c>
      <c r="J374" s="202" t="b">
        <v>0</v>
      </c>
      <c r="K374" s="202" t="b">
        <v>0</v>
      </c>
      <c r="L374" s="202" t="b">
        <v>0</v>
      </c>
      <c r="M374" s="202" t="b">
        <v>0</v>
      </c>
      <c r="N374" s="202" t="b">
        <v>0</v>
      </c>
    </row>
    <row r="375">
      <c r="A375" s="201"/>
      <c r="B375" s="201"/>
      <c r="C375" s="202" t="b">
        <v>0</v>
      </c>
      <c r="D375" s="201"/>
      <c r="E375" s="201"/>
      <c r="F375" s="202" t="b">
        <v>0</v>
      </c>
      <c r="G375" s="202" t="b">
        <v>0</v>
      </c>
      <c r="H375" s="202" t="b">
        <v>0</v>
      </c>
      <c r="I375" s="202" t="b">
        <v>0</v>
      </c>
      <c r="J375" s="202" t="b">
        <v>0</v>
      </c>
      <c r="K375" s="202" t="b">
        <v>0</v>
      </c>
      <c r="L375" s="202" t="b">
        <v>0</v>
      </c>
      <c r="M375" s="202" t="b">
        <v>0</v>
      </c>
      <c r="N375" s="202" t="b">
        <v>0</v>
      </c>
    </row>
    <row r="376">
      <c r="A376" s="201"/>
      <c r="B376" s="201"/>
      <c r="C376" s="202" t="b">
        <v>0</v>
      </c>
      <c r="D376" s="201"/>
      <c r="E376" s="201"/>
      <c r="F376" s="202" t="b">
        <v>0</v>
      </c>
      <c r="G376" s="202" t="b">
        <v>0</v>
      </c>
      <c r="H376" s="202" t="b">
        <v>0</v>
      </c>
      <c r="I376" s="202" t="b">
        <v>0</v>
      </c>
      <c r="J376" s="202" t="b">
        <v>0</v>
      </c>
      <c r="K376" s="202" t="b">
        <v>0</v>
      </c>
      <c r="L376" s="202" t="b">
        <v>0</v>
      </c>
      <c r="M376" s="202" t="b">
        <v>0</v>
      </c>
      <c r="N376" s="202" t="b">
        <v>0</v>
      </c>
    </row>
    <row r="377">
      <c r="A377" s="201"/>
      <c r="B377" s="201"/>
      <c r="C377" s="202" t="b">
        <v>0</v>
      </c>
      <c r="D377" s="201"/>
      <c r="E377" s="201"/>
      <c r="F377" s="202" t="b">
        <v>0</v>
      </c>
      <c r="G377" s="202" t="b">
        <v>0</v>
      </c>
      <c r="H377" s="202" t="b">
        <v>0</v>
      </c>
      <c r="I377" s="202" t="b">
        <v>0</v>
      </c>
      <c r="J377" s="202" t="b">
        <v>0</v>
      </c>
      <c r="K377" s="202" t="b">
        <v>0</v>
      </c>
      <c r="L377" s="202" t="b">
        <v>0</v>
      </c>
      <c r="M377" s="202" t="b">
        <v>0</v>
      </c>
      <c r="N377" s="202" t="b">
        <v>0</v>
      </c>
    </row>
    <row r="378">
      <c r="A378" s="201"/>
      <c r="B378" s="201"/>
      <c r="C378" s="202" t="b">
        <v>0</v>
      </c>
      <c r="D378" s="201"/>
      <c r="E378" s="201"/>
      <c r="F378" s="202" t="b">
        <v>0</v>
      </c>
      <c r="G378" s="202" t="b">
        <v>0</v>
      </c>
      <c r="H378" s="202" t="b">
        <v>0</v>
      </c>
      <c r="I378" s="202" t="b">
        <v>0</v>
      </c>
      <c r="J378" s="202" t="b">
        <v>0</v>
      </c>
      <c r="K378" s="202" t="b">
        <v>0</v>
      </c>
      <c r="L378" s="202" t="b">
        <v>0</v>
      </c>
      <c r="M378" s="202" t="b">
        <v>0</v>
      </c>
      <c r="N378" s="202" t="b">
        <v>0</v>
      </c>
    </row>
    <row r="379">
      <c r="A379" s="201"/>
      <c r="B379" s="201"/>
      <c r="C379" s="202" t="b">
        <v>0</v>
      </c>
      <c r="D379" s="201"/>
      <c r="E379" s="201"/>
      <c r="F379" s="202" t="b">
        <v>0</v>
      </c>
      <c r="G379" s="202" t="b">
        <v>0</v>
      </c>
      <c r="H379" s="202" t="b">
        <v>0</v>
      </c>
      <c r="I379" s="202" t="b">
        <v>0</v>
      </c>
      <c r="J379" s="202" t="b">
        <v>0</v>
      </c>
      <c r="K379" s="202" t="b">
        <v>0</v>
      </c>
      <c r="L379" s="202" t="b">
        <v>0</v>
      </c>
      <c r="M379" s="202" t="b">
        <v>0</v>
      </c>
      <c r="N379" s="202" t="b">
        <v>0</v>
      </c>
    </row>
    <row r="380">
      <c r="A380" s="201"/>
      <c r="B380" s="201"/>
      <c r="C380" s="202" t="b">
        <v>0</v>
      </c>
      <c r="D380" s="201"/>
      <c r="E380" s="201"/>
      <c r="F380" s="202" t="b">
        <v>0</v>
      </c>
      <c r="G380" s="202" t="b">
        <v>0</v>
      </c>
      <c r="H380" s="202" t="b">
        <v>0</v>
      </c>
      <c r="I380" s="202" t="b">
        <v>0</v>
      </c>
      <c r="J380" s="202" t="b">
        <v>0</v>
      </c>
      <c r="K380" s="202" t="b">
        <v>0</v>
      </c>
      <c r="L380" s="202" t="b">
        <v>0</v>
      </c>
      <c r="M380" s="202" t="b">
        <v>0</v>
      </c>
      <c r="N380" s="202" t="b">
        <v>0</v>
      </c>
    </row>
    <row r="381">
      <c r="A381" s="201"/>
      <c r="B381" s="201"/>
      <c r="C381" s="202" t="b">
        <v>0</v>
      </c>
      <c r="D381" s="201"/>
      <c r="E381" s="201"/>
      <c r="F381" s="202" t="b">
        <v>0</v>
      </c>
      <c r="G381" s="202" t="b">
        <v>0</v>
      </c>
      <c r="H381" s="202" t="b">
        <v>0</v>
      </c>
      <c r="I381" s="202" t="b">
        <v>0</v>
      </c>
      <c r="J381" s="202" t="b">
        <v>0</v>
      </c>
      <c r="K381" s="202" t="b">
        <v>0</v>
      </c>
      <c r="L381" s="202" t="b">
        <v>0</v>
      </c>
      <c r="M381" s="202" t="b">
        <v>0</v>
      </c>
      <c r="N381" s="202" t="b">
        <v>0</v>
      </c>
    </row>
    <row r="382">
      <c r="A382" s="201"/>
      <c r="B382" s="201"/>
      <c r="C382" s="202" t="b">
        <v>0</v>
      </c>
      <c r="D382" s="201"/>
      <c r="E382" s="201"/>
      <c r="F382" s="202" t="b">
        <v>0</v>
      </c>
      <c r="G382" s="202" t="b">
        <v>0</v>
      </c>
      <c r="H382" s="202" t="b">
        <v>0</v>
      </c>
      <c r="I382" s="202" t="b">
        <v>0</v>
      </c>
      <c r="J382" s="202" t="b">
        <v>0</v>
      </c>
      <c r="K382" s="202" t="b">
        <v>0</v>
      </c>
      <c r="L382" s="202" t="b">
        <v>0</v>
      </c>
      <c r="M382" s="202" t="b">
        <v>0</v>
      </c>
      <c r="N382" s="202" t="b">
        <v>0</v>
      </c>
    </row>
    <row r="383">
      <c r="A383" s="201"/>
      <c r="B383" s="201"/>
      <c r="C383" s="202" t="b">
        <v>0</v>
      </c>
      <c r="D383" s="201"/>
      <c r="E383" s="201"/>
      <c r="F383" s="202" t="b">
        <v>0</v>
      </c>
      <c r="G383" s="202" t="b">
        <v>0</v>
      </c>
      <c r="H383" s="202" t="b">
        <v>0</v>
      </c>
      <c r="I383" s="202" t="b">
        <v>0</v>
      </c>
      <c r="J383" s="202" t="b">
        <v>0</v>
      </c>
      <c r="K383" s="202" t="b">
        <v>0</v>
      </c>
      <c r="L383" s="202" t="b">
        <v>0</v>
      </c>
      <c r="M383" s="202" t="b">
        <v>0</v>
      </c>
      <c r="N383" s="202" t="b">
        <v>0</v>
      </c>
    </row>
    <row r="384">
      <c r="A384" s="201"/>
      <c r="B384" s="201"/>
      <c r="C384" s="202" t="b">
        <v>0</v>
      </c>
      <c r="D384" s="201"/>
      <c r="E384" s="201"/>
      <c r="F384" s="202" t="b">
        <v>0</v>
      </c>
      <c r="G384" s="202" t="b">
        <v>0</v>
      </c>
      <c r="H384" s="202" t="b">
        <v>0</v>
      </c>
      <c r="I384" s="202" t="b">
        <v>0</v>
      </c>
      <c r="J384" s="202" t="b">
        <v>0</v>
      </c>
      <c r="K384" s="202" t="b">
        <v>0</v>
      </c>
      <c r="L384" s="202" t="b">
        <v>0</v>
      </c>
      <c r="M384" s="202" t="b">
        <v>0</v>
      </c>
      <c r="N384" s="202" t="b">
        <v>0</v>
      </c>
    </row>
    <row r="385">
      <c r="A385" s="201"/>
      <c r="B385" s="201"/>
      <c r="C385" s="202" t="b">
        <v>0</v>
      </c>
      <c r="D385" s="201"/>
      <c r="E385" s="201"/>
      <c r="F385" s="202" t="b">
        <v>0</v>
      </c>
      <c r="G385" s="202" t="b">
        <v>0</v>
      </c>
      <c r="H385" s="202" t="b">
        <v>0</v>
      </c>
      <c r="I385" s="202" t="b">
        <v>0</v>
      </c>
      <c r="J385" s="202" t="b">
        <v>0</v>
      </c>
      <c r="K385" s="202" t="b">
        <v>0</v>
      </c>
      <c r="L385" s="202" t="b">
        <v>0</v>
      </c>
      <c r="M385" s="202" t="b">
        <v>0</v>
      </c>
      <c r="N385" s="202" t="b">
        <v>0</v>
      </c>
    </row>
    <row r="386">
      <c r="A386" s="201"/>
      <c r="B386" s="201"/>
      <c r="C386" s="202" t="b">
        <v>0</v>
      </c>
      <c r="D386" s="201"/>
      <c r="E386" s="201"/>
      <c r="F386" s="202" t="b">
        <v>0</v>
      </c>
      <c r="G386" s="202" t="b">
        <v>0</v>
      </c>
      <c r="H386" s="202" t="b">
        <v>0</v>
      </c>
      <c r="I386" s="202" t="b">
        <v>0</v>
      </c>
      <c r="J386" s="202" t="b">
        <v>0</v>
      </c>
      <c r="K386" s="202" t="b">
        <v>0</v>
      </c>
      <c r="L386" s="202" t="b">
        <v>0</v>
      </c>
      <c r="M386" s="202" t="b">
        <v>0</v>
      </c>
      <c r="N386" s="202" t="b">
        <v>0</v>
      </c>
    </row>
    <row r="387">
      <c r="A387" s="201"/>
      <c r="B387" s="201"/>
      <c r="C387" s="202" t="b">
        <v>0</v>
      </c>
      <c r="D387" s="201"/>
      <c r="E387" s="201"/>
      <c r="F387" s="202" t="b">
        <v>0</v>
      </c>
      <c r="G387" s="202" t="b">
        <v>0</v>
      </c>
      <c r="H387" s="202" t="b">
        <v>0</v>
      </c>
      <c r="I387" s="202" t="b">
        <v>0</v>
      </c>
      <c r="J387" s="202" t="b">
        <v>0</v>
      </c>
      <c r="K387" s="202" t="b">
        <v>0</v>
      </c>
      <c r="L387" s="202" t="b">
        <v>0</v>
      </c>
      <c r="M387" s="202" t="b">
        <v>0</v>
      </c>
      <c r="N387" s="202" t="b">
        <v>0</v>
      </c>
    </row>
    <row r="388">
      <c r="A388" s="201"/>
      <c r="B388" s="201"/>
      <c r="C388" s="202" t="b">
        <v>0</v>
      </c>
      <c r="D388" s="201"/>
      <c r="E388" s="201"/>
      <c r="F388" s="202" t="b">
        <v>0</v>
      </c>
      <c r="G388" s="202" t="b">
        <v>0</v>
      </c>
      <c r="H388" s="202" t="b">
        <v>0</v>
      </c>
      <c r="I388" s="202" t="b">
        <v>0</v>
      </c>
      <c r="J388" s="202" t="b">
        <v>0</v>
      </c>
      <c r="K388" s="202" t="b">
        <v>0</v>
      </c>
      <c r="L388" s="202" t="b">
        <v>0</v>
      </c>
      <c r="M388" s="202" t="b">
        <v>0</v>
      </c>
      <c r="N388" s="202" t="b">
        <v>0</v>
      </c>
    </row>
    <row r="389">
      <c r="A389" s="201"/>
      <c r="B389" s="201"/>
      <c r="C389" s="202" t="b">
        <v>0</v>
      </c>
      <c r="D389" s="201"/>
      <c r="E389" s="201"/>
      <c r="F389" s="202" t="b">
        <v>0</v>
      </c>
      <c r="G389" s="202" t="b">
        <v>0</v>
      </c>
      <c r="H389" s="202" t="b">
        <v>0</v>
      </c>
      <c r="I389" s="202" t="b">
        <v>0</v>
      </c>
      <c r="J389" s="202" t="b">
        <v>0</v>
      </c>
      <c r="K389" s="202" t="b">
        <v>0</v>
      </c>
      <c r="L389" s="202" t="b">
        <v>0</v>
      </c>
      <c r="M389" s="202" t="b">
        <v>0</v>
      </c>
      <c r="N389" s="202" t="b">
        <v>0</v>
      </c>
    </row>
    <row r="390">
      <c r="A390" s="201"/>
      <c r="B390" s="201"/>
      <c r="C390" s="202" t="b">
        <v>0</v>
      </c>
      <c r="D390" s="201"/>
      <c r="E390" s="201"/>
      <c r="F390" s="202" t="b">
        <v>0</v>
      </c>
      <c r="G390" s="202" t="b">
        <v>0</v>
      </c>
      <c r="H390" s="202" t="b">
        <v>0</v>
      </c>
      <c r="I390" s="202" t="b">
        <v>0</v>
      </c>
      <c r="J390" s="202" t="b">
        <v>0</v>
      </c>
      <c r="K390" s="202" t="b">
        <v>0</v>
      </c>
      <c r="L390" s="202" t="b">
        <v>0</v>
      </c>
      <c r="M390" s="202" t="b">
        <v>0</v>
      </c>
      <c r="N390" s="202" t="b">
        <v>0</v>
      </c>
    </row>
    <row r="391">
      <c r="A391" s="201"/>
      <c r="B391" s="201"/>
      <c r="C391" s="202" t="b">
        <v>0</v>
      </c>
      <c r="D391" s="201"/>
      <c r="E391" s="201"/>
      <c r="F391" s="202" t="b">
        <v>0</v>
      </c>
      <c r="G391" s="202" t="b">
        <v>0</v>
      </c>
      <c r="H391" s="202" t="b">
        <v>0</v>
      </c>
      <c r="I391" s="202" t="b">
        <v>0</v>
      </c>
      <c r="J391" s="202" t="b">
        <v>0</v>
      </c>
      <c r="K391" s="202" t="b">
        <v>0</v>
      </c>
      <c r="L391" s="202" t="b">
        <v>0</v>
      </c>
      <c r="M391" s="202" t="b">
        <v>0</v>
      </c>
      <c r="N391" s="202" t="b">
        <v>0</v>
      </c>
    </row>
    <row r="392">
      <c r="A392" s="201"/>
      <c r="B392" s="201"/>
      <c r="C392" s="202" t="b">
        <v>0</v>
      </c>
      <c r="D392" s="201"/>
      <c r="E392" s="201"/>
      <c r="F392" s="202" t="b">
        <v>0</v>
      </c>
      <c r="G392" s="202" t="b">
        <v>0</v>
      </c>
      <c r="H392" s="202" t="b">
        <v>0</v>
      </c>
      <c r="I392" s="202" t="b">
        <v>0</v>
      </c>
      <c r="J392" s="202" t="b">
        <v>0</v>
      </c>
      <c r="K392" s="202" t="b">
        <v>0</v>
      </c>
      <c r="L392" s="202" t="b">
        <v>0</v>
      </c>
      <c r="M392" s="202" t="b">
        <v>0</v>
      </c>
      <c r="N392" s="202" t="b">
        <v>0</v>
      </c>
    </row>
    <row r="393">
      <c r="A393" s="201"/>
      <c r="B393" s="201"/>
      <c r="C393" s="202" t="b">
        <v>0</v>
      </c>
      <c r="D393" s="201"/>
      <c r="E393" s="201"/>
      <c r="F393" s="202" t="b">
        <v>0</v>
      </c>
      <c r="G393" s="202" t="b">
        <v>0</v>
      </c>
      <c r="H393" s="202" t="b">
        <v>0</v>
      </c>
      <c r="I393" s="202" t="b">
        <v>0</v>
      </c>
      <c r="J393" s="202" t="b">
        <v>0</v>
      </c>
      <c r="K393" s="202" t="b">
        <v>0</v>
      </c>
      <c r="L393" s="202" t="b">
        <v>0</v>
      </c>
      <c r="M393" s="202" t="b">
        <v>0</v>
      </c>
      <c r="N393" s="202" t="b">
        <v>0</v>
      </c>
    </row>
    <row r="394">
      <c r="A394" s="201"/>
      <c r="B394" s="201"/>
      <c r="C394" s="202" t="b">
        <v>0</v>
      </c>
      <c r="D394" s="201"/>
      <c r="E394" s="201"/>
      <c r="F394" s="202" t="b">
        <v>0</v>
      </c>
      <c r="G394" s="202" t="b">
        <v>0</v>
      </c>
      <c r="H394" s="202" t="b">
        <v>0</v>
      </c>
      <c r="I394" s="202" t="b">
        <v>0</v>
      </c>
      <c r="J394" s="202" t="b">
        <v>0</v>
      </c>
      <c r="K394" s="202" t="b">
        <v>0</v>
      </c>
      <c r="L394" s="202" t="b">
        <v>0</v>
      </c>
      <c r="M394" s="202" t="b">
        <v>0</v>
      </c>
      <c r="N394" s="202" t="b">
        <v>0</v>
      </c>
    </row>
    <row r="395">
      <c r="A395" s="201"/>
      <c r="B395" s="201"/>
      <c r="C395" s="202" t="b">
        <v>0</v>
      </c>
      <c r="D395" s="201"/>
      <c r="E395" s="201"/>
      <c r="F395" s="202" t="b">
        <v>0</v>
      </c>
      <c r="G395" s="202" t="b">
        <v>0</v>
      </c>
      <c r="H395" s="202" t="b">
        <v>0</v>
      </c>
      <c r="I395" s="202" t="b">
        <v>0</v>
      </c>
      <c r="J395" s="202" t="b">
        <v>0</v>
      </c>
      <c r="K395" s="202" t="b">
        <v>0</v>
      </c>
      <c r="L395" s="202" t="b">
        <v>0</v>
      </c>
      <c r="M395" s="202" t="b">
        <v>0</v>
      </c>
      <c r="N395" s="202" t="b">
        <v>0</v>
      </c>
    </row>
    <row r="396">
      <c r="A396" s="201"/>
      <c r="B396" s="201"/>
      <c r="C396" s="202" t="b">
        <v>0</v>
      </c>
      <c r="D396" s="201"/>
      <c r="E396" s="201"/>
      <c r="F396" s="202" t="b">
        <v>0</v>
      </c>
      <c r="G396" s="202" t="b">
        <v>0</v>
      </c>
      <c r="H396" s="202" t="b">
        <v>0</v>
      </c>
      <c r="I396" s="202" t="b">
        <v>0</v>
      </c>
      <c r="J396" s="202" t="b">
        <v>0</v>
      </c>
      <c r="K396" s="202" t="b">
        <v>0</v>
      </c>
      <c r="L396" s="202" t="b">
        <v>0</v>
      </c>
      <c r="M396" s="202" t="b">
        <v>0</v>
      </c>
      <c r="N396" s="202" t="b">
        <v>0</v>
      </c>
    </row>
    <row r="397">
      <c r="A397" s="201"/>
      <c r="B397" s="201"/>
      <c r="C397" s="202" t="b">
        <v>0</v>
      </c>
      <c r="D397" s="201"/>
      <c r="E397" s="201"/>
      <c r="F397" s="202" t="b">
        <v>0</v>
      </c>
      <c r="G397" s="202" t="b">
        <v>0</v>
      </c>
      <c r="H397" s="202" t="b">
        <v>0</v>
      </c>
      <c r="I397" s="202" t="b">
        <v>0</v>
      </c>
      <c r="J397" s="202" t="b">
        <v>0</v>
      </c>
      <c r="K397" s="202" t="b">
        <v>0</v>
      </c>
      <c r="L397" s="202" t="b">
        <v>0</v>
      </c>
      <c r="M397" s="202" t="b">
        <v>0</v>
      </c>
      <c r="N397" s="202" t="b">
        <v>0</v>
      </c>
    </row>
    <row r="398">
      <c r="A398" s="201"/>
      <c r="B398" s="201"/>
      <c r="C398" s="202" t="b">
        <v>0</v>
      </c>
      <c r="D398" s="201"/>
      <c r="E398" s="201"/>
      <c r="F398" s="202" t="b">
        <v>0</v>
      </c>
      <c r="G398" s="202" t="b">
        <v>0</v>
      </c>
      <c r="H398" s="202" t="b">
        <v>0</v>
      </c>
      <c r="I398" s="202" t="b">
        <v>0</v>
      </c>
      <c r="J398" s="202" t="b">
        <v>0</v>
      </c>
      <c r="K398" s="202" t="b">
        <v>0</v>
      </c>
      <c r="L398" s="202" t="b">
        <v>0</v>
      </c>
      <c r="M398" s="202" t="b">
        <v>0</v>
      </c>
      <c r="N398" s="202" t="b">
        <v>0</v>
      </c>
    </row>
    <row r="399">
      <c r="A399" s="201"/>
      <c r="B399" s="201"/>
      <c r="C399" s="202" t="b">
        <v>0</v>
      </c>
      <c r="D399" s="201"/>
      <c r="E399" s="201"/>
      <c r="F399" s="202" t="b">
        <v>0</v>
      </c>
      <c r="G399" s="202" t="b">
        <v>0</v>
      </c>
      <c r="H399" s="202" t="b">
        <v>0</v>
      </c>
      <c r="I399" s="202" t="b">
        <v>0</v>
      </c>
      <c r="J399" s="202" t="b">
        <v>0</v>
      </c>
      <c r="K399" s="202" t="b">
        <v>0</v>
      </c>
      <c r="L399" s="202" t="b">
        <v>0</v>
      </c>
      <c r="M399" s="202" t="b">
        <v>0</v>
      </c>
      <c r="N399" s="202" t="b">
        <v>0</v>
      </c>
    </row>
    <row r="400">
      <c r="A400" s="201"/>
      <c r="B400" s="201"/>
      <c r="C400" s="202" t="b">
        <v>0</v>
      </c>
      <c r="D400" s="201"/>
      <c r="E400" s="201"/>
      <c r="F400" s="202" t="b">
        <v>0</v>
      </c>
      <c r="G400" s="202" t="b">
        <v>0</v>
      </c>
      <c r="H400" s="202" t="b">
        <v>0</v>
      </c>
      <c r="I400" s="202" t="b">
        <v>0</v>
      </c>
      <c r="J400" s="202" t="b">
        <v>0</v>
      </c>
      <c r="K400" s="202" t="b">
        <v>0</v>
      </c>
      <c r="L400" s="202" t="b">
        <v>0</v>
      </c>
      <c r="M400" s="202" t="b">
        <v>0</v>
      </c>
      <c r="N400" s="202" t="b">
        <v>0</v>
      </c>
    </row>
    <row r="401">
      <c r="A401" s="201"/>
      <c r="B401" s="201"/>
      <c r="C401" s="202" t="b">
        <v>0</v>
      </c>
      <c r="D401" s="201"/>
      <c r="E401" s="201"/>
      <c r="F401" s="202" t="b">
        <v>0</v>
      </c>
      <c r="G401" s="202" t="b">
        <v>0</v>
      </c>
      <c r="H401" s="202" t="b">
        <v>0</v>
      </c>
      <c r="I401" s="202" t="b">
        <v>0</v>
      </c>
      <c r="J401" s="202" t="b">
        <v>0</v>
      </c>
      <c r="K401" s="202" t="b">
        <v>0</v>
      </c>
      <c r="L401" s="202" t="b">
        <v>0</v>
      </c>
      <c r="M401" s="202" t="b">
        <v>0</v>
      </c>
      <c r="N401" s="202" t="b">
        <v>0</v>
      </c>
    </row>
    <row r="402">
      <c r="A402" s="201"/>
      <c r="B402" s="201"/>
      <c r="C402" s="202" t="b">
        <v>0</v>
      </c>
      <c r="D402" s="201"/>
      <c r="E402" s="201"/>
      <c r="F402" s="202" t="b">
        <v>0</v>
      </c>
      <c r="G402" s="202" t="b">
        <v>0</v>
      </c>
      <c r="H402" s="202" t="b">
        <v>0</v>
      </c>
      <c r="I402" s="202" t="b">
        <v>0</v>
      </c>
      <c r="J402" s="202" t="b">
        <v>0</v>
      </c>
      <c r="K402" s="202" t="b">
        <v>0</v>
      </c>
      <c r="L402" s="202" t="b">
        <v>0</v>
      </c>
      <c r="M402" s="202" t="b">
        <v>0</v>
      </c>
      <c r="N402" s="202" t="b">
        <v>0</v>
      </c>
    </row>
    <row r="403">
      <c r="A403" s="201"/>
      <c r="B403" s="201"/>
      <c r="C403" s="202" t="b">
        <v>0</v>
      </c>
      <c r="D403" s="201"/>
      <c r="E403" s="201"/>
      <c r="F403" s="202" t="b">
        <v>0</v>
      </c>
      <c r="G403" s="202" t="b">
        <v>0</v>
      </c>
      <c r="H403" s="202" t="b">
        <v>0</v>
      </c>
      <c r="I403" s="202" t="b">
        <v>0</v>
      </c>
      <c r="J403" s="202" t="b">
        <v>0</v>
      </c>
      <c r="K403" s="202" t="b">
        <v>0</v>
      </c>
      <c r="L403" s="202" t="b">
        <v>0</v>
      </c>
      <c r="M403" s="202" t="b">
        <v>0</v>
      </c>
      <c r="N403" s="202" t="b">
        <v>0</v>
      </c>
    </row>
    <row r="404">
      <c r="A404" s="201"/>
      <c r="B404" s="201"/>
      <c r="C404" s="202" t="b">
        <v>0</v>
      </c>
      <c r="D404" s="201"/>
      <c r="E404" s="201"/>
      <c r="F404" s="202" t="b">
        <v>0</v>
      </c>
      <c r="G404" s="202" t="b">
        <v>0</v>
      </c>
      <c r="H404" s="202" t="b">
        <v>0</v>
      </c>
      <c r="I404" s="202" t="b">
        <v>0</v>
      </c>
      <c r="J404" s="202" t="b">
        <v>0</v>
      </c>
      <c r="K404" s="202" t="b">
        <v>0</v>
      </c>
      <c r="L404" s="202" t="b">
        <v>0</v>
      </c>
      <c r="M404" s="202" t="b">
        <v>0</v>
      </c>
      <c r="N404" s="202" t="b">
        <v>0</v>
      </c>
    </row>
    <row r="405">
      <c r="A405" s="201"/>
      <c r="B405" s="201"/>
      <c r="C405" s="202" t="b">
        <v>0</v>
      </c>
      <c r="D405" s="201"/>
      <c r="E405" s="201"/>
      <c r="F405" s="202" t="b">
        <v>0</v>
      </c>
      <c r="G405" s="202" t="b">
        <v>0</v>
      </c>
      <c r="H405" s="202" t="b">
        <v>0</v>
      </c>
      <c r="I405" s="202" t="b">
        <v>0</v>
      </c>
      <c r="J405" s="202" t="b">
        <v>0</v>
      </c>
      <c r="K405" s="202" t="b">
        <v>0</v>
      </c>
      <c r="L405" s="202" t="b">
        <v>0</v>
      </c>
      <c r="M405" s="202" t="b">
        <v>0</v>
      </c>
      <c r="N405" s="202" t="b">
        <v>0</v>
      </c>
    </row>
    <row r="406">
      <c r="A406" s="201"/>
      <c r="B406" s="201"/>
      <c r="C406" s="202" t="b">
        <v>0</v>
      </c>
      <c r="D406" s="201"/>
      <c r="E406" s="201"/>
      <c r="F406" s="202" t="b">
        <v>0</v>
      </c>
      <c r="G406" s="202" t="b">
        <v>0</v>
      </c>
      <c r="H406" s="202" t="b">
        <v>0</v>
      </c>
      <c r="I406" s="202" t="b">
        <v>0</v>
      </c>
      <c r="J406" s="202" t="b">
        <v>0</v>
      </c>
      <c r="K406" s="202" t="b">
        <v>0</v>
      </c>
      <c r="L406" s="202" t="b">
        <v>0</v>
      </c>
      <c r="M406" s="202" t="b">
        <v>0</v>
      </c>
      <c r="N406" s="202" t="b">
        <v>0</v>
      </c>
    </row>
    <row r="407">
      <c r="A407" s="201"/>
      <c r="B407" s="201"/>
      <c r="C407" s="202" t="b">
        <v>0</v>
      </c>
      <c r="D407" s="201"/>
      <c r="E407" s="201"/>
      <c r="F407" s="202" t="b">
        <v>0</v>
      </c>
      <c r="G407" s="202" t="b">
        <v>0</v>
      </c>
      <c r="H407" s="202" t="b">
        <v>0</v>
      </c>
      <c r="I407" s="202" t="b">
        <v>0</v>
      </c>
      <c r="J407" s="202" t="b">
        <v>0</v>
      </c>
      <c r="K407" s="202" t="b">
        <v>0</v>
      </c>
      <c r="L407" s="202" t="b">
        <v>0</v>
      </c>
      <c r="M407" s="202" t="b">
        <v>0</v>
      </c>
      <c r="N407" s="202" t="b">
        <v>0</v>
      </c>
    </row>
    <row r="408">
      <c r="A408" s="201"/>
      <c r="B408" s="201"/>
      <c r="C408" s="202" t="b">
        <v>0</v>
      </c>
      <c r="D408" s="201"/>
      <c r="E408" s="201"/>
      <c r="F408" s="202" t="b">
        <v>0</v>
      </c>
      <c r="G408" s="202" t="b">
        <v>0</v>
      </c>
      <c r="H408" s="202" t="b">
        <v>0</v>
      </c>
      <c r="I408" s="202" t="b">
        <v>0</v>
      </c>
      <c r="J408" s="202" t="b">
        <v>0</v>
      </c>
      <c r="K408" s="202" t="b">
        <v>0</v>
      </c>
      <c r="L408" s="202" t="b">
        <v>0</v>
      </c>
      <c r="M408" s="202" t="b">
        <v>0</v>
      </c>
      <c r="N408" s="202" t="b">
        <v>0</v>
      </c>
    </row>
    <row r="409">
      <c r="A409" s="201"/>
      <c r="B409" s="201"/>
      <c r="C409" s="202" t="b">
        <v>0</v>
      </c>
      <c r="D409" s="201"/>
      <c r="E409" s="201"/>
      <c r="F409" s="202" t="b">
        <v>0</v>
      </c>
      <c r="G409" s="202" t="b">
        <v>0</v>
      </c>
      <c r="H409" s="202" t="b">
        <v>0</v>
      </c>
      <c r="I409" s="202" t="b">
        <v>0</v>
      </c>
      <c r="J409" s="202" t="b">
        <v>0</v>
      </c>
      <c r="K409" s="202" t="b">
        <v>0</v>
      </c>
      <c r="L409" s="202" t="b">
        <v>0</v>
      </c>
      <c r="M409" s="202" t="b">
        <v>0</v>
      </c>
      <c r="N409" s="202" t="b">
        <v>0</v>
      </c>
    </row>
    <row r="410">
      <c r="A410" s="201"/>
      <c r="B410" s="201"/>
      <c r="C410" s="202" t="b">
        <v>0</v>
      </c>
      <c r="D410" s="201"/>
      <c r="E410" s="201"/>
      <c r="F410" s="202" t="b">
        <v>0</v>
      </c>
      <c r="G410" s="202" t="b">
        <v>0</v>
      </c>
      <c r="H410" s="202" t="b">
        <v>0</v>
      </c>
      <c r="I410" s="202" t="b">
        <v>0</v>
      </c>
      <c r="J410" s="202" t="b">
        <v>0</v>
      </c>
      <c r="K410" s="202" t="b">
        <v>0</v>
      </c>
      <c r="L410" s="202" t="b">
        <v>0</v>
      </c>
      <c r="M410" s="202" t="b">
        <v>0</v>
      </c>
      <c r="N410" s="202" t="b">
        <v>0</v>
      </c>
    </row>
    <row r="411">
      <c r="A411" s="201"/>
      <c r="B411" s="201"/>
      <c r="C411" s="202" t="b">
        <v>0</v>
      </c>
      <c r="D411" s="201"/>
      <c r="E411" s="201"/>
      <c r="F411" s="202" t="b">
        <v>0</v>
      </c>
      <c r="G411" s="202" t="b">
        <v>0</v>
      </c>
      <c r="H411" s="202" t="b">
        <v>0</v>
      </c>
      <c r="I411" s="202" t="b">
        <v>0</v>
      </c>
      <c r="J411" s="202" t="b">
        <v>0</v>
      </c>
      <c r="K411" s="202" t="b">
        <v>0</v>
      </c>
      <c r="L411" s="202" t="b">
        <v>0</v>
      </c>
      <c r="M411" s="202" t="b">
        <v>0</v>
      </c>
      <c r="N411" s="202" t="b">
        <v>0</v>
      </c>
    </row>
    <row r="412">
      <c r="A412" s="201"/>
      <c r="B412" s="201"/>
      <c r="C412" s="202" t="b">
        <v>0</v>
      </c>
      <c r="D412" s="201"/>
      <c r="E412" s="201"/>
      <c r="F412" s="202" t="b">
        <v>0</v>
      </c>
      <c r="G412" s="202" t="b">
        <v>0</v>
      </c>
      <c r="H412" s="202" t="b">
        <v>0</v>
      </c>
      <c r="I412" s="202" t="b">
        <v>0</v>
      </c>
      <c r="J412" s="202" t="b">
        <v>0</v>
      </c>
      <c r="K412" s="202" t="b">
        <v>0</v>
      </c>
      <c r="L412" s="202" t="b">
        <v>0</v>
      </c>
      <c r="M412" s="202" t="b">
        <v>0</v>
      </c>
      <c r="N412" s="202" t="b">
        <v>0</v>
      </c>
    </row>
    <row r="413">
      <c r="A413" s="201"/>
      <c r="B413" s="201"/>
      <c r="C413" s="202" t="b">
        <v>0</v>
      </c>
      <c r="D413" s="201"/>
      <c r="E413" s="201"/>
      <c r="F413" s="202" t="b">
        <v>0</v>
      </c>
      <c r="G413" s="202" t="b">
        <v>0</v>
      </c>
      <c r="H413" s="202" t="b">
        <v>0</v>
      </c>
      <c r="I413" s="202" t="b">
        <v>0</v>
      </c>
      <c r="J413" s="202" t="b">
        <v>0</v>
      </c>
      <c r="K413" s="202" t="b">
        <v>0</v>
      </c>
      <c r="L413" s="202" t="b">
        <v>0</v>
      </c>
      <c r="M413" s="202" t="b">
        <v>0</v>
      </c>
      <c r="N413" s="202" t="b">
        <v>0</v>
      </c>
    </row>
    <row r="414">
      <c r="A414" s="201"/>
      <c r="B414" s="201"/>
      <c r="C414" s="202" t="b">
        <v>0</v>
      </c>
      <c r="D414" s="201"/>
      <c r="E414" s="201"/>
      <c r="F414" s="202" t="b">
        <v>0</v>
      </c>
      <c r="G414" s="202" t="b">
        <v>0</v>
      </c>
      <c r="H414" s="202" t="b">
        <v>0</v>
      </c>
      <c r="I414" s="202" t="b">
        <v>0</v>
      </c>
      <c r="J414" s="202" t="b">
        <v>0</v>
      </c>
      <c r="K414" s="202" t="b">
        <v>0</v>
      </c>
      <c r="L414" s="202" t="b">
        <v>0</v>
      </c>
      <c r="M414" s="202" t="b">
        <v>0</v>
      </c>
      <c r="N414" s="202" t="b">
        <v>0</v>
      </c>
    </row>
    <row r="415">
      <c r="A415" s="201"/>
      <c r="B415" s="201"/>
      <c r="C415" s="202" t="b">
        <v>0</v>
      </c>
      <c r="D415" s="201"/>
      <c r="E415" s="201"/>
      <c r="F415" s="202" t="b">
        <v>0</v>
      </c>
      <c r="G415" s="202" t="b">
        <v>0</v>
      </c>
      <c r="H415" s="202" t="b">
        <v>0</v>
      </c>
      <c r="I415" s="202" t="b">
        <v>0</v>
      </c>
      <c r="J415" s="202" t="b">
        <v>0</v>
      </c>
      <c r="K415" s="202" t="b">
        <v>0</v>
      </c>
      <c r="L415" s="202" t="b">
        <v>0</v>
      </c>
      <c r="M415" s="202" t="b">
        <v>0</v>
      </c>
      <c r="N415" s="202" t="b">
        <v>0</v>
      </c>
    </row>
    <row r="416">
      <c r="A416" s="201"/>
      <c r="B416" s="201"/>
      <c r="C416" s="202" t="b">
        <v>0</v>
      </c>
      <c r="D416" s="201"/>
      <c r="E416" s="201"/>
      <c r="F416" s="202" t="b">
        <v>0</v>
      </c>
      <c r="G416" s="202" t="b">
        <v>0</v>
      </c>
      <c r="H416" s="202" t="b">
        <v>0</v>
      </c>
      <c r="I416" s="202" t="b">
        <v>0</v>
      </c>
      <c r="J416" s="202" t="b">
        <v>0</v>
      </c>
      <c r="K416" s="202" t="b">
        <v>0</v>
      </c>
      <c r="L416" s="202" t="b">
        <v>0</v>
      </c>
      <c r="M416" s="202" t="b">
        <v>0</v>
      </c>
      <c r="N416" s="202" t="b">
        <v>0</v>
      </c>
    </row>
    <row r="417">
      <c r="A417" s="201"/>
      <c r="B417" s="201"/>
      <c r="C417" s="202" t="b">
        <v>0</v>
      </c>
      <c r="D417" s="201"/>
      <c r="E417" s="201"/>
      <c r="F417" s="202" t="b">
        <v>0</v>
      </c>
      <c r="G417" s="202" t="b">
        <v>0</v>
      </c>
      <c r="H417" s="202" t="b">
        <v>0</v>
      </c>
      <c r="I417" s="202" t="b">
        <v>0</v>
      </c>
      <c r="J417" s="202" t="b">
        <v>0</v>
      </c>
      <c r="K417" s="202" t="b">
        <v>0</v>
      </c>
      <c r="L417" s="202" t="b">
        <v>0</v>
      </c>
      <c r="M417" s="202" t="b">
        <v>0</v>
      </c>
      <c r="N417" s="202" t="b">
        <v>0</v>
      </c>
    </row>
    <row r="418">
      <c r="A418" s="201"/>
      <c r="B418" s="201"/>
      <c r="C418" s="202" t="b">
        <v>0</v>
      </c>
      <c r="D418" s="201"/>
      <c r="E418" s="201"/>
      <c r="F418" s="202" t="b">
        <v>0</v>
      </c>
      <c r="G418" s="202" t="b">
        <v>0</v>
      </c>
      <c r="H418" s="202" t="b">
        <v>0</v>
      </c>
      <c r="I418" s="202" t="b">
        <v>0</v>
      </c>
      <c r="J418" s="202" t="b">
        <v>0</v>
      </c>
      <c r="K418" s="202" t="b">
        <v>0</v>
      </c>
      <c r="L418" s="202" t="b">
        <v>0</v>
      </c>
      <c r="M418" s="202" t="b">
        <v>0</v>
      </c>
      <c r="N418" s="202" t="b">
        <v>0</v>
      </c>
    </row>
    <row r="419">
      <c r="A419" s="201"/>
      <c r="B419" s="201"/>
      <c r="C419" s="202" t="b">
        <v>0</v>
      </c>
      <c r="D419" s="201"/>
      <c r="E419" s="201"/>
      <c r="F419" s="202" t="b">
        <v>0</v>
      </c>
      <c r="G419" s="202" t="b">
        <v>0</v>
      </c>
      <c r="H419" s="202" t="b">
        <v>0</v>
      </c>
      <c r="I419" s="202" t="b">
        <v>0</v>
      </c>
      <c r="J419" s="202" t="b">
        <v>0</v>
      </c>
      <c r="K419" s="202" t="b">
        <v>0</v>
      </c>
      <c r="L419" s="202" t="b">
        <v>0</v>
      </c>
      <c r="M419" s="202" t="b">
        <v>0</v>
      </c>
      <c r="N419" s="202" t="b">
        <v>0</v>
      </c>
    </row>
    <row r="420">
      <c r="A420" s="201"/>
      <c r="B420" s="201"/>
      <c r="C420" s="202" t="b">
        <v>0</v>
      </c>
      <c r="D420" s="201"/>
      <c r="E420" s="201"/>
      <c r="F420" s="202" t="b">
        <v>0</v>
      </c>
      <c r="G420" s="202" t="b">
        <v>0</v>
      </c>
      <c r="H420" s="202" t="b">
        <v>0</v>
      </c>
      <c r="I420" s="202" t="b">
        <v>0</v>
      </c>
      <c r="J420" s="202" t="b">
        <v>0</v>
      </c>
      <c r="K420" s="202" t="b">
        <v>0</v>
      </c>
      <c r="L420" s="202" t="b">
        <v>0</v>
      </c>
      <c r="M420" s="202" t="b">
        <v>0</v>
      </c>
      <c r="N420" s="202" t="b">
        <v>0</v>
      </c>
    </row>
    <row r="421">
      <c r="A421" s="201"/>
      <c r="B421" s="201"/>
      <c r="C421" s="202" t="b">
        <v>0</v>
      </c>
      <c r="D421" s="201"/>
      <c r="E421" s="201"/>
      <c r="F421" s="202" t="b">
        <v>0</v>
      </c>
      <c r="G421" s="202" t="b">
        <v>0</v>
      </c>
      <c r="H421" s="202" t="b">
        <v>0</v>
      </c>
      <c r="I421" s="202" t="b">
        <v>0</v>
      </c>
      <c r="J421" s="202" t="b">
        <v>0</v>
      </c>
      <c r="K421" s="202" t="b">
        <v>0</v>
      </c>
      <c r="L421" s="202" t="b">
        <v>0</v>
      </c>
      <c r="M421" s="202" t="b">
        <v>0</v>
      </c>
      <c r="N421" s="202" t="b">
        <v>0</v>
      </c>
    </row>
    <row r="422">
      <c r="A422" s="201"/>
      <c r="B422" s="201"/>
      <c r="C422" s="202" t="b">
        <v>0</v>
      </c>
      <c r="D422" s="201"/>
      <c r="E422" s="201"/>
      <c r="F422" s="202" t="b">
        <v>0</v>
      </c>
      <c r="G422" s="202" t="b">
        <v>0</v>
      </c>
      <c r="H422" s="202" t="b">
        <v>0</v>
      </c>
      <c r="I422" s="202" t="b">
        <v>0</v>
      </c>
      <c r="J422" s="202" t="b">
        <v>0</v>
      </c>
      <c r="K422" s="202" t="b">
        <v>0</v>
      </c>
      <c r="L422" s="202" t="b">
        <v>0</v>
      </c>
      <c r="M422" s="202" t="b">
        <v>0</v>
      </c>
      <c r="N422" s="202" t="b">
        <v>0</v>
      </c>
    </row>
    <row r="423">
      <c r="A423" s="201"/>
      <c r="B423" s="201"/>
      <c r="C423" s="202" t="b">
        <v>0</v>
      </c>
      <c r="D423" s="201"/>
      <c r="E423" s="201"/>
      <c r="F423" s="202" t="b">
        <v>0</v>
      </c>
      <c r="G423" s="202" t="b">
        <v>0</v>
      </c>
      <c r="H423" s="202" t="b">
        <v>0</v>
      </c>
      <c r="I423" s="202" t="b">
        <v>0</v>
      </c>
      <c r="J423" s="202" t="b">
        <v>0</v>
      </c>
      <c r="K423" s="202" t="b">
        <v>0</v>
      </c>
      <c r="L423" s="202" t="b">
        <v>0</v>
      </c>
      <c r="M423" s="202" t="b">
        <v>0</v>
      </c>
      <c r="N423" s="202" t="b">
        <v>0</v>
      </c>
    </row>
    <row r="424">
      <c r="A424" s="201"/>
      <c r="B424" s="201"/>
      <c r="C424" s="202" t="b">
        <v>0</v>
      </c>
      <c r="D424" s="201"/>
      <c r="E424" s="201"/>
      <c r="F424" s="202" t="b">
        <v>0</v>
      </c>
      <c r="G424" s="202" t="b">
        <v>0</v>
      </c>
      <c r="H424" s="202" t="b">
        <v>0</v>
      </c>
      <c r="I424" s="202" t="b">
        <v>0</v>
      </c>
      <c r="J424" s="202" t="b">
        <v>0</v>
      </c>
      <c r="K424" s="202" t="b">
        <v>0</v>
      </c>
      <c r="L424" s="202" t="b">
        <v>0</v>
      </c>
      <c r="M424" s="202" t="b">
        <v>0</v>
      </c>
      <c r="N424" s="202" t="b">
        <v>0</v>
      </c>
    </row>
    <row r="425">
      <c r="A425" s="201"/>
      <c r="B425" s="201"/>
      <c r="C425" s="202" t="b">
        <v>0</v>
      </c>
      <c r="D425" s="201"/>
      <c r="E425" s="201"/>
      <c r="F425" s="202" t="b">
        <v>0</v>
      </c>
      <c r="G425" s="202" t="b">
        <v>0</v>
      </c>
      <c r="H425" s="202" t="b">
        <v>0</v>
      </c>
      <c r="I425" s="202" t="b">
        <v>0</v>
      </c>
      <c r="J425" s="202" t="b">
        <v>0</v>
      </c>
      <c r="K425" s="202" t="b">
        <v>0</v>
      </c>
      <c r="L425" s="202" t="b">
        <v>0</v>
      </c>
      <c r="M425" s="202" t="b">
        <v>0</v>
      </c>
      <c r="N425" s="202" t="b">
        <v>0</v>
      </c>
    </row>
    <row r="426">
      <c r="A426" s="201"/>
      <c r="B426" s="201"/>
      <c r="C426" s="202" t="b">
        <v>0</v>
      </c>
      <c r="D426" s="201"/>
      <c r="E426" s="201"/>
      <c r="F426" s="202" t="b">
        <v>0</v>
      </c>
      <c r="G426" s="202" t="b">
        <v>0</v>
      </c>
      <c r="H426" s="202" t="b">
        <v>0</v>
      </c>
      <c r="I426" s="202" t="b">
        <v>0</v>
      </c>
      <c r="J426" s="202" t="b">
        <v>0</v>
      </c>
      <c r="K426" s="202" t="b">
        <v>0</v>
      </c>
      <c r="L426" s="202" t="b">
        <v>0</v>
      </c>
      <c r="M426" s="202" t="b">
        <v>0</v>
      </c>
      <c r="N426" s="202" t="b">
        <v>0</v>
      </c>
    </row>
    <row r="427">
      <c r="A427" s="201"/>
      <c r="B427" s="201"/>
      <c r="C427" s="202" t="b">
        <v>0</v>
      </c>
      <c r="D427" s="201"/>
      <c r="E427" s="201"/>
      <c r="F427" s="202" t="b">
        <v>0</v>
      </c>
      <c r="G427" s="202" t="b">
        <v>0</v>
      </c>
      <c r="H427" s="202" t="b">
        <v>0</v>
      </c>
      <c r="I427" s="202" t="b">
        <v>0</v>
      </c>
      <c r="J427" s="202" t="b">
        <v>0</v>
      </c>
      <c r="K427" s="202" t="b">
        <v>0</v>
      </c>
      <c r="L427" s="202" t="b">
        <v>0</v>
      </c>
      <c r="M427" s="202" t="b">
        <v>0</v>
      </c>
      <c r="N427" s="202" t="b">
        <v>0</v>
      </c>
    </row>
    <row r="428">
      <c r="A428" s="201"/>
      <c r="B428" s="201"/>
      <c r="C428" s="202" t="b">
        <v>0</v>
      </c>
      <c r="D428" s="201"/>
      <c r="E428" s="201"/>
      <c r="F428" s="202" t="b">
        <v>0</v>
      </c>
      <c r="G428" s="202" t="b">
        <v>0</v>
      </c>
      <c r="H428" s="202" t="b">
        <v>0</v>
      </c>
      <c r="I428" s="202" t="b">
        <v>0</v>
      </c>
      <c r="J428" s="202" t="b">
        <v>0</v>
      </c>
      <c r="K428" s="202" t="b">
        <v>0</v>
      </c>
      <c r="L428" s="202" t="b">
        <v>0</v>
      </c>
      <c r="M428" s="202" t="b">
        <v>0</v>
      </c>
      <c r="N428" s="202" t="b">
        <v>0</v>
      </c>
    </row>
    <row r="429">
      <c r="A429" s="201"/>
      <c r="B429" s="201"/>
      <c r="C429" s="202" t="b">
        <v>0</v>
      </c>
      <c r="D429" s="201"/>
      <c r="E429" s="201"/>
      <c r="F429" s="202" t="b">
        <v>0</v>
      </c>
      <c r="G429" s="202" t="b">
        <v>0</v>
      </c>
      <c r="H429" s="202" t="b">
        <v>0</v>
      </c>
      <c r="I429" s="202" t="b">
        <v>0</v>
      </c>
      <c r="J429" s="202" t="b">
        <v>0</v>
      </c>
      <c r="K429" s="202" t="b">
        <v>0</v>
      </c>
      <c r="L429" s="202" t="b">
        <v>0</v>
      </c>
      <c r="M429" s="202" t="b">
        <v>0</v>
      </c>
      <c r="N429" s="202" t="b">
        <v>0</v>
      </c>
    </row>
    <row r="430">
      <c r="A430" s="201"/>
      <c r="B430" s="201"/>
      <c r="C430" s="202" t="b">
        <v>0</v>
      </c>
      <c r="D430" s="201"/>
      <c r="E430" s="201"/>
      <c r="F430" s="202" t="b">
        <v>0</v>
      </c>
      <c r="G430" s="202" t="b">
        <v>0</v>
      </c>
      <c r="H430" s="202" t="b">
        <v>0</v>
      </c>
      <c r="I430" s="202" t="b">
        <v>0</v>
      </c>
      <c r="J430" s="202" t="b">
        <v>0</v>
      </c>
      <c r="K430" s="202" t="b">
        <v>0</v>
      </c>
      <c r="L430" s="202" t="b">
        <v>0</v>
      </c>
      <c r="M430" s="202" t="b">
        <v>0</v>
      </c>
      <c r="N430" s="202" t="b">
        <v>0</v>
      </c>
    </row>
    <row r="431">
      <c r="A431" s="201"/>
      <c r="B431" s="201"/>
      <c r="C431" s="202" t="b">
        <v>0</v>
      </c>
      <c r="D431" s="201"/>
      <c r="E431" s="201"/>
      <c r="F431" s="202" t="b">
        <v>0</v>
      </c>
      <c r="G431" s="202" t="b">
        <v>0</v>
      </c>
      <c r="H431" s="202" t="b">
        <v>0</v>
      </c>
      <c r="I431" s="202" t="b">
        <v>0</v>
      </c>
      <c r="J431" s="202" t="b">
        <v>0</v>
      </c>
      <c r="K431" s="202" t="b">
        <v>0</v>
      </c>
      <c r="L431" s="202" t="b">
        <v>0</v>
      </c>
      <c r="M431" s="202" t="b">
        <v>0</v>
      </c>
      <c r="N431" s="202" t="b">
        <v>0</v>
      </c>
    </row>
    <row r="432">
      <c r="A432" s="201"/>
      <c r="B432" s="201"/>
      <c r="C432" s="202" t="b">
        <v>0</v>
      </c>
      <c r="D432" s="201"/>
      <c r="E432" s="201"/>
      <c r="F432" s="202" t="b">
        <v>0</v>
      </c>
      <c r="G432" s="202" t="b">
        <v>0</v>
      </c>
      <c r="H432" s="202" t="b">
        <v>0</v>
      </c>
      <c r="I432" s="202" t="b">
        <v>0</v>
      </c>
      <c r="J432" s="202" t="b">
        <v>0</v>
      </c>
      <c r="K432" s="202" t="b">
        <v>0</v>
      </c>
      <c r="L432" s="202" t="b">
        <v>0</v>
      </c>
      <c r="M432" s="202" t="b">
        <v>0</v>
      </c>
      <c r="N432" s="202" t="b">
        <v>0</v>
      </c>
    </row>
    <row r="433">
      <c r="A433" s="201"/>
      <c r="B433" s="201"/>
      <c r="C433" s="202" t="b">
        <v>0</v>
      </c>
      <c r="D433" s="201"/>
      <c r="E433" s="201"/>
      <c r="F433" s="202" t="b">
        <v>0</v>
      </c>
      <c r="G433" s="202" t="b">
        <v>0</v>
      </c>
      <c r="H433" s="202" t="b">
        <v>0</v>
      </c>
      <c r="I433" s="202" t="b">
        <v>0</v>
      </c>
      <c r="J433" s="202" t="b">
        <v>0</v>
      </c>
      <c r="K433" s="202" t="b">
        <v>0</v>
      </c>
      <c r="L433" s="202" t="b">
        <v>0</v>
      </c>
      <c r="M433" s="202" t="b">
        <v>0</v>
      </c>
      <c r="N433" s="202" t="b">
        <v>0</v>
      </c>
    </row>
    <row r="434">
      <c r="A434" s="201"/>
      <c r="B434" s="201"/>
      <c r="C434" s="202" t="b">
        <v>0</v>
      </c>
      <c r="D434" s="201"/>
      <c r="E434" s="201"/>
      <c r="F434" s="202" t="b">
        <v>0</v>
      </c>
      <c r="G434" s="202" t="b">
        <v>0</v>
      </c>
      <c r="H434" s="202" t="b">
        <v>0</v>
      </c>
      <c r="I434" s="202" t="b">
        <v>0</v>
      </c>
      <c r="J434" s="202" t="b">
        <v>0</v>
      </c>
      <c r="K434" s="202" t="b">
        <v>0</v>
      </c>
      <c r="L434" s="202" t="b">
        <v>0</v>
      </c>
      <c r="M434" s="202" t="b">
        <v>0</v>
      </c>
      <c r="N434" s="202" t="b">
        <v>0</v>
      </c>
    </row>
    <row r="435">
      <c r="A435" s="201"/>
      <c r="B435" s="201"/>
      <c r="C435" s="202" t="b">
        <v>0</v>
      </c>
      <c r="D435" s="201"/>
      <c r="E435" s="201"/>
      <c r="F435" s="202" t="b">
        <v>0</v>
      </c>
      <c r="G435" s="202" t="b">
        <v>0</v>
      </c>
      <c r="H435" s="202" t="b">
        <v>0</v>
      </c>
      <c r="I435" s="202" t="b">
        <v>0</v>
      </c>
      <c r="J435" s="202" t="b">
        <v>0</v>
      </c>
      <c r="K435" s="202" t="b">
        <v>0</v>
      </c>
      <c r="L435" s="202" t="b">
        <v>0</v>
      </c>
      <c r="M435" s="202" t="b">
        <v>0</v>
      </c>
      <c r="N435" s="202" t="b">
        <v>0</v>
      </c>
    </row>
    <row r="436">
      <c r="A436" s="201"/>
      <c r="B436" s="201"/>
      <c r="C436" s="202" t="b">
        <v>0</v>
      </c>
      <c r="D436" s="201"/>
      <c r="E436" s="201"/>
      <c r="F436" s="202" t="b">
        <v>0</v>
      </c>
      <c r="G436" s="202" t="b">
        <v>0</v>
      </c>
      <c r="H436" s="202" t="b">
        <v>0</v>
      </c>
      <c r="I436" s="202" t="b">
        <v>0</v>
      </c>
      <c r="J436" s="202" t="b">
        <v>0</v>
      </c>
      <c r="K436" s="202" t="b">
        <v>0</v>
      </c>
      <c r="L436" s="202" t="b">
        <v>0</v>
      </c>
      <c r="M436" s="202" t="b">
        <v>0</v>
      </c>
      <c r="N436" s="202" t="b">
        <v>0</v>
      </c>
    </row>
    <row r="437">
      <c r="A437" s="201"/>
      <c r="B437" s="201"/>
      <c r="C437" s="202" t="b">
        <v>0</v>
      </c>
      <c r="D437" s="201"/>
      <c r="E437" s="201"/>
      <c r="F437" s="202" t="b">
        <v>0</v>
      </c>
      <c r="G437" s="202" t="b">
        <v>0</v>
      </c>
      <c r="H437" s="202" t="b">
        <v>0</v>
      </c>
      <c r="I437" s="202" t="b">
        <v>0</v>
      </c>
      <c r="J437" s="202" t="b">
        <v>0</v>
      </c>
      <c r="K437" s="202" t="b">
        <v>0</v>
      </c>
      <c r="L437" s="202" t="b">
        <v>0</v>
      </c>
      <c r="M437" s="202" t="b">
        <v>0</v>
      </c>
      <c r="N437" s="202" t="b">
        <v>0</v>
      </c>
    </row>
    <row r="438">
      <c r="A438" s="201"/>
      <c r="B438" s="201"/>
      <c r="C438" s="202" t="b">
        <v>0</v>
      </c>
      <c r="D438" s="201"/>
      <c r="E438" s="201"/>
      <c r="F438" s="202" t="b">
        <v>0</v>
      </c>
      <c r="G438" s="202" t="b">
        <v>0</v>
      </c>
      <c r="H438" s="202" t="b">
        <v>0</v>
      </c>
      <c r="I438" s="202" t="b">
        <v>0</v>
      </c>
      <c r="J438" s="202" t="b">
        <v>0</v>
      </c>
      <c r="K438" s="202" t="b">
        <v>0</v>
      </c>
      <c r="L438" s="202" t="b">
        <v>0</v>
      </c>
      <c r="M438" s="202" t="b">
        <v>0</v>
      </c>
      <c r="N438" s="202" t="b">
        <v>0</v>
      </c>
    </row>
    <row r="439">
      <c r="A439" s="201"/>
      <c r="B439" s="201"/>
      <c r="C439" s="202" t="b">
        <v>0</v>
      </c>
      <c r="D439" s="201"/>
      <c r="E439" s="201"/>
      <c r="F439" s="202" t="b">
        <v>0</v>
      </c>
      <c r="G439" s="202" t="b">
        <v>0</v>
      </c>
      <c r="H439" s="202" t="b">
        <v>0</v>
      </c>
      <c r="I439" s="202" t="b">
        <v>0</v>
      </c>
      <c r="J439" s="202" t="b">
        <v>0</v>
      </c>
      <c r="K439" s="202" t="b">
        <v>0</v>
      </c>
      <c r="L439" s="202" t="b">
        <v>0</v>
      </c>
      <c r="M439" s="202" t="b">
        <v>0</v>
      </c>
      <c r="N439" s="202" t="b">
        <v>0</v>
      </c>
    </row>
    <row r="440">
      <c r="A440" s="201"/>
      <c r="B440" s="201"/>
      <c r="C440" s="202" t="b">
        <v>0</v>
      </c>
      <c r="D440" s="201"/>
      <c r="E440" s="201"/>
      <c r="F440" s="202" t="b">
        <v>0</v>
      </c>
      <c r="G440" s="202" t="b">
        <v>0</v>
      </c>
      <c r="H440" s="202" t="b">
        <v>0</v>
      </c>
      <c r="I440" s="202" t="b">
        <v>0</v>
      </c>
      <c r="J440" s="202" t="b">
        <v>0</v>
      </c>
      <c r="K440" s="202" t="b">
        <v>0</v>
      </c>
      <c r="L440" s="202" t="b">
        <v>0</v>
      </c>
      <c r="M440" s="202" t="b">
        <v>0</v>
      </c>
      <c r="N440" s="202" t="b">
        <v>0</v>
      </c>
    </row>
    <row r="441">
      <c r="A441" s="201"/>
      <c r="B441" s="201"/>
      <c r="C441" s="202" t="b">
        <v>0</v>
      </c>
      <c r="D441" s="201"/>
      <c r="E441" s="201"/>
      <c r="F441" s="202" t="b">
        <v>0</v>
      </c>
      <c r="G441" s="202" t="b">
        <v>0</v>
      </c>
      <c r="H441" s="202" t="b">
        <v>0</v>
      </c>
      <c r="I441" s="202" t="b">
        <v>0</v>
      </c>
      <c r="J441" s="202" t="b">
        <v>0</v>
      </c>
      <c r="K441" s="202" t="b">
        <v>0</v>
      </c>
      <c r="L441" s="202" t="b">
        <v>0</v>
      </c>
      <c r="M441" s="202" t="b">
        <v>0</v>
      </c>
      <c r="N441" s="202" t="b">
        <v>0</v>
      </c>
    </row>
    <row r="442">
      <c r="A442" s="201"/>
      <c r="B442" s="201"/>
      <c r="C442" s="202" t="b">
        <v>0</v>
      </c>
      <c r="D442" s="201"/>
      <c r="E442" s="201"/>
      <c r="F442" s="202" t="b">
        <v>0</v>
      </c>
      <c r="G442" s="202" t="b">
        <v>0</v>
      </c>
      <c r="H442" s="202" t="b">
        <v>0</v>
      </c>
      <c r="I442" s="202" t="b">
        <v>0</v>
      </c>
      <c r="J442" s="202" t="b">
        <v>0</v>
      </c>
      <c r="K442" s="202" t="b">
        <v>0</v>
      </c>
      <c r="L442" s="202" t="b">
        <v>0</v>
      </c>
      <c r="M442" s="202" t="b">
        <v>0</v>
      </c>
      <c r="N442" s="202" t="b">
        <v>0</v>
      </c>
    </row>
    <row r="443">
      <c r="A443" s="201"/>
      <c r="B443" s="201"/>
      <c r="C443" s="202" t="b">
        <v>0</v>
      </c>
      <c r="D443" s="201"/>
      <c r="E443" s="201"/>
      <c r="F443" s="202" t="b">
        <v>0</v>
      </c>
      <c r="G443" s="202" t="b">
        <v>0</v>
      </c>
      <c r="H443" s="202" t="b">
        <v>0</v>
      </c>
      <c r="I443" s="202" t="b">
        <v>0</v>
      </c>
      <c r="J443" s="202" t="b">
        <v>0</v>
      </c>
      <c r="K443" s="202" t="b">
        <v>0</v>
      </c>
      <c r="L443" s="202" t="b">
        <v>0</v>
      </c>
      <c r="M443" s="202" t="b">
        <v>0</v>
      </c>
      <c r="N443" s="202" t="b">
        <v>0</v>
      </c>
    </row>
    <row r="444">
      <c r="A444" s="201"/>
      <c r="B444" s="201"/>
      <c r="C444" s="202" t="b">
        <v>0</v>
      </c>
      <c r="D444" s="201"/>
      <c r="E444" s="201"/>
      <c r="F444" s="202" t="b">
        <v>0</v>
      </c>
      <c r="G444" s="202" t="b">
        <v>0</v>
      </c>
      <c r="H444" s="202" t="b">
        <v>0</v>
      </c>
      <c r="I444" s="202" t="b">
        <v>0</v>
      </c>
      <c r="J444" s="202" t="b">
        <v>0</v>
      </c>
      <c r="K444" s="202" t="b">
        <v>0</v>
      </c>
      <c r="L444" s="202" t="b">
        <v>0</v>
      </c>
      <c r="M444" s="202" t="b">
        <v>0</v>
      </c>
      <c r="N444" s="202" t="b">
        <v>0</v>
      </c>
    </row>
    <row r="445">
      <c r="A445" s="201"/>
      <c r="B445" s="201"/>
      <c r="C445" s="202" t="b">
        <v>0</v>
      </c>
      <c r="D445" s="201"/>
      <c r="E445" s="201"/>
      <c r="F445" s="202" t="b">
        <v>0</v>
      </c>
      <c r="G445" s="202" t="b">
        <v>0</v>
      </c>
      <c r="H445" s="202" t="b">
        <v>0</v>
      </c>
      <c r="I445" s="202" t="b">
        <v>0</v>
      </c>
      <c r="J445" s="202" t="b">
        <v>0</v>
      </c>
      <c r="K445" s="202" t="b">
        <v>0</v>
      </c>
      <c r="L445" s="202" t="b">
        <v>0</v>
      </c>
      <c r="M445" s="202" t="b">
        <v>0</v>
      </c>
      <c r="N445" s="202" t="b">
        <v>0</v>
      </c>
    </row>
    <row r="446">
      <c r="A446" s="201"/>
      <c r="B446" s="201"/>
      <c r="C446" s="202" t="b">
        <v>0</v>
      </c>
      <c r="D446" s="201"/>
      <c r="E446" s="201"/>
      <c r="F446" s="202" t="b">
        <v>0</v>
      </c>
      <c r="G446" s="202" t="b">
        <v>0</v>
      </c>
      <c r="H446" s="202" t="b">
        <v>0</v>
      </c>
      <c r="I446" s="202" t="b">
        <v>0</v>
      </c>
      <c r="J446" s="202" t="b">
        <v>0</v>
      </c>
      <c r="K446" s="202" t="b">
        <v>0</v>
      </c>
      <c r="L446" s="202" t="b">
        <v>0</v>
      </c>
      <c r="M446" s="202" t="b">
        <v>0</v>
      </c>
      <c r="N446" s="202" t="b">
        <v>0</v>
      </c>
    </row>
    <row r="447">
      <c r="A447" s="201"/>
      <c r="B447" s="201"/>
      <c r="C447" s="202" t="b">
        <v>0</v>
      </c>
      <c r="D447" s="201"/>
      <c r="E447" s="201"/>
      <c r="F447" s="202" t="b">
        <v>0</v>
      </c>
      <c r="G447" s="202" t="b">
        <v>0</v>
      </c>
      <c r="H447" s="202" t="b">
        <v>0</v>
      </c>
      <c r="I447" s="202" t="b">
        <v>0</v>
      </c>
      <c r="J447" s="202" t="b">
        <v>0</v>
      </c>
      <c r="K447" s="202" t="b">
        <v>0</v>
      </c>
      <c r="L447" s="202" t="b">
        <v>0</v>
      </c>
      <c r="M447" s="202" t="b">
        <v>0</v>
      </c>
      <c r="N447" s="202" t="b">
        <v>0</v>
      </c>
    </row>
    <row r="448">
      <c r="A448" s="201"/>
      <c r="B448" s="201"/>
      <c r="C448" s="202" t="b">
        <v>0</v>
      </c>
      <c r="D448" s="201"/>
      <c r="E448" s="201"/>
      <c r="F448" s="202" t="b">
        <v>0</v>
      </c>
      <c r="G448" s="202" t="b">
        <v>0</v>
      </c>
      <c r="H448" s="202" t="b">
        <v>0</v>
      </c>
      <c r="I448" s="202" t="b">
        <v>0</v>
      </c>
      <c r="J448" s="202" t="b">
        <v>0</v>
      </c>
      <c r="K448" s="202" t="b">
        <v>0</v>
      </c>
      <c r="L448" s="202" t="b">
        <v>0</v>
      </c>
      <c r="M448" s="202" t="b">
        <v>0</v>
      </c>
      <c r="N448" s="202" t="b">
        <v>0</v>
      </c>
    </row>
    <row r="449">
      <c r="A449" s="201"/>
      <c r="B449" s="201"/>
      <c r="C449" s="202" t="b">
        <v>0</v>
      </c>
      <c r="D449" s="201"/>
      <c r="E449" s="201"/>
      <c r="F449" s="202" t="b">
        <v>0</v>
      </c>
      <c r="G449" s="202" t="b">
        <v>0</v>
      </c>
      <c r="H449" s="202" t="b">
        <v>0</v>
      </c>
      <c r="I449" s="202" t="b">
        <v>0</v>
      </c>
      <c r="J449" s="202" t="b">
        <v>0</v>
      </c>
      <c r="K449" s="202" t="b">
        <v>0</v>
      </c>
      <c r="L449" s="202" t="b">
        <v>0</v>
      </c>
      <c r="M449" s="202" t="b">
        <v>0</v>
      </c>
      <c r="N449" s="202" t="b">
        <v>0</v>
      </c>
    </row>
    <row r="450">
      <c r="A450" s="201"/>
      <c r="B450" s="201"/>
      <c r="C450" s="202" t="b">
        <v>0</v>
      </c>
      <c r="D450" s="201"/>
      <c r="E450" s="201"/>
      <c r="F450" s="202" t="b">
        <v>0</v>
      </c>
      <c r="G450" s="202" t="b">
        <v>0</v>
      </c>
      <c r="H450" s="202" t="b">
        <v>0</v>
      </c>
      <c r="I450" s="202" t="b">
        <v>0</v>
      </c>
      <c r="J450" s="202" t="b">
        <v>0</v>
      </c>
      <c r="K450" s="202" t="b">
        <v>0</v>
      </c>
      <c r="L450" s="202" t="b">
        <v>0</v>
      </c>
      <c r="M450" s="202" t="b">
        <v>0</v>
      </c>
      <c r="N450" s="202" t="b">
        <v>0</v>
      </c>
    </row>
    <row r="451">
      <c r="A451" s="201"/>
      <c r="B451" s="201"/>
      <c r="C451" s="202" t="b">
        <v>0</v>
      </c>
      <c r="D451" s="201"/>
      <c r="E451" s="201"/>
      <c r="F451" s="202" t="b">
        <v>0</v>
      </c>
      <c r="G451" s="202" t="b">
        <v>0</v>
      </c>
      <c r="H451" s="202" t="b">
        <v>0</v>
      </c>
      <c r="I451" s="202" t="b">
        <v>0</v>
      </c>
      <c r="J451" s="202" t="b">
        <v>0</v>
      </c>
      <c r="K451" s="202" t="b">
        <v>0</v>
      </c>
      <c r="L451" s="202" t="b">
        <v>0</v>
      </c>
      <c r="M451" s="202" t="b">
        <v>0</v>
      </c>
      <c r="N451" s="202" t="b">
        <v>0</v>
      </c>
    </row>
    <row r="452">
      <c r="A452" s="201"/>
      <c r="B452" s="201"/>
      <c r="C452" s="202" t="b">
        <v>0</v>
      </c>
      <c r="D452" s="201"/>
      <c r="E452" s="201"/>
      <c r="F452" s="202" t="b">
        <v>0</v>
      </c>
      <c r="G452" s="202" t="b">
        <v>0</v>
      </c>
      <c r="H452" s="202" t="b">
        <v>0</v>
      </c>
      <c r="I452" s="202" t="b">
        <v>0</v>
      </c>
      <c r="J452" s="202" t="b">
        <v>0</v>
      </c>
      <c r="K452" s="202" t="b">
        <v>0</v>
      </c>
      <c r="L452" s="202" t="b">
        <v>0</v>
      </c>
      <c r="M452" s="202" t="b">
        <v>0</v>
      </c>
      <c r="N452" s="202" t="b">
        <v>0</v>
      </c>
    </row>
    <row r="453">
      <c r="A453" s="201"/>
      <c r="B453" s="201"/>
      <c r="C453" s="202" t="b">
        <v>0</v>
      </c>
      <c r="D453" s="201"/>
      <c r="E453" s="201"/>
      <c r="F453" s="202" t="b">
        <v>0</v>
      </c>
      <c r="G453" s="202" t="b">
        <v>0</v>
      </c>
      <c r="H453" s="202" t="b">
        <v>0</v>
      </c>
      <c r="I453" s="202" t="b">
        <v>0</v>
      </c>
      <c r="J453" s="202" t="b">
        <v>0</v>
      </c>
      <c r="K453" s="202" t="b">
        <v>0</v>
      </c>
      <c r="L453" s="202" t="b">
        <v>0</v>
      </c>
      <c r="M453" s="202" t="b">
        <v>0</v>
      </c>
      <c r="N453" s="202" t="b">
        <v>0</v>
      </c>
    </row>
    <row r="454">
      <c r="A454" s="201"/>
      <c r="B454" s="201"/>
      <c r="C454" s="202" t="b">
        <v>0</v>
      </c>
      <c r="D454" s="201"/>
      <c r="E454" s="201"/>
      <c r="F454" s="202" t="b">
        <v>0</v>
      </c>
      <c r="G454" s="202" t="b">
        <v>0</v>
      </c>
      <c r="H454" s="202" t="b">
        <v>0</v>
      </c>
      <c r="I454" s="202" t="b">
        <v>0</v>
      </c>
      <c r="J454" s="202" t="b">
        <v>0</v>
      </c>
      <c r="K454" s="202" t="b">
        <v>0</v>
      </c>
      <c r="L454" s="202" t="b">
        <v>0</v>
      </c>
      <c r="M454" s="202" t="b">
        <v>0</v>
      </c>
      <c r="N454" s="202" t="b">
        <v>0</v>
      </c>
    </row>
    <row r="455">
      <c r="A455" s="201"/>
      <c r="B455" s="201"/>
      <c r="C455" s="202" t="b">
        <v>0</v>
      </c>
      <c r="D455" s="201"/>
      <c r="E455" s="201"/>
      <c r="F455" s="202" t="b">
        <v>0</v>
      </c>
      <c r="G455" s="202" t="b">
        <v>0</v>
      </c>
      <c r="H455" s="202" t="b">
        <v>0</v>
      </c>
      <c r="I455" s="202" t="b">
        <v>0</v>
      </c>
      <c r="J455" s="202" t="b">
        <v>0</v>
      </c>
      <c r="K455" s="202" t="b">
        <v>0</v>
      </c>
      <c r="L455" s="202" t="b">
        <v>0</v>
      </c>
      <c r="M455" s="202" t="b">
        <v>0</v>
      </c>
      <c r="N455" s="202" t="b">
        <v>0</v>
      </c>
    </row>
    <row r="456">
      <c r="A456" s="201"/>
      <c r="B456" s="201"/>
      <c r="C456" s="202" t="b">
        <v>0</v>
      </c>
      <c r="D456" s="201"/>
      <c r="E456" s="201"/>
      <c r="F456" s="202" t="b">
        <v>0</v>
      </c>
      <c r="G456" s="202" t="b">
        <v>0</v>
      </c>
      <c r="H456" s="202" t="b">
        <v>0</v>
      </c>
      <c r="I456" s="202" t="b">
        <v>0</v>
      </c>
      <c r="J456" s="202" t="b">
        <v>0</v>
      </c>
      <c r="K456" s="202" t="b">
        <v>0</v>
      </c>
      <c r="L456" s="202" t="b">
        <v>0</v>
      </c>
      <c r="M456" s="202" t="b">
        <v>0</v>
      </c>
      <c r="N456" s="202" t="b">
        <v>0</v>
      </c>
    </row>
    <row r="457">
      <c r="A457" s="201"/>
      <c r="B457" s="201"/>
      <c r="C457" s="202" t="b">
        <v>0</v>
      </c>
      <c r="D457" s="201"/>
      <c r="E457" s="201"/>
      <c r="F457" s="202" t="b">
        <v>0</v>
      </c>
      <c r="G457" s="202" t="b">
        <v>0</v>
      </c>
      <c r="H457" s="202" t="b">
        <v>0</v>
      </c>
      <c r="I457" s="202" t="b">
        <v>0</v>
      </c>
      <c r="J457" s="202" t="b">
        <v>0</v>
      </c>
      <c r="K457" s="202" t="b">
        <v>0</v>
      </c>
      <c r="L457" s="202" t="b">
        <v>0</v>
      </c>
      <c r="M457" s="202" t="b">
        <v>0</v>
      </c>
      <c r="N457" s="202" t="b">
        <v>0</v>
      </c>
    </row>
    <row r="458">
      <c r="A458" s="201"/>
      <c r="B458" s="201"/>
      <c r="C458" s="202" t="b">
        <v>0</v>
      </c>
      <c r="D458" s="201"/>
      <c r="E458" s="201"/>
      <c r="F458" s="202" t="b">
        <v>0</v>
      </c>
      <c r="G458" s="202" t="b">
        <v>0</v>
      </c>
      <c r="H458" s="202" t="b">
        <v>0</v>
      </c>
      <c r="I458" s="202" t="b">
        <v>0</v>
      </c>
      <c r="J458" s="202" t="b">
        <v>0</v>
      </c>
      <c r="K458" s="202" t="b">
        <v>0</v>
      </c>
      <c r="L458" s="202" t="b">
        <v>0</v>
      </c>
      <c r="M458" s="202" t="b">
        <v>0</v>
      </c>
      <c r="N458" s="202" t="b">
        <v>0</v>
      </c>
    </row>
    <row r="459">
      <c r="A459" s="201"/>
      <c r="B459" s="201"/>
      <c r="C459" s="202" t="b">
        <v>0</v>
      </c>
      <c r="D459" s="201"/>
      <c r="E459" s="201"/>
      <c r="F459" s="202" t="b">
        <v>0</v>
      </c>
      <c r="G459" s="202" t="b">
        <v>0</v>
      </c>
      <c r="H459" s="202" t="b">
        <v>0</v>
      </c>
      <c r="I459" s="202" t="b">
        <v>0</v>
      </c>
      <c r="J459" s="202" t="b">
        <v>0</v>
      </c>
      <c r="K459" s="202" t="b">
        <v>0</v>
      </c>
      <c r="L459" s="202" t="b">
        <v>0</v>
      </c>
      <c r="M459" s="202" t="b">
        <v>0</v>
      </c>
      <c r="N459" s="202" t="b">
        <v>0</v>
      </c>
    </row>
    <row r="460">
      <c r="A460" s="201"/>
      <c r="B460" s="201"/>
      <c r="C460" s="202" t="b">
        <v>0</v>
      </c>
      <c r="D460" s="201"/>
      <c r="E460" s="201"/>
      <c r="F460" s="202" t="b">
        <v>0</v>
      </c>
      <c r="G460" s="202" t="b">
        <v>0</v>
      </c>
      <c r="H460" s="202" t="b">
        <v>0</v>
      </c>
      <c r="I460" s="202" t="b">
        <v>0</v>
      </c>
      <c r="J460" s="202" t="b">
        <v>0</v>
      </c>
      <c r="K460" s="202" t="b">
        <v>0</v>
      </c>
      <c r="L460" s="202" t="b">
        <v>0</v>
      </c>
      <c r="M460" s="202" t="b">
        <v>0</v>
      </c>
      <c r="N460" s="202" t="b">
        <v>0</v>
      </c>
    </row>
    <row r="461">
      <c r="A461" s="201"/>
      <c r="B461" s="201"/>
      <c r="C461" s="202" t="b">
        <v>0</v>
      </c>
      <c r="D461" s="201"/>
      <c r="E461" s="201"/>
      <c r="F461" s="202" t="b">
        <v>0</v>
      </c>
      <c r="G461" s="202" t="b">
        <v>0</v>
      </c>
      <c r="H461" s="202" t="b">
        <v>0</v>
      </c>
      <c r="I461" s="202" t="b">
        <v>0</v>
      </c>
      <c r="J461" s="202" t="b">
        <v>0</v>
      </c>
      <c r="K461" s="202" t="b">
        <v>0</v>
      </c>
      <c r="L461" s="202" t="b">
        <v>0</v>
      </c>
      <c r="M461" s="202" t="b">
        <v>0</v>
      </c>
      <c r="N461" s="202" t="b">
        <v>0</v>
      </c>
    </row>
    <row r="462">
      <c r="A462" s="201"/>
      <c r="B462" s="201"/>
      <c r="C462" s="202" t="b">
        <v>0</v>
      </c>
      <c r="D462" s="201"/>
      <c r="E462" s="201"/>
      <c r="F462" s="202" t="b">
        <v>0</v>
      </c>
      <c r="G462" s="202" t="b">
        <v>0</v>
      </c>
      <c r="H462" s="202" t="b">
        <v>0</v>
      </c>
      <c r="I462" s="202" t="b">
        <v>0</v>
      </c>
      <c r="J462" s="202" t="b">
        <v>0</v>
      </c>
      <c r="K462" s="202" t="b">
        <v>0</v>
      </c>
      <c r="L462" s="202" t="b">
        <v>0</v>
      </c>
      <c r="M462" s="202" t="b">
        <v>0</v>
      </c>
      <c r="N462" s="202" t="b">
        <v>0</v>
      </c>
    </row>
    <row r="463">
      <c r="A463" s="201"/>
      <c r="B463" s="201"/>
      <c r="C463" s="202" t="b">
        <v>0</v>
      </c>
      <c r="D463" s="201"/>
      <c r="E463" s="201"/>
      <c r="F463" s="202" t="b">
        <v>0</v>
      </c>
      <c r="G463" s="202" t="b">
        <v>0</v>
      </c>
      <c r="H463" s="202" t="b">
        <v>0</v>
      </c>
      <c r="I463" s="202" t="b">
        <v>0</v>
      </c>
      <c r="J463" s="202" t="b">
        <v>0</v>
      </c>
      <c r="K463" s="202" t="b">
        <v>0</v>
      </c>
      <c r="L463" s="202" t="b">
        <v>0</v>
      </c>
      <c r="M463" s="202" t="b">
        <v>0</v>
      </c>
      <c r="N463" s="202" t="b">
        <v>0</v>
      </c>
    </row>
    <row r="464">
      <c r="A464" s="201"/>
      <c r="B464" s="201"/>
      <c r="C464" s="202" t="b">
        <v>0</v>
      </c>
      <c r="D464" s="201"/>
      <c r="E464" s="201"/>
      <c r="F464" s="202" t="b">
        <v>0</v>
      </c>
      <c r="G464" s="202" t="b">
        <v>0</v>
      </c>
      <c r="H464" s="202" t="b">
        <v>0</v>
      </c>
      <c r="I464" s="202" t="b">
        <v>0</v>
      </c>
      <c r="J464" s="202" t="b">
        <v>0</v>
      </c>
      <c r="K464" s="202" t="b">
        <v>0</v>
      </c>
      <c r="L464" s="202" t="b">
        <v>0</v>
      </c>
      <c r="M464" s="202" t="b">
        <v>0</v>
      </c>
      <c r="N464" s="202" t="b">
        <v>0</v>
      </c>
    </row>
    <row r="465">
      <c r="A465" s="201"/>
      <c r="B465" s="201"/>
      <c r="C465" s="202" t="b">
        <v>0</v>
      </c>
      <c r="D465" s="201"/>
      <c r="E465" s="201"/>
      <c r="F465" s="202" t="b">
        <v>0</v>
      </c>
      <c r="G465" s="202" t="b">
        <v>0</v>
      </c>
      <c r="H465" s="202" t="b">
        <v>0</v>
      </c>
      <c r="I465" s="202" t="b">
        <v>0</v>
      </c>
      <c r="J465" s="202" t="b">
        <v>0</v>
      </c>
      <c r="K465" s="202" t="b">
        <v>0</v>
      </c>
      <c r="L465" s="202" t="b">
        <v>0</v>
      </c>
      <c r="M465" s="202" t="b">
        <v>0</v>
      </c>
      <c r="N465" s="202" t="b">
        <v>0</v>
      </c>
    </row>
    <row r="466">
      <c r="A466" s="201"/>
      <c r="B466" s="201"/>
      <c r="C466" s="202" t="b">
        <v>0</v>
      </c>
      <c r="D466" s="201"/>
      <c r="E466" s="201"/>
      <c r="F466" s="202" t="b">
        <v>0</v>
      </c>
      <c r="G466" s="202" t="b">
        <v>0</v>
      </c>
      <c r="H466" s="202" t="b">
        <v>0</v>
      </c>
      <c r="I466" s="202" t="b">
        <v>0</v>
      </c>
      <c r="J466" s="202" t="b">
        <v>0</v>
      </c>
      <c r="K466" s="202" t="b">
        <v>0</v>
      </c>
      <c r="L466" s="202" t="b">
        <v>0</v>
      </c>
      <c r="M466" s="202" t="b">
        <v>0</v>
      </c>
      <c r="N466" s="202" t="b">
        <v>0</v>
      </c>
    </row>
    <row r="467">
      <c r="A467" s="201"/>
      <c r="B467" s="201"/>
      <c r="C467" s="202" t="b">
        <v>0</v>
      </c>
      <c r="D467" s="201"/>
      <c r="E467" s="201"/>
      <c r="F467" s="202" t="b">
        <v>0</v>
      </c>
      <c r="G467" s="202" t="b">
        <v>0</v>
      </c>
      <c r="H467" s="202" t="b">
        <v>0</v>
      </c>
      <c r="I467" s="202" t="b">
        <v>0</v>
      </c>
      <c r="J467" s="202" t="b">
        <v>0</v>
      </c>
      <c r="K467" s="202" t="b">
        <v>0</v>
      </c>
      <c r="L467" s="202" t="b">
        <v>0</v>
      </c>
      <c r="M467" s="202" t="b">
        <v>0</v>
      </c>
      <c r="N467" s="202" t="b">
        <v>0</v>
      </c>
    </row>
    <row r="468">
      <c r="A468" s="201"/>
      <c r="B468" s="201"/>
      <c r="C468" s="202" t="b">
        <v>0</v>
      </c>
      <c r="D468" s="201"/>
      <c r="E468" s="201"/>
      <c r="F468" s="202" t="b">
        <v>0</v>
      </c>
      <c r="G468" s="202" t="b">
        <v>0</v>
      </c>
      <c r="H468" s="202" t="b">
        <v>0</v>
      </c>
      <c r="I468" s="202" t="b">
        <v>0</v>
      </c>
      <c r="J468" s="202" t="b">
        <v>0</v>
      </c>
      <c r="K468" s="202" t="b">
        <v>0</v>
      </c>
      <c r="L468" s="202" t="b">
        <v>0</v>
      </c>
      <c r="M468" s="202" t="b">
        <v>0</v>
      </c>
      <c r="N468" s="202" t="b">
        <v>0</v>
      </c>
    </row>
    <row r="469">
      <c r="A469" s="201"/>
      <c r="B469" s="201"/>
      <c r="C469" s="202" t="b">
        <v>0</v>
      </c>
      <c r="D469" s="201"/>
      <c r="E469" s="201"/>
      <c r="F469" s="202" t="b">
        <v>0</v>
      </c>
      <c r="G469" s="202" t="b">
        <v>0</v>
      </c>
      <c r="H469" s="202" t="b">
        <v>0</v>
      </c>
      <c r="I469" s="202" t="b">
        <v>0</v>
      </c>
      <c r="J469" s="202" t="b">
        <v>0</v>
      </c>
      <c r="K469" s="202" t="b">
        <v>0</v>
      </c>
      <c r="L469" s="202" t="b">
        <v>0</v>
      </c>
      <c r="M469" s="202" t="b">
        <v>0</v>
      </c>
      <c r="N469" s="202" t="b">
        <v>0</v>
      </c>
    </row>
    <row r="470">
      <c r="A470" s="201"/>
      <c r="B470" s="201"/>
      <c r="C470" s="202" t="b">
        <v>0</v>
      </c>
      <c r="D470" s="201"/>
      <c r="E470" s="201"/>
      <c r="F470" s="202" t="b">
        <v>0</v>
      </c>
      <c r="G470" s="202" t="b">
        <v>0</v>
      </c>
      <c r="H470" s="202" t="b">
        <v>0</v>
      </c>
      <c r="I470" s="202" t="b">
        <v>0</v>
      </c>
      <c r="J470" s="202" t="b">
        <v>0</v>
      </c>
      <c r="K470" s="202" t="b">
        <v>0</v>
      </c>
      <c r="L470" s="202" t="b">
        <v>0</v>
      </c>
      <c r="M470" s="202" t="b">
        <v>0</v>
      </c>
      <c r="N470" s="202" t="b">
        <v>0</v>
      </c>
    </row>
    <row r="471">
      <c r="A471" s="201"/>
      <c r="B471" s="201"/>
      <c r="C471" s="202" t="b">
        <v>0</v>
      </c>
      <c r="D471" s="201"/>
      <c r="E471" s="201"/>
      <c r="F471" s="202" t="b">
        <v>0</v>
      </c>
      <c r="G471" s="202" t="b">
        <v>0</v>
      </c>
      <c r="H471" s="202" t="b">
        <v>0</v>
      </c>
      <c r="I471" s="202" t="b">
        <v>0</v>
      </c>
      <c r="J471" s="202" t="b">
        <v>0</v>
      </c>
      <c r="K471" s="202" t="b">
        <v>0</v>
      </c>
      <c r="L471" s="202" t="b">
        <v>0</v>
      </c>
      <c r="M471" s="202" t="b">
        <v>0</v>
      </c>
      <c r="N471" s="202" t="b">
        <v>0</v>
      </c>
    </row>
    <row r="472">
      <c r="A472" s="201"/>
      <c r="B472" s="201"/>
      <c r="C472" s="202" t="b">
        <v>0</v>
      </c>
      <c r="D472" s="201"/>
      <c r="E472" s="201"/>
      <c r="F472" s="202" t="b">
        <v>0</v>
      </c>
      <c r="G472" s="202" t="b">
        <v>0</v>
      </c>
      <c r="H472" s="202" t="b">
        <v>0</v>
      </c>
      <c r="I472" s="202" t="b">
        <v>0</v>
      </c>
      <c r="J472" s="202" t="b">
        <v>0</v>
      </c>
      <c r="K472" s="202" t="b">
        <v>0</v>
      </c>
      <c r="L472" s="202" t="b">
        <v>0</v>
      </c>
      <c r="M472" s="202" t="b">
        <v>0</v>
      </c>
      <c r="N472" s="202" t="b">
        <v>0</v>
      </c>
    </row>
    <row r="473">
      <c r="A473" s="201"/>
      <c r="B473" s="201"/>
      <c r="C473" s="202" t="b">
        <v>0</v>
      </c>
      <c r="D473" s="201"/>
      <c r="E473" s="201"/>
      <c r="F473" s="202" t="b">
        <v>0</v>
      </c>
      <c r="G473" s="202" t="b">
        <v>0</v>
      </c>
      <c r="H473" s="202" t="b">
        <v>0</v>
      </c>
      <c r="I473" s="202" t="b">
        <v>0</v>
      </c>
      <c r="J473" s="202" t="b">
        <v>0</v>
      </c>
      <c r="K473" s="202" t="b">
        <v>0</v>
      </c>
      <c r="L473" s="202" t="b">
        <v>0</v>
      </c>
      <c r="M473" s="202" t="b">
        <v>0</v>
      </c>
      <c r="N473" s="202" t="b">
        <v>0</v>
      </c>
    </row>
    <row r="474">
      <c r="A474" s="201"/>
      <c r="B474" s="201"/>
      <c r="C474" s="202" t="b">
        <v>0</v>
      </c>
      <c r="D474" s="201"/>
      <c r="E474" s="201"/>
      <c r="F474" s="202" t="b">
        <v>0</v>
      </c>
      <c r="G474" s="202" t="b">
        <v>0</v>
      </c>
      <c r="H474" s="202" t="b">
        <v>0</v>
      </c>
      <c r="I474" s="202" t="b">
        <v>0</v>
      </c>
      <c r="J474" s="202" t="b">
        <v>0</v>
      </c>
      <c r="K474" s="202" t="b">
        <v>0</v>
      </c>
      <c r="L474" s="202" t="b">
        <v>0</v>
      </c>
      <c r="M474" s="202" t="b">
        <v>0</v>
      </c>
      <c r="N474" s="202" t="b">
        <v>0</v>
      </c>
    </row>
    <row r="475">
      <c r="A475" s="201"/>
      <c r="B475" s="201"/>
      <c r="C475" s="202" t="b">
        <v>0</v>
      </c>
      <c r="D475" s="201"/>
      <c r="E475" s="201"/>
      <c r="F475" s="202" t="b">
        <v>0</v>
      </c>
      <c r="G475" s="202" t="b">
        <v>0</v>
      </c>
      <c r="H475" s="202" t="b">
        <v>0</v>
      </c>
      <c r="I475" s="202" t="b">
        <v>0</v>
      </c>
      <c r="J475" s="202" t="b">
        <v>0</v>
      </c>
      <c r="K475" s="202" t="b">
        <v>0</v>
      </c>
      <c r="L475" s="202" t="b">
        <v>0</v>
      </c>
      <c r="M475" s="202" t="b">
        <v>0</v>
      </c>
      <c r="N475" s="202" t="b">
        <v>0</v>
      </c>
    </row>
    <row r="476">
      <c r="A476" s="201"/>
      <c r="B476" s="201"/>
      <c r="C476" s="202" t="b">
        <v>0</v>
      </c>
      <c r="D476" s="201"/>
      <c r="E476" s="201"/>
      <c r="F476" s="202" t="b">
        <v>0</v>
      </c>
      <c r="G476" s="202" t="b">
        <v>0</v>
      </c>
      <c r="H476" s="202" t="b">
        <v>0</v>
      </c>
      <c r="I476" s="202" t="b">
        <v>0</v>
      </c>
      <c r="J476" s="202" t="b">
        <v>0</v>
      </c>
      <c r="K476" s="202" t="b">
        <v>0</v>
      </c>
      <c r="L476" s="202" t="b">
        <v>0</v>
      </c>
      <c r="M476" s="202" t="b">
        <v>0</v>
      </c>
      <c r="N476" s="202" t="b">
        <v>0</v>
      </c>
    </row>
    <row r="477">
      <c r="A477" s="201"/>
      <c r="B477" s="201"/>
      <c r="C477" s="202" t="b">
        <v>0</v>
      </c>
      <c r="D477" s="201"/>
      <c r="E477" s="201"/>
      <c r="F477" s="202" t="b">
        <v>0</v>
      </c>
      <c r="G477" s="202" t="b">
        <v>0</v>
      </c>
      <c r="H477" s="202" t="b">
        <v>0</v>
      </c>
      <c r="I477" s="202" t="b">
        <v>0</v>
      </c>
      <c r="J477" s="202" t="b">
        <v>0</v>
      </c>
      <c r="K477" s="202" t="b">
        <v>0</v>
      </c>
      <c r="L477" s="202" t="b">
        <v>0</v>
      </c>
      <c r="M477" s="202" t="b">
        <v>0</v>
      </c>
      <c r="N477" s="202" t="b">
        <v>0</v>
      </c>
    </row>
    <row r="478">
      <c r="A478" s="201"/>
      <c r="B478" s="201"/>
      <c r="C478" s="202" t="b">
        <v>0</v>
      </c>
      <c r="D478" s="201"/>
      <c r="E478" s="201"/>
      <c r="F478" s="202" t="b">
        <v>0</v>
      </c>
      <c r="G478" s="202" t="b">
        <v>0</v>
      </c>
      <c r="H478" s="202" t="b">
        <v>0</v>
      </c>
      <c r="I478" s="202" t="b">
        <v>0</v>
      </c>
      <c r="J478" s="202" t="b">
        <v>0</v>
      </c>
      <c r="K478" s="202" t="b">
        <v>0</v>
      </c>
      <c r="L478" s="202" t="b">
        <v>0</v>
      </c>
      <c r="M478" s="202" t="b">
        <v>0</v>
      </c>
      <c r="N478" s="202" t="b">
        <v>0</v>
      </c>
    </row>
    <row r="479">
      <c r="A479" s="201"/>
      <c r="B479" s="201"/>
      <c r="C479" s="202" t="b">
        <v>0</v>
      </c>
      <c r="D479" s="201"/>
      <c r="E479" s="201"/>
      <c r="F479" s="202" t="b">
        <v>0</v>
      </c>
      <c r="G479" s="202" t="b">
        <v>0</v>
      </c>
      <c r="H479" s="202" t="b">
        <v>0</v>
      </c>
      <c r="I479" s="202" t="b">
        <v>0</v>
      </c>
      <c r="J479" s="202" t="b">
        <v>0</v>
      </c>
      <c r="K479" s="202" t="b">
        <v>0</v>
      </c>
      <c r="L479" s="202" t="b">
        <v>0</v>
      </c>
      <c r="M479" s="202" t="b">
        <v>0</v>
      </c>
      <c r="N479" s="202" t="b">
        <v>0</v>
      </c>
    </row>
    <row r="480">
      <c r="A480" s="201"/>
      <c r="B480" s="201"/>
      <c r="C480" s="202" t="b">
        <v>0</v>
      </c>
      <c r="D480" s="201"/>
      <c r="E480" s="201"/>
      <c r="F480" s="202" t="b">
        <v>0</v>
      </c>
      <c r="G480" s="202" t="b">
        <v>0</v>
      </c>
      <c r="H480" s="202" t="b">
        <v>0</v>
      </c>
      <c r="I480" s="202" t="b">
        <v>0</v>
      </c>
      <c r="J480" s="202" t="b">
        <v>0</v>
      </c>
      <c r="K480" s="202" t="b">
        <v>0</v>
      </c>
      <c r="L480" s="202" t="b">
        <v>0</v>
      </c>
      <c r="M480" s="202" t="b">
        <v>0</v>
      </c>
      <c r="N480" s="202" t="b">
        <v>0</v>
      </c>
    </row>
    <row r="481">
      <c r="A481" s="201"/>
      <c r="B481" s="201"/>
      <c r="C481" s="202" t="b">
        <v>0</v>
      </c>
      <c r="D481" s="201"/>
      <c r="E481" s="201"/>
      <c r="F481" s="202" t="b">
        <v>0</v>
      </c>
      <c r="G481" s="202" t="b">
        <v>0</v>
      </c>
      <c r="H481" s="202" t="b">
        <v>0</v>
      </c>
      <c r="I481" s="202" t="b">
        <v>0</v>
      </c>
      <c r="J481" s="202" t="b">
        <v>0</v>
      </c>
      <c r="K481" s="202" t="b">
        <v>0</v>
      </c>
      <c r="L481" s="202" t="b">
        <v>0</v>
      </c>
      <c r="M481" s="202" t="b">
        <v>0</v>
      </c>
      <c r="N481" s="202" t="b">
        <v>0</v>
      </c>
    </row>
    <row r="482">
      <c r="A482" s="201"/>
      <c r="B482" s="201"/>
      <c r="C482" s="202" t="b">
        <v>0</v>
      </c>
      <c r="D482" s="201"/>
      <c r="E482" s="201"/>
      <c r="F482" s="202" t="b">
        <v>0</v>
      </c>
      <c r="G482" s="202" t="b">
        <v>0</v>
      </c>
      <c r="H482" s="202" t="b">
        <v>0</v>
      </c>
      <c r="I482" s="202" t="b">
        <v>0</v>
      </c>
      <c r="J482" s="202" t="b">
        <v>0</v>
      </c>
      <c r="K482" s="202" t="b">
        <v>0</v>
      </c>
      <c r="L482" s="202" t="b">
        <v>0</v>
      </c>
      <c r="M482" s="202" t="b">
        <v>0</v>
      </c>
      <c r="N482" s="202" t="b">
        <v>0</v>
      </c>
    </row>
    <row r="483">
      <c r="A483" s="201"/>
      <c r="B483" s="201"/>
      <c r="C483" s="202" t="b">
        <v>0</v>
      </c>
      <c r="D483" s="201"/>
      <c r="E483" s="201"/>
      <c r="F483" s="202" t="b">
        <v>0</v>
      </c>
      <c r="G483" s="202" t="b">
        <v>0</v>
      </c>
      <c r="H483" s="202" t="b">
        <v>0</v>
      </c>
      <c r="I483" s="202" t="b">
        <v>0</v>
      </c>
      <c r="J483" s="202" t="b">
        <v>0</v>
      </c>
      <c r="K483" s="202" t="b">
        <v>0</v>
      </c>
      <c r="L483" s="202" t="b">
        <v>0</v>
      </c>
      <c r="M483" s="202" t="b">
        <v>0</v>
      </c>
      <c r="N483" s="202" t="b">
        <v>0</v>
      </c>
    </row>
    <row r="484">
      <c r="A484" s="201"/>
      <c r="B484" s="201"/>
      <c r="C484" s="202" t="b">
        <v>0</v>
      </c>
      <c r="D484" s="201"/>
      <c r="E484" s="201"/>
      <c r="F484" s="202" t="b">
        <v>0</v>
      </c>
      <c r="G484" s="202" t="b">
        <v>0</v>
      </c>
      <c r="H484" s="202" t="b">
        <v>0</v>
      </c>
      <c r="I484" s="202" t="b">
        <v>0</v>
      </c>
      <c r="J484" s="202" t="b">
        <v>0</v>
      </c>
      <c r="K484" s="202" t="b">
        <v>0</v>
      </c>
      <c r="L484" s="202" t="b">
        <v>0</v>
      </c>
      <c r="M484" s="202" t="b">
        <v>0</v>
      </c>
      <c r="N484" s="202" t="b">
        <v>0</v>
      </c>
    </row>
    <row r="485">
      <c r="A485" s="201"/>
      <c r="B485" s="201"/>
      <c r="C485" s="202" t="b">
        <v>0</v>
      </c>
      <c r="D485" s="201"/>
      <c r="E485" s="201"/>
      <c r="F485" s="202" t="b">
        <v>0</v>
      </c>
      <c r="G485" s="202" t="b">
        <v>0</v>
      </c>
      <c r="H485" s="202" t="b">
        <v>0</v>
      </c>
      <c r="I485" s="202" t="b">
        <v>0</v>
      </c>
      <c r="J485" s="202" t="b">
        <v>0</v>
      </c>
      <c r="K485" s="202" t="b">
        <v>0</v>
      </c>
      <c r="L485" s="202" t="b">
        <v>0</v>
      </c>
      <c r="M485" s="202" t="b">
        <v>0</v>
      </c>
      <c r="N485" s="202" t="b">
        <v>0</v>
      </c>
    </row>
    <row r="486">
      <c r="A486" s="201"/>
      <c r="B486" s="201"/>
      <c r="C486" s="202" t="b">
        <v>0</v>
      </c>
      <c r="D486" s="201"/>
      <c r="E486" s="201"/>
      <c r="F486" s="202" t="b">
        <v>0</v>
      </c>
      <c r="G486" s="202" t="b">
        <v>0</v>
      </c>
      <c r="H486" s="202" t="b">
        <v>0</v>
      </c>
      <c r="I486" s="202" t="b">
        <v>0</v>
      </c>
      <c r="J486" s="202" t="b">
        <v>0</v>
      </c>
      <c r="K486" s="202" t="b">
        <v>0</v>
      </c>
      <c r="L486" s="202" t="b">
        <v>0</v>
      </c>
      <c r="M486" s="202" t="b">
        <v>0</v>
      </c>
      <c r="N486" s="202" t="b">
        <v>0</v>
      </c>
    </row>
    <row r="487">
      <c r="A487" s="201"/>
      <c r="B487" s="201"/>
      <c r="C487" s="202" t="b">
        <v>0</v>
      </c>
      <c r="D487" s="201"/>
      <c r="E487" s="201"/>
      <c r="F487" s="202" t="b">
        <v>0</v>
      </c>
      <c r="G487" s="202" t="b">
        <v>0</v>
      </c>
      <c r="H487" s="202" t="b">
        <v>0</v>
      </c>
      <c r="I487" s="202" t="b">
        <v>0</v>
      </c>
      <c r="J487" s="202" t="b">
        <v>0</v>
      </c>
      <c r="K487" s="202" t="b">
        <v>0</v>
      </c>
      <c r="L487" s="202" t="b">
        <v>0</v>
      </c>
      <c r="M487" s="202" t="b">
        <v>0</v>
      </c>
      <c r="N487" s="202" t="b">
        <v>0</v>
      </c>
    </row>
    <row r="488">
      <c r="A488" s="201"/>
      <c r="B488" s="201"/>
      <c r="C488" s="202" t="b">
        <v>0</v>
      </c>
      <c r="D488" s="201"/>
      <c r="E488" s="201"/>
      <c r="F488" s="202" t="b">
        <v>0</v>
      </c>
      <c r="G488" s="202" t="b">
        <v>0</v>
      </c>
      <c r="H488" s="202" t="b">
        <v>0</v>
      </c>
      <c r="I488" s="202" t="b">
        <v>0</v>
      </c>
      <c r="J488" s="202" t="b">
        <v>0</v>
      </c>
      <c r="K488" s="202" t="b">
        <v>0</v>
      </c>
      <c r="L488" s="202" t="b">
        <v>0</v>
      </c>
      <c r="M488" s="202" t="b">
        <v>0</v>
      </c>
      <c r="N488" s="202" t="b">
        <v>0</v>
      </c>
    </row>
    <row r="489">
      <c r="A489" s="201"/>
      <c r="B489" s="201"/>
      <c r="C489" s="202" t="b">
        <v>0</v>
      </c>
      <c r="D489" s="201"/>
      <c r="E489" s="201"/>
      <c r="F489" s="202" t="b">
        <v>0</v>
      </c>
      <c r="G489" s="202" t="b">
        <v>0</v>
      </c>
      <c r="H489" s="202" t="b">
        <v>0</v>
      </c>
      <c r="I489" s="202" t="b">
        <v>0</v>
      </c>
      <c r="J489" s="202" t="b">
        <v>0</v>
      </c>
      <c r="K489" s="202" t="b">
        <v>0</v>
      </c>
      <c r="L489" s="202" t="b">
        <v>0</v>
      </c>
      <c r="M489" s="202" t="b">
        <v>0</v>
      </c>
      <c r="N489" s="202" t="b">
        <v>0</v>
      </c>
    </row>
    <row r="490">
      <c r="A490" s="201"/>
      <c r="B490" s="201"/>
      <c r="C490" s="202" t="b">
        <v>0</v>
      </c>
      <c r="D490" s="201"/>
      <c r="E490" s="201"/>
      <c r="F490" s="202" t="b">
        <v>0</v>
      </c>
      <c r="G490" s="202" t="b">
        <v>0</v>
      </c>
      <c r="H490" s="202" t="b">
        <v>0</v>
      </c>
      <c r="I490" s="202" t="b">
        <v>0</v>
      </c>
      <c r="J490" s="202" t="b">
        <v>0</v>
      </c>
      <c r="K490" s="202" t="b">
        <v>0</v>
      </c>
      <c r="L490" s="202" t="b">
        <v>0</v>
      </c>
      <c r="M490" s="202" t="b">
        <v>0</v>
      </c>
      <c r="N490" s="202" t="b">
        <v>0</v>
      </c>
    </row>
    <row r="491">
      <c r="A491" s="201"/>
      <c r="B491" s="201"/>
      <c r="C491" s="202" t="b">
        <v>0</v>
      </c>
      <c r="D491" s="201"/>
      <c r="E491" s="201"/>
      <c r="F491" s="202" t="b">
        <v>0</v>
      </c>
      <c r="G491" s="202" t="b">
        <v>0</v>
      </c>
      <c r="H491" s="202" t="b">
        <v>0</v>
      </c>
      <c r="I491" s="202" t="b">
        <v>0</v>
      </c>
      <c r="J491" s="202" t="b">
        <v>0</v>
      </c>
      <c r="K491" s="202" t="b">
        <v>0</v>
      </c>
      <c r="L491" s="202" t="b">
        <v>0</v>
      </c>
      <c r="M491" s="202" t="b">
        <v>0</v>
      </c>
      <c r="N491" s="202" t="b">
        <v>0</v>
      </c>
    </row>
    <row r="492">
      <c r="A492" s="201"/>
      <c r="B492" s="201"/>
      <c r="C492" s="202" t="b">
        <v>0</v>
      </c>
      <c r="D492" s="201"/>
      <c r="E492" s="201"/>
      <c r="F492" s="202" t="b">
        <v>0</v>
      </c>
      <c r="G492" s="202" t="b">
        <v>0</v>
      </c>
      <c r="H492" s="202" t="b">
        <v>0</v>
      </c>
      <c r="I492" s="202" t="b">
        <v>0</v>
      </c>
      <c r="J492" s="202" t="b">
        <v>0</v>
      </c>
      <c r="K492" s="202" t="b">
        <v>0</v>
      </c>
      <c r="L492" s="202" t="b">
        <v>0</v>
      </c>
      <c r="M492" s="202" t="b">
        <v>0</v>
      </c>
      <c r="N492" s="202" t="b">
        <v>0</v>
      </c>
    </row>
    <row r="493">
      <c r="A493" s="201"/>
      <c r="B493" s="201"/>
      <c r="C493" s="202" t="b">
        <v>0</v>
      </c>
      <c r="D493" s="201"/>
      <c r="E493" s="201"/>
      <c r="F493" s="202" t="b">
        <v>0</v>
      </c>
      <c r="G493" s="202" t="b">
        <v>0</v>
      </c>
      <c r="H493" s="202" t="b">
        <v>0</v>
      </c>
      <c r="I493" s="202" t="b">
        <v>0</v>
      </c>
      <c r="J493" s="202" t="b">
        <v>0</v>
      </c>
      <c r="K493" s="202" t="b">
        <v>0</v>
      </c>
      <c r="L493" s="202" t="b">
        <v>0</v>
      </c>
      <c r="M493" s="202" t="b">
        <v>0</v>
      </c>
      <c r="N493" s="202" t="b">
        <v>0</v>
      </c>
    </row>
    <row r="494">
      <c r="A494" s="201"/>
      <c r="B494" s="201"/>
      <c r="C494" s="202" t="b">
        <v>0</v>
      </c>
      <c r="D494" s="201"/>
      <c r="E494" s="201"/>
      <c r="F494" s="202" t="b">
        <v>0</v>
      </c>
      <c r="G494" s="202" t="b">
        <v>0</v>
      </c>
      <c r="H494" s="202" t="b">
        <v>0</v>
      </c>
      <c r="I494" s="202" t="b">
        <v>0</v>
      </c>
      <c r="J494" s="202" t="b">
        <v>0</v>
      </c>
      <c r="K494" s="202" t="b">
        <v>0</v>
      </c>
      <c r="L494" s="202" t="b">
        <v>0</v>
      </c>
      <c r="M494" s="202" t="b">
        <v>0</v>
      </c>
      <c r="N494" s="202" t="b">
        <v>0</v>
      </c>
    </row>
    <row r="495">
      <c r="A495" s="201"/>
      <c r="B495" s="201"/>
      <c r="C495" s="202" t="b">
        <v>0</v>
      </c>
      <c r="D495" s="201"/>
      <c r="E495" s="201"/>
      <c r="F495" s="202" t="b">
        <v>0</v>
      </c>
      <c r="G495" s="202" t="b">
        <v>0</v>
      </c>
      <c r="H495" s="202" t="b">
        <v>0</v>
      </c>
      <c r="I495" s="202" t="b">
        <v>0</v>
      </c>
      <c r="J495" s="202" t="b">
        <v>0</v>
      </c>
      <c r="K495" s="202" t="b">
        <v>0</v>
      </c>
      <c r="L495" s="202" t="b">
        <v>0</v>
      </c>
      <c r="M495" s="202" t="b">
        <v>0</v>
      </c>
      <c r="N495" s="202" t="b">
        <v>0</v>
      </c>
    </row>
    <row r="496">
      <c r="A496" s="201"/>
      <c r="B496" s="201"/>
      <c r="C496" s="202" t="b">
        <v>0</v>
      </c>
      <c r="D496" s="201"/>
      <c r="E496" s="201"/>
      <c r="F496" s="202" t="b">
        <v>0</v>
      </c>
      <c r="G496" s="202" t="b">
        <v>0</v>
      </c>
      <c r="H496" s="202" t="b">
        <v>0</v>
      </c>
      <c r="I496" s="202" t="b">
        <v>0</v>
      </c>
      <c r="J496" s="202" t="b">
        <v>0</v>
      </c>
      <c r="K496" s="202" t="b">
        <v>0</v>
      </c>
      <c r="L496" s="202" t="b">
        <v>0</v>
      </c>
      <c r="M496" s="202" t="b">
        <v>0</v>
      </c>
      <c r="N496" s="202" t="b">
        <v>0</v>
      </c>
    </row>
    <row r="497">
      <c r="A497" s="201"/>
      <c r="B497" s="201"/>
      <c r="C497" s="202" t="b">
        <v>0</v>
      </c>
      <c r="D497" s="201"/>
      <c r="E497" s="201"/>
      <c r="F497" s="202" t="b">
        <v>0</v>
      </c>
      <c r="G497" s="202" t="b">
        <v>0</v>
      </c>
      <c r="H497" s="202" t="b">
        <v>0</v>
      </c>
      <c r="I497" s="202" t="b">
        <v>0</v>
      </c>
      <c r="J497" s="202" t="b">
        <v>0</v>
      </c>
      <c r="K497" s="202" t="b">
        <v>0</v>
      </c>
      <c r="L497" s="202" t="b">
        <v>0</v>
      </c>
      <c r="M497" s="202" t="b">
        <v>0</v>
      </c>
      <c r="N497" s="202" t="b">
        <v>0</v>
      </c>
    </row>
    <row r="498">
      <c r="A498" s="201"/>
      <c r="B498" s="201"/>
      <c r="C498" s="202" t="b">
        <v>0</v>
      </c>
      <c r="D498" s="201"/>
      <c r="E498" s="201"/>
      <c r="F498" s="202" t="b">
        <v>0</v>
      </c>
      <c r="G498" s="202" t="b">
        <v>0</v>
      </c>
      <c r="H498" s="202" t="b">
        <v>0</v>
      </c>
      <c r="I498" s="202" t="b">
        <v>0</v>
      </c>
      <c r="J498" s="202" t="b">
        <v>0</v>
      </c>
      <c r="K498" s="202" t="b">
        <v>0</v>
      </c>
      <c r="L498" s="202" t="b">
        <v>0</v>
      </c>
      <c r="M498" s="202" t="b">
        <v>0</v>
      </c>
      <c r="N498" s="202" t="b">
        <v>0</v>
      </c>
    </row>
    <row r="499">
      <c r="A499" s="201"/>
      <c r="B499" s="201"/>
      <c r="C499" s="202" t="b">
        <v>0</v>
      </c>
      <c r="D499" s="201"/>
      <c r="E499" s="201"/>
      <c r="F499" s="202" t="b">
        <v>0</v>
      </c>
      <c r="G499" s="202" t="b">
        <v>0</v>
      </c>
      <c r="H499" s="202" t="b">
        <v>0</v>
      </c>
      <c r="I499" s="202" t="b">
        <v>0</v>
      </c>
      <c r="J499" s="202" t="b">
        <v>0</v>
      </c>
      <c r="K499" s="202" t="b">
        <v>0</v>
      </c>
      <c r="L499" s="202" t="b">
        <v>0</v>
      </c>
      <c r="M499" s="202" t="b">
        <v>0</v>
      </c>
      <c r="N499" s="202" t="b">
        <v>0</v>
      </c>
    </row>
    <row r="500">
      <c r="A500" s="201"/>
      <c r="B500" s="201"/>
      <c r="C500" s="202" t="b">
        <v>0</v>
      </c>
      <c r="D500" s="201"/>
      <c r="E500" s="201"/>
      <c r="F500" s="202" t="b">
        <v>0</v>
      </c>
      <c r="G500" s="202" t="b">
        <v>0</v>
      </c>
      <c r="H500" s="202" t="b">
        <v>0</v>
      </c>
      <c r="I500" s="202" t="b">
        <v>0</v>
      </c>
      <c r="J500" s="202" t="b">
        <v>0</v>
      </c>
      <c r="K500" s="202" t="b">
        <v>0</v>
      </c>
      <c r="L500" s="202" t="b">
        <v>0</v>
      </c>
      <c r="M500" s="202" t="b">
        <v>0</v>
      </c>
      <c r="N500" s="202" t="b">
        <v>0</v>
      </c>
    </row>
    <row r="501">
      <c r="A501" s="201"/>
      <c r="B501" s="201"/>
      <c r="C501" s="202" t="b">
        <v>0</v>
      </c>
      <c r="D501" s="201"/>
      <c r="E501" s="201"/>
      <c r="F501" s="202" t="b">
        <v>0</v>
      </c>
      <c r="G501" s="202" t="b">
        <v>0</v>
      </c>
      <c r="H501" s="202" t="b">
        <v>0</v>
      </c>
      <c r="I501" s="202" t="b">
        <v>0</v>
      </c>
      <c r="J501" s="202" t="b">
        <v>0</v>
      </c>
      <c r="K501" s="202" t="b">
        <v>0</v>
      </c>
      <c r="L501" s="202" t="b">
        <v>0</v>
      </c>
      <c r="M501" s="202" t="b">
        <v>0</v>
      </c>
      <c r="N501" s="202" t="b">
        <v>0</v>
      </c>
    </row>
    <row r="502">
      <c r="A502" s="201"/>
      <c r="B502" s="201"/>
      <c r="C502" s="202" t="b">
        <v>0</v>
      </c>
      <c r="D502" s="201"/>
      <c r="E502" s="201"/>
      <c r="F502" s="202" t="b">
        <v>0</v>
      </c>
      <c r="G502" s="202" t="b">
        <v>0</v>
      </c>
      <c r="H502" s="202" t="b">
        <v>0</v>
      </c>
      <c r="I502" s="202" t="b">
        <v>0</v>
      </c>
      <c r="J502" s="202" t="b">
        <v>0</v>
      </c>
      <c r="K502" s="202" t="b">
        <v>0</v>
      </c>
      <c r="L502" s="202" t="b">
        <v>0</v>
      </c>
      <c r="M502" s="202" t="b">
        <v>0</v>
      </c>
      <c r="N502" s="202" t="b">
        <v>0</v>
      </c>
    </row>
    <row r="503">
      <c r="A503" s="201"/>
      <c r="B503" s="201"/>
      <c r="C503" s="202" t="b">
        <v>0</v>
      </c>
      <c r="D503" s="201"/>
      <c r="E503" s="201"/>
      <c r="F503" s="202" t="b">
        <v>0</v>
      </c>
      <c r="G503" s="202" t="b">
        <v>0</v>
      </c>
      <c r="H503" s="202" t="b">
        <v>0</v>
      </c>
      <c r="I503" s="202" t="b">
        <v>0</v>
      </c>
      <c r="J503" s="202" t="b">
        <v>0</v>
      </c>
      <c r="K503" s="202" t="b">
        <v>0</v>
      </c>
      <c r="L503" s="202" t="b">
        <v>0</v>
      </c>
      <c r="M503" s="202" t="b">
        <v>0</v>
      </c>
      <c r="N503" s="202" t="b">
        <v>0</v>
      </c>
    </row>
    <row r="504">
      <c r="A504" s="201"/>
      <c r="B504" s="201"/>
      <c r="C504" s="202" t="b">
        <v>0</v>
      </c>
      <c r="D504" s="201"/>
      <c r="E504" s="201"/>
      <c r="F504" s="202" t="b">
        <v>0</v>
      </c>
      <c r="G504" s="202" t="b">
        <v>0</v>
      </c>
      <c r="H504" s="202" t="b">
        <v>0</v>
      </c>
      <c r="I504" s="202" t="b">
        <v>0</v>
      </c>
      <c r="J504" s="202" t="b">
        <v>0</v>
      </c>
      <c r="K504" s="202" t="b">
        <v>0</v>
      </c>
      <c r="L504" s="202" t="b">
        <v>0</v>
      </c>
      <c r="M504" s="202" t="b">
        <v>0</v>
      </c>
      <c r="N504" s="202" t="b">
        <v>0</v>
      </c>
    </row>
    <row r="505">
      <c r="A505" s="201"/>
      <c r="B505" s="201"/>
      <c r="C505" s="202" t="b">
        <v>0</v>
      </c>
      <c r="D505" s="201"/>
      <c r="E505" s="201"/>
      <c r="F505" s="202" t="b">
        <v>0</v>
      </c>
      <c r="G505" s="202" t="b">
        <v>0</v>
      </c>
      <c r="H505" s="202" t="b">
        <v>0</v>
      </c>
      <c r="I505" s="202" t="b">
        <v>0</v>
      </c>
      <c r="J505" s="202" t="b">
        <v>0</v>
      </c>
      <c r="K505" s="202" t="b">
        <v>0</v>
      </c>
      <c r="L505" s="202" t="b">
        <v>0</v>
      </c>
      <c r="M505" s="202" t="b">
        <v>0</v>
      </c>
      <c r="N505" s="202" t="b">
        <v>0</v>
      </c>
    </row>
    <row r="506">
      <c r="A506" s="201"/>
      <c r="B506" s="201"/>
      <c r="C506" s="202" t="b">
        <v>0</v>
      </c>
      <c r="D506" s="201"/>
      <c r="E506" s="201"/>
      <c r="F506" s="202" t="b">
        <v>0</v>
      </c>
      <c r="G506" s="202" t="b">
        <v>0</v>
      </c>
      <c r="H506" s="202" t="b">
        <v>0</v>
      </c>
      <c r="I506" s="202" t="b">
        <v>0</v>
      </c>
      <c r="J506" s="202" t="b">
        <v>0</v>
      </c>
      <c r="K506" s="202" t="b">
        <v>0</v>
      </c>
      <c r="L506" s="202" t="b">
        <v>0</v>
      </c>
      <c r="M506" s="202" t="b">
        <v>0</v>
      </c>
      <c r="N506" s="202" t="b">
        <v>0</v>
      </c>
    </row>
    <row r="507">
      <c r="A507" s="201"/>
      <c r="B507" s="201"/>
      <c r="C507" s="202" t="b">
        <v>0</v>
      </c>
      <c r="D507" s="201"/>
      <c r="E507" s="201"/>
      <c r="F507" s="202" t="b">
        <v>0</v>
      </c>
      <c r="G507" s="202" t="b">
        <v>0</v>
      </c>
      <c r="H507" s="202" t="b">
        <v>0</v>
      </c>
      <c r="I507" s="202" t="b">
        <v>0</v>
      </c>
      <c r="J507" s="202" t="b">
        <v>0</v>
      </c>
      <c r="K507" s="202" t="b">
        <v>0</v>
      </c>
      <c r="L507" s="202" t="b">
        <v>0</v>
      </c>
      <c r="M507" s="202" t="b">
        <v>0</v>
      </c>
      <c r="N507" s="202" t="b">
        <v>0</v>
      </c>
    </row>
    <row r="508">
      <c r="A508" s="201"/>
      <c r="B508" s="201"/>
      <c r="C508" s="202" t="b">
        <v>0</v>
      </c>
      <c r="D508" s="201"/>
      <c r="E508" s="201"/>
      <c r="F508" s="202" t="b">
        <v>0</v>
      </c>
      <c r="G508" s="202" t="b">
        <v>0</v>
      </c>
      <c r="H508" s="202" t="b">
        <v>0</v>
      </c>
      <c r="I508" s="202" t="b">
        <v>0</v>
      </c>
      <c r="J508" s="202" t="b">
        <v>0</v>
      </c>
      <c r="K508" s="202" t="b">
        <v>0</v>
      </c>
      <c r="L508" s="202" t="b">
        <v>0</v>
      </c>
      <c r="M508" s="202" t="b">
        <v>0</v>
      </c>
      <c r="N508" s="202" t="b">
        <v>0</v>
      </c>
    </row>
    <row r="509">
      <c r="A509" s="201"/>
      <c r="B509" s="201"/>
      <c r="C509" s="202" t="b">
        <v>0</v>
      </c>
      <c r="D509" s="201"/>
      <c r="E509" s="201"/>
      <c r="F509" s="202" t="b">
        <v>0</v>
      </c>
      <c r="G509" s="202" t="b">
        <v>0</v>
      </c>
      <c r="H509" s="202" t="b">
        <v>0</v>
      </c>
      <c r="I509" s="202" t="b">
        <v>0</v>
      </c>
      <c r="J509" s="202" t="b">
        <v>0</v>
      </c>
      <c r="K509" s="202" t="b">
        <v>0</v>
      </c>
      <c r="L509" s="202" t="b">
        <v>0</v>
      </c>
      <c r="M509" s="202" t="b">
        <v>0</v>
      </c>
      <c r="N509" s="202" t="b">
        <v>0</v>
      </c>
    </row>
    <row r="510">
      <c r="A510" s="201"/>
      <c r="B510" s="201"/>
      <c r="C510" s="202" t="b">
        <v>0</v>
      </c>
      <c r="D510" s="201"/>
      <c r="E510" s="201"/>
      <c r="F510" s="202" t="b">
        <v>0</v>
      </c>
      <c r="G510" s="202" t="b">
        <v>0</v>
      </c>
      <c r="H510" s="202" t="b">
        <v>0</v>
      </c>
      <c r="I510" s="202" t="b">
        <v>0</v>
      </c>
      <c r="J510" s="202" t="b">
        <v>0</v>
      </c>
      <c r="K510" s="202" t="b">
        <v>0</v>
      </c>
      <c r="L510" s="202" t="b">
        <v>0</v>
      </c>
      <c r="M510" s="202" t="b">
        <v>0</v>
      </c>
      <c r="N510" s="202" t="b">
        <v>0</v>
      </c>
    </row>
    <row r="511">
      <c r="A511" s="201"/>
      <c r="B511" s="201"/>
      <c r="C511" s="202" t="b">
        <v>0</v>
      </c>
      <c r="D511" s="201"/>
      <c r="E511" s="201"/>
      <c r="F511" s="202" t="b">
        <v>0</v>
      </c>
      <c r="G511" s="202" t="b">
        <v>0</v>
      </c>
      <c r="H511" s="202" t="b">
        <v>0</v>
      </c>
      <c r="I511" s="202" t="b">
        <v>0</v>
      </c>
      <c r="J511" s="202" t="b">
        <v>0</v>
      </c>
      <c r="K511" s="202" t="b">
        <v>0</v>
      </c>
      <c r="L511" s="202" t="b">
        <v>0</v>
      </c>
      <c r="M511" s="202" t="b">
        <v>0</v>
      </c>
      <c r="N511" s="202" t="b">
        <v>0</v>
      </c>
    </row>
    <row r="512">
      <c r="A512" s="201"/>
      <c r="B512" s="201"/>
      <c r="C512" s="202" t="b">
        <v>0</v>
      </c>
      <c r="D512" s="201"/>
      <c r="E512" s="201"/>
      <c r="F512" s="202" t="b">
        <v>0</v>
      </c>
      <c r="G512" s="202" t="b">
        <v>0</v>
      </c>
      <c r="H512" s="202" t="b">
        <v>0</v>
      </c>
      <c r="I512" s="202" t="b">
        <v>0</v>
      </c>
      <c r="J512" s="202" t="b">
        <v>0</v>
      </c>
      <c r="K512" s="202" t="b">
        <v>0</v>
      </c>
      <c r="L512" s="202" t="b">
        <v>0</v>
      </c>
      <c r="M512" s="202" t="b">
        <v>0</v>
      </c>
      <c r="N512" s="202" t="b">
        <v>0</v>
      </c>
    </row>
    <row r="513">
      <c r="A513" s="201"/>
      <c r="B513" s="201"/>
      <c r="C513" s="202" t="b">
        <v>0</v>
      </c>
      <c r="D513" s="201"/>
      <c r="E513" s="201"/>
      <c r="F513" s="202" t="b">
        <v>0</v>
      </c>
      <c r="G513" s="202" t="b">
        <v>0</v>
      </c>
      <c r="H513" s="202" t="b">
        <v>0</v>
      </c>
      <c r="I513" s="202" t="b">
        <v>0</v>
      </c>
      <c r="J513" s="202" t="b">
        <v>0</v>
      </c>
      <c r="K513" s="202" t="b">
        <v>0</v>
      </c>
      <c r="L513" s="202" t="b">
        <v>0</v>
      </c>
      <c r="M513" s="202" t="b">
        <v>0</v>
      </c>
      <c r="N513" s="202" t="b">
        <v>0</v>
      </c>
    </row>
    <row r="514">
      <c r="A514" s="201"/>
      <c r="B514" s="201"/>
      <c r="C514" s="202" t="b">
        <v>0</v>
      </c>
      <c r="D514" s="201"/>
      <c r="E514" s="201"/>
      <c r="F514" s="202" t="b">
        <v>0</v>
      </c>
      <c r="G514" s="202" t="b">
        <v>0</v>
      </c>
      <c r="H514" s="202" t="b">
        <v>0</v>
      </c>
      <c r="I514" s="202" t="b">
        <v>0</v>
      </c>
      <c r="J514" s="202" t="b">
        <v>0</v>
      </c>
      <c r="K514" s="202" t="b">
        <v>0</v>
      </c>
      <c r="L514" s="202" t="b">
        <v>0</v>
      </c>
      <c r="M514" s="202" t="b">
        <v>0</v>
      </c>
      <c r="N514" s="202" t="b">
        <v>0</v>
      </c>
    </row>
    <row r="515">
      <c r="A515" s="201"/>
      <c r="B515" s="201"/>
      <c r="C515" s="202" t="b">
        <v>0</v>
      </c>
      <c r="D515" s="201"/>
      <c r="E515" s="201"/>
      <c r="F515" s="202" t="b">
        <v>0</v>
      </c>
      <c r="G515" s="202" t="b">
        <v>0</v>
      </c>
      <c r="H515" s="202" t="b">
        <v>0</v>
      </c>
      <c r="I515" s="202" t="b">
        <v>0</v>
      </c>
      <c r="J515" s="202" t="b">
        <v>0</v>
      </c>
      <c r="K515" s="202" t="b">
        <v>0</v>
      </c>
      <c r="L515" s="202" t="b">
        <v>0</v>
      </c>
      <c r="M515" s="202" t="b">
        <v>0</v>
      </c>
      <c r="N515" s="202" t="b">
        <v>0</v>
      </c>
    </row>
    <row r="516">
      <c r="A516" s="201"/>
      <c r="B516" s="201"/>
      <c r="C516" s="202" t="b">
        <v>0</v>
      </c>
      <c r="D516" s="201"/>
      <c r="E516" s="201"/>
      <c r="F516" s="202" t="b">
        <v>0</v>
      </c>
      <c r="G516" s="202" t="b">
        <v>0</v>
      </c>
      <c r="H516" s="202" t="b">
        <v>0</v>
      </c>
      <c r="I516" s="202" t="b">
        <v>0</v>
      </c>
      <c r="J516" s="202" t="b">
        <v>0</v>
      </c>
      <c r="K516" s="202" t="b">
        <v>0</v>
      </c>
      <c r="L516" s="202" t="b">
        <v>0</v>
      </c>
      <c r="M516" s="202" t="b">
        <v>0</v>
      </c>
      <c r="N516" s="202" t="b">
        <v>0</v>
      </c>
    </row>
    <row r="517">
      <c r="A517" s="201"/>
      <c r="B517" s="201"/>
      <c r="C517" s="202" t="b">
        <v>0</v>
      </c>
      <c r="D517" s="201"/>
      <c r="E517" s="201"/>
      <c r="F517" s="202" t="b">
        <v>0</v>
      </c>
      <c r="G517" s="202" t="b">
        <v>0</v>
      </c>
      <c r="H517" s="202" t="b">
        <v>0</v>
      </c>
      <c r="I517" s="202" t="b">
        <v>0</v>
      </c>
      <c r="J517" s="202" t="b">
        <v>0</v>
      </c>
      <c r="K517" s="202" t="b">
        <v>0</v>
      </c>
      <c r="L517" s="202" t="b">
        <v>0</v>
      </c>
      <c r="M517" s="202" t="b">
        <v>0</v>
      </c>
      <c r="N517" s="202" t="b">
        <v>0</v>
      </c>
    </row>
    <row r="518">
      <c r="A518" s="201"/>
      <c r="B518" s="201"/>
      <c r="C518" s="202" t="b">
        <v>0</v>
      </c>
      <c r="D518" s="201"/>
      <c r="E518" s="201"/>
      <c r="F518" s="202" t="b">
        <v>0</v>
      </c>
      <c r="G518" s="202" t="b">
        <v>0</v>
      </c>
      <c r="H518" s="202" t="b">
        <v>0</v>
      </c>
      <c r="I518" s="202" t="b">
        <v>0</v>
      </c>
      <c r="J518" s="202" t="b">
        <v>0</v>
      </c>
      <c r="K518" s="202" t="b">
        <v>0</v>
      </c>
      <c r="L518" s="202" t="b">
        <v>0</v>
      </c>
      <c r="M518" s="202" t="b">
        <v>0</v>
      </c>
      <c r="N518" s="202" t="b">
        <v>0</v>
      </c>
    </row>
    <row r="519">
      <c r="A519" s="201"/>
      <c r="B519" s="201"/>
      <c r="C519" s="202" t="b">
        <v>0</v>
      </c>
      <c r="D519" s="201"/>
      <c r="E519" s="201"/>
      <c r="F519" s="202" t="b">
        <v>0</v>
      </c>
      <c r="G519" s="202" t="b">
        <v>0</v>
      </c>
      <c r="H519" s="202" t="b">
        <v>0</v>
      </c>
      <c r="I519" s="202" t="b">
        <v>0</v>
      </c>
      <c r="J519" s="202" t="b">
        <v>0</v>
      </c>
      <c r="K519" s="202" t="b">
        <v>0</v>
      </c>
      <c r="L519" s="202" t="b">
        <v>0</v>
      </c>
      <c r="M519" s="202" t="b">
        <v>0</v>
      </c>
      <c r="N519" s="202" t="b">
        <v>0</v>
      </c>
    </row>
    <row r="520">
      <c r="A520" s="201"/>
      <c r="B520" s="201"/>
      <c r="C520" s="202" t="b">
        <v>0</v>
      </c>
      <c r="D520" s="201"/>
      <c r="E520" s="201"/>
      <c r="F520" s="202" t="b">
        <v>0</v>
      </c>
      <c r="G520" s="202" t="b">
        <v>0</v>
      </c>
      <c r="H520" s="202" t="b">
        <v>0</v>
      </c>
      <c r="I520" s="202" t="b">
        <v>0</v>
      </c>
      <c r="J520" s="202" t="b">
        <v>0</v>
      </c>
      <c r="K520" s="202" t="b">
        <v>0</v>
      </c>
      <c r="L520" s="202" t="b">
        <v>0</v>
      </c>
      <c r="M520" s="202" t="b">
        <v>0</v>
      </c>
      <c r="N520" s="202" t="b">
        <v>0</v>
      </c>
    </row>
    <row r="521">
      <c r="A521" s="201"/>
      <c r="B521" s="201"/>
      <c r="C521" s="202" t="b">
        <v>0</v>
      </c>
      <c r="D521" s="201"/>
      <c r="E521" s="201"/>
      <c r="F521" s="202" t="b">
        <v>0</v>
      </c>
      <c r="G521" s="202" t="b">
        <v>0</v>
      </c>
      <c r="H521" s="202" t="b">
        <v>0</v>
      </c>
      <c r="I521" s="202" t="b">
        <v>0</v>
      </c>
      <c r="J521" s="202" t="b">
        <v>0</v>
      </c>
      <c r="K521" s="202" t="b">
        <v>0</v>
      </c>
      <c r="L521" s="202" t="b">
        <v>0</v>
      </c>
      <c r="M521" s="202" t="b">
        <v>0</v>
      </c>
      <c r="N521" s="202" t="b">
        <v>0</v>
      </c>
    </row>
    <row r="522">
      <c r="A522" s="201"/>
      <c r="B522" s="201"/>
      <c r="C522" s="202" t="b">
        <v>0</v>
      </c>
      <c r="D522" s="201"/>
      <c r="E522" s="201"/>
      <c r="F522" s="202" t="b">
        <v>0</v>
      </c>
      <c r="G522" s="202" t="b">
        <v>0</v>
      </c>
      <c r="H522" s="202" t="b">
        <v>0</v>
      </c>
      <c r="I522" s="202" t="b">
        <v>0</v>
      </c>
      <c r="J522" s="202" t="b">
        <v>0</v>
      </c>
      <c r="K522" s="202" t="b">
        <v>0</v>
      </c>
      <c r="L522" s="202" t="b">
        <v>0</v>
      </c>
      <c r="M522" s="202" t="b">
        <v>0</v>
      </c>
      <c r="N522" s="202" t="b">
        <v>0</v>
      </c>
    </row>
    <row r="523">
      <c r="A523" s="201"/>
      <c r="B523" s="201"/>
      <c r="C523" s="202" t="b">
        <v>0</v>
      </c>
      <c r="D523" s="201"/>
      <c r="E523" s="201"/>
      <c r="F523" s="202" t="b">
        <v>0</v>
      </c>
      <c r="G523" s="202" t="b">
        <v>0</v>
      </c>
      <c r="H523" s="202" t="b">
        <v>0</v>
      </c>
      <c r="I523" s="202" t="b">
        <v>0</v>
      </c>
      <c r="J523" s="202" t="b">
        <v>0</v>
      </c>
      <c r="K523" s="202" t="b">
        <v>0</v>
      </c>
      <c r="L523" s="202" t="b">
        <v>0</v>
      </c>
      <c r="M523" s="202" t="b">
        <v>0</v>
      </c>
      <c r="N523" s="202" t="b">
        <v>0</v>
      </c>
    </row>
    <row r="524">
      <c r="A524" s="201"/>
      <c r="B524" s="201"/>
      <c r="C524" s="202" t="b">
        <v>0</v>
      </c>
      <c r="D524" s="201"/>
      <c r="E524" s="201"/>
      <c r="F524" s="202" t="b">
        <v>0</v>
      </c>
      <c r="G524" s="202" t="b">
        <v>0</v>
      </c>
      <c r="H524" s="202" t="b">
        <v>0</v>
      </c>
      <c r="I524" s="202" t="b">
        <v>0</v>
      </c>
      <c r="J524" s="202" t="b">
        <v>0</v>
      </c>
      <c r="K524" s="202" t="b">
        <v>0</v>
      </c>
      <c r="L524" s="202" t="b">
        <v>0</v>
      </c>
      <c r="M524" s="202" t="b">
        <v>0</v>
      </c>
      <c r="N524" s="202" t="b">
        <v>0</v>
      </c>
    </row>
    <row r="525">
      <c r="A525" s="201"/>
      <c r="B525" s="201"/>
      <c r="C525" s="202" t="b">
        <v>0</v>
      </c>
      <c r="D525" s="201"/>
      <c r="E525" s="201"/>
      <c r="F525" s="202" t="b">
        <v>0</v>
      </c>
      <c r="G525" s="202" t="b">
        <v>0</v>
      </c>
      <c r="H525" s="202" t="b">
        <v>0</v>
      </c>
      <c r="I525" s="202" t="b">
        <v>0</v>
      </c>
      <c r="J525" s="202" t="b">
        <v>0</v>
      </c>
      <c r="K525" s="202" t="b">
        <v>0</v>
      </c>
      <c r="L525" s="202" t="b">
        <v>0</v>
      </c>
      <c r="M525" s="202" t="b">
        <v>0</v>
      </c>
      <c r="N525" s="202" t="b">
        <v>0</v>
      </c>
    </row>
    <row r="526">
      <c r="A526" s="201"/>
      <c r="B526" s="201"/>
      <c r="C526" s="202" t="b">
        <v>0</v>
      </c>
      <c r="D526" s="201"/>
      <c r="E526" s="201"/>
      <c r="F526" s="202" t="b">
        <v>0</v>
      </c>
      <c r="G526" s="202" t="b">
        <v>0</v>
      </c>
      <c r="H526" s="202" t="b">
        <v>0</v>
      </c>
      <c r="I526" s="202" t="b">
        <v>0</v>
      </c>
      <c r="J526" s="202" t="b">
        <v>0</v>
      </c>
      <c r="K526" s="202" t="b">
        <v>0</v>
      </c>
      <c r="L526" s="202" t="b">
        <v>0</v>
      </c>
      <c r="M526" s="202" t="b">
        <v>0</v>
      </c>
      <c r="N526" s="202" t="b">
        <v>0</v>
      </c>
    </row>
    <row r="527">
      <c r="A527" s="201"/>
      <c r="B527" s="201"/>
      <c r="C527" s="202" t="b">
        <v>0</v>
      </c>
      <c r="D527" s="201"/>
      <c r="E527" s="201"/>
      <c r="F527" s="202" t="b">
        <v>0</v>
      </c>
      <c r="G527" s="202" t="b">
        <v>0</v>
      </c>
      <c r="H527" s="202" t="b">
        <v>0</v>
      </c>
      <c r="I527" s="202" t="b">
        <v>0</v>
      </c>
      <c r="J527" s="202" t="b">
        <v>0</v>
      </c>
      <c r="K527" s="202" t="b">
        <v>0</v>
      </c>
      <c r="L527" s="202" t="b">
        <v>0</v>
      </c>
      <c r="M527" s="202" t="b">
        <v>0</v>
      </c>
      <c r="N527" s="202" t="b">
        <v>0</v>
      </c>
    </row>
    <row r="528">
      <c r="A528" s="201"/>
      <c r="B528" s="201"/>
      <c r="C528" s="202" t="b">
        <v>0</v>
      </c>
      <c r="D528" s="201"/>
      <c r="E528" s="201"/>
      <c r="F528" s="202" t="b">
        <v>0</v>
      </c>
      <c r="G528" s="202" t="b">
        <v>0</v>
      </c>
      <c r="H528" s="202" t="b">
        <v>0</v>
      </c>
      <c r="I528" s="202" t="b">
        <v>0</v>
      </c>
      <c r="J528" s="202" t="b">
        <v>0</v>
      </c>
      <c r="K528" s="202" t="b">
        <v>0</v>
      </c>
      <c r="L528" s="202" t="b">
        <v>0</v>
      </c>
      <c r="M528" s="202" t="b">
        <v>0</v>
      </c>
      <c r="N528" s="202" t="b">
        <v>0</v>
      </c>
    </row>
    <row r="529">
      <c r="A529" s="201"/>
      <c r="B529" s="201"/>
      <c r="C529" s="202" t="b">
        <v>0</v>
      </c>
      <c r="D529" s="201"/>
      <c r="E529" s="201"/>
      <c r="F529" s="202" t="b">
        <v>0</v>
      </c>
      <c r="G529" s="202" t="b">
        <v>0</v>
      </c>
      <c r="H529" s="202" t="b">
        <v>0</v>
      </c>
      <c r="I529" s="202" t="b">
        <v>0</v>
      </c>
      <c r="J529" s="202" t="b">
        <v>0</v>
      </c>
      <c r="K529" s="202" t="b">
        <v>0</v>
      </c>
      <c r="L529" s="202" t="b">
        <v>0</v>
      </c>
      <c r="M529" s="202" t="b">
        <v>0</v>
      </c>
      <c r="N529" s="202" t="b">
        <v>0</v>
      </c>
    </row>
    <row r="530">
      <c r="A530" s="201"/>
      <c r="B530" s="201"/>
      <c r="C530" s="202" t="b">
        <v>0</v>
      </c>
      <c r="D530" s="201"/>
      <c r="E530" s="201"/>
      <c r="F530" s="202" t="b">
        <v>0</v>
      </c>
      <c r="G530" s="202" t="b">
        <v>0</v>
      </c>
      <c r="H530" s="202" t="b">
        <v>0</v>
      </c>
      <c r="I530" s="202" t="b">
        <v>0</v>
      </c>
      <c r="J530" s="202" t="b">
        <v>0</v>
      </c>
      <c r="K530" s="202" t="b">
        <v>0</v>
      </c>
      <c r="L530" s="202" t="b">
        <v>0</v>
      </c>
      <c r="M530" s="202" t="b">
        <v>0</v>
      </c>
      <c r="N530" s="202" t="b">
        <v>0</v>
      </c>
    </row>
    <row r="531">
      <c r="A531" s="201"/>
      <c r="B531" s="201"/>
      <c r="C531" s="202" t="b">
        <v>0</v>
      </c>
      <c r="D531" s="201"/>
      <c r="E531" s="201"/>
      <c r="F531" s="202" t="b">
        <v>0</v>
      </c>
      <c r="G531" s="202" t="b">
        <v>0</v>
      </c>
      <c r="H531" s="202" t="b">
        <v>0</v>
      </c>
      <c r="I531" s="202" t="b">
        <v>0</v>
      </c>
      <c r="J531" s="202" t="b">
        <v>0</v>
      </c>
      <c r="K531" s="202" t="b">
        <v>0</v>
      </c>
      <c r="L531" s="202" t="b">
        <v>0</v>
      </c>
      <c r="M531" s="202" t="b">
        <v>0</v>
      </c>
      <c r="N531" s="202" t="b">
        <v>0</v>
      </c>
    </row>
    <row r="532">
      <c r="A532" s="201"/>
      <c r="B532" s="201"/>
      <c r="C532" s="202" t="b">
        <v>0</v>
      </c>
      <c r="D532" s="201"/>
      <c r="E532" s="201"/>
      <c r="F532" s="202" t="b">
        <v>0</v>
      </c>
      <c r="G532" s="202" t="b">
        <v>0</v>
      </c>
      <c r="H532" s="202" t="b">
        <v>0</v>
      </c>
      <c r="I532" s="202" t="b">
        <v>0</v>
      </c>
      <c r="J532" s="202" t="b">
        <v>0</v>
      </c>
      <c r="K532" s="202" t="b">
        <v>0</v>
      </c>
      <c r="L532" s="202" t="b">
        <v>0</v>
      </c>
      <c r="M532" s="202" t="b">
        <v>0</v>
      </c>
      <c r="N532" s="202" t="b">
        <v>0</v>
      </c>
    </row>
    <row r="533">
      <c r="A533" s="201"/>
      <c r="B533" s="201"/>
      <c r="C533" s="202" t="b">
        <v>0</v>
      </c>
      <c r="D533" s="201"/>
      <c r="E533" s="201"/>
      <c r="F533" s="202" t="b">
        <v>0</v>
      </c>
      <c r="G533" s="202" t="b">
        <v>0</v>
      </c>
      <c r="H533" s="202" t="b">
        <v>0</v>
      </c>
      <c r="I533" s="202" t="b">
        <v>0</v>
      </c>
      <c r="J533" s="202" t="b">
        <v>0</v>
      </c>
      <c r="K533" s="202" t="b">
        <v>0</v>
      </c>
      <c r="L533" s="202" t="b">
        <v>0</v>
      </c>
      <c r="M533" s="202" t="b">
        <v>0</v>
      </c>
      <c r="N533" s="202" t="b">
        <v>0</v>
      </c>
    </row>
    <row r="534">
      <c r="A534" s="201"/>
      <c r="B534" s="201"/>
      <c r="C534" s="202" t="b">
        <v>0</v>
      </c>
      <c r="D534" s="201"/>
      <c r="E534" s="201"/>
      <c r="F534" s="202" t="b">
        <v>0</v>
      </c>
      <c r="G534" s="202" t="b">
        <v>0</v>
      </c>
      <c r="H534" s="202" t="b">
        <v>0</v>
      </c>
      <c r="I534" s="202" t="b">
        <v>0</v>
      </c>
      <c r="J534" s="202" t="b">
        <v>0</v>
      </c>
      <c r="K534" s="202" t="b">
        <v>0</v>
      </c>
      <c r="L534" s="202" t="b">
        <v>0</v>
      </c>
      <c r="M534" s="202" t="b">
        <v>0</v>
      </c>
      <c r="N534" s="202" t="b">
        <v>0</v>
      </c>
    </row>
    <row r="535">
      <c r="A535" s="201"/>
      <c r="B535" s="201"/>
      <c r="C535" s="202" t="b">
        <v>0</v>
      </c>
      <c r="D535" s="201"/>
      <c r="E535" s="201"/>
      <c r="F535" s="202" t="b">
        <v>0</v>
      </c>
      <c r="G535" s="202" t="b">
        <v>0</v>
      </c>
      <c r="H535" s="202" t="b">
        <v>0</v>
      </c>
      <c r="I535" s="202" t="b">
        <v>0</v>
      </c>
      <c r="J535" s="202" t="b">
        <v>0</v>
      </c>
      <c r="K535" s="202" t="b">
        <v>0</v>
      </c>
      <c r="L535" s="202" t="b">
        <v>0</v>
      </c>
      <c r="M535" s="202" t="b">
        <v>0</v>
      </c>
      <c r="N535" s="202" t="b">
        <v>0</v>
      </c>
    </row>
    <row r="536">
      <c r="A536" s="201"/>
      <c r="B536" s="201"/>
      <c r="C536" s="202" t="b">
        <v>0</v>
      </c>
      <c r="D536" s="201"/>
      <c r="E536" s="201"/>
      <c r="F536" s="202" t="b">
        <v>0</v>
      </c>
      <c r="G536" s="202" t="b">
        <v>0</v>
      </c>
      <c r="H536" s="202" t="b">
        <v>0</v>
      </c>
      <c r="I536" s="202" t="b">
        <v>0</v>
      </c>
      <c r="J536" s="202" t="b">
        <v>0</v>
      </c>
      <c r="K536" s="202" t="b">
        <v>0</v>
      </c>
      <c r="L536" s="202" t="b">
        <v>0</v>
      </c>
      <c r="M536" s="202" t="b">
        <v>0</v>
      </c>
      <c r="N536" s="202" t="b">
        <v>0</v>
      </c>
    </row>
    <row r="537">
      <c r="A537" s="201"/>
      <c r="B537" s="201"/>
      <c r="C537" s="202" t="b">
        <v>0</v>
      </c>
      <c r="D537" s="201"/>
      <c r="E537" s="201"/>
      <c r="F537" s="202" t="b">
        <v>0</v>
      </c>
      <c r="G537" s="202" t="b">
        <v>0</v>
      </c>
      <c r="H537" s="202" t="b">
        <v>0</v>
      </c>
      <c r="I537" s="202" t="b">
        <v>0</v>
      </c>
      <c r="J537" s="202" t="b">
        <v>0</v>
      </c>
      <c r="K537" s="202" t="b">
        <v>0</v>
      </c>
      <c r="L537" s="202" t="b">
        <v>0</v>
      </c>
      <c r="M537" s="202" t="b">
        <v>0</v>
      </c>
      <c r="N537" s="202" t="b">
        <v>0</v>
      </c>
    </row>
    <row r="538">
      <c r="A538" s="201"/>
      <c r="B538" s="201"/>
      <c r="C538" s="202" t="b">
        <v>0</v>
      </c>
      <c r="D538" s="201"/>
      <c r="E538" s="201"/>
      <c r="F538" s="202" t="b">
        <v>0</v>
      </c>
      <c r="G538" s="202" t="b">
        <v>0</v>
      </c>
      <c r="H538" s="202" t="b">
        <v>0</v>
      </c>
      <c r="I538" s="202" t="b">
        <v>0</v>
      </c>
      <c r="J538" s="202" t="b">
        <v>0</v>
      </c>
      <c r="K538" s="202" t="b">
        <v>0</v>
      </c>
      <c r="L538" s="202" t="b">
        <v>0</v>
      </c>
      <c r="M538" s="202" t="b">
        <v>0</v>
      </c>
      <c r="N538" s="202" t="b">
        <v>0</v>
      </c>
    </row>
    <row r="539">
      <c r="A539" s="201"/>
      <c r="B539" s="201"/>
      <c r="C539" s="202" t="b">
        <v>0</v>
      </c>
      <c r="D539" s="201"/>
      <c r="E539" s="201"/>
      <c r="F539" s="202" t="b">
        <v>0</v>
      </c>
      <c r="G539" s="202" t="b">
        <v>0</v>
      </c>
      <c r="H539" s="202" t="b">
        <v>0</v>
      </c>
      <c r="I539" s="202" t="b">
        <v>0</v>
      </c>
      <c r="J539" s="202" t="b">
        <v>0</v>
      </c>
      <c r="K539" s="202" t="b">
        <v>0</v>
      </c>
      <c r="L539" s="202" t="b">
        <v>0</v>
      </c>
      <c r="M539" s="202" t="b">
        <v>0</v>
      </c>
      <c r="N539" s="202" t="b">
        <v>0</v>
      </c>
    </row>
    <row r="540">
      <c r="A540" s="201"/>
      <c r="B540" s="201"/>
      <c r="C540" s="202" t="b">
        <v>0</v>
      </c>
      <c r="D540" s="201"/>
      <c r="E540" s="201"/>
      <c r="F540" s="202" t="b">
        <v>0</v>
      </c>
      <c r="G540" s="202" t="b">
        <v>0</v>
      </c>
      <c r="H540" s="202" t="b">
        <v>0</v>
      </c>
      <c r="I540" s="202" t="b">
        <v>0</v>
      </c>
      <c r="J540" s="202" t="b">
        <v>0</v>
      </c>
      <c r="K540" s="202" t="b">
        <v>0</v>
      </c>
      <c r="L540" s="202" t="b">
        <v>0</v>
      </c>
      <c r="M540" s="202" t="b">
        <v>0</v>
      </c>
      <c r="N540" s="202" t="b">
        <v>0</v>
      </c>
    </row>
    <row r="541">
      <c r="A541" s="201"/>
      <c r="B541" s="201"/>
      <c r="C541" s="202" t="b">
        <v>0</v>
      </c>
      <c r="D541" s="201"/>
      <c r="E541" s="201"/>
      <c r="F541" s="202" t="b">
        <v>0</v>
      </c>
      <c r="G541" s="202" t="b">
        <v>0</v>
      </c>
      <c r="H541" s="202" t="b">
        <v>0</v>
      </c>
      <c r="I541" s="202" t="b">
        <v>0</v>
      </c>
      <c r="J541" s="202" t="b">
        <v>0</v>
      </c>
      <c r="K541" s="202" t="b">
        <v>0</v>
      </c>
      <c r="L541" s="202" t="b">
        <v>0</v>
      </c>
      <c r="M541" s="202" t="b">
        <v>0</v>
      </c>
      <c r="N541" s="202" t="b">
        <v>0</v>
      </c>
    </row>
    <row r="542">
      <c r="A542" s="201"/>
      <c r="B542" s="201"/>
      <c r="C542" s="202" t="b">
        <v>0</v>
      </c>
      <c r="D542" s="201"/>
      <c r="E542" s="201"/>
      <c r="F542" s="202" t="b">
        <v>0</v>
      </c>
      <c r="G542" s="202" t="b">
        <v>0</v>
      </c>
      <c r="H542" s="202" t="b">
        <v>0</v>
      </c>
      <c r="I542" s="202" t="b">
        <v>0</v>
      </c>
      <c r="J542" s="202" t="b">
        <v>0</v>
      </c>
      <c r="K542" s="202" t="b">
        <v>0</v>
      </c>
      <c r="L542" s="202" t="b">
        <v>0</v>
      </c>
      <c r="M542" s="202" t="b">
        <v>0</v>
      </c>
      <c r="N542" s="202" t="b">
        <v>0</v>
      </c>
    </row>
    <row r="543">
      <c r="A543" s="201"/>
      <c r="B543" s="201"/>
      <c r="C543" s="202" t="b">
        <v>0</v>
      </c>
      <c r="D543" s="201"/>
      <c r="E543" s="201"/>
      <c r="F543" s="202" t="b">
        <v>0</v>
      </c>
      <c r="G543" s="202" t="b">
        <v>0</v>
      </c>
      <c r="H543" s="202" t="b">
        <v>0</v>
      </c>
      <c r="I543" s="202" t="b">
        <v>0</v>
      </c>
      <c r="J543" s="202" t="b">
        <v>0</v>
      </c>
      <c r="K543" s="202" t="b">
        <v>0</v>
      </c>
      <c r="L543" s="202" t="b">
        <v>0</v>
      </c>
      <c r="M543" s="202" t="b">
        <v>0</v>
      </c>
      <c r="N543" s="202" t="b">
        <v>0</v>
      </c>
    </row>
    <row r="544">
      <c r="A544" s="201"/>
      <c r="B544" s="201"/>
      <c r="C544" s="202" t="b">
        <v>0</v>
      </c>
      <c r="D544" s="201"/>
      <c r="E544" s="201"/>
      <c r="F544" s="202" t="b">
        <v>0</v>
      </c>
      <c r="G544" s="202" t="b">
        <v>0</v>
      </c>
      <c r="H544" s="202" t="b">
        <v>0</v>
      </c>
      <c r="I544" s="202" t="b">
        <v>0</v>
      </c>
      <c r="J544" s="202" t="b">
        <v>0</v>
      </c>
      <c r="K544" s="202" t="b">
        <v>0</v>
      </c>
      <c r="L544" s="202" t="b">
        <v>0</v>
      </c>
      <c r="M544" s="202" t="b">
        <v>0</v>
      </c>
      <c r="N544" s="202" t="b">
        <v>0</v>
      </c>
    </row>
    <row r="545">
      <c r="A545" s="201"/>
      <c r="B545" s="201"/>
      <c r="C545" s="202" t="b">
        <v>0</v>
      </c>
      <c r="D545" s="201"/>
      <c r="E545" s="201"/>
      <c r="F545" s="202" t="b">
        <v>0</v>
      </c>
      <c r="G545" s="202" t="b">
        <v>0</v>
      </c>
      <c r="H545" s="202" t="b">
        <v>0</v>
      </c>
      <c r="I545" s="202" t="b">
        <v>0</v>
      </c>
      <c r="J545" s="202" t="b">
        <v>0</v>
      </c>
      <c r="K545" s="202" t="b">
        <v>0</v>
      </c>
      <c r="L545" s="202" t="b">
        <v>0</v>
      </c>
      <c r="M545" s="202" t="b">
        <v>0</v>
      </c>
      <c r="N545" s="202" t="b">
        <v>0</v>
      </c>
    </row>
    <row r="546">
      <c r="A546" s="201"/>
      <c r="B546" s="201"/>
      <c r="C546" s="202" t="b">
        <v>0</v>
      </c>
      <c r="D546" s="201"/>
      <c r="E546" s="201"/>
      <c r="F546" s="202" t="b">
        <v>0</v>
      </c>
      <c r="G546" s="202" t="b">
        <v>0</v>
      </c>
      <c r="H546" s="202" t="b">
        <v>0</v>
      </c>
      <c r="I546" s="202" t="b">
        <v>0</v>
      </c>
      <c r="J546" s="202" t="b">
        <v>0</v>
      </c>
      <c r="K546" s="202" t="b">
        <v>0</v>
      </c>
      <c r="L546" s="202" t="b">
        <v>0</v>
      </c>
      <c r="M546" s="202" t="b">
        <v>0</v>
      </c>
      <c r="N546" s="202" t="b">
        <v>0</v>
      </c>
    </row>
    <row r="547">
      <c r="A547" s="201"/>
      <c r="B547" s="201"/>
      <c r="C547" s="202" t="b">
        <v>0</v>
      </c>
      <c r="D547" s="201"/>
      <c r="E547" s="201"/>
      <c r="F547" s="202" t="b">
        <v>0</v>
      </c>
      <c r="G547" s="202" t="b">
        <v>0</v>
      </c>
      <c r="H547" s="202" t="b">
        <v>0</v>
      </c>
      <c r="I547" s="202" t="b">
        <v>0</v>
      </c>
      <c r="J547" s="202" t="b">
        <v>0</v>
      </c>
      <c r="K547" s="202" t="b">
        <v>0</v>
      </c>
      <c r="L547" s="202" t="b">
        <v>0</v>
      </c>
      <c r="M547" s="202" t="b">
        <v>0</v>
      </c>
      <c r="N547" s="202" t="b">
        <v>0</v>
      </c>
    </row>
    <row r="548">
      <c r="A548" s="201"/>
      <c r="B548" s="201"/>
      <c r="C548" s="202" t="b">
        <v>0</v>
      </c>
      <c r="D548" s="201"/>
      <c r="E548" s="201"/>
      <c r="F548" s="202" t="b">
        <v>0</v>
      </c>
      <c r="G548" s="202" t="b">
        <v>0</v>
      </c>
      <c r="H548" s="202" t="b">
        <v>0</v>
      </c>
      <c r="I548" s="202" t="b">
        <v>0</v>
      </c>
      <c r="J548" s="202" t="b">
        <v>0</v>
      </c>
      <c r="K548" s="202" t="b">
        <v>0</v>
      </c>
      <c r="L548" s="202" t="b">
        <v>0</v>
      </c>
      <c r="M548" s="202" t="b">
        <v>0</v>
      </c>
      <c r="N548" s="202" t="b">
        <v>0</v>
      </c>
    </row>
    <row r="549">
      <c r="A549" s="201"/>
      <c r="B549" s="201"/>
      <c r="C549" s="202" t="b">
        <v>0</v>
      </c>
      <c r="D549" s="201"/>
      <c r="E549" s="201"/>
      <c r="F549" s="202" t="b">
        <v>0</v>
      </c>
      <c r="G549" s="202" t="b">
        <v>0</v>
      </c>
      <c r="H549" s="202" t="b">
        <v>0</v>
      </c>
      <c r="I549" s="202" t="b">
        <v>0</v>
      </c>
      <c r="J549" s="202" t="b">
        <v>0</v>
      </c>
      <c r="K549" s="202" t="b">
        <v>0</v>
      </c>
      <c r="L549" s="202" t="b">
        <v>0</v>
      </c>
      <c r="M549" s="202" t="b">
        <v>0</v>
      </c>
      <c r="N549" s="202" t="b">
        <v>0</v>
      </c>
    </row>
    <row r="550">
      <c r="A550" s="201"/>
      <c r="B550" s="201"/>
      <c r="C550" s="202" t="b">
        <v>0</v>
      </c>
      <c r="D550" s="201"/>
      <c r="E550" s="201"/>
      <c r="F550" s="202" t="b">
        <v>0</v>
      </c>
      <c r="G550" s="202" t="b">
        <v>0</v>
      </c>
      <c r="H550" s="202" t="b">
        <v>0</v>
      </c>
      <c r="I550" s="202" t="b">
        <v>0</v>
      </c>
      <c r="J550" s="202" t="b">
        <v>0</v>
      </c>
      <c r="K550" s="202" t="b">
        <v>0</v>
      </c>
      <c r="L550" s="202" t="b">
        <v>0</v>
      </c>
      <c r="M550" s="202" t="b">
        <v>0</v>
      </c>
      <c r="N550" s="202" t="b">
        <v>0</v>
      </c>
    </row>
    <row r="551">
      <c r="A551" s="201"/>
      <c r="B551" s="201"/>
      <c r="C551" s="202" t="b">
        <v>0</v>
      </c>
      <c r="D551" s="201"/>
      <c r="E551" s="201"/>
      <c r="F551" s="202" t="b">
        <v>0</v>
      </c>
      <c r="G551" s="202" t="b">
        <v>0</v>
      </c>
      <c r="H551" s="202" t="b">
        <v>0</v>
      </c>
      <c r="I551" s="202" t="b">
        <v>0</v>
      </c>
      <c r="J551" s="202" t="b">
        <v>0</v>
      </c>
      <c r="K551" s="202" t="b">
        <v>0</v>
      </c>
      <c r="L551" s="202" t="b">
        <v>0</v>
      </c>
      <c r="M551" s="202" t="b">
        <v>0</v>
      </c>
      <c r="N551" s="202" t="b">
        <v>0</v>
      </c>
    </row>
    <row r="552">
      <c r="A552" s="201"/>
      <c r="B552" s="201"/>
      <c r="C552" s="202" t="b">
        <v>0</v>
      </c>
      <c r="D552" s="201"/>
      <c r="E552" s="201"/>
      <c r="F552" s="202" t="b">
        <v>0</v>
      </c>
      <c r="G552" s="202" t="b">
        <v>0</v>
      </c>
      <c r="H552" s="202" t="b">
        <v>0</v>
      </c>
      <c r="I552" s="202" t="b">
        <v>0</v>
      </c>
      <c r="J552" s="202" t="b">
        <v>0</v>
      </c>
      <c r="K552" s="202" t="b">
        <v>0</v>
      </c>
      <c r="L552" s="202" t="b">
        <v>0</v>
      </c>
      <c r="M552" s="202" t="b">
        <v>0</v>
      </c>
      <c r="N552" s="202" t="b">
        <v>0</v>
      </c>
    </row>
    <row r="553">
      <c r="A553" s="201"/>
      <c r="B553" s="201"/>
      <c r="C553" s="202" t="b">
        <v>0</v>
      </c>
      <c r="D553" s="201"/>
      <c r="E553" s="201"/>
      <c r="F553" s="202" t="b">
        <v>0</v>
      </c>
      <c r="G553" s="202" t="b">
        <v>0</v>
      </c>
      <c r="H553" s="202" t="b">
        <v>0</v>
      </c>
      <c r="I553" s="202" t="b">
        <v>0</v>
      </c>
      <c r="J553" s="202" t="b">
        <v>0</v>
      </c>
      <c r="K553" s="202" t="b">
        <v>0</v>
      </c>
      <c r="L553" s="202" t="b">
        <v>0</v>
      </c>
      <c r="M553" s="202" t="b">
        <v>0</v>
      </c>
      <c r="N553" s="202" t="b">
        <v>0</v>
      </c>
    </row>
    <row r="554">
      <c r="A554" s="201"/>
      <c r="B554" s="201"/>
      <c r="C554" s="202" t="b">
        <v>0</v>
      </c>
      <c r="D554" s="201"/>
      <c r="E554" s="201"/>
      <c r="F554" s="202" t="b">
        <v>0</v>
      </c>
      <c r="G554" s="202" t="b">
        <v>0</v>
      </c>
      <c r="H554" s="202" t="b">
        <v>0</v>
      </c>
      <c r="I554" s="202" t="b">
        <v>0</v>
      </c>
      <c r="J554" s="202" t="b">
        <v>0</v>
      </c>
      <c r="K554" s="202" t="b">
        <v>0</v>
      </c>
      <c r="L554" s="202" t="b">
        <v>0</v>
      </c>
      <c r="M554" s="202" t="b">
        <v>0</v>
      </c>
      <c r="N554" s="202" t="b">
        <v>0</v>
      </c>
    </row>
    <row r="555">
      <c r="A555" s="201"/>
      <c r="B555" s="201"/>
      <c r="C555" s="202" t="b">
        <v>0</v>
      </c>
      <c r="D555" s="201"/>
      <c r="E555" s="201"/>
      <c r="F555" s="202" t="b">
        <v>0</v>
      </c>
      <c r="G555" s="202" t="b">
        <v>0</v>
      </c>
      <c r="H555" s="202" t="b">
        <v>0</v>
      </c>
      <c r="I555" s="202" t="b">
        <v>0</v>
      </c>
      <c r="J555" s="202" t="b">
        <v>0</v>
      </c>
      <c r="K555" s="202" t="b">
        <v>0</v>
      </c>
      <c r="L555" s="202" t="b">
        <v>0</v>
      </c>
      <c r="M555" s="202" t="b">
        <v>0</v>
      </c>
      <c r="N555" s="202" t="b">
        <v>0</v>
      </c>
    </row>
    <row r="556">
      <c r="A556" s="201"/>
      <c r="B556" s="201"/>
      <c r="C556" s="202" t="b">
        <v>0</v>
      </c>
      <c r="D556" s="201"/>
      <c r="E556" s="201"/>
      <c r="F556" s="202" t="b">
        <v>0</v>
      </c>
      <c r="G556" s="202" t="b">
        <v>0</v>
      </c>
      <c r="H556" s="202" t="b">
        <v>0</v>
      </c>
      <c r="I556" s="202" t="b">
        <v>0</v>
      </c>
      <c r="J556" s="202" t="b">
        <v>0</v>
      </c>
      <c r="K556" s="202" t="b">
        <v>0</v>
      </c>
      <c r="L556" s="202" t="b">
        <v>0</v>
      </c>
      <c r="M556" s="202" t="b">
        <v>0</v>
      </c>
      <c r="N556" s="202" t="b">
        <v>0</v>
      </c>
    </row>
    <row r="557">
      <c r="A557" s="201"/>
      <c r="B557" s="201"/>
      <c r="C557" s="202" t="b">
        <v>0</v>
      </c>
      <c r="D557" s="201"/>
      <c r="E557" s="201"/>
      <c r="F557" s="202" t="b">
        <v>0</v>
      </c>
      <c r="G557" s="202" t="b">
        <v>0</v>
      </c>
      <c r="H557" s="202" t="b">
        <v>0</v>
      </c>
      <c r="I557" s="202" t="b">
        <v>0</v>
      </c>
      <c r="J557" s="202" t="b">
        <v>0</v>
      </c>
      <c r="K557" s="202" t="b">
        <v>0</v>
      </c>
      <c r="L557" s="202" t="b">
        <v>0</v>
      </c>
      <c r="M557" s="202" t="b">
        <v>0</v>
      </c>
      <c r="N557" s="202" t="b">
        <v>0</v>
      </c>
    </row>
    <row r="558">
      <c r="A558" s="201"/>
      <c r="B558" s="201"/>
      <c r="C558" s="202" t="b">
        <v>0</v>
      </c>
      <c r="D558" s="201"/>
      <c r="E558" s="201"/>
      <c r="F558" s="202" t="b">
        <v>0</v>
      </c>
      <c r="G558" s="202" t="b">
        <v>0</v>
      </c>
      <c r="H558" s="202" t="b">
        <v>0</v>
      </c>
      <c r="I558" s="202" t="b">
        <v>0</v>
      </c>
      <c r="J558" s="202" t="b">
        <v>0</v>
      </c>
      <c r="K558" s="202" t="b">
        <v>0</v>
      </c>
      <c r="L558" s="202" t="b">
        <v>0</v>
      </c>
      <c r="M558" s="202" t="b">
        <v>0</v>
      </c>
      <c r="N558" s="202" t="b">
        <v>0</v>
      </c>
    </row>
    <row r="559">
      <c r="A559" s="201"/>
      <c r="B559" s="201"/>
      <c r="C559" s="202" t="b">
        <v>0</v>
      </c>
      <c r="D559" s="201"/>
      <c r="E559" s="201"/>
      <c r="F559" s="202" t="b">
        <v>0</v>
      </c>
      <c r="G559" s="202" t="b">
        <v>0</v>
      </c>
      <c r="H559" s="202" t="b">
        <v>0</v>
      </c>
      <c r="I559" s="202" t="b">
        <v>0</v>
      </c>
      <c r="J559" s="202" t="b">
        <v>0</v>
      </c>
      <c r="K559" s="202" t="b">
        <v>0</v>
      </c>
      <c r="L559" s="202" t="b">
        <v>0</v>
      </c>
      <c r="M559" s="202" t="b">
        <v>0</v>
      </c>
      <c r="N559" s="202" t="b">
        <v>0</v>
      </c>
    </row>
    <row r="560">
      <c r="A560" s="201"/>
      <c r="B560" s="201"/>
      <c r="C560" s="202" t="b">
        <v>0</v>
      </c>
      <c r="D560" s="201"/>
      <c r="E560" s="201"/>
      <c r="F560" s="202" t="b">
        <v>0</v>
      </c>
      <c r="G560" s="202" t="b">
        <v>0</v>
      </c>
      <c r="H560" s="202" t="b">
        <v>0</v>
      </c>
      <c r="I560" s="202" t="b">
        <v>0</v>
      </c>
      <c r="J560" s="202" t="b">
        <v>0</v>
      </c>
      <c r="K560" s="202" t="b">
        <v>0</v>
      </c>
      <c r="L560" s="202" t="b">
        <v>0</v>
      </c>
      <c r="M560" s="202" t="b">
        <v>0</v>
      </c>
      <c r="N560" s="202" t="b">
        <v>0</v>
      </c>
    </row>
    <row r="561">
      <c r="A561" s="201"/>
      <c r="B561" s="201"/>
      <c r="C561" s="202" t="b">
        <v>0</v>
      </c>
      <c r="D561" s="201"/>
      <c r="E561" s="201"/>
      <c r="F561" s="202" t="b">
        <v>0</v>
      </c>
      <c r="G561" s="202" t="b">
        <v>0</v>
      </c>
      <c r="H561" s="202" t="b">
        <v>0</v>
      </c>
      <c r="I561" s="202" t="b">
        <v>0</v>
      </c>
      <c r="J561" s="202" t="b">
        <v>0</v>
      </c>
      <c r="K561" s="202" t="b">
        <v>0</v>
      </c>
      <c r="L561" s="202" t="b">
        <v>0</v>
      </c>
      <c r="M561" s="202" t="b">
        <v>0</v>
      </c>
      <c r="N561" s="202" t="b">
        <v>0</v>
      </c>
    </row>
    <row r="562">
      <c r="A562" s="201"/>
      <c r="B562" s="201"/>
      <c r="C562" s="202" t="b">
        <v>0</v>
      </c>
      <c r="D562" s="201"/>
      <c r="E562" s="201"/>
      <c r="F562" s="202" t="b">
        <v>0</v>
      </c>
      <c r="G562" s="202" t="b">
        <v>0</v>
      </c>
      <c r="H562" s="202" t="b">
        <v>0</v>
      </c>
      <c r="I562" s="202" t="b">
        <v>0</v>
      </c>
      <c r="J562" s="202" t="b">
        <v>0</v>
      </c>
      <c r="K562" s="202" t="b">
        <v>0</v>
      </c>
      <c r="L562" s="202" t="b">
        <v>0</v>
      </c>
      <c r="M562" s="202" t="b">
        <v>0</v>
      </c>
      <c r="N562" s="202" t="b">
        <v>0</v>
      </c>
    </row>
    <row r="563">
      <c r="A563" s="201"/>
      <c r="B563" s="201"/>
      <c r="C563" s="202" t="b">
        <v>0</v>
      </c>
      <c r="D563" s="201"/>
      <c r="E563" s="201"/>
      <c r="F563" s="202" t="b">
        <v>0</v>
      </c>
      <c r="G563" s="202" t="b">
        <v>0</v>
      </c>
      <c r="H563" s="202" t="b">
        <v>0</v>
      </c>
      <c r="I563" s="202" t="b">
        <v>0</v>
      </c>
      <c r="J563" s="202" t="b">
        <v>0</v>
      </c>
      <c r="K563" s="202" t="b">
        <v>0</v>
      </c>
      <c r="L563" s="202" t="b">
        <v>0</v>
      </c>
      <c r="M563" s="202" t="b">
        <v>0</v>
      </c>
      <c r="N563" s="202" t="b">
        <v>0</v>
      </c>
    </row>
    <row r="564">
      <c r="A564" s="201"/>
      <c r="B564" s="201"/>
      <c r="C564" s="202" t="b">
        <v>0</v>
      </c>
      <c r="D564" s="201"/>
      <c r="E564" s="201"/>
      <c r="F564" s="202" t="b">
        <v>0</v>
      </c>
      <c r="G564" s="202" t="b">
        <v>0</v>
      </c>
      <c r="H564" s="202" t="b">
        <v>0</v>
      </c>
      <c r="I564" s="202" t="b">
        <v>0</v>
      </c>
      <c r="J564" s="202" t="b">
        <v>0</v>
      </c>
      <c r="K564" s="202" t="b">
        <v>0</v>
      </c>
      <c r="L564" s="202" t="b">
        <v>0</v>
      </c>
      <c r="M564" s="202" t="b">
        <v>0</v>
      </c>
      <c r="N564" s="202" t="b">
        <v>0</v>
      </c>
    </row>
    <row r="565">
      <c r="A565" s="201"/>
      <c r="B565" s="201"/>
      <c r="C565" s="202" t="b">
        <v>0</v>
      </c>
      <c r="D565" s="201"/>
      <c r="E565" s="201"/>
      <c r="F565" s="202" t="b">
        <v>0</v>
      </c>
      <c r="G565" s="202" t="b">
        <v>0</v>
      </c>
      <c r="H565" s="202" t="b">
        <v>0</v>
      </c>
      <c r="I565" s="202" t="b">
        <v>0</v>
      </c>
      <c r="J565" s="202" t="b">
        <v>0</v>
      </c>
      <c r="K565" s="202" t="b">
        <v>0</v>
      </c>
      <c r="L565" s="202" t="b">
        <v>0</v>
      </c>
      <c r="M565" s="202" t="b">
        <v>0</v>
      </c>
      <c r="N565" s="202" t="b">
        <v>0</v>
      </c>
    </row>
    <row r="566">
      <c r="A566" s="201"/>
      <c r="B566" s="201"/>
      <c r="C566" s="202" t="b">
        <v>0</v>
      </c>
      <c r="D566" s="201"/>
      <c r="E566" s="201"/>
      <c r="F566" s="202" t="b">
        <v>0</v>
      </c>
      <c r="G566" s="202" t="b">
        <v>0</v>
      </c>
      <c r="H566" s="202" t="b">
        <v>0</v>
      </c>
      <c r="I566" s="202" t="b">
        <v>0</v>
      </c>
      <c r="J566" s="202" t="b">
        <v>0</v>
      </c>
      <c r="K566" s="202" t="b">
        <v>0</v>
      </c>
      <c r="L566" s="202" t="b">
        <v>0</v>
      </c>
      <c r="M566" s="202" t="b">
        <v>0</v>
      </c>
      <c r="N566" s="202" t="b">
        <v>0</v>
      </c>
    </row>
    <row r="567">
      <c r="A567" s="201"/>
      <c r="B567" s="201"/>
      <c r="C567" s="202" t="b">
        <v>0</v>
      </c>
      <c r="D567" s="201"/>
      <c r="E567" s="201"/>
      <c r="F567" s="202" t="b">
        <v>0</v>
      </c>
      <c r="G567" s="202" t="b">
        <v>0</v>
      </c>
      <c r="H567" s="202" t="b">
        <v>0</v>
      </c>
      <c r="I567" s="202" t="b">
        <v>0</v>
      </c>
      <c r="J567" s="202" t="b">
        <v>0</v>
      </c>
      <c r="K567" s="202" t="b">
        <v>0</v>
      </c>
      <c r="L567" s="202" t="b">
        <v>0</v>
      </c>
      <c r="M567" s="202" t="b">
        <v>0</v>
      </c>
      <c r="N567" s="202" t="b">
        <v>0</v>
      </c>
    </row>
    <row r="568">
      <c r="A568" s="201"/>
      <c r="B568" s="201"/>
      <c r="C568" s="202" t="b">
        <v>0</v>
      </c>
      <c r="D568" s="201"/>
      <c r="E568" s="201"/>
      <c r="F568" s="202" t="b">
        <v>0</v>
      </c>
      <c r="G568" s="202" t="b">
        <v>0</v>
      </c>
      <c r="H568" s="202" t="b">
        <v>0</v>
      </c>
      <c r="I568" s="202" t="b">
        <v>0</v>
      </c>
      <c r="J568" s="202" t="b">
        <v>0</v>
      </c>
      <c r="K568" s="202" t="b">
        <v>0</v>
      </c>
      <c r="L568" s="202" t="b">
        <v>0</v>
      </c>
      <c r="M568" s="202" t="b">
        <v>0</v>
      </c>
      <c r="N568" s="202" t="b">
        <v>0</v>
      </c>
    </row>
    <row r="569">
      <c r="A569" s="201"/>
      <c r="B569" s="201"/>
      <c r="C569" s="202" t="b">
        <v>0</v>
      </c>
      <c r="D569" s="201"/>
      <c r="E569" s="201"/>
      <c r="F569" s="202" t="b">
        <v>0</v>
      </c>
      <c r="G569" s="202" t="b">
        <v>0</v>
      </c>
      <c r="H569" s="202" t="b">
        <v>0</v>
      </c>
      <c r="I569" s="202" t="b">
        <v>0</v>
      </c>
      <c r="J569" s="202" t="b">
        <v>0</v>
      </c>
      <c r="K569" s="202" t="b">
        <v>0</v>
      </c>
      <c r="L569" s="202" t="b">
        <v>0</v>
      </c>
      <c r="M569" s="202" t="b">
        <v>0</v>
      </c>
      <c r="N569" s="202" t="b">
        <v>0</v>
      </c>
    </row>
    <row r="570">
      <c r="A570" s="201"/>
      <c r="B570" s="201"/>
      <c r="C570" s="202" t="b">
        <v>0</v>
      </c>
      <c r="D570" s="201"/>
      <c r="E570" s="201"/>
      <c r="F570" s="202" t="b">
        <v>0</v>
      </c>
      <c r="G570" s="202" t="b">
        <v>0</v>
      </c>
      <c r="H570" s="202" t="b">
        <v>0</v>
      </c>
      <c r="I570" s="202" t="b">
        <v>0</v>
      </c>
      <c r="J570" s="202" t="b">
        <v>0</v>
      </c>
      <c r="K570" s="202" t="b">
        <v>0</v>
      </c>
      <c r="L570" s="202" t="b">
        <v>0</v>
      </c>
      <c r="M570" s="202" t="b">
        <v>0</v>
      </c>
      <c r="N570" s="202" t="b">
        <v>0</v>
      </c>
    </row>
    <row r="571">
      <c r="A571" s="201"/>
      <c r="B571" s="201"/>
      <c r="C571" s="202" t="b">
        <v>0</v>
      </c>
      <c r="D571" s="201"/>
      <c r="E571" s="201"/>
      <c r="F571" s="202" t="b">
        <v>0</v>
      </c>
      <c r="G571" s="202" t="b">
        <v>0</v>
      </c>
      <c r="H571" s="202" t="b">
        <v>0</v>
      </c>
      <c r="I571" s="202" t="b">
        <v>0</v>
      </c>
      <c r="J571" s="202" t="b">
        <v>0</v>
      </c>
      <c r="K571" s="202" t="b">
        <v>0</v>
      </c>
      <c r="L571" s="202" t="b">
        <v>0</v>
      </c>
      <c r="M571" s="202" t="b">
        <v>0</v>
      </c>
      <c r="N571" s="202" t="b">
        <v>0</v>
      </c>
    </row>
    <row r="572">
      <c r="A572" s="201"/>
      <c r="B572" s="201"/>
      <c r="C572" s="202" t="b">
        <v>0</v>
      </c>
      <c r="D572" s="201"/>
      <c r="E572" s="201"/>
      <c r="F572" s="202" t="b">
        <v>0</v>
      </c>
      <c r="G572" s="202" t="b">
        <v>0</v>
      </c>
      <c r="H572" s="202" t="b">
        <v>0</v>
      </c>
      <c r="I572" s="202" t="b">
        <v>0</v>
      </c>
      <c r="J572" s="202" t="b">
        <v>0</v>
      </c>
      <c r="K572" s="202" t="b">
        <v>0</v>
      </c>
      <c r="L572" s="202" t="b">
        <v>0</v>
      </c>
      <c r="M572" s="202" t="b">
        <v>0</v>
      </c>
      <c r="N572" s="202" t="b">
        <v>0</v>
      </c>
    </row>
    <row r="573">
      <c r="A573" s="201"/>
      <c r="B573" s="201"/>
      <c r="C573" s="202" t="b">
        <v>0</v>
      </c>
      <c r="D573" s="201"/>
      <c r="E573" s="201"/>
      <c r="F573" s="202" t="b">
        <v>0</v>
      </c>
      <c r="G573" s="202" t="b">
        <v>0</v>
      </c>
      <c r="H573" s="202" t="b">
        <v>0</v>
      </c>
      <c r="I573" s="202" t="b">
        <v>0</v>
      </c>
      <c r="J573" s="202" t="b">
        <v>0</v>
      </c>
      <c r="K573" s="202" t="b">
        <v>0</v>
      </c>
      <c r="L573" s="202" t="b">
        <v>0</v>
      </c>
      <c r="M573" s="202" t="b">
        <v>0</v>
      </c>
      <c r="N573" s="202" t="b">
        <v>0</v>
      </c>
    </row>
    <row r="574">
      <c r="A574" s="201"/>
      <c r="B574" s="201"/>
      <c r="C574" s="202" t="b">
        <v>0</v>
      </c>
      <c r="D574" s="201"/>
      <c r="E574" s="201"/>
      <c r="F574" s="202" t="b">
        <v>0</v>
      </c>
      <c r="G574" s="202" t="b">
        <v>0</v>
      </c>
      <c r="H574" s="202" t="b">
        <v>0</v>
      </c>
      <c r="I574" s="202" t="b">
        <v>0</v>
      </c>
      <c r="J574" s="202" t="b">
        <v>0</v>
      </c>
      <c r="K574" s="202" t="b">
        <v>0</v>
      </c>
      <c r="L574" s="202" t="b">
        <v>0</v>
      </c>
      <c r="M574" s="202" t="b">
        <v>0</v>
      </c>
      <c r="N574" s="202" t="b">
        <v>0</v>
      </c>
    </row>
    <row r="575">
      <c r="A575" s="201"/>
      <c r="B575" s="201"/>
      <c r="C575" s="202" t="b">
        <v>0</v>
      </c>
      <c r="D575" s="201"/>
      <c r="E575" s="201"/>
      <c r="F575" s="202" t="b">
        <v>0</v>
      </c>
      <c r="G575" s="202" t="b">
        <v>0</v>
      </c>
      <c r="H575" s="202" t="b">
        <v>0</v>
      </c>
      <c r="I575" s="202" t="b">
        <v>0</v>
      </c>
      <c r="J575" s="202" t="b">
        <v>0</v>
      </c>
      <c r="K575" s="202" t="b">
        <v>0</v>
      </c>
      <c r="L575" s="202" t="b">
        <v>0</v>
      </c>
      <c r="M575" s="202" t="b">
        <v>0</v>
      </c>
      <c r="N575" s="202" t="b">
        <v>0</v>
      </c>
    </row>
    <row r="576">
      <c r="A576" s="201"/>
      <c r="B576" s="201"/>
      <c r="C576" s="202" t="b">
        <v>0</v>
      </c>
      <c r="D576" s="201"/>
      <c r="E576" s="201"/>
      <c r="F576" s="202" t="b">
        <v>0</v>
      </c>
      <c r="G576" s="202" t="b">
        <v>0</v>
      </c>
      <c r="H576" s="202" t="b">
        <v>0</v>
      </c>
      <c r="I576" s="202" t="b">
        <v>0</v>
      </c>
      <c r="J576" s="202" t="b">
        <v>0</v>
      </c>
      <c r="K576" s="202" t="b">
        <v>0</v>
      </c>
      <c r="L576" s="202" t="b">
        <v>0</v>
      </c>
      <c r="M576" s="202" t="b">
        <v>0</v>
      </c>
      <c r="N576" s="202" t="b">
        <v>0</v>
      </c>
    </row>
    <row r="577">
      <c r="A577" s="201"/>
      <c r="B577" s="201"/>
      <c r="C577" s="202" t="b">
        <v>0</v>
      </c>
      <c r="D577" s="201"/>
      <c r="E577" s="201"/>
      <c r="F577" s="202" t="b">
        <v>0</v>
      </c>
      <c r="G577" s="202" t="b">
        <v>0</v>
      </c>
      <c r="H577" s="202" t="b">
        <v>0</v>
      </c>
      <c r="I577" s="202" t="b">
        <v>0</v>
      </c>
      <c r="J577" s="202" t="b">
        <v>0</v>
      </c>
      <c r="K577" s="202" t="b">
        <v>0</v>
      </c>
      <c r="L577" s="202" t="b">
        <v>0</v>
      </c>
      <c r="M577" s="202" t="b">
        <v>0</v>
      </c>
      <c r="N577" s="202" t="b">
        <v>0</v>
      </c>
    </row>
    <row r="578">
      <c r="A578" s="201"/>
      <c r="B578" s="201"/>
      <c r="C578" s="202" t="b">
        <v>0</v>
      </c>
      <c r="D578" s="201"/>
      <c r="E578" s="201"/>
      <c r="F578" s="202" t="b">
        <v>0</v>
      </c>
      <c r="G578" s="202" t="b">
        <v>0</v>
      </c>
      <c r="H578" s="202" t="b">
        <v>0</v>
      </c>
      <c r="I578" s="202" t="b">
        <v>0</v>
      </c>
      <c r="J578" s="202" t="b">
        <v>0</v>
      </c>
      <c r="K578" s="202" t="b">
        <v>0</v>
      </c>
      <c r="L578" s="202" t="b">
        <v>0</v>
      </c>
      <c r="M578" s="202" t="b">
        <v>0</v>
      </c>
      <c r="N578" s="202" t="b">
        <v>0</v>
      </c>
    </row>
    <row r="579">
      <c r="A579" s="201"/>
      <c r="B579" s="201"/>
      <c r="C579" s="202" t="b">
        <v>0</v>
      </c>
      <c r="D579" s="201"/>
      <c r="E579" s="201"/>
      <c r="F579" s="202" t="b">
        <v>0</v>
      </c>
      <c r="G579" s="202" t="b">
        <v>0</v>
      </c>
      <c r="H579" s="202" t="b">
        <v>0</v>
      </c>
      <c r="I579" s="202" t="b">
        <v>0</v>
      </c>
      <c r="J579" s="202" t="b">
        <v>0</v>
      </c>
      <c r="K579" s="202" t="b">
        <v>0</v>
      </c>
      <c r="L579" s="202" t="b">
        <v>0</v>
      </c>
      <c r="M579" s="202" t="b">
        <v>0</v>
      </c>
      <c r="N579" s="202" t="b">
        <v>0</v>
      </c>
    </row>
    <row r="580">
      <c r="A580" s="201"/>
      <c r="B580" s="201"/>
      <c r="C580" s="202" t="b">
        <v>0</v>
      </c>
      <c r="D580" s="201"/>
      <c r="E580" s="201"/>
      <c r="F580" s="202" t="b">
        <v>0</v>
      </c>
      <c r="G580" s="202" t="b">
        <v>0</v>
      </c>
      <c r="H580" s="202" t="b">
        <v>0</v>
      </c>
      <c r="I580" s="202" t="b">
        <v>0</v>
      </c>
      <c r="J580" s="202" t="b">
        <v>0</v>
      </c>
      <c r="K580" s="202" t="b">
        <v>0</v>
      </c>
      <c r="L580" s="202" t="b">
        <v>0</v>
      </c>
      <c r="M580" s="202" t="b">
        <v>0</v>
      </c>
      <c r="N580" s="202" t="b">
        <v>0</v>
      </c>
    </row>
    <row r="581">
      <c r="A581" s="201"/>
      <c r="B581" s="201"/>
      <c r="C581" s="202" t="b">
        <v>0</v>
      </c>
      <c r="D581" s="201"/>
      <c r="E581" s="201"/>
      <c r="F581" s="202" t="b">
        <v>0</v>
      </c>
      <c r="G581" s="202" t="b">
        <v>0</v>
      </c>
      <c r="H581" s="202" t="b">
        <v>0</v>
      </c>
      <c r="I581" s="202" t="b">
        <v>0</v>
      </c>
      <c r="J581" s="202" t="b">
        <v>0</v>
      </c>
      <c r="K581" s="202" t="b">
        <v>0</v>
      </c>
      <c r="L581" s="202" t="b">
        <v>0</v>
      </c>
      <c r="M581" s="202" t="b">
        <v>0</v>
      </c>
      <c r="N581" s="202" t="b">
        <v>0</v>
      </c>
    </row>
    <row r="582">
      <c r="A582" s="201"/>
      <c r="B582" s="201"/>
      <c r="C582" s="202" t="b">
        <v>0</v>
      </c>
      <c r="D582" s="201"/>
      <c r="E582" s="201"/>
      <c r="F582" s="202" t="b">
        <v>0</v>
      </c>
      <c r="G582" s="202" t="b">
        <v>0</v>
      </c>
      <c r="H582" s="202" t="b">
        <v>0</v>
      </c>
      <c r="I582" s="202" t="b">
        <v>0</v>
      </c>
      <c r="J582" s="202" t="b">
        <v>0</v>
      </c>
      <c r="K582" s="202" t="b">
        <v>0</v>
      </c>
      <c r="L582" s="202" t="b">
        <v>0</v>
      </c>
      <c r="M582" s="202" t="b">
        <v>0</v>
      </c>
      <c r="N582" s="202" t="b">
        <v>0</v>
      </c>
    </row>
    <row r="583">
      <c r="A583" s="201"/>
      <c r="B583" s="201"/>
      <c r="C583" s="202" t="b">
        <v>0</v>
      </c>
      <c r="D583" s="201"/>
      <c r="E583" s="201"/>
      <c r="F583" s="202" t="b">
        <v>0</v>
      </c>
      <c r="G583" s="202" t="b">
        <v>0</v>
      </c>
      <c r="H583" s="202" t="b">
        <v>0</v>
      </c>
      <c r="I583" s="202" t="b">
        <v>0</v>
      </c>
      <c r="J583" s="202" t="b">
        <v>0</v>
      </c>
      <c r="K583" s="202" t="b">
        <v>0</v>
      </c>
      <c r="L583" s="202" t="b">
        <v>0</v>
      </c>
      <c r="M583" s="202" t="b">
        <v>0</v>
      </c>
      <c r="N583" s="202" t="b">
        <v>0</v>
      </c>
    </row>
    <row r="584">
      <c r="A584" s="201"/>
      <c r="B584" s="201"/>
      <c r="C584" s="202" t="b">
        <v>0</v>
      </c>
      <c r="D584" s="201"/>
      <c r="E584" s="201"/>
      <c r="F584" s="202" t="b">
        <v>0</v>
      </c>
      <c r="G584" s="202" t="b">
        <v>0</v>
      </c>
      <c r="H584" s="202" t="b">
        <v>0</v>
      </c>
      <c r="I584" s="202" t="b">
        <v>0</v>
      </c>
      <c r="J584" s="202" t="b">
        <v>0</v>
      </c>
      <c r="K584" s="202" t="b">
        <v>0</v>
      </c>
      <c r="L584" s="202" t="b">
        <v>0</v>
      </c>
      <c r="M584" s="202" t="b">
        <v>0</v>
      </c>
      <c r="N584" s="202" t="b">
        <v>0</v>
      </c>
    </row>
    <row r="585">
      <c r="A585" s="201"/>
      <c r="B585" s="201"/>
      <c r="C585" s="202" t="b">
        <v>0</v>
      </c>
      <c r="D585" s="201"/>
      <c r="E585" s="201"/>
      <c r="F585" s="202" t="b">
        <v>0</v>
      </c>
      <c r="G585" s="202" t="b">
        <v>0</v>
      </c>
      <c r="H585" s="202" t="b">
        <v>0</v>
      </c>
      <c r="I585" s="202" t="b">
        <v>0</v>
      </c>
      <c r="J585" s="202" t="b">
        <v>0</v>
      </c>
      <c r="K585" s="202" t="b">
        <v>0</v>
      </c>
      <c r="L585" s="202" t="b">
        <v>0</v>
      </c>
      <c r="M585" s="202" t="b">
        <v>0</v>
      </c>
      <c r="N585" s="202" t="b">
        <v>0</v>
      </c>
    </row>
    <row r="586">
      <c r="A586" s="201"/>
      <c r="B586" s="201"/>
      <c r="C586" s="202" t="b">
        <v>0</v>
      </c>
      <c r="D586" s="201"/>
      <c r="E586" s="201"/>
      <c r="F586" s="202" t="b">
        <v>0</v>
      </c>
      <c r="G586" s="202" t="b">
        <v>0</v>
      </c>
      <c r="H586" s="202" t="b">
        <v>0</v>
      </c>
      <c r="I586" s="202" t="b">
        <v>0</v>
      </c>
      <c r="J586" s="202" t="b">
        <v>0</v>
      </c>
      <c r="K586" s="202" t="b">
        <v>0</v>
      </c>
      <c r="L586" s="202" t="b">
        <v>0</v>
      </c>
      <c r="M586" s="202" t="b">
        <v>0</v>
      </c>
      <c r="N586" s="202" t="b">
        <v>0</v>
      </c>
    </row>
    <row r="587">
      <c r="A587" s="201"/>
      <c r="B587" s="201"/>
      <c r="C587" s="202" t="b">
        <v>0</v>
      </c>
      <c r="D587" s="201"/>
      <c r="E587" s="201"/>
      <c r="F587" s="202" t="b">
        <v>0</v>
      </c>
      <c r="G587" s="202" t="b">
        <v>0</v>
      </c>
      <c r="H587" s="202" t="b">
        <v>0</v>
      </c>
      <c r="I587" s="202" t="b">
        <v>0</v>
      </c>
      <c r="J587" s="202" t="b">
        <v>0</v>
      </c>
      <c r="K587" s="202" t="b">
        <v>0</v>
      </c>
      <c r="L587" s="202" t="b">
        <v>0</v>
      </c>
      <c r="M587" s="202" t="b">
        <v>0</v>
      </c>
      <c r="N587" s="202" t="b">
        <v>0</v>
      </c>
    </row>
    <row r="588">
      <c r="A588" s="201"/>
      <c r="B588" s="201"/>
      <c r="C588" s="202" t="b">
        <v>0</v>
      </c>
      <c r="D588" s="201"/>
      <c r="E588" s="201"/>
      <c r="F588" s="202" t="b">
        <v>0</v>
      </c>
      <c r="G588" s="202" t="b">
        <v>0</v>
      </c>
      <c r="H588" s="202" t="b">
        <v>0</v>
      </c>
      <c r="I588" s="202" t="b">
        <v>0</v>
      </c>
      <c r="J588" s="202" t="b">
        <v>0</v>
      </c>
      <c r="K588" s="202" t="b">
        <v>0</v>
      </c>
      <c r="L588" s="202" t="b">
        <v>0</v>
      </c>
      <c r="M588" s="202" t="b">
        <v>0</v>
      </c>
      <c r="N588" s="202" t="b">
        <v>0</v>
      </c>
    </row>
    <row r="589">
      <c r="A589" s="201"/>
      <c r="B589" s="201"/>
      <c r="C589" s="202" t="b">
        <v>0</v>
      </c>
      <c r="D589" s="201"/>
      <c r="E589" s="201"/>
      <c r="F589" s="202" t="b">
        <v>0</v>
      </c>
      <c r="G589" s="202" t="b">
        <v>0</v>
      </c>
      <c r="H589" s="202" t="b">
        <v>0</v>
      </c>
      <c r="I589" s="202" t="b">
        <v>0</v>
      </c>
      <c r="J589" s="202" t="b">
        <v>0</v>
      </c>
      <c r="K589" s="202" t="b">
        <v>0</v>
      </c>
      <c r="L589" s="202" t="b">
        <v>0</v>
      </c>
      <c r="M589" s="202" t="b">
        <v>0</v>
      </c>
      <c r="N589" s="202" t="b">
        <v>0</v>
      </c>
    </row>
    <row r="590">
      <c r="A590" s="201"/>
      <c r="B590" s="201"/>
      <c r="C590" s="202" t="b">
        <v>0</v>
      </c>
      <c r="D590" s="201"/>
      <c r="E590" s="201"/>
      <c r="F590" s="202" t="b">
        <v>0</v>
      </c>
      <c r="G590" s="202" t="b">
        <v>0</v>
      </c>
      <c r="H590" s="202" t="b">
        <v>0</v>
      </c>
      <c r="I590" s="202" t="b">
        <v>0</v>
      </c>
      <c r="J590" s="202" t="b">
        <v>0</v>
      </c>
      <c r="K590" s="202" t="b">
        <v>0</v>
      </c>
      <c r="L590" s="202" t="b">
        <v>0</v>
      </c>
      <c r="M590" s="202" t="b">
        <v>0</v>
      </c>
      <c r="N590" s="202" t="b">
        <v>0</v>
      </c>
    </row>
    <row r="591">
      <c r="A591" s="201"/>
      <c r="B591" s="201"/>
      <c r="C591" s="202" t="b">
        <v>0</v>
      </c>
      <c r="D591" s="201"/>
      <c r="E591" s="201"/>
      <c r="F591" s="202" t="b">
        <v>0</v>
      </c>
      <c r="G591" s="202" t="b">
        <v>0</v>
      </c>
      <c r="H591" s="202" t="b">
        <v>0</v>
      </c>
      <c r="I591" s="202" t="b">
        <v>0</v>
      </c>
      <c r="J591" s="202" t="b">
        <v>0</v>
      </c>
      <c r="K591" s="202" t="b">
        <v>0</v>
      </c>
      <c r="L591" s="202" t="b">
        <v>0</v>
      </c>
      <c r="M591" s="202" t="b">
        <v>0</v>
      </c>
      <c r="N591" s="202" t="b">
        <v>0</v>
      </c>
    </row>
    <row r="592">
      <c r="A592" s="201"/>
      <c r="B592" s="201"/>
      <c r="C592" s="202" t="b">
        <v>0</v>
      </c>
      <c r="D592" s="201"/>
      <c r="E592" s="201"/>
      <c r="F592" s="202" t="b">
        <v>0</v>
      </c>
      <c r="G592" s="202" t="b">
        <v>0</v>
      </c>
      <c r="H592" s="202" t="b">
        <v>0</v>
      </c>
      <c r="I592" s="202" t="b">
        <v>0</v>
      </c>
      <c r="J592" s="202" t="b">
        <v>0</v>
      </c>
      <c r="K592" s="202" t="b">
        <v>0</v>
      </c>
      <c r="L592" s="202" t="b">
        <v>0</v>
      </c>
      <c r="M592" s="202" t="b">
        <v>0</v>
      </c>
      <c r="N592" s="202" t="b">
        <v>0</v>
      </c>
    </row>
    <row r="593">
      <c r="A593" s="201"/>
      <c r="B593" s="201"/>
      <c r="C593" s="202" t="b">
        <v>0</v>
      </c>
      <c r="D593" s="201"/>
      <c r="E593" s="201"/>
      <c r="F593" s="202" t="b">
        <v>0</v>
      </c>
      <c r="G593" s="202" t="b">
        <v>0</v>
      </c>
      <c r="H593" s="202" t="b">
        <v>0</v>
      </c>
      <c r="I593" s="202" t="b">
        <v>0</v>
      </c>
      <c r="J593" s="202" t="b">
        <v>0</v>
      </c>
      <c r="K593" s="202" t="b">
        <v>0</v>
      </c>
      <c r="L593" s="202" t="b">
        <v>0</v>
      </c>
      <c r="M593" s="202" t="b">
        <v>0</v>
      </c>
      <c r="N593" s="202" t="b">
        <v>0</v>
      </c>
    </row>
    <row r="594">
      <c r="A594" s="201"/>
      <c r="B594" s="201"/>
      <c r="C594" s="202" t="b">
        <v>0</v>
      </c>
      <c r="D594" s="201"/>
      <c r="E594" s="201"/>
      <c r="F594" s="202" t="b">
        <v>0</v>
      </c>
      <c r="G594" s="202" t="b">
        <v>0</v>
      </c>
      <c r="H594" s="202" t="b">
        <v>0</v>
      </c>
      <c r="I594" s="202" t="b">
        <v>0</v>
      </c>
      <c r="J594" s="202" t="b">
        <v>0</v>
      </c>
      <c r="K594" s="202" t="b">
        <v>0</v>
      </c>
      <c r="L594" s="202" t="b">
        <v>0</v>
      </c>
      <c r="M594" s="202" t="b">
        <v>0</v>
      </c>
      <c r="N594" s="202" t="b">
        <v>0</v>
      </c>
    </row>
    <row r="595">
      <c r="A595" s="201"/>
      <c r="B595" s="201"/>
      <c r="C595" s="202" t="b">
        <v>0</v>
      </c>
      <c r="D595" s="201"/>
      <c r="E595" s="201"/>
      <c r="F595" s="202" t="b">
        <v>0</v>
      </c>
      <c r="G595" s="202" t="b">
        <v>0</v>
      </c>
      <c r="H595" s="202" t="b">
        <v>0</v>
      </c>
      <c r="I595" s="202" t="b">
        <v>0</v>
      </c>
      <c r="J595" s="202" t="b">
        <v>0</v>
      </c>
      <c r="K595" s="202" t="b">
        <v>0</v>
      </c>
      <c r="L595" s="202" t="b">
        <v>0</v>
      </c>
      <c r="M595" s="202" t="b">
        <v>0</v>
      </c>
      <c r="N595" s="202" t="b">
        <v>0</v>
      </c>
    </row>
    <row r="596">
      <c r="A596" s="201"/>
      <c r="B596" s="201"/>
      <c r="C596" s="202" t="b">
        <v>0</v>
      </c>
      <c r="D596" s="201"/>
      <c r="E596" s="201"/>
      <c r="F596" s="202" t="b">
        <v>0</v>
      </c>
      <c r="G596" s="202" t="b">
        <v>0</v>
      </c>
      <c r="H596" s="202" t="b">
        <v>0</v>
      </c>
      <c r="I596" s="202" t="b">
        <v>0</v>
      </c>
      <c r="J596" s="202" t="b">
        <v>0</v>
      </c>
      <c r="K596" s="202" t="b">
        <v>0</v>
      </c>
      <c r="L596" s="202" t="b">
        <v>0</v>
      </c>
      <c r="M596" s="202" t="b">
        <v>0</v>
      </c>
      <c r="N596" s="202" t="b">
        <v>0</v>
      </c>
    </row>
    <row r="597">
      <c r="A597" s="201"/>
      <c r="B597" s="201"/>
      <c r="C597" s="202" t="b">
        <v>0</v>
      </c>
      <c r="D597" s="201"/>
      <c r="E597" s="201"/>
      <c r="F597" s="202" t="b">
        <v>0</v>
      </c>
      <c r="G597" s="202" t="b">
        <v>0</v>
      </c>
      <c r="H597" s="202" t="b">
        <v>0</v>
      </c>
      <c r="I597" s="202" t="b">
        <v>0</v>
      </c>
      <c r="J597" s="202" t="b">
        <v>0</v>
      </c>
      <c r="K597" s="202" t="b">
        <v>0</v>
      </c>
      <c r="L597" s="202" t="b">
        <v>0</v>
      </c>
      <c r="M597" s="202" t="b">
        <v>0</v>
      </c>
      <c r="N597" s="202" t="b">
        <v>0</v>
      </c>
    </row>
    <row r="598">
      <c r="A598" s="201"/>
      <c r="B598" s="201"/>
      <c r="C598" s="202" t="b">
        <v>0</v>
      </c>
      <c r="D598" s="201"/>
      <c r="E598" s="201"/>
      <c r="F598" s="202" t="b">
        <v>0</v>
      </c>
      <c r="G598" s="202" t="b">
        <v>0</v>
      </c>
      <c r="H598" s="202" t="b">
        <v>0</v>
      </c>
      <c r="I598" s="202" t="b">
        <v>0</v>
      </c>
      <c r="J598" s="202" t="b">
        <v>0</v>
      </c>
      <c r="K598" s="202" t="b">
        <v>0</v>
      </c>
      <c r="L598" s="202" t="b">
        <v>0</v>
      </c>
      <c r="M598" s="202" t="b">
        <v>0</v>
      </c>
      <c r="N598" s="202" t="b">
        <v>0</v>
      </c>
    </row>
    <row r="599">
      <c r="A599" s="201"/>
      <c r="B599" s="201"/>
      <c r="C599" s="202" t="b">
        <v>0</v>
      </c>
      <c r="D599" s="201"/>
      <c r="E599" s="201"/>
      <c r="F599" s="202" t="b">
        <v>0</v>
      </c>
      <c r="G599" s="202" t="b">
        <v>0</v>
      </c>
      <c r="H599" s="202" t="b">
        <v>0</v>
      </c>
      <c r="I599" s="202" t="b">
        <v>0</v>
      </c>
      <c r="J599" s="202" t="b">
        <v>0</v>
      </c>
      <c r="K599" s="202" t="b">
        <v>0</v>
      </c>
      <c r="L599" s="202" t="b">
        <v>0</v>
      </c>
      <c r="M599" s="202" t="b">
        <v>0</v>
      </c>
      <c r="N599" s="202" t="b">
        <v>0</v>
      </c>
    </row>
    <row r="600">
      <c r="A600" s="201"/>
      <c r="B600" s="201"/>
      <c r="C600" s="202" t="b">
        <v>0</v>
      </c>
      <c r="D600" s="201"/>
      <c r="E600" s="201"/>
      <c r="F600" s="202" t="b">
        <v>0</v>
      </c>
      <c r="G600" s="202" t="b">
        <v>0</v>
      </c>
      <c r="H600" s="202" t="b">
        <v>0</v>
      </c>
      <c r="I600" s="202" t="b">
        <v>0</v>
      </c>
      <c r="J600" s="202" t="b">
        <v>0</v>
      </c>
      <c r="K600" s="202" t="b">
        <v>0</v>
      </c>
      <c r="L600" s="202" t="b">
        <v>0</v>
      </c>
      <c r="M600" s="202" t="b">
        <v>0</v>
      </c>
      <c r="N600" s="202" t="b">
        <v>0</v>
      </c>
    </row>
    <row r="601">
      <c r="A601" s="201"/>
      <c r="B601" s="201"/>
      <c r="C601" s="202" t="b">
        <v>0</v>
      </c>
      <c r="D601" s="201"/>
      <c r="E601" s="201"/>
      <c r="F601" s="202" t="b">
        <v>0</v>
      </c>
      <c r="G601" s="202" t="b">
        <v>0</v>
      </c>
      <c r="H601" s="202" t="b">
        <v>0</v>
      </c>
      <c r="I601" s="202" t="b">
        <v>0</v>
      </c>
      <c r="J601" s="202" t="b">
        <v>0</v>
      </c>
      <c r="K601" s="202" t="b">
        <v>0</v>
      </c>
      <c r="L601" s="202" t="b">
        <v>0</v>
      </c>
      <c r="M601" s="202" t="b">
        <v>0</v>
      </c>
      <c r="N601" s="202" t="b">
        <v>0</v>
      </c>
    </row>
    <row r="602">
      <c r="A602" s="201"/>
      <c r="B602" s="201"/>
      <c r="C602" s="202" t="b">
        <v>0</v>
      </c>
      <c r="D602" s="201"/>
      <c r="E602" s="201"/>
      <c r="F602" s="202" t="b">
        <v>0</v>
      </c>
      <c r="G602" s="202" t="b">
        <v>0</v>
      </c>
      <c r="H602" s="202" t="b">
        <v>0</v>
      </c>
      <c r="I602" s="202" t="b">
        <v>0</v>
      </c>
      <c r="J602" s="202" t="b">
        <v>0</v>
      </c>
      <c r="K602" s="202" t="b">
        <v>0</v>
      </c>
      <c r="L602" s="202" t="b">
        <v>0</v>
      </c>
      <c r="M602" s="202" t="b">
        <v>0</v>
      </c>
      <c r="N602" s="202" t="b">
        <v>0</v>
      </c>
    </row>
    <row r="603">
      <c r="A603" s="201"/>
      <c r="B603" s="201"/>
      <c r="C603" s="202" t="b">
        <v>0</v>
      </c>
      <c r="D603" s="201"/>
      <c r="E603" s="201"/>
      <c r="F603" s="202" t="b">
        <v>0</v>
      </c>
      <c r="G603" s="202" t="b">
        <v>0</v>
      </c>
      <c r="H603" s="202" t="b">
        <v>0</v>
      </c>
      <c r="I603" s="202" t="b">
        <v>0</v>
      </c>
      <c r="J603" s="202" t="b">
        <v>0</v>
      </c>
      <c r="K603" s="202" t="b">
        <v>0</v>
      </c>
      <c r="L603" s="202" t="b">
        <v>0</v>
      </c>
      <c r="M603" s="202" t="b">
        <v>0</v>
      </c>
      <c r="N603" s="202" t="b">
        <v>0</v>
      </c>
    </row>
    <row r="604">
      <c r="A604" s="201"/>
      <c r="B604" s="201"/>
      <c r="C604" s="202" t="b">
        <v>0</v>
      </c>
      <c r="D604" s="201"/>
      <c r="E604" s="201"/>
      <c r="F604" s="202" t="b">
        <v>0</v>
      </c>
      <c r="G604" s="202" t="b">
        <v>0</v>
      </c>
      <c r="H604" s="202" t="b">
        <v>0</v>
      </c>
      <c r="I604" s="202" t="b">
        <v>0</v>
      </c>
      <c r="J604" s="202" t="b">
        <v>0</v>
      </c>
      <c r="K604" s="202" t="b">
        <v>0</v>
      </c>
      <c r="L604" s="202" t="b">
        <v>0</v>
      </c>
      <c r="M604" s="202" t="b">
        <v>0</v>
      </c>
      <c r="N604" s="202" t="b">
        <v>0</v>
      </c>
    </row>
    <row r="605">
      <c r="A605" s="201"/>
      <c r="B605" s="201"/>
      <c r="C605" s="202" t="b">
        <v>0</v>
      </c>
      <c r="D605" s="201"/>
      <c r="E605" s="201"/>
      <c r="F605" s="202" t="b">
        <v>0</v>
      </c>
      <c r="G605" s="202" t="b">
        <v>0</v>
      </c>
      <c r="H605" s="202" t="b">
        <v>0</v>
      </c>
      <c r="I605" s="202" t="b">
        <v>0</v>
      </c>
      <c r="J605" s="202" t="b">
        <v>0</v>
      </c>
      <c r="K605" s="202" t="b">
        <v>0</v>
      </c>
      <c r="L605" s="202" t="b">
        <v>0</v>
      </c>
      <c r="M605" s="202" t="b">
        <v>0</v>
      </c>
      <c r="N605" s="202" t="b">
        <v>0</v>
      </c>
    </row>
    <row r="606">
      <c r="A606" s="201"/>
      <c r="B606" s="201"/>
      <c r="C606" s="202" t="b">
        <v>0</v>
      </c>
      <c r="D606" s="201"/>
      <c r="E606" s="201"/>
      <c r="F606" s="202" t="b">
        <v>0</v>
      </c>
      <c r="G606" s="202" t="b">
        <v>0</v>
      </c>
      <c r="H606" s="202" t="b">
        <v>0</v>
      </c>
      <c r="I606" s="202" t="b">
        <v>0</v>
      </c>
      <c r="J606" s="202" t="b">
        <v>0</v>
      </c>
      <c r="K606" s="202" t="b">
        <v>0</v>
      </c>
      <c r="L606" s="202" t="b">
        <v>0</v>
      </c>
      <c r="M606" s="202" t="b">
        <v>0</v>
      </c>
      <c r="N606" s="202" t="b">
        <v>0</v>
      </c>
    </row>
    <row r="607">
      <c r="A607" s="201"/>
      <c r="B607" s="201"/>
      <c r="C607" s="202" t="b">
        <v>0</v>
      </c>
      <c r="D607" s="201"/>
      <c r="E607" s="201"/>
      <c r="F607" s="202" t="b">
        <v>0</v>
      </c>
      <c r="G607" s="202" t="b">
        <v>0</v>
      </c>
      <c r="H607" s="202" t="b">
        <v>0</v>
      </c>
      <c r="I607" s="202" t="b">
        <v>0</v>
      </c>
      <c r="J607" s="202" t="b">
        <v>0</v>
      </c>
      <c r="K607" s="202" t="b">
        <v>0</v>
      </c>
      <c r="L607" s="202" t="b">
        <v>0</v>
      </c>
      <c r="M607" s="202" t="b">
        <v>0</v>
      </c>
      <c r="N607" s="202" t="b">
        <v>0</v>
      </c>
    </row>
    <row r="608">
      <c r="A608" s="201"/>
      <c r="B608" s="201"/>
      <c r="C608" s="202" t="b">
        <v>0</v>
      </c>
      <c r="D608" s="201"/>
      <c r="E608" s="201"/>
      <c r="F608" s="202" t="b">
        <v>0</v>
      </c>
      <c r="G608" s="202" t="b">
        <v>0</v>
      </c>
      <c r="H608" s="202" t="b">
        <v>0</v>
      </c>
      <c r="I608" s="202" t="b">
        <v>0</v>
      </c>
      <c r="J608" s="202" t="b">
        <v>0</v>
      </c>
      <c r="K608" s="202" t="b">
        <v>0</v>
      </c>
      <c r="L608" s="202" t="b">
        <v>0</v>
      </c>
      <c r="M608" s="202" t="b">
        <v>0</v>
      </c>
      <c r="N608" s="202" t="b">
        <v>0</v>
      </c>
    </row>
    <row r="609">
      <c r="A609" s="201"/>
      <c r="B609" s="201"/>
      <c r="C609" s="202" t="b">
        <v>0</v>
      </c>
      <c r="D609" s="201"/>
      <c r="E609" s="201"/>
      <c r="F609" s="202" t="b">
        <v>0</v>
      </c>
      <c r="G609" s="202" t="b">
        <v>0</v>
      </c>
      <c r="H609" s="202" t="b">
        <v>0</v>
      </c>
      <c r="I609" s="202" t="b">
        <v>0</v>
      </c>
      <c r="J609" s="202" t="b">
        <v>0</v>
      </c>
      <c r="K609" s="202" t="b">
        <v>0</v>
      </c>
      <c r="L609" s="202" t="b">
        <v>0</v>
      </c>
      <c r="M609" s="202" t="b">
        <v>0</v>
      </c>
      <c r="N609" s="202" t="b">
        <v>0</v>
      </c>
    </row>
    <row r="610">
      <c r="A610" s="201"/>
      <c r="B610" s="201"/>
      <c r="C610" s="202" t="b">
        <v>0</v>
      </c>
      <c r="D610" s="201"/>
      <c r="E610" s="201"/>
      <c r="F610" s="202" t="b">
        <v>0</v>
      </c>
      <c r="G610" s="202" t="b">
        <v>0</v>
      </c>
      <c r="H610" s="202" t="b">
        <v>0</v>
      </c>
      <c r="I610" s="202" t="b">
        <v>0</v>
      </c>
      <c r="J610" s="202" t="b">
        <v>0</v>
      </c>
      <c r="K610" s="202" t="b">
        <v>0</v>
      </c>
      <c r="L610" s="202" t="b">
        <v>0</v>
      </c>
      <c r="M610" s="202" t="b">
        <v>0</v>
      </c>
      <c r="N610" s="202" t="b">
        <v>0</v>
      </c>
    </row>
    <row r="611">
      <c r="A611" s="201"/>
      <c r="B611" s="201"/>
      <c r="C611" s="202" t="b">
        <v>0</v>
      </c>
      <c r="D611" s="201"/>
      <c r="E611" s="201"/>
      <c r="F611" s="202" t="b">
        <v>0</v>
      </c>
      <c r="G611" s="202" t="b">
        <v>0</v>
      </c>
      <c r="H611" s="202" t="b">
        <v>0</v>
      </c>
      <c r="I611" s="202" t="b">
        <v>0</v>
      </c>
      <c r="J611" s="202" t="b">
        <v>0</v>
      </c>
      <c r="K611" s="202" t="b">
        <v>0</v>
      </c>
      <c r="L611" s="202" t="b">
        <v>0</v>
      </c>
      <c r="M611" s="202" t="b">
        <v>0</v>
      </c>
      <c r="N611" s="202" t="b">
        <v>0</v>
      </c>
    </row>
    <row r="612">
      <c r="A612" s="201"/>
      <c r="B612" s="201"/>
      <c r="C612" s="202" t="b">
        <v>0</v>
      </c>
      <c r="D612" s="201"/>
      <c r="E612" s="201"/>
      <c r="F612" s="202" t="b">
        <v>0</v>
      </c>
      <c r="G612" s="202" t="b">
        <v>0</v>
      </c>
      <c r="H612" s="202" t="b">
        <v>0</v>
      </c>
      <c r="I612" s="202" t="b">
        <v>0</v>
      </c>
      <c r="J612" s="202" t="b">
        <v>0</v>
      </c>
      <c r="K612" s="202" t="b">
        <v>0</v>
      </c>
      <c r="L612" s="202" t="b">
        <v>0</v>
      </c>
      <c r="M612" s="202" t="b">
        <v>0</v>
      </c>
      <c r="N612" s="202" t="b">
        <v>0</v>
      </c>
    </row>
    <row r="613">
      <c r="A613" s="201"/>
      <c r="B613" s="201"/>
      <c r="C613" s="202" t="b">
        <v>0</v>
      </c>
      <c r="D613" s="201"/>
      <c r="E613" s="201"/>
      <c r="F613" s="202" t="b">
        <v>0</v>
      </c>
      <c r="G613" s="202" t="b">
        <v>0</v>
      </c>
      <c r="H613" s="202" t="b">
        <v>0</v>
      </c>
      <c r="I613" s="202" t="b">
        <v>0</v>
      </c>
      <c r="J613" s="202" t="b">
        <v>0</v>
      </c>
      <c r="K613" s="202" t="b">
        <v>0</v>
      </c>
      <c r="L613" s="202" t="b">
        <v>0</v>
      </c>
      <c r="M613" s="202" t="b">
        <v>0</v>
      </c>
      <c r="N613" s="202" t="b">
        <v>0</v>
      </c>
    </row>
    <row r="614">
      <c r="A614" s="201"/>
      <c r="B614" s="201"/>
      <c r="C614" s="202" t="b">
        <v>0</v>
      </c>
      <c r="D614" s="201"/>
      <c r="E614" s="201"/>
      <c r="F614" s="202" t="b">
        <v>0</v>
      </c>
      <c r="G614" s="202" t="b">
        <v>0</v>
      </c>
      <c r="H614" s="202" t="b">
        <v>0</v>
      </c>
      <c r="I614" s="202" t="b">
        <v>0</v>
      </c>
      <c r="J614" s="202" t="b">
        <v>0</v>
      </c>
      <c r="K614" s="202" t="b">
        <v>0</v>
      </c>
      <c r="L614" s="202" t="b">
        <v>0</v>
      </c>
      <c r="M614" s="202" t="b">
        <v>0</v>
      </c>
      <c r="N614" s="202" t="b">
        <v>0</v>
      </c>
    </row>
    <row r="615">
      <c r="A615" s="201"/>
      <c r="B615" s="201"/>
      <c r="C615" s="202" t="b">
        <v>0</v>
      </c>
      <c r="D615" s="201"/>
      <c r="E615" s="201"/>
      <c r="F615" s="202" t="b">
        <v>0</v>
      </c>
      <c r="G615" s="202" t="b">
        <v>0</v>
      </c>
      <c r="H615" s="202" t="b">
        <v>0</v>
      </c>
      <c r="I615" s="202" t="b">
        <v>0</v>
      </c>
      <c r="J615" s="202" t="b">
        <v>0</v>
      </c>
      <c r="K615" s="202" t="b">
        <v>0</v>
      </c>
      <c r="L615" s="202" t="b">
        <v>0</v>
      </c>
      <c r="M615" s="202" t="b">
        <v>0</v>
      </c>
      <c r="N615" s="202" t="b">
        <v>0</v>
      </c>
    </row>
    <row r="616">
      <c r="A616" s="201"/>
      <c r="B616" s="201"/>
      <c r="C616" s="202" t="b">
        <v>0</v>
      </c>
      <c r="D616" s="201"/>
      <c r="E616" s="201"/>
      <c r="F616" s="202" t="b">
        <v>0</v>
      </c>
      <c r="G616" s="202" t="b">
        <v>0</v>
      </c>
      <c r="H616" s="202" t="b">
        <v>0</v>
      </c>
      <c r="I616" s="202" t="b">
        <v>0</v>
      </c>
      <c r="J616" s="202" t="b">
        <v>0</v>
      </c>
      <c r="K616" s="202" t="b">
        <v>0</v>
      </c>
      <c r="L616" s="202" t="b">
        <v>0</v>
      </c>
      <c r="M616" s="202" t="b">
        <v>0</v>
      </c>
      <c r="N616" s="202" t="b">
        <v>0</v>
      </c>
    </row>
    <row r="617">
      <c r="A617" s="201"/>
      <c r="B617" s="201"/>
      <c r="C617" s="202" t="b">
        <v>0</v>
      </c>
      <c r="D617" s="201"/>
      <c r="E617" s="201"/>
      <c r="F617" s="202" t="b">
        <v>0</v>
      </c>
      <c r="G617" s="202" t="b">
        <v>0</v>
      </c>
      <c r="H617" s="202" t="b">
        <v>0</v>
      </c>
      <c r="I617" s="202" t="b">
        <v>0</v>
      </c>
      <c r="J617" s="202" t="b">
        <v>0</v>
      </c>
      <c r="K617" s="202" t="b">
        <v>0</v>
      </c>
      <c r="L617" s="202" t="b">
        <v>0</v>
      </c>
      <c r="M617" s="202" t="b">
        <v>0</v>
      </c>
      <c r="N617" s="202" t="b">
        <v>0</v>
      </c>
    </row>
    <row r="618">
      <c r="A618" s="201"/>
      <c r="B618" s="201"/>
      <c r="C618" s="202" t="b">
        <v>0</v>
      </c>
      <c r="D618" s="201"/>
      <c r="E618" s="201"/>
      <c r="F618" s="202" t="b">
        <v>0</v>
      </c>
      <c r="G618" s="202" t="b">
        <v>0</v>
      </c>
      <c r="H618" s="202" t="b">
        <v>0</v>
      </c>
      <c r="I618" s="202" t="b">
        <v>0</v>
      </c>
      <c r="J618" s="202" t="b">
        <v>0</v>
      </c>
      <c r="K618" s="202" t="b">
        <v>0</v>
      </c>
      <c r="L618" s="202" t="b">
        <v>0</v>
      </c>
      <c r="M618" s="202" t="b">
        <v>0</v>
      </c>
      <c r="N618" s="202" t="b">
        <v>0</v>
      </c>
    </row>
    <row r="619">
      <c r="A619" s="201"/>
      <c r="B619" s="201"/>
      <c r="C619" s="202" t="b">
        <v>0</v>
      </c>
      <c r="D619" s="201"/>
      <c r="E619" s="201"/>
      <c r="F619" s="202" t="b">
        <v>0</v>
      </c>
      <c r="G619" s="202" t="b">
        <v>0</v>
      </c>
      <c r="H619" s="202" t="b">
        <v>0</v>
      </c>
      <c r="I619" s="202" t="b">
        <v>0</v>
      </c>
      <c r="J619" s="202" t="b">
        <v>0</v>
      </c>
      <c r="K619" s="202" t="b">
        <v>0</v>
      </c>
      <c r="L619" s="202" t="b">
        <v>0</v>
      </c>
      <c r="M619" s="202" t="b">
        <v>0</v>
      </c>
      <c r="N619" s="202" t="b">
        <v>0</v>
      </c>
    </row>
    <row r="620">
      <c r="A620" s="201"/>
      <c r="B620" s="201"/>
      <c r="C620" s="202" t="b">
        <v>0</v>
      </c>
      <c r="D620" s="201"/>
      <c r="E620" s="201"/>
      <c r="F620" s="202" t="b">
        <v>0</v>
      </c>
      <c r="G620" s="202" t="b">
        <v>0</v>
      </c>
      <c r="H620" s="202" t="b">
        <v>0</v>
      </c>
      <c r="I620" s="202" t="b">
        <v>0</v>
      </c>
      <c r="J620" s="202" t="b">
        <v>0</v>
      </c>
      <c r="K620" s="202" t="b">
        <v>0</v>
      </c>
      <c r="L620" s="202" t="b">
        <v>0</v>
      </c>
      <c r="M620" s="202" t="b">
        <v>0</v>
      </c>
      <c r="N620" s="202" t="b">
        <v>0</v>
      </c>
    </row>
    <row r="621">
      <c r="A621" s="201"/>
      <c r="B621" s="201"/>
      <c r="C621" s="202" t="b">
        <v>0</v>
      </c>
      <c r="D621" s="201"/>
      <c r="E621" s="201"/>
      <c r="F621" s="202" t="b">
        <v>0</v>
      </c>
      <c r="G621" s="202" t="b">
        <v>0</v>
      </c>
      <c r="H621" s="202" t="b">
        <v>0</v>
      </c>
      <c r="I621" s="202" t="b">
        <v>0</v>
      </c>
      <c r="J621" s="202" t="b">
        <v>0</v>
      </c>
      <c r="K621" s="202" t="b">
        <v>0</v>
      </c>
      <c r="L621" s="202" t="b">
        <v>0</v>
      </c>
      <c r="M621" s="202" t="b">
        <v>0</v>
      </c>
      <c r="N621" s="202" t="b">
        <v>0</v>
      </c>
    </row>
    <row r="622">
      <c r="A622" s="201"/>
      <c r="B622" s="201"/>
      <c r="C622" s="202" t="b">
        <v>0</v>
      </c>
      <c r="D622" s="201"/>
      <c r="E622" s="201"/>
      <c r="F622" s="202" t="b">
        <v>0</v>
      </c>
      <c r="G622" s="202" t="b">
        <v>0</v>
      </c>
      <c r="H622" s="202" t="b">
        <v>0</v>
      </c>
      <c r="I622" s="202" t="b">
        <v>0</v>
      </c>
      <c r="J622" s="202" t="b">
        <v>0</v>
      </c>
      <c r="K622" s="202" t="b">
        <v>0</v>
      </c>
      <c r="L622" s="202" t="b">
        <v>0</v>
      </c>
      <c r="M622" s="202" t="b">
        <v>0</v>
      </c>
      <c r="N622" s="202" t="b">
        <v>0</v>
      </c>
    </row>
    <row r="623">
      <c r="A623" s="201"/>
      <c r="B623" s="201"/>
      <c r="C623" s="202" t="b">
        <v>0</v>
      </c>
      <c r="D623" s="201"/>
      <c r="E623" s="201"/>
      <c r="F623" s="202" t="b">
        <v>0</v>
      </c>
      <c r="G623" s="202" t="b">
        <v>0</v>
      </c>
      <c r="H623" s="202" t="b">
        <v>0</v>
      </c>
      <c r="I623" s="202" t="b">
        <v>0</v>
      </c>
      <c r="J623" s="202" t="b">
        <v>0</v>
      </c>
      <c r="K623" s="202" t="b">
        <v>0</v>
      </c>
      <c r="L623" s="202" t="b">
        <v>0</v>
      </c>
      <c r="M623" s="202" t="b">
        <v>0</v>
      </c>
      <c r="N623" s="202" t="b">
        <v>0</v>
      </c>
    </row>
    <row r="624">
      <c r="A624" s="201"/>
      <c r="B624" s="201"/>
      <c r="C624" s="202" t="b">
        <v>0</v>
      </c>
      <c r="D624" s="201"/>
      <c r="E624" s="201"/>
      <c r="F624" s="202" t="b">
        <v>0</v>
      </c>
      <c r="G624" s="202" t="b">
        <v>0</v>
      </c>
      <c r="H624" s="202" t="b">
        <v>0</v>
      </c>
      <c r="I624" s="202" t="b">
        <v>0</v>
      </c>
      <c r="J624" s="202" t="b">
        <v>0</v>
      </c>
      <c r="K624" s="202" t="b">
        <v>0</v>
      </c>
      <c r="L624" s="202" t="b">
        <v>0</v>
      </c>
      <c r="M624" s="202" t="b">
        <v>0</v>
      </c>
      <c r="N624" s="202" t="b">
        <v>0</v>
      </c>
    </row>
    <row r="625">
      <c r="A625" s="201"/>
      <c r="B625" s="201"/>
      <c r="C625" s="202" t="b">
        <v>0</v>
      </c>
      <c r="D625" s="201"/>
      <c r="E625" s="201"/>
      <c r="F625" s="202" t="b">
        <v>0</v>
      </c>
      <c r="G625" s="202" t="b">
        <v>0</v>
      </c>
      <c r="H625" s="202" t="b">
        <v>0</v>
      </c>
      <c r="I625" s="202" t="b">
        <v>0</v>
      </c>
      <c r="J625" s="202" t="b">
        <v>0</v>
      </c>
      <c r="K625" s="202" t="b">
        <v>0</v>
      </c>
      <c r="L625" s="202" t="b">
        <v>0</v>
      </c>
      <c r="M625" s="202" t="b">
        <v>0</v>
      </c>
      <c r="N625" s="202" t="b">
        <v>0</v>
      </c>
    </row>
    <row r="626">
      <c r="A626" s="201"/>
      <c r="B626" s="201"/>
      <c r="C626" s="202" t="b">
        <v>0</v>
      </c>
      <c r="D626" s="201"/>
      <c r="E626" s="201"/>
      <c r="F626" s="202" t="b">
        <v>0</v>
      </c>
      <c r="G626" s="202" t="b">
        <v>0</v>
      </c>
      <c r="H626" s="202" t="b">
        <v>0</v>
      </c>
      <c r="I626" s="202" t="b">
        <v>0</v>
      </c>
      <c r="J626" s="202" t="b">
        <v>0</v>
      </c>
      <c r="K626" s="202" t="b">
        <v>0</v>
      </c>
      <c r="L626" s="202" t="b">
        <v>0</v>
      </c>
      <c r="M626" s="202" t="b">
        <v>0</v>
      </c>
      <c r="N626" s="202" t="b">
        <v>0</v>
      </c>
    </row>
    <row r="627">
      <c r="A627" s="201"/>
      <c r="B627" s="201"/>
      <c r="C627" s="202" t="b">
        <v>0</v>
      </c>
      <c r="D627" s="201"/>
      <c r="E627" s="201"/>
      <c r="F627" s="202" t="b">
        <v>0</v>
      </c>
      <c r="G627" s="202" t="b">
        <v>0</v>
      </c>
      <c r="H627" s="202" t="b">
        <v>0</v>
      </c>
      <c r="I627" s="202" t="b">
        <v>0</v>
      </c>
      <c r="J627" s="202" t="b">
        <v>0</v>
      </c>
      <c r="K627" s="202" t="b">
        <v>0</v>
      </c>
      <c r="L627" s="202" t="b">
        <v>0</v>
      </c>
      <c r="M627" s="202" t="b">
        <v>0</v>
      </c>
      <c r="N627" s="202" t="b">
        <v>0</v>
      </c>
    </row>
    <row r="628">
      <c r="A628" s="201"/>
      <c r="B628" s="201"/>
      <c r="C628" s="202" t="b">
        <v>0</v>
      </c>
      <c r="D628" s="201"/>
      <c r="E628" s="201"/>
      <c r="F628" s="202" t="b">
        <v>0</v>
      </c>
      <c r="G628" s="202" t="b">
        <v>0</v>
      </c>
      <c r="H628" s="202" t="b">
        <v>0</v>
      </c>
      <c r="I628" s="202" t="b">
        <v>0</v>
      </c>
      <c r="J628" s="202" t="b">
        <v>0</v>
      </c>
      <c r="K628" s="202" t="b">
        <v>0</v>
      </c>
      <c r="L628" s="202" t="b">
        <v>0</v>
      </c>
      <c r="M628" s="202" t="b">
        <v>0</v>
      </c>
      <c r="N628" s="202" t="b">
        <v>0</v>
      </c>
    </row>
    <row r="629">
      <c r="A629" s="201"/>
      <c r="B629" s="201"/>
      <c r="C629" s="202" t="b">
        <v>0</v>
      </c>
      <c r="D629" s="201"/>
      <c r="E629" s="201"/>
      <c r="F629" s="202" t="b">
        <v>0</v>
      </c>
      <c r="G629" s="202" t="b">
        <v>0</v>
      </c>
      <c r="H629" s="202" t="b">
        <v>0</v>
      </c>
      <c r="I629" s="202" t="b">
        <v>0</v>
      </c>
      <c r="J629" s="202" t="b">
        <v>0</v>
      </c>
      <c r="K629" s="202" t="b">
        <v>0</v>
      </c>
      <c r="L629" s="202" t="b">
        <v>0</v>
      </c>
      <c r="M629" s="202" t="b">
        <v>0</v>
      </c>
      <c r="N629" s="202" t="b">
        <v>0</v>
      </c>
    </row>
    <row r="630">
      <c r="A630" s="201"/>
      <c r="B630" s="201"/>
      <c r="C630" s="202" t="b">
        <v>0</v>
      </c>
      <c r="D630" s="201"/>
      <c r="E630" s="201"/>
      <c r="F630" s="202" t="b">
        <v>0</v>
      </c>
      <c r="G630" s="202" t="b">
        <v>0</v>
      </c>
      <c r="H630" s="202" t="b">
        <v>0</v>
      </c>
      <c r="I630" s="202" t="b">
        <v>0</v>
      </c>
      <c r="J630" s="202" t="b">
        <v>0</v>
      </c>
      <c r="K630" s="202" t="b">
        <v>0</v>
      </c>
      <c r="L630" s="202" t="b">
        <v>0</v>
      </c>
      <c r="M630" s="202" t="b">
        <v>0</v>
      </c>
      <c r="N630" s="202" t="b">
        <v>0</v>
      </c>
    </row>
    <row r="631">
      <c r="A631" s="201"/>
      <c r="B631" s="201"/>
      <c r="C631" s="202" t="b">
        <v>0</v>
      </c>
      <c r="D631" s="201"/>
      <c r="E631" s="201"/>
      <c r="F631" s="202" t="b">
        <v>0</v>
      </c>
      <c r="G631" s="202" t="b">
        <v>0</v>
      </c>
      <c r="H631" s="202" t="b">
        <v>0</v>
      </c>
      <c r="I631" s="202" t="b">
        <v>0</v>
      </c>
      <c r="J631" s="202" t="b">
        <v>0</v>
      </c>
      <c r="K631" s="202" t="b">
        <v>0</v>
      </c>
      <c r="L631" s="202" t="b">
        <v>0</v>
      </c>
      <c r="M631" s="202" t="b">
        <v>0</v>
      </c>
      <c r="N631" s="202" t="b">
        <v>0</v>
      </c>
    </row>
    <row r="632">
      <c r="A632" s="201"/>
      <c r="B632" s="201"/>
      <c r="C632" s="202" t="b">
        <v>0</v>
      </c>
      <c r="D632" s="201"/>
      <c r="E632" s="201"/>
      <c r="F632" s="202" t="b">
        <v>0</v>
      </c>
      <c r="G632" s="202" t="b">
        <v>0</v>
      </c>
      <c r="H632" s="202" t="b">
        <v>0</v>
      </c>
      <c r="I632" s="202" t="b">
        <v>0</v>
      </c>
      <c r="J632" s="202" t="b">
        <v>0</v>
      </c>
      <c r="K632" s="202" t="b">
        <v>0</v>
      </c>
      <c r="L632" s="202" t="b">
        <v>0</v>
      </c>
      <c r="M632" s="202" t="b">
        <v>0</v>
      </c>
      <c r="N632" s="202" t="b">
        <v>0</v>
      </c>
    </row>
    <row r="633">
      <c r="A633" s="201"/>
      <c r="B633" s="201"/>
      <c r="C633" s="202" t="b">
        <v>0</v>
      </c>
      <c r="D633" s="201"/>
      <c r="E633" s="201"/>
      <c r="F633" s="202" t="b">
        <v>0</v>
      </c>
      <c r="G633" s="202" t="b">
        <v>0</v>
      </c>
      <c r="H633" s="202" t="b">
        <v>0</v>
      </c>
      <c r="I633" s="202" t="b">
        <v>0</v>
      </c>
      <c r="J633" s="202" t="b">
        <v>0</v>
      </c>
      <c r="K633" s="202" t="b">
        <v>0</v>
      </c>
      <c r="L633" s="202" t="b">
        <v>0</v>
      </c>
      <c r="M633" s="202" t="b">
        <v>0</v>
      </c>
      <c r="N633" s="202" t="b">
        <v>0</v>
      </c>
    </row>
    <row r="634">
      <c r="A634" s="201"/>
      <c r="B634" s="201"/>
      <c r="C634" s="202" t="b">
        <v>0</v>
      </c>
      <c r="D634" s="201"/>
      <c r="E634" s="201"/>
      <c r="F634" s="202" t="b">
        <v>0</v>
      </c>
      <c r="G634" s="202" t="b">
        <v>0</v>
      </c>
      <c r="H634" s="202" t="b">
        <v>0</v>
      </c>
      <c r="I634" s="202" t="b">
        <v>0</v>
      </c>
      <c r="J634" s="202" t="b">
        <v>0</v>
      </c>
      <c r="K634" s="202" t="b">
        <v>0</v>
      </c>
      <c r="L634" s="202" t="b">
        <v>0</v>
      </c>
      <c r="M634" s="202" t="b">
        <v>0</v>
      </c>
      <c r="N634" s="202" t="b">
        <v>0</v>
      </c>
    </row>
    <row r="635">
      <c r="A635" s="201"/>
      <c r="B635" s="201"/>
      <c r="C635" s="202" t="b">
        <v>0</v>
      </c>
      <c r="D635" s="201"/>
      <c r="E635" s="201"/>
      <c r="F635" s="202" t="b">
        <v>0</v>
      </c>
      <c r="G635" s="202" t="b">
        <v>0</v>
      </c>
      <c r="H635" s="202" t="b">
        <v>0</v>
      </c>
      <c r="I635" s="202" t="b">
        <v>0</v>
      </c>
      <c r="J635" s="202" t="b">
        <v>0</v>
      </c>
      <c r="K635" s="202" t="b">
        <v>0</v>
      </c>
      <c r="L635" s="202" t="b">
        <v>0</v>
      </c>
      <c r="M635" s="202" t="b">
        <v>0</v>
      </c>
      <c r="N635" s="202" t="b">
        <v>0</v>
      </c>
    </row>
    <row r="636">
      <c r="A636" s="201"/>
      <c r="B636" s="201"/>
      <c r="C636" s="202" t="b">
        <v>0</v>
      </c>
      <c r="D636" s="201"/>
      <c r="E636" s="201"/>
      <c r="F636" s="202" t="b">
        <v>0</v>
      </c>
      <c r="G636" s="202" t="b">
        <v>0</v>
      </c>
      <c r="H636" s="202" t="b">
        <v>0</v>
      </c>
      <c r="I636" s="202" t="b">
        <v>0</v>
      </c>
      <c r="J636" s="202" t="b">
        <v>0</v>
      </c>
      <c r="K636" s="202" t="b">
        <v>0</v>
      </c>
      <c r="L636" s="202" t="b">
        <v>0</v>
      </c>
      <c r="M636" s="202" t="b">
        <v>0</v>
      </c>
      <c r="N636" s="202" t="b">
        <v>0</v>
      </c>
    </row>
    <row r="637">
      <c r="A637" s="201"/>
      <c r="B637" s="201"/>
      <c r="C637" s="202" t="b">
        <v>0</v>
      </c>
      <c r="D637" s="201"/>
      <c r="E637" s="201"/>
      <c r="F637" s="202" t="b">
        <v>0</v>
      </c>
      <c r="G637" s="202" t="b">
        <v>0</v>
      </c>
      <c r="H637" s="202" t="b">
        <v>0</v>
      </c>
      <c r="I637" s="202" t="b">
        <v>0</v>
      </c>
      <c r="J637" s="202" t="b">
        <v>0</v>
      </c>
      <c r="K637" s="202" t="b">
        <v>0</v>
      </c>
      <c r="L637" s="202" t="b">
        <v>0</v>
      </c>
      <c r="M637" s="202" t="b">
        <v>0</v>
      </c>
      <c r="N637" s="202" t="b">
        <v>0</v>
      </c>
    </row>
    <row r="638">
      <c r="A638" s="201"/>
      <c r="B638" s="201"/>
      <c r="C638" s="202" t="b">
        <v>0</v>
      </c>
      <c r="D638" s="201"/>
      <c r="E638" s="201"/>
      <c r="F638" s="202" t="b">
        <v>0</v>
      </c>
      <c r="G638" s="202" t="b">
        <v>0</v>
      </c>
      <c r="H638" s="202" t="b">
        <v>0</v>
      </c>
      <c r="I638" s="202" t="b">
        <v>0</v>
      </c>
      <c r="J638" s="202" t="b">
        <v>0</v>
      </c>
      <c r="K638" s="202" t="b">
        <v>0</v>
      </c>
      <c r="L638" s="202" t="b">
        <v>0</v>
      </c>
      <c r="M638" s="202" t="b">
        <v>0</v>
      </c>
      <c r="N638" s="202" t="b">
        <v>0</v>
      </c>
    </row>
    <row r="639">
      <c r="A639" s="201"/>
      <c r="B639" s="201"/>
      <c r="C639" s="202" t="b">
        <v>0</v>
      </c>
      <c r="D639" s="201"/>
      <c r="E639" s="201"/>
      <c r="F639" s="202" t="b">
        <v>0</v>
      </c>
      <c r="G639" s="202" t="b">
        <v>0</v>
      </c>
      <c r="H639" s="202" t="b">
        <v>0</v>
      </c>
      <c r="I639" s="202" t="b">
        <v>0</v>
      </c>
      <c r="J639" s="202" t="b">
        <v>0</v>
      </c>
      <c r="K639" s="202" t="b">
        <v>0</v>
      </c>
      <c r="L639" s="202" t="b">
        <v>0</v>
      </c>
      <c r="M639" s="202" t="b">
        <v>0</v>
      </c>
      <c r="N639" s="202" t="b">
        <v>0</v>
      </c>
    </row>
    <row r="640">
      <c r="A640" s="201"/>
      <c r="B640" s="201"/>
      <c r="C640" s="202" t="b">
        <v>0</v>
      </c>
      <c r="D640" s="201"/>
      <c r="E640" s="201"/>
      <c r="F640" s="202" t="b">
        <v>0</v>
      </c>
      <c r="G640" s="202" t="b">
        <v>0</v>
      </c>
      <c r="H640" s="202" t="b">
        <v>0</v>
      </c>
      <c r="I640" s="202" t="b">
        <v>0</v>
      </c>
      <c r="J640" s="202" t="b">
        <v>0</v>
      </c>
      <c r="K640" s="202" t="b">
        <v>0</v>
      </c>
      <c r="L640" s="202" t="b">
        <v>0</v>
      </c>
      <c r="M640" s="202" t="b">
        <v>0</v>
      </c>
      <c r="N640" s="202" t="b">
        <v>0</v>
      </c>
    </row>
    <row r="641">
      <c r="A641" s="201"/>
      <c r="B641" s="201"/>
      <c r="C641" s="202" t="b">
        <v>0</v>
      </c>
      <c r="D641" s="201"/>
      <c r="E641" s="201"/>
      <c r="F641" s="202" t="b">
        <v>0</v>
      </c>
      <c r="G641" s="202" t="b">
        <v>0</v>
      </c>
      <c r="H641" s="202" t="b">
        <v>0</v>
      </c>
      <c r="I641" s="202" t="b">
        <v>0</v>
      </c>
      <c r="J641" s="202" t="b">
        <v>0</v>
      </c>
      <c r="K641" s="202" t="b">
        <v>0</v>
      </c>
      <c r="L641" s="202" t="b">
        <v>0</v>
      </c>
      <c r="M641" s="202" t="b">
        <v>0</v>
      </c>
      <c r="N641" s="202" t="b">
        <v>0</v>
      </c>
    </row>
    <row r="642">
      <c r="A642" s="201"/>
      <c r="B642" s="201"/>
      <c r="C642" s="202" t="b">
        <v>0</v>
      </c>
      <c r="D642" s="201"/>
      <c r="E642" s="201"/>
      <c r="F642" s="202" t="b">
        <v>0</v>
      </c>
      <c r="G642" s="202" t="b">
        <v>0</v>
      </c>
      <c r="H642" s="202" t="b">
        <v>0</v>
      </c>
      <c r="I642" s="202" t="b">
        <v>0</v>
      </c>
      <c r="J642" s="202" t="b">
        <v>0</v>
      </c>
      <c r="K642" s="202" t="b">
        <v>0</v>
      </c>
      <c r="L642" s="202" t="b">
        <v>0</v>
      </c>
      <c r="M642" s="202" t="b">
        <v>0</v>
      </c>
      <c r="N642" s="202" t="b">
        <v>0</v>
      </c>
    </row>
    <row r="643">
      <c r="A643" s="201"/>
      <c r="B643" s="201"/>
      <c r="C643" s="202" t="b">
        <v>0</v>
      </c>
      <c r="D643" s="201"/>
      <c r="E643" s="201"/>
      <c r="F643" s="202" t="b">
        <v>0</v>
      </c>
      <c r="G643" s="202" t="b">
        <v>0</v>
      </c>
      <c r="H643" s="202" t="b">
        <v>0</v>
      </c>
      <c r="I643" s="202" t="b">
        <v>0</v>
      </c>
      <c r="J643" s="202" t="b">
        <v>0</v>
      </c>
      <c r="K643" s="202" t="b">
        <v>0</v>
      </c>
      <c r="L643" s="202" t="b">
        <v>0</v>
      </c>
      <c r="M643" s="202" t="b">
        <v>0</v>
      </c>
      <c r="N643" s="202" t="b">
        <v>0</v>
      </c>
    </row>
    <row r="644">
      <c r="A644" s="201"/>
      <c r="B644" s="201"/>
      <c r="C644" s="202" t="b">
        <v>0</v>
      </c>
      <c r="D644" s="201"/>
      <c r="E644" s="201"/>
      <c r="F644" s="202" t="b">
        <v>0</v>
      </c>
      <c r="G644" s="202" t="b">
        <v>0</v>
      </c>
      <c r="H644" s="202" t="b">
        <v>0</v>
      </c>
      <c r="I644" s="202" t="b">
        <v>0</v>
      </c>
      <c r="J644" s="202" t="b">
        <v>0</v>
      </c>
      <c r="K644" s="202" t="b">
        <v>0</v>
      </c>
      <c r="L644" s="202" t="b">
        <v>0</v>
      </c>
      <c r="M644" s="202" t="b">
        <v>0</v>
      </c>
      <c r="N644" s="202" t="b">
        <v>0</v>
      </c>
    </row>
    <row r="645">
      <c r="A645" s="201"/>
      <c r="B645" s="201"/>
      <c r="C645" s="202" t="b">
        <v>0</v>
      </c>
      <c r="D645" s="201"/>
      <c r="E645" s="201"/>
      <c r="F645" s="202" t="b">
        <v>0</v>
      </c>
      <c r="G645" s="202" t="b">
        <v>0</v>
      </c>
      <c r="H645" s="202" t="b">
        <v>0</v>
      </c>
      <c r="I645" s="202" t="b">
        <v>0</v>
      </c>
      <c r="J645" s="202" t="b">
        <v>0</v>
      </c>
      <c r="K645" s="202" t="b">
        <v>0</v>
      </c>
      <c r="L645" s="202" t="b">
        <v>0</v>
      </c>
      <c r="M645" s="202" t="b">
        <v>0</v>
      </c>
      <c r="N645" s="202" t="b">
        <v>0</v>
      </c>
    </row>
    <row r="646">
      <c r="A646" s="201"/>
      <c r="B646" s="201"/>
      <c r="C646" s="202" t="b">
        <v>0</v>
      </c>
      <c r="D646" s="201"/>
      <c r="E646" s="201"/>
      <c r="F646" s="202" t="b">
        <v>0</v>
      </c>
      <c r="G646" s="202" t="b">
        <v>0</v>
      </c>
      <c r="H646" s="202" t="b">
        <v>0</v>
      </c>
      <c r="I646" s="202" t="b">
        <v>0</v>
      </c>
      <c r="J646" s="202" t="b">
        <v>0</v>
      </c>
      <c r="K646" s="202" t="b">
        <v>0</v>
      </c>
      <c r="L646" s="202" t="b">
        <v>0</v>
      </c>
      <c r="M646" s="202" t="b">
        <v>0</v>
      </c>
      <c r="N646" s="202" t="b">
        <v>0</v>
      </c>
    </row>
    <row r="647">
      <c r="A647" s="201"/>
      <c r="B647" s="201"/>
      <c r="C647" s="202" t="b">
        <v>0</v>
      </c>
      <c r="D647" s="201"/>
      <c r="E647" s="201"/>
      <c r="F647" s="202" t="b">
        <v>0</v>
      </c>
      <c r="G647" s="202" t="b">
        <v>0</v>
      </c>
      <c r="H647" s="202" t="b">
        <v>0</v>
      </c>
      <c r="I647" s="202" t="b">
        <v>0</v>
      </c>
      <c r="J647" s="202" t="b">
        <v>0</v>
      </c>
      <c r="K647" s="202" t="b">
        <v>0</v>
      </c>
      <c r="L647" s="202" t="b">
        <v>0</v>
      </c>
      <c r="M647" s="202" t="b">
        <v>0</v>
      </c>
      <c r="N647" s="202" t="b">
        <v>0</v>
      </c>
    </row>
    <row r="648">
      <c r="A648" s="201"/>
      <c r="B648" s="201"/>
      <c r="C648" s="202" t="b">
        <v>0</v>
      </c>
      <c r="D648" s="201"/>
      <c r="E648" s="201"/>
      <c r="F648" s="202" t="b">
        <v>0</v>
      </c>
      <c r="G648" s="202" t="b">
        <v>0</v>
      </c>
      <c r="H648" s="202" t="b">
        <v>0</v>
      </c>
      <c r="I648" s="202" t="b">
        <v>0</v>
      </c>
      <c r="J648" s="202" t="b">
        <v>0</v>
      </c>
      <c r="K648" s="202" t="b">
        <v>0</v>
      </c>
      <c r="L648" s="202" t="b">
        <v>0</v>
      </c>
      <c r="M648" s="202" t="b">
        <v>0</v>
      </c>
      <c r="N648" s="202" t="b">
        <v>0</v>
      </c>
    </row>
    <row r="649">
      <c r="A649" s="201"/>
      <c r="B649" s="201"/>
      <c r="C649" s="202" t="b">
        <v>0</v>
      </c>
      <c r="D649" s="201"/>
      <c r="E649" s="201"/>
      <c r="F649" s="202" t="b">
        <v>0</v>
      </c>
      <c r="G649" s="202" t="b">
        <v>0</v>
      </c>
      <c r="H649" s="202" t="b">
        <v>0</v>
      </c>
      <c r="I649" s="202" t="b">
        <v>0</v>
      </c>
      <c r="J649" s="202" t="b">
        <v>0</v>
      </c>
      <c r="K649" s="202" t="b">
        <v>0</v>
      </c>
      <c r="L649" s="202" t="b">
        <v>0</v>
      </c>
      <c r="M649" s="202" t="b">
        <v>0</v>
      </c>
      <c r="N649" s="202" t="b">
        <v>0</v>
      </c>
    </row>
    <row r="650">
      <c r="A650" s="201"/>
      <c r="B650" s="201"/>
      <c r="C650" s="202" t="b">
        <v>0</v>
      </c>
      <c r="D650" s="201"/>
      <c r="E650" s="201"/>
      <c r="F650" s="202" t="b">
        <v>0</v>
      </c>
      <c r="G650" s="202" t="b">
        <v>0</v>
      </c>
      <c r="H650" s="202" t="b">
        <v>0</v>
      </c>
      <c r="I650" s="202" t="b">
        <v>0</v>
      </c>
      <c r="J650" s="202" t="b">
        <v>0</v>
      </c>
      <c r="K650" s="202" t="b">
        <v>0</v>
      </c>
      <c r="L650" s="202" t="b">
        <v>0</v>
      </c>
      <c r="M650" s="202" t="b">
        <v>0</v>
      </c>
      <c r="N650" s="202" t="b">
        <v>0</v>
      </c>
    </row>
    <row r="651">
      <c r="A651" s="201"/>
      <c r="B651" s="201"/>
      <c r="C651" s="202" t="b">
        <v>0</v>
      </c>
      <c r="D651" s="201"/>
      <c r="E651" s="201"/>
      <c r="F651" s="202" t="b">
        <v>0</v>
      </c>
      <c r="G651" s="202" t="b">
        <v>0</v>
      </c>
      <c r="H651" s="202" t="b">
        <v>0</v>
      </c>
      <c r="I651" s="202" t="b">
        <v>0</v>
      </c>
      <c r="J651" s="202" t="b">
        <v>0</v>
      </c>
      <c r="K651" s="202" t="b">
        <v>0</v>
      </c>
      <c r="L651" s="202" t="b">
        <v>0</v>
      </c>
      <c r="M651" s="202" t="b">
        <v>0</v>
      </c>
      <c r="N651" s="202" t="b">
        <v>0</v>
      </c>
    </row>
    <row r="652">
      <c r="A652" s="201"/>
      <c r="B652" s="201"/>
      <c r="C652" s="202" t="b">
        <v>0</v>
      </c>
      <c r="D652" s="201"/>
      <c r="E652" s="201"/>
      <c r="F652" s="202" t="b">
        <v>0</v>
      </c>
      <c r="G652" s="202" t="b">
        <v>0</v>
      </c>
      <c r="H652" s="202" t="b">
        <v>0</v>
      </c>
      <c r="I652" s="202" t="b">
        <v>0</v>
      </c>
      <c r="J652" s="202" t="b">
        <v>0</v>
      </c>
      <c r="K652" s="202" t="b">
        <v>0</v>
      </c>
      <c r="L652" s="202" t="b">
        <v>0</v>
      </c>
      <c r="M652" s="202" t="b">
        <v>0</v>
      </c>
      <c r="N652" s="202" t="b">
        <v>0</v>
      </c>
    </row>
    <row r="653">
      <c r="A653" s="201"/>
      <c r="B653" s="201"/>
      <c r="C653" s="202" t="b">
        <v>0</v>
      </c>
      <c r="D653" s="201"/>
      <c r="E653" s="201"/>
      <c r="F653" s="202" t="b">
        <v>0</v>
      </c>
      <c r="G653" s="202" t="b">
        <v>0</v>
      </c>
      <c r="H653" s="202" t="b">
        <v>0</v>
      </c>
      <c r="I653" s="202" t="b">
        <v>0</v>
      </c>
      <c r="J653" s="202" t="b">
        <v>0</v>
      </c>
      <c r="K653" s="202" t="b">
        <v>0</v>
      </c>
      <c r="L653" s="202" t="b">
        <v>0</v>
      </c>
      <c r="M653" s="202" t="b">
        <v>0</v>
      </c>
      <c r="N653" s="202" t="b">
        <v>0</v>
      </c>
    </row>
    <row r="654">
      <c r="A654" s="201"/>
      <c r="B654" s="201"/>
      <c r="C654" s="202" t="b">
        <v>0</v>
      </c>
      <c r="D654" s="201"/>
      <c r="E654" s="201"/>
      <c r="F654" s="202" t="b">
        <v>0</v>
      </c>
      <c r="G654" s="202" t="b">
        <v>0</v>
      </c>
      <c r="H654" s="202" t="b">
        <v>0</v>
      </c>
      <c r="I654" s="202" t="b">
        <v>0</v>
      </c>
      <c r="J654" s="202" t="b">
        <v>0</v>
      </c>
      <c r="K654" s="202" t="b">
        <v>0</v>
      </c>
      <c r="L654" s="202" t="b">
        <v>0</v>
      </c>
      <c r="M654" s="202" t="b">
        <v>0</v>
      </c>
      <c r="N654" s="202" t="b">
        <v>0</v>
      </c>
    </row>
    <row r="655">
      <c r="A655" s="201"/>
      <c r="B655" s="201"/>
      <c r="C655" s="202" t="b">
        <v>0</v>
      </c>
      <c r="D655" s="201"/>
      <c r="E655" s="201"/>
      <c r="F655" s="202" t="b">
        <v>0</v>
      </c>
      <c r="G655" s="202" t="b">
        <v>0</v>
      </c>
      <c r="H655" s="202" t="b">
        <v>0</v>
      </c>
      <c r="I655" s="202" t="b">
        <v>0</v>
      </c>
      <c r="J655" s="202" t="b">
        <v>0</v>
      </c>
      <c r="K655" s="202" t="b">
        <v>0</v>
      </c>
      <c r="L655" s="202" t="b">
        <v>0</v>
      </c>
      <c r="M655" s="202" t="b">
        <v>0</v>
      </c>
      <c r="N655" s="202" t="b">
        <v>0</v>
      </c>
    </row>
    <row r="656">
      <c r="A656" s="201"/>
      <c r="B656" s="201"/>
      <c r="C656" s="202" t="b">
        <v>0</v>
      </c>
      <c r="D656" s="201"/>
      <c r="E656" s="201"/>
      <c r="F656" s="202" t="b">
        <v>0</v>
      </c>
      <c r="G656" s="202" t="b">
        <v>0</v>
      </c>
      <c r="H656" s="202" t="b">
        <v>0</v>
      </c>
      <c r="I656" s="202" t="b">
        <v>0</v>
      </c>
      <c r="J656" s="202" t="b">
        <v>0</v>
      </c>
      <c r="K656" s="202" t="b">
        <v>0</v>
      </c>
      <c r="L656" s="202" t="b">
        <v>0</v>
      </c>
      <c r="M656" s="202" t="b">
        <v>0</v>
      </c>
      <c r="N656" s="202" t="b">
        <v>0</v>
      </c>
    </row>
    <row r="657">
      <c r="A657" s="201"/>
      <c r="B657" s="201"/>
      <c r="C657" s="202" t="b">
        <v>0</v>
      </c>
      <c r="D657" s="201"/>
      <c r="E657" s="201"/>
      <c r="F657" s="202" t="b">
        <v>0</v>
      </c>
      <c r="G657" s="202" t="b">
        <v>0</v>
      </c>
      <c r="H657" s="202" t="b">
        <v>0</v>
      </c>
      <c r="I657" s="202" t="b">
        <v>0</v>
      </c>
      <c r="J657" s="202" t="b">
        <v>0</v>
      </c>
      <c r="K657" s="202" t="b">
        <v>0</v>
      </c>
      <c r="L657" s="202" t="b">
        <v>0</v>
      </c>
      <c r="M657" s="202" t="b">
        <v>0</v>
      </c>
      <c r="N657" s="202" t="b">
        <v>0</v>
      </c>
    </row>
    <row r="658">
      <c r="A658" s="201"/>
      <c r="B658" s="201"/>
      <c r="C658" s="202" t="b">
        <v>0</v>
      </c>
      <c r="D658" s="201"/>
      <c r="E658" s="201"/>
      <c r="F658" s="202" t="b">
        <v>0</v>
      </c>
      <c r="G658" s="202" t="b">
        <v>0</v>
      </c>
      <c r="H658" s="202" t="b">
        <v>0</v>
      </c>
      <c r="I658" s="202" t="b">
        <v>0</v>
      </c>
      <c r="J658" s="202" t="b">
        <v>0</v>
      </c>
      <c r="K658" s="202" t="b">
        <v>0</v>
      </c>
      <c r="L658" s="202" t="b">
        <v>0</v>
      </c>
      <c r="M658" s="202" t="b">
        <v>0</v>
      </c>
      <c r="N658" s="202" t="b">
        <v>0</v>
      </c>
    </row>
    <row r="659">
      <c r="A659" s="201"/>
      <c r="B659" s="201"/>
      <c r="C659" s="202" t="b">
        <v>0</v>
      </c>
      <c r="D659" s="201"/>
      <c r="E659" s="201"/>
      <c r="F659" s="202" t="b">
        <v>0</v>
      </c>
      <c r="G659" s="202" t="b">
        <v>0</v>
      </c>
      <c r="H659" s="202" t="b">
        <v>0</v>
      </c>
      <c r="I659" s="202" t="b">
        <v>0</v>
      </c>
      <c r="J659" s="202" t="b">
        <v>0</v>
      </c>
      <c r="K659" s="202" t="b">
        <v>0</v>
      </c>
      <c r="L659" s="202" t="b">
        <v>0</v>
      </c>
      <c r="M659" s="202" t="b">
        <v>0</v>
      </c>
      <c r="N659" s="202" t="b">
        <v>0</v>
      </c>
    </row>
    <row r="660">
      <c r="A660" s="201"/>
      <c r="B660" s="201"/>
      <c r="C660" s="202" t="b">
        <v>0</v>
      </c>
      <c r="D660" s="201"/>
      <c r="E660" s="201"/>
      <c r="F660" s="202" t="b">
        <v>0</v>
      </c>
      <c r="G660" s="202" t="b">
        <v>0</v>
      </c>
      <c r="H660" s="202" t="b">
        <v>0</v>
      </c>
      <c r="I660" s="202" t="b">
        <v>0</v>
      </c>
      <c r="J660" s="202" t="b">
        <v>0</v>
      </c>
      <c r="K660" s="202" t="b">
        <v>0</v>
      </c>
      <c r="L660" s="202" t="b">
        <v>0</v>
      </c>
      <c r="M660" s="202" t="b">
        <v>0</v>
      </c>
      <c r="N660" s="202" t="b">
        <v>0</v>
      </c>
    </row>
    <row r="661">
      <c r="A661" s="201"/>
      <c r="B661" s="201"/>
      <c r="C661" s="202" t="b">
        <v>0</v>
      </c>
      <c r="D661" s="201"/>
      <c r="E661" s="201"/>
      <c r="F661" s="202" t="b">
        <v>0</v>
      </c>
      <c r="G661" s="202" t="b">
        <v>0</v>
      </c>
      <c r="H661" s="202" t="b">
        <v>0</v>
      </c>
      <c r="I661" s="202" t="b">
        <v>0</v>
      </c>
      <c r="J661" s="202" t="b">
        <v>0</v>
      </c>
      <c r="K661" s="202" t="b">
        <v>0</v>
      </c>
      <c r="L661" s="202" t="b">
        <v>0</v>
      </c>
      <c r="M661" s="202" t="b">
        <v>0</v>
      </c>
      <c r="N661" s="202" t="b">
        <v>0</v>
      </c>
    </row>
    <row r="662">
      <c r="A662" s="201"/>
      <c r="B662" s="201"/>
      <c r="C662" s="202" t="b">
        <v>0</v>
      </c>
      <c r="D662" s="201"/>
      <c r="E662" s="201"/>
      <c r="F662" s="202" t="b">
        <v>0</v>
      </c>
      <c r="G662" s="202" t="b">
        <v>0</v>
      </c>
      <c r="H662" s="202" t="b">
        <v>0</v>
      </c>
      <c r="I662" s="202" t="b">
        <v>0</v>
      </c>
      <c r="J662" s="202" t="b">
        <v>0</v>
      </c>
      <c r="K662" s="202" t="b">
        <v>0</v>
      </c>
      <c r="L662" s="202" t="b">
        <v>0</v>
      </c>
      <c r="M662" s="202" t="b">
        <v>0</v>
      </c>
      <c r="N662" s="202" t="b">
        <v>0</v>
      </c>
    </row>
    <row r="663">
      <c r="A663" s="201"/>
      <c r="B663" s="201"/>
      <c r="C663" s="202" t="b">
        <v>0</v>
      </c>
      <c r="D663" s="201"/>
      <c r="E663" s="201"/>
      <c r="F663" s="202" t="b">
        <v>0</v>
      </c>
      <c r="G663" s="202" t="b">
        <v>0</v>
      </c>
      <c r="H663" s="202" t="b">
        <v>0</v>
      </c>
      <c r="I663" s="202" t="b">
        <v>0</v>
      </c>
      <c r="J663" s="202" t="b">
        <v>0</v>
      </c>
      <c r="K663" s="202" t="b">
        <v>0</v>
      </c>
      <c r="L663" s="202" t="b">
        <v>0</v>
      </c>
      <c r="M663" s="202" t="b">
        <v>0</v>
      </c>
      <c r="N663" s="202" t="b">
        <v>0</v>
      </c>
    </row>
    <row r="664">
      <c r="A664" s="201"/>
      <c r="B664" s="201"/>
      <c r="C664" s="202" t="b">
        <v>0</v>
      </c>
      <c r="D664" s="201"/>
      <c r="E664" s="201"/>
      <c r="F664" s="202" t="b">
        <v>0</v>
      </c>
      <c r="G664" s="202" t="b">
        <v>0</v>
      </c>
      <c r="H664" s="202" t="b">
        <v>0</v>
      </c>
      <c r="I664" s="202" t="b">
        <v>0</v>
      </c>
      <c r="J664" s="202" t="b">
        <v>0</v>
      </c>
      <c r="K664" s="202" t="b">
        <v>0</v>
      </c>
      <c r="L664" s="202" t="b">
        <v>0</v>
      </c>
      <c r="M664" s="202" t="b">
        <v>0</v>
      </c>
      <c r="N664" s="202" t="b">
        <v>0</v>
      </c>
    </row>
    <row r="665">
      <c r="A665" s="201"/>
      <c r="B665" s="201"/>
      <c r="C665" s="202" t="b">
        <v>0</v>
      </c>
      <c r="D665" s="201"/>
      <c r="E665" s="201"/>
      <c r="F665" s="202" t="b">
        <v>0</v>
      </c>
      <c r="G665" s="202" t="b">
        <v>0</v>
      </c>
      <c r="H665" s="202" t="b">
        <v>0</v>
      </c>
      <c r="I665" s="202" t="b">
        <v>0</v>
      </c>
      <c r="J665" s="202" t="b">
        <v>0</v>
      </c>
      <c r="K665" s="202" t="b">
        <v>0</v>
      </c>
      <c r="L665" s="202" t="b">
        <v>0</v>
      </c>
      <c r="M665" s="202" t="b">
        <v>0</v>
      </c>
      <c r="N665" s="202" t="b">
        <v>0</v>
      </c>
    </row>
    <row r="666">
      <c r="A666" s="201"/>
      <c r="B666" s="201"/>
      <c r="C666" s="202" t="b">
        <v>0</v>
      </c>
      <c r="D666" s="201"/>
      <c r="E666" s="201"/>
      <c r="F666" s="202" t="b">
        <v>0</v>
      </c>
      <c r="G666" s="202" t="b">
        <v>0</v>
      </c>
      <c r="H666" s="202" t="b">
        <v>0</v>
      </c>
      <c r="I666" s="202" t="b">
        <v>0</v>
      </c>
      <c r="J666" s="202" t="b">
        <v>0</v>
      </c>
      <c r="K666" s="202" t="b">
        <v>0</v>
      </c>
      <c r="L666" s="202" t="b">
        <v>0</v>
      </c>
      <c r="M666" s="202" t="b">
        <v>0</v>
      </c>
      <c r="N666" s="202" t="b">
        <v>0</v>
      </c>
    </row>
    <row r="667">
      <c r="A667" s="201"/>
      <c r="B667" s="201"/>
      <c r="C667" s="202" t="b">
        <v>0</v>
      </c>
      <c r="D667" s="201"/>
      <c r="E667" s="201"/>
      <c r="F667" s="202" t="b">
        <v>0</v>
      </c>
      <c r="G667" s="202" t="b">
        <v>0</v>
      </c>
      <c r="H667" s="202" t="b">
        <v>0</v>
      </c>
      <c r="I667" s="202" t="b">
        <v>0</v>
      </c>
      <c r="J667" s="202" t="b">
        <v>0</v>
      </c>
      <c r="K667" s="202" t="b">
        <v>0</v>
      </c>
      <c r="L667" s="202" t="b">
        <v>0</v>
      </c>
      <c r="M667" s="202" t="b">
        <v>0</v>
      </c>
      <c r="N667" s="202" t="b">
        <v>0</v>
      </c>
    </row>
    <row r="668">
      <c r="A668" s="201"/>
      <c r="B668" s="201"/>
      <c r="C668" s="202" t="b">
        <v>0</v>
      </c>
      <c r="D668" s="201"/>
      <c r="E668" s="201"/>
      <c r="F668" s="202" t="b">
        <v>0</v>
      </c>
      <c r="G668" s="202" t="b">
        <v>0</v>
      </c>
      <c r="H668" s="202" t="b">
        <v>0</v>
      </c>
      <c r="I668" s="202" t="b">
        <v>0</v>
      </c>
      <c r="J668" s="202" t="b">
        <v>0</v>
      </c>
      <c r="K668" s="202" t="b">
        <v>0</v>
      </c>
      <c r="L668" s="202" t="b">
        <v>0</v>
      </c>
      <c r="M668" s="202" t="b">
        <v>0</v>
      </c>
      <c r="N668" s="202" t="b">
        <v>0</v>
      </c>
    </row>
    <row r="669">
      <c r="A669" s="201"/>
      <c r="B669" s="201"/>
      <c r="C669" s="202" t="b">
        <v>0</v>
      </c>
      <c r="D669" s="201"/>
      <c r="E669" s="201"/>
      <c r="F669" s="202" t="b">
        <v>0</v>
      </c>
      <c r="G669" s="202" t="b">
        <v>0</v>
      </c>
      <c r="H669" s="202" t="b">
        <v>0</v>
      </c>
      <c r="I669" s="202" t="b">
        <v>0</v>
      </c>
      <c r="J669" s="202" t="b">
        <v>0</v>
      </c>
      <c r="K669" s="202" t="b">
        <v>0</v>
      </c>
      <c r="L669" s="202" t="b">
        <v>0</v>
      </c>
      <c r="M669" s="202" t="b">
        <v>0</v>
      </c>
      <c r="N669" s="202" t="b">
        <v>0</v>
      </c>
    </row>
    <row r="670">
      <c r="A670" s="201"/>
      <c r="B670" s="201"/>
      <c r="C670" s="202" t="b">
        <v>0</v>
      </c>
      <c r="D670" s="201"/>
      <c r="E670" s="201"/>
      <c r="F670" s="202" t="b">
        <v>0</v>
      </c>
      <c r="G670" s="202" t="b">
        <v>0</v>
      </c>
      <c r="H670" s="202" t="b">
        <v>0</v>
      </c>
      <c r="I670" s="202" t="b">
        <v>0</v>
      </c>
      <c r="J670" s="202" t="b">
        <v>0</v>
      </c>
      <c r="K670" s="202" t="b">
        <v>0</v>
      </c>
      <c r="L670" s="202" t="b">
        <v>0</v>
      </c>
      <c r="M670" s="202" t="b">
        <v>0</v>
      </c>
      <c r="N670" s="202" t="b">
        <v>0</v>
      </c>
    </row>
    <row r="671">
      <c r="A671" s="201"/>
      <c r="B671" s="201"/>
      <c r="C671" s="202" t="b">
        <v>0</v>
      </c>
      <c r="D671" s="201"/>
      <c r="E671" s="201"/>
      <c r="F671" s="202" t="b">
        <v>0</v>
      </c>
      <c r="G671" s="202" t="b">
        <v>0</v>
      </c>
      <c r="H671" s="202" t="b">
        <v>0</v>
      </c>
      <c r="I671" s="202" t="b">
        <v>0</v>
      </c>
      <c r="J671" s="202" t="b">
        <v>0</v>
      </c>
      <c r="K671" s="202" t="b">
        <v>0</v>
      </c>
      <c r="L671" s="202" t="b">
        <v>0</v>
      </c>
      <c r="M671" s="202" t="b">
        <v>0</v>
      </c>
      <c r="N671" s="202" t="b">
        <v>0</v>
      </c>
    </row>
    <row r="672">
      <c r="A672" s="201"/>
      <c r="B672" s="201"/>
      <c r="C672" s="202" t="b">
        <v>0</v>
      </c>
      <c r="D672" s="201"/>
      <c r="E672" s="201"/>
      <c r="F672" s="202" t="b">
        <v>0</v>
      </c>
      <c r="G672" s="202" t="b">
        <v>0</v>
      </c>
      <c r="H672" s="202" t="b">
        <v>0</v>
      </c>
      <c r="I672" s="202" t="b">
        <v>0</v>
      </c>
      <c r="J672" s="202" t="b">
        <v>0</v>
      </c>
      <c r="K672" s="202" t="b">
        <v>0</v>
      </c>
      <c r="L672" s="202" t="b">
        <v>0</v>
      </c>
      <c r="M672" s="202" t="b">
        <v>0</v>
      </c>
      <c r="N672" s="202" t="b">
        <v>0</v>
      </c>
    </row>
    <row r="673">
      <c r="A673" s="201"/>
      <c r="B673" s="201"/>
      <c r="C673" s="202" t="b">
        <v>0</v>
      </c>
      <c r="D673" s="201"/>
      <c r="E673" s="201"/>
      <c r="F673" s="202" t="b">
        <v>0</v>
      </c>
      <c r="G673" s="202" t="b">
        <v>0</v>
      </c>
      <c r="H673" s="202" t="b">
        <v>0</v>
      </c>
      <c r="I673" s="202" t="b">
        <v>0</v>
      </c>
      <c r="J673" s="202" t="b">
        <v>0</v>
      </c>
      <c r="K673" s="202" t="b">
        <v>0</v>
      </c>
      <c r="L673" s="202" t="b">
        <v>0</v>
      </c>
      <c r="M673" s="202" t="b">
        <v>0</v>
      </c>
      <c r="N673" s="202" t="b">
        <v>0</v>
      </c>
    </row>
    <row r="674">
      <c r="A674" s="201"/>
      <c r="B674" s="201"/>
      <c r="C674" s="202" t="b">
        <v>0</v>
      </c>
      <c r="D674" s="201"/>
      <c r="E674" s="201"/>
      <c r="F674" s="202" t="b">
        <v>0</v>
      </c>
      <c r="G674" s="202" t="b">
        <v>0</v>
      </c>
      <c r="H674" s="202" t="b">
        <v>0</v>
      </c>
      <c r="I674" s="202" t="b">
        <v>0</v>
      </c>
      <c r="J674" s="202" t="b">
        <v>0</v>
      </c>
      <c r="K674" s="202" t="b">
        <v>0</v>
      </c>
      <c r="L674" s="202" t="b">
        <v>0</v>
      </c>
      <c r="M674" s="202" t="b">
        <v>0</v>
      </c>
      <c r="N674" s="202" t="b">
        <v>0</v>
      </c>
    </row>
    <row r="675">
      <c r="A675" s="201"/>
      <c r="B675" s="201"/>
      <c r="C675" s="202" t="b">
        <v>0</v>
      </c>
      <c r="D675" s="201"/>
      <c r="E675" s="201"/>
      <c r="F675" s="202" t="b">
        <v>0</v>
      </c>
      <c r="G675" s="202" t="b">
        <v>0</v>
      </c>
      <c r="H675" s="202" t="b">
        <v>0</v>
      </c>
      <c r="I675" s="202" t="b">
        <v>0</v>
      </c>
      <c r="J675" s="202" t="b">
        <v>0</v>
      </c>
      <c r="K675" s="202" t="b">
        <v>0</v>
      </c>
      <c r="L675" s="202" t="b">
        <v>0</v>
      </c>
      <c r="M675" s="202" t="b">
        <v>0</v>
      </c>
      <c r="N675" s="202" t="b">
        <v>0</v>
      </c>
    </row>
    <row r="676">
      <c r="A676" s="201"/>
      <c r="B676" s="201"/>
      <c r="C676" s="202" t="b">
        <v>0</v>
      </c>
      <c r="D676" s="201"/>
      <c r="E676" s="201"/>
      <c r="F676" s="202" t="b">
        <v>0</v>
      </c>
      <c r="G676" s="202" t="b">
        <v>0</v>
      </c>
      <c r="H676" s="202" t="b">
        <v>0</v>
      </c>
      <c r="I676" s="202" t="b">
        <v>0</v>
      </c>
      <c r="J676" s="202" t="b">
        <v>0</v>
      </c>
      <c r="K676" s="202" t="b">
        <v>0</v>
      </c>
      <c r="L676" s="202" t="b">
        <v>0</v>
      </c>
      <c r="M676" s="202" t="b">
        <v>0</v>
      </c>
      <c r="N676" s="202" t="b">
        <v>0</v>
      </c>
    </row>
    <row r="677">
      <c r="A677" s="201"/>
      <c r="B677" s="201"/>
      <c r="C677" s="202" t="b">
        <v>0</v>
      </c>
      <c r="D677" s="201"/>
      <c r="E677" s="201"/>
      <c r="F677" s="202" t="b">
        <v>0</v>
      </c>
      <c r="G677" s="202" t="b">
        <v>0</v>
      </c>
      <c r="H677" s="202" t="b">
        <v>0</v>
      </c>
      <c r="I677" s="202" t="b">
        <v>0</v>
      </c>
      <c r="J677" s="202" t="b">
        <v>0</v>
      </c>
      <c r="K677" s="202" t="b">
        <v>0</v>
      </c>
      <c r="L677" s="202" t="b">
        <v>0</v>
      </c>
      <c r="M677" s="202" t="b">
        <v>0</v>
      </c>
      <c r="N677" s="202" t="b">
        <v>0</v>
      </c>
    </row>
    <row r="678">
      <c r="A678" s="201"/>
      <c r="B678" s="201"/>
      <c r="C678" s="202" t="b">
        <v>0</v>
      </c>
      <c r="D678" s="201"/>
      <c r="E678" s="201"/>
      <c r="F678" s="202" t="b">
        <v>0</v>
      </c>
      <c r="G678" s="202" t="b">
        <v>0</v>
      </c>
      <c r="H678" s="202" t="b">
        <v>0</v>
      </c>
      <c r="I678" s="202" t="b">
        <v>0</v>
      </c>
      <c r="J678" s="202" t="b">
        <v>0</v>
      </c>
      <c r="K678" s="202" t="b">
        <v>0</v>
      </c>
      <c r="L678" s="202" t="b">
        <v>0</v>
      </c>
      <c r="M678" s="202" t="b">
        <v>0</v>
      </c>
      <c r="N678" s="202" t="b">
        <v>0</v>
      </c>
    </row>
    <row r="679">
      <c r="A679" s="201"/>
      <c r="B679" s="201"/>
      <c r="C679" s="202" t="b">
        <v>0</v>
      </c>
      <c r="D679" s="201"/>
      <c r="E679" s="201"/>
      <c r="F679" s="202" t="b">
        <v>0</v>
      </c>
      <c r="G679" s="202" t="b">
        <v>0</v>
      </c>
      <c r="H679" s="202" t="b">
        <v>0</v>
      </c>
      <c r="I679" s="202" t="b">
        <v>0</v>
      </c>
      <c r="J679" s="202" t="b">
        <v>0</v>
      </c>
      <c r="K679" s="202" t="b">
        <v>0</v>
      </c>
      <c r="L679" s="202" t="b">
        <v>0</v>
      </c>
      <c r="M679" s="202" t="b">
        <v>0</v>
      </c>
      <c r="N679" s="202" t="b">
        <v>0</v>
      </c>
    </row>
    <row r="680">
      <c r="A680" s="201"/>
      <c r="B680" s="201"/>
      <c r="C680" s="202" t="b">
        <v>0</v>
      </c>
      <c r="D680" s="201"/>
      <c r="E680" s="201"/>
      <c r="F680" s="202" t="b">
        <v>0</v>
      </c>
      <c r="G680" s="202" t="b">
        <v>0</v>
      </c>
      <c r="H680" s="202" t="b">
        <v>0</v>
      </c>
      <c r="I680" s="202" t="b">
        <v>0</v>
      </c>
      <c r="J680" s="202" t="b">
        <v>0</v>
      </c>
      <c r="K680" s="202" t="b">
        <v>0</v>
      </c>
      <c r="L680" s="202" t="b">
        <v>0</v>
      </c>
      <c r="M680" s="202" t="b">
        <v>0</v>
      </c>
      <c r="N680" s="202" t="b">
        <v>0</v>
      </c>
    </row>
    <row r="681">
      <c r="A681" s="201"/>
      <c r="B681" s="201"/>
      <c r="C681" s="202" t="b">
        <v>0</v>
      </c>
      <c r="D681" s="201"/>
      <c r="E681" s="201"/>
      <c r="F681" s="202" t="b">
        <v>0</v>
      </c>
      <c r="G681" s="202" t="b">
        <v>0</v>
      </c>
      <c r="H681" s="202" t="b">
        <v>0</v>
      </c>
      <c r="I681" s="202" t="b">
        <v>0</v>
      </c>
      <c r="J681" s="202" t="b">
        <v>0</v>
      </c>
      <c r="K681" s="202" t="b">
        <v>0</v>
      </c>
      <c r="L681" s="202" t="b">
        <v>0</v>
      </c>
      <c r="M681" s="202" t="b">
        <v>0</v>
      </c>
      <c r="N681" s="202" t="b">
        <v>0</v>
      </c>
    </row>
    <row r="682">
      <c r="A682" s="201"/>
      <c r="B682" s="201"/>
      <c r="C682" s="202" t="b">
        <v>0</v>
      </c>
      <c r="D682" s="201"/>
      <c r="E682" s="201"/>
      <c r="F682" s="202" t="b">
        <v>0</v>
      </c>
      <c r="G682" s="202" t="b">
        <v>0</v>
      </c>
      <c r="H682" s="202" t="b">
        <v>0</v>
      </c>
      <c r="I682" s="202" t="b">
        <v>0</v>
      </c>
      <c r="J682" s="202" t="b">
        <v>0</v>
      </c>
      <c r="K682" s="202" t="b">
        <v>0</v>
      </c>
      <c r="L682" s="202" t="b">
        <v>0</v>
      </c>
      <c r="M682" s="202" t="b">
        <v>0</v>
      </c>
      <c r="N682" s="202" t="b">
        <v>0</v>
      </c>
    </row>
    <row r="683">
      <c r="A683" s="201"/>
      <c r="B683" s="201"/>
      <c r="C683" s="202" t="b">
        <v>0</v>
      </c>
      <c r="D683" s="201"/>
      <c r="E683" s="201"/>
      <c r="F683" s="202" t="b">
        <v>0</v>
      </c>
      <c r="G683" s="202" t="b">
        <v>0</v>
      </c>
      <c r="H683" s="202" t="b">
        <v>0</v>
      </c>
      <c r="I683" s="202" t="b">
        <v>0</v>
      </c>
      <c r="J683" s="202" t="b">
        <v>0</v>
      </c>
      <c r="K683" s="202" t="b">
        <v>0</v>
      </c>
      <c r="L683" s="202" t="b">
        <v>0</v>
      </c>
      <c r="M683" s="202" t="b">
        <v>0</v>
      </c>
      <c r="N683" s="202" t="b">
        <v>0</v>
      </c>
    </row>
    <row r="684">
      <c r="A684" s="201"/>
      <c r="B684" s="201"/>
      <c r="C684" s="202" t="b">
        <v>0</v>
      </c>
      <c r="D684" s="201"/>
      <c r="E684" s="201"/>
      <c r="F684" s="202" t="b">
        <v>0</v>
      </c>
      <c r="G684" s="202" t="b">
        <v>0</v>
      </c>
      <c r="H684" s="202" t="b">
        <v>0</v>
      </c>
      <c r="I684" s="202" t="b">
        <v>0</v>
      </c>
      <c r="J684" s="202" t="b">
        <v>0</v>
      </c>
      <c r="K684" s="202" t="b">
        <v>0</v>
      </c>
      <c r="L684" s="202" t="b">
        <v>0</v>
      </c>
      <c r="M684" s="202" t="b">
        <v>0</v>
      </c>
      <c r="N684" s="202" t="b">
        <v>0</v>
      </c>
    </row>
    <row r="685">
      <c r="A685" s="201"/>
      <c r="B685" s="201"/>
      <c r="C685" s="202" t="b">
        <v>0</v>
      </c>
      <c r="D685" s="201"/>
      <c r="E685" s="201"/>
      <c r="F685" s="202" t="b">
        <v>0</v>
      </c>
      <c r="G685" s="202" t="b">
        <v>0</v>
      </c>
      <c r="H685" s="202" t="b">
        <v>0</v>
      </c>
      <c r="I685" s="202" t="b">
        <v>0</v>
      </c>
      <c r="J685" s="202" t="b">
        <v>0</v>
      </c>
      <c r="K685" s="202" t="b">
        <v>0</v>
      </c>
      <c r="L685" s="202" t="b">
        <v>0</v>
      </c>
      <c r="M685" s="202" t="b">
        <v>0</v>
      </c>
      <c r="N685" s="202" t="b">
        <v>0</v>
      </c>
    </row>
    <row r="686">
      <c r="A686" s="201"/>
      <c r="B686" s="201"/>
      <c r="C686" s="202" t="b">
        <v>0</v>
      </c>
      <c r="D686" s="201"/>
      <c r="E686" s="201"/>
      <c r="F686" s="202" t="b">
        <v>0</v>
      </c>
      <c r="G686" s="202" t="b">
        <v>0</v>
      </c>
      <c r="H686" s="202" t="b">
        <v>0</v>
      </c>
      <c r="I686" s="202" t="b">
        <v>0</v>
      </c>
      <c r="J686" s="202" t="b">
        <v>0</v>
      </c>
      <c r="K686" s="202" t="b">
        <v>0</v>
      </c>
      <c r="L686" s="202" t="b">
        <v>0</v>
      </c>
      <c r="M686" s="202" t="b">
        <v>0</v>
      </c>
      <c r="N686" s="202" t="b">
        <v>0</v>
      </c>
    </row>
    <row r="687">
      <c r="A687" s="201"/>
      <c r="B687" s="201"/>
      <c r="C687" s="202" t="b">
        <v>0</v>
      </c>
      <c r="D687" s="201"/>
      <c r="E687" s="201"/>
      <c r="F687" s="202" t="b">
        <v>0</v>
      </c>
      <c r="G687" s="202" t="b">
        <v>0</v>
      </c>
      <c r="H687" s="202" t="b">
        <v>0</v>
      </c>
      <c r="I687" s="202" t="b">
        <v>0</v>
      </c>
      <c r="J687" s="202" t="b">
        <v>0</v>
      </c>
      <c r="K687" s="202" t="b">
        <v>0</v>
      </c>
      <c r="L687" s="202" t="b">
        <v>0</v>
      </c>
      <c r="M687" s="202" t="b">
        <v>0</v>
      </c>
      <c r="N687" s="202" t="b">
        <v>0</v>
      </c>
    </row>
    <row r="688">
      <c r="A688" s="201"/>
      <c r="B688" s="201"/>
      <c r="C688" s="202" t="b">
        <v>0</v>
      </c>
      <c r="D688" s="201"/>
      <c r="E688" s="201"/>
      <c r="F688" s="202" t="b">
        <v>0</v>
      </c>
      <c r="G688" s="202" t="b">
        <v>0</v>
      </c>
      <c r="H688" s="202" t="b">
        <v>0</v>
      </c>
      <c r="I688" s="202" t="b">
        <v>0</v>
      </c>
      <c r="J688" s="202" t="b">
        <v>0</v>
      </c>
      <c r="K688" s="202" t="b">
        <v>0</v>
      </c>
      <c r="L688" s="202" t="b">
        <v>0</v>
      </c>
      <c r="M688" s="202" t="b">
        <v>0</v>
      </c>
      <c r="N688" s="202" t="b">
        <v>0</v>
      </c>
    </row>
    <row r="689">
      <c r="A689" s="201"/>
      <c r="B689" s="201"/>
      <c r="C689" s="202" t="b">
        <v>0</v>
      </c>
      <c r="D689" s="201"/>
      <c r="E689" s="201"/>
      <c r="F689" s="202" t="b">
        <v>0</v>
      </c>
      <c r="G689" s="202" t="b">
        <v>0</v>
      </c>
      <c r="H689" s="202" t="b">
        <v>0</v>
      </c>
      <c r="I689" s="202" t="b">
        <v>0</v>
      </c>
      <c r="J689" s="202" t="b">
        <v>0</v>
      </c>
      <c r="K689" s="202" t="b">
        <v>0</v>
      </c>
      <c r="L689" s="202" t="b">
        <v>0</v>
      </c>
      <c r="M689" s="202" t="b">
        <v>0</v>
      </c>
      <c r="N689" s="202" t="b">
        <v>0</v>
      </c>
    </row>
    <row r="690">
      <c r="A690" s="201"/>
      <c r="B690" s="201"/>
      <c r="C690" s="202" t="b">
        <v>0</v>
      </c>
      <c r="D690" s="201"/>
      <c r="E690" s="201"/>
      <c r="F690" s="202" t="b">
        <v>0</v>
      </c>
      <c r="G690" s="202" t="b">
        <v>0</v>
      </c>
      <c r="H690" s="202" t="b">
        <v>0</v>
      </c>
      <c r="I690" s="202" t="b">
        <v>0</v>
      </c>
      <c r="J690" s="202" t="b">
        <v>0</v>
      </c>
      <c r="K690" s="202" t="b">
        <v>0</v>
      </c>
      <c r="L690" s="202" t="b">
        <v>0</v>
      </c>
      <c r="M690" s="202" t="b">
        <v>0</v>
      </c>
      <c r="N690" s="202" t="b">
        <v>0</v>
      </c>
    </row>
    <row r="691">
      <c r="A691" s="201"/>
      <c r="B691" s="201"/>
      <c r="C691" s="202" t="b">
        <v>0</v>
      </c>
      <c r="D691" s="201"/>
      <c r="E691" s="201"/>
      <c r="F691" s="202" t="b">
        <v>0</v>
      </c>
      <c r="G691" s="202" t="b">
        <v>0</v>
      </c>
      <c r="H691" s="202" t="b">
        <v>0</v>
      </c>
      <c r="I691" s="202" t="b">
        <v>0</v>
      </c>
      <c r="J691" s="202" t="b">
        <v>0</v>
      </c>
      <c r="K691" s="202" t="b">
        <v>0</v>
      </c>
      <c r="L691" s="202" t="b">
        <v>0</v>
      </c>
      <c r="M691" s="202" t="b">
        <v>0</v>
      </c>
      <c r="N691" s="202" t="b">
        <v>0</v>
      </c>
    </row>
    <row r="692">
      <c r="A692" s="201"/>
      <c r="B692" s="201"/>
      <c r="C692" s="202" t="b">
        <v>0</v>
      </c>
      <c r="D692" s="201"/>
      <c r="E692" s="201"/>
      <c r="F692" s="202" t="b">
        <v>0</v>
      </c>
      <c r="G692" s="202" t="b">
        <v>0</v>
      </c>
      <c r="H692" s="202" t="b">
        <v>0</v>
      </c>
      <c r="I692" s="202" t="b">
        <v>0</v>
      </c>
      <c r="J692" s="202" t="b">
        <v>0</v>
      </c>
      <c r="K692" s="202" t="b">
        <v>0</v>
      </c>
      <c r="L692" s="202" t="b">
        <v>0</v>
      </c>
      <c r="M692" s="202" t="b">
        <v>0</v>
      </c>
      <c r="N692" s="202" t="b">
        <v>0</v>
      </c>
    </row>
    <row r="693">
      <c r="A693" s="201"/>
      <c r="B693" s="201"/>
      <c r="C693" s="202" t="b">
        <v>0</v>
      </c>
      <c r="D693" s="201"/>
      <c r="E693" s="201"/>
      <c r="F693" s="202" t="b">
        <v>0</v>
      </c>
      <c r="G693" s="202" t="b">
        <v>0</v>
      </c>
      <c r="H693" s="202" t="b">
        <v>0</v>
      </c>
      <c r="I693" s="202" t="b">
        <v>0</v>
      </c>
      <c r="J693" s="202" t="b">
        <v>0</v>
      </c>
      <c r="K693" s="202" t="b">
        <v>0</v>
      </c>
      <c r="L693" s="202" t="b">
        <v>0</v>
      </c>
      <c r="M693" s="202" t="b">
        <v>0</v>
      </c>
      <c r="N693" s="202" t="b">
        <v>0</v>
      </c>
    </row>
    <row r="694">
      <c r="A694" s="201"/>
      <c r="B694" s="201"/>
      <c r="C694" s="202" t="b">
        <v>0</v>
      </c>
      <c r="D694" s="201"/>
      <c r="E694" s="201"/>
      <c r="F694" s="202" t="b">
        <v>0</v>
      </c>
      <c r="G694" s="202" t="b">
        <v>0</v>
      </c>
      <c r="H694" s="202" t="b">
        <v>0</v>
      </c>
      <c r="I694" s="202" t="b">
        <v>0</v>
      </c>
      <c r="J694" s="202" t="b">
        <v>0</v>
      </c>
      <c r="K694" s="202" t="b">
        <v>0</v>
      </c>
      <c r="L694" s="202" t="b">
        <v>0</v>
      </c>
      <c r="M694" s="202" t="b">
        <v>0</v>
      </c>
      <c r="N694" s="202" t="b">
        <v>0</v>
      </c>
    </row>
    <row r="695">
      <c r="A695" s="201"/>
      <c r="B695" s="201"/>
      <c r="C695" s="202" t="b">
        <v>0</v>
      </c>
      <c r="D695" s="201"/>
      <c r="E695" s="201"/>
      <c r="F695" s="202" t="b">
        <v>0</v>
      </c>
      <c r="G695" s="202" t="b">
        <v>0</v>
      </c>
      <c r="H695" s="202" t="b">
        <v>0</v>
      </c>
      <c r="I695" s="202" t="b">
        <v>0</v>
      </c>
      <c r="J695" s="202" t="b">
        <v>0</v>
      </c>
      <c r="K695" s="202" t="b">
        <v>0</v>
      </c>
      <c r="L695" s="202" t="b">
        <v>0</v>
      </c>
      <c r="M695" s="202" t="b">
        <v>0</v>
      </c>
      <c r="N695" s="202" t="b">
        <v>0</v>
      </c>
    </row>
    <row r="696">
      <c r="A696" s="201"/>
      <c r="B696" s="201"/>
      <c r="C696" s="202" t="b">
        <v>0</v>
      </c>
      <c r="D696" s="201"/>
      <c r="E696" s="201"/>
      <c r="F696" s="202" t="b">
        <v>0</v>
      </c>
      <c r="G696" s="202" t="b">
        <v>0</v>
      </c>
      <c r="H696" s="202" t="b">
        <v>0</v>
      </c>
      <c r="I696" s="202" t="b">
        <v>0</v>
      </c>
      <c r="J696" s="202" t="b">
        <v>0</v>
      </c>
      <c r="K696" s="202" t="b">
        <v>0</v>
      </c>
      <c r="L696" s="202" t="b">
        <v>0</v>
      </c>
      <c r="M696" s="202" t="b">
        <v>0</v>
      </c>
      <c r="N696" s="202" t="b">
        <v>0</v>
      </c>
    </row>
    <row r="697">
      <c r="A697" s="201"/>
      <c r="B697" s="201"/>
      <c r="C697" s="202" t="b">
        <v>0</v>
      </c>
      <c r="D697" s="201"/>
      <c r="E697" s="201"/>
      <c r="F697" s="202" t="b">
        <v>0</v>
      </c>
      <c r="G697" s="202" t="b">
        <v>0</v>
      </c>
      <c r="H697" s="202" t="b">
        <v>0</v>
      </c>
      <c r="I697" s="202" t="b">
        <v>0</v>
      </c>
      <c r="J697" s="202" t="b">
        <v>0</v>
      </c>
      <c r="K697" s="202" t="b">
        <v>0</v>
      </c>
      <c r="L697" s="202" t="b">
        <v>0</v>
      </c>
      <c r="M697" s="202" t="b">
        <v>0</v>
      </c>
      <c r="N697" s="202" t="b">
        <v>0</v>
      </c>
    </row>
    <row r="698">
      <c r="A698" s="201"/>
      <c r="B698" s="201"/>
      <c r="C698" s="202" t="b">
        <v>0</v>
      </c>
      <c r="D698" s="201"/>
      <c r="E698" s="201"/>
      <c r="F698" s="202" t="b">
        <v>0</v>
      </c>
      <c r="G698" s="202" t="b">
        <v>0</v>
      </c>
      <c r="H698" s="202" t="b">
        <v>0</v>
      </c>
      <c r="I698" s="202" t="b">
        <v>0</v>
      </c>
      <c r="J698" s="202" t="b">
        <v>0</v>
      </c>
      <c r="K698" s="202" t="b">
        <v>0</v>
      </c>
      <c r="L698" s="202" t="b">
        <v>0</v>
      </c>
      <c r="M698" s="202" t="b">
        <v>0</v>
      </c>
      <c r="N698" s="202" t="b">
        <v>0</v>
      </c>
    </row>
    <row r="699">
      <c r="A699" s="201"/>
      <c r="B699" s="201"/>
      <c r="C699" s="202" t="b">
        <v>0</v>
      </c>
      <c r="D699" s="201"/>
      <c r="E699" s="201"/>
      <c r="F699" s="202" t="b">
        <v>0</v>
      </c>
      <c r="G699" s="202" t="b">
        <v>0</v>
      </c>
      <c r="H699" s="202" t="b">
        <v>0</v>
      </c>
      <c r="I699" s="202" t="b">
        <v>0</v>
      </c>
      <c r="J699" s="202" t="b">
        <v>0</v>
      </c>
      <c r="K699" s="202" t="b">
        <v>0</v>
      </c>
      <c r="L699" s="202" t="b">
        <v>0</v>
      </c>
      <c r="M699" s="202" t="b">
        <v>0</v>
      </c>
      <c r="N699" s="202" t="b">
        <v>0</v>
      </c>
    </row>
    <row r="700">
      <c r="A700" s="201"/>
      <c r="B700" s="201"/>
      <c r="C700" s="202" t="b">
        <v>0</v>
      </c>
      <c r="D700" s="201"/>
      <c r="E700" s="201"/>
      <c r="F700" s="202" t="b">
        <v>0</v>
      </c>
      <c r="G700" s="202" t="b">
        <v>0</v>
      </c>
      <c r="H700" s="202" t="b">
        <v>0</v>
      </c>
      <c r="I700" s="202" t="b">
        <v>0</v>
      </c>
      <c r="J700" s="202" t="b">
        <v>0</v>
      </c>
      <c r="K700" s="202" t="b">
        <v>0</v>
      </c>
      <c r="L700" s="202" t="b">
        <v>0</v>
      </c>
      <c r="M700" s="202" t="b">
        <v>0</v>
      </c>
      <c r="N700" s="202" t="b">
        <v>0</v>
      </c>
    </row>
    <row r="701">
      <c r="A701" s="201"/>
      <c r="B701" s="201"/>
      <c r="C701" s="202" t="b">
        <v>0</v>
      </c>
      <c r="D701" s="201"/>
      <c r="E701" s="201"/>
      <c r="F701" s="202" t="b">
        <v>0</v>
      </c>
      <c r="G701" s="202" t="b">
        <v>0</v>
      </c>
      <c r="H701" s="202" t="b">
        <v>0</v>
      </c>
      <c r="I701" s="202" t="b">
        <v>0</v>
      </c>
      <c r="J701" s="202" t="b">
        <v>0</v>
      </c>
      <c r="K701" s="202" t="b">
        <v>0</v>
      </c>
      <c r="L701" s="202" t="b">
        <v>0</v>
      </c>
      <c r="M701" s="202" t="b">
        <v>0</v>
      </c>
      <c r="N701" s="202" t="b">
        <v>0</v>
      </c>
    </row>
    <row r="702">
      <c r="A702" s="201"/>
      <c r="B702" s="201"/>
      <c r="C702" s="202" t="b">
        <v>0</v>
      </c>
      <c r="D702" s="201"/>
      <c r="E702" s="201"/>
      <c r="F702" s="202" t="b">
        <v>0</v>
      </c>
      <c r="G702" s="202" t="b">
        <v>0</v>
      </c>
      <c r="H702" s="202" t="b">
        <v>0</v>
      </c>
      <c r="I702" s="202" t="b">
        <v>0</v>
      </c>
      <c r="J702" s="202" t="b">
        <v>0</v>
      </c>
      <c r="K702" s="202" t="b">
        <v>0</v>
      </c>
      <c r="L702" s="202" t="b">
        <v>0</v>
      </c>
      <c r="M702" s="202" t="b">
        <v>0</v>
      </c>
      <c r="N702" s="202" t="b">
        <v>0</v>
      </c>
    </row>
    <row r="703">
      <c r="A703" s="201"/>
      <c r="B703" s="201"/>
      <c r="C703" s="202" t="b">
        <v>0</v>
      </c>
      <c r="D703" s="201"/>
      <c r="E703" s="201"/>
      <c r="F703" s="202" t="b">
        <v>0</v>
      </c>
      <c r="G703" s="202" t="b">
        <v>0</v>
      </c>
      <c r="H703" s="202" t="b">
        <v>0</v>
      </c>
      <c r="I703" s="202" t="b">
        <v>0</v>
      </c>
      <c r="J703" s="202" t="b">
        <v>0</v>
      </c>
      <c r="K703" s="202" t="b">
        <v>0</v>
      </c>
      <c r="L703" s="202" t="b">
        <v>0</v>
      </c>
      <c r="M703" s="202" t="b">
        <v>0</v>
      </c>
      <c r="N703" s="202" t="b">
        <v>0</v>
      </c>
    </row>
    <row r="704">
      <c r="A704" s="201"/>
      <c r="B704" s="201"/>
      <c r="C704" s="202" t="b">
        <v>0</v>
      </c>
      <c r="D704" s="201"/>
      <c r="E704" s="201"/>
      <c r="F704" s="202" t="b">
        <v>0</v>
      </c>
      <c r="G704" s="202" t="b">
        <v>0</v>
      </c>
      <c r="H704" s="202" t="b">
        <v>0</v>
      </c>
      <c r="I704" s="202" t="b">
        <v>0</v>
      </c>
      <c r="J704" s="202" t="b">
        <v>0</v>
      </c>
      <c r="K704" s="202" t="b">
        <v>0</v>
      </c>
      <c r="L704" s="202" t="b">
        <v>0</v>
      </c>
      <c r="M704" s="202" t="b">
        <v>0</v>
      </c>
      <c r="N704" s="202" t="b">
        <v>0</v>
      </c>
    </row>
    <row r="705">
      <c r="A705" s="201"/>
      <c r="B705" s="201"/>
      <c r="C705" s="202" t="b">
        <v>0</v>
      </c>
      <c r="D705" s="201"/>
      <c r="E705" s="201"/>
      <c r="F705" s="202" t="b">
        <v>0</v>
      </c>
      <c r="G705" s="202" t="b">
        <v>0</v>
      </c>
      <c r="H705" s="202" t="b">
        <v>0</v>
      </c>
      <c r="I705" s="202" t="b">
        <v>0</v>
      </c>
      <c r="J705" s="202" t="b">
        <v>0</v>
      </c>
      <c r="K705" s="202" t="b">
        <v>0</v>
      </c>
      <c r="L705" s="202" t="b">
        <v>0</v>
      </c>
      <c r="M705" s="202" t="b">
        <v>0</v>
      </c>
      <c r="N705" s="202" t="b">
        <v>0</v>
      </c>
    </row>
    <row r="706">
      <c r="A706" s="201"/>
      <c r="B706" s="201"/>
      <c r="C706" s="202" t="b">
        <v>0</v>
      </c>
      <c r="D706" s="201"/>
      <c r="E706" s="201"/>
      <c r="F706" s="202" t="b">
        <v>0</v>
      </c>
      <c r="G706" s="202" t="b">
        <v>0</v>
      </c>
      <c r="H706" s="202" t="b">
        <v>0</v>
      </c>
      <c r="I706" s="202" t="b">
        <v>0</v>
      </c>
      <c r="J706" s="202" t="b">
        <v>0</v>
      </c>
      <c r="K706" s="202" t="b">
        <v>0</v>
      </c>
      <c r="L706" s="202" t="b">
        <v>0</v>
      </c>
      <c r="M706" s="202" t="b">
        <v>0</v>
      </c>
      <c r="N706" s="202" t="b">
        <v>0</v>
      </c>
    </row>
    <row r="707">
      <c r="A707" s="201"/>
      <c r="B707" s="201"/>
      <c r="C707" s="202" t="b">
        <v>0</v>
      </c>
      <c r="D707" s="201"/>
      <c r="E707" s="201"/>
      <c r="F707" s="202" t="b">
        <v>0</v>
      </c>
      <c r="G707" s="202" t="b">
        <v>0</v>
      </c>
      <c r="H707" s="202" t="b">
        <v>0</v>
      </c>
      <c r="I707" s="202" t="b">
        <v>0</v>
      </c>
      <c r="J707" s="202" t="b">
        <v>0</v>
      </c>
      <c r="K707" s="202" t="b">
        <v>0</v>
      </c>
      <c r="L707" s="202" t="b">
        <v>0</v>
      </c>
      <c r="M707" s="202" t="b">
        <v>0</v>
      </c>
      <c r="N707" s="202" t="b">
        <v>0</v>
      </c>
    </row>
    <row r="708">
      <c r="A708" s="201"/>
      <c r="B708" s="201"/>
      <c r="C708" s="202" t="b">
        <v>0</v>
      </c>
      <c r="D708" s="201"/>
      <c r="E708" s="201"/>
      <c r="F708" s="202" t="b">
        <v>0</v>
      </c>
      <c r="G708" s="202" t="b">
        <v>0</v>
      </c>
      <c r="H708" s="202" t="b">
        <v>0</v>
      </c>
      <c r="I708" s="202" t="b">
        <v>0</v>
      </c>
      <c r="J708" s="202" t="b">
        <v>0</v>
      </c>
      <c r="K708" s="202" t="b">
        <v>0</v>
      </c>
      <c r="L708" s="202" t="b">
        <v>0</v>
      </c>
      <c r="M708" s="202" t="b">
        <v>0</v>
      </c>
      <c r="N708" s="202" t="b">
        <v>0</v>
      </c>
    </row>
    <row r="709">
      <c r="A709" s="201"/>
      <c r="B709" s="201"/>
      <c r="C709" s="202" t="b">
        <v>0</v>
      </c>
      <c r="D709" s="201"/>
      <c r="E709" s="201"/>
      <c r="F709" s="202" t="b">
        <v>0</v>
      </c>
      <c r="G709" s="202" t="b">
        <v>0</v>
      </c>
      <c r="H709" s="202" t="b">
        <v>0</v>
      </c>
      <c r="I709" s="202" t="b">
        <v>0</v>
      </c>
      <c r="J709" s="202" t="b">
        <v>0</v>
      </c>
      <c r="K709" s="202" t="b">
        <v>0</v>
      </c>
      <c r="L709" s="202" t="b">
        <v>0</v>
      </c>
      <c r="M709" s="202" t="b">
        <v>0</v>
      </c>
      <c r="N709" s="202" t="b">
        <v>0</v>
      </c>
    </row>
    <row r="710">
      <c r="A710" s="201"/>
      <c r="B710" s="201"/>
      <c r="C710" s="202" t="b">
        <v>0</v>
      </c>
      <c r="D710" s="201"/>
      <c r="E710" s="201"/>
      <c r="F710" s="202" t="b">
        <v>0</v>
      </c>
      <c r="G710" s="202" t="b">
        <v>0</v>
      </c>
      <c r="H710" s="202" t="b">
        <v>0</v>
      </c>
      <c r="I710" s="202" t="b">
        <v>0</v>
      </c>
      <c r="J710" s="202" t="b">
        <v>0</v>
      </c>
      <c r="K710" s="202" t="b">
        <v>0</v>
      </c>
      <c r="L710" s="202" t="b">
        <v>0</v>
      </c>
      <c r="M710" s="202" t="b">
        <v>0</v>
      </c>
      <c r="N710" s="202" t="b">
        <v>0</v>
      </c>
    </row>
    <row r="711">
      <c r="A711" s="201"/>
      <c r="B711" s="201"/>
      <c r="C711" s="202" t="b">
        <v>0</v>
      </c>
      <c r="D711" s="201"/>
      <c r="E711" s="201"/>
      <c r="F711" s="202" t="b">
        <v>0</v>
      </c>
      <c r="G711" s="202" t="b">
        <v>0</v>
      </c>
      <c r="H711" s="202" t="b">
        <v>0</v>
      </c>
      <c r="I711" s="202" t="b">
        <v>0</v>
      </c>
      <c r="J711" s="202" t="b">
        <v>0</v>
      </c>
      <c r="K711" s="202" t="b">
        <v>0</v>
      </c>
      <c r="L711" s="202" t="b">
        <v>0</v>
      </c>
      <c r="M711" s="202" t="b">
        <v>0</v>
      </c>
      <c r="N711" s="202" t="b">
        <v>0</v>
      </c>
    </row>
    <row r="712">
      <c r="A712" s="201"/>
      <c r="B712" s="201"/>
      <c r="C712" s="202" t="b">
        <v>0</v>
      </c>
      <c r="D712" s="201"/>
      <c r="E712" s="201"/>
      <c r="F712" s="202" t="b">
        <v>0</v>
      </c>
      <c r="G712" s="202" t="b">
        <v>0</v>
      </c>
      <c r="H712" s="202" t="b">
        <v>0</v>
      </c>
      <c r="I712" s="202" t="b">
        <v>0</v>
      </c>
      <c r="J712" s="202" t="b">
        <v>0</v>
      </c>
      <c r="K712" s="202" t="b">
        <v>0</v>
      </c>
      <c r="L712" s="202" t="b">
        <v>0</v>
      </c>
      <c r="M712" s="202" t="b">
        <v>0</v>
      </c>
      <c r="N712" s="202" t="b">
        <v>0</v>
      </c>
    </row>
    <row r="713">
      <c r="A713" s="201"/>
      <c r="B713" s="201"/>
      <c r="C713" s="202" t="b">
        <v>0</v>
      </c>
      <c r="D713" s="201"/>
      <c r="E713" s="201"/>
      <c r="F713" s="202" t="b">
        <v>0</v>
      </c>
      <c r="G713" s="202" t="b">
        <v>0</v>
      </c>
      <c r="H713" s="202" t="b">
        <v>0</v>
      </c>
      <c r="I713" s="202" t="b">
        <v>0</v>
      </c>
      <c r="J713" s="202" t="b">
        <v>0</v>
      </c>
      <c r="K713" s="202" t="b">
        <v>0</v>
      </c>
      <c r="L713" s="202" t="b">
        <v>0</v>
      </c>
      <c r="M713" s="202" t="b">
        <v>0</v>
      </c>
      <c r="N713" s="202" t="b">
        <v>0</v>
      </c>
    </row>
    <row r="714">
      <c r="A714" s="201"/>
      <c r="B714" s="201"/>
      <c r="C714" s="202" t="b">
        <v>0</v>
      </c>
      <c r="D714" s="201"/>
      <c r="E714" s="201"/>
      <c r="F714" s="202" t="b">
        <v>0</v>
      </c>
      <c r="G714" s="202" t="b">
        <v>0</v>
      </c>
      <c r="H714" s="202" t="b">
        <v>0</v>
      </c>
      <c r="I714" s="202" t="b">
        <v>0</v>
      </c>
      <c r="J714" s="202" t="b">
        <v>0</v>
      </c>
      <c r="K714" s="202" t="b">
        <v>0</v>
      </c>
      <c r="L714" s="202" t="b">
        <v>0</v>
      </c>
      <c r="M714" s="202" t="b">
        <v>0</v>
      </c>
      <c r="N714" s="202" t="b">
        <v>0</v>
      </c>
    </row>
    <row r="715">
      <c r="A715" s="201"/>
      <c r="B715" s="201"/>
      <c r="C715" s="202" t="b">
        <v>0</v>
      </c>
      <c r="D715" s="201"/>
      <c r="E715" s="201"/>
      <c r="F715" s="202" t="b">
        <v>0</v>
      </c>
      <c r="G715" s="202" t="b">
        <v>0</v>
      </c>
      <c r="H715" s="202" t="b">
        <v>0</v>
      </c>
      <c r="I715" s="202" t="b">
        <v>0</v>
      </c>
      <c r="J715" s="202" t="b">
        <v>0</v>
      </c>
      <c r="K715" s="202" t="b">
        <v>0</v>
      </c>
      <c r="L715" s="202" t="b">
        <v>0</v>
      </c>
      <c r="M715" s="202" t="b">
        <v>0</v>
      </c>
      <c r="N715" s="202" t="b">
        <v>0</v>
      </c>
    </row>
    <row r="716">
      <c r="A716" s="201"/>
      <c r="B716" s="201"/>
      <c r="C716" s="202" t="b">
        <v>0</v>
      </c>
      <c r="D716" s="201"/>
      <c r="E716" s="201"/>
      <c r="F716" s="202" t="b">
        <v>0</v>
      </c>
      <c r="G716" s="202" t="b">
        <v>0</v>
      </c>
      <c r="H716" s="202" t="b">
        <v>0</v>
      </c>
      <c r="I716" s="202" t="b">
        <v>0</v>
      </c>
      <c r="J716" s="202" t="b">
        <v>0</v>
      </c>
      <c r="K716" s="202" t="b">
        <v>0</v>
      </c>
      <c r="L716" s="202" t="b">
        <v>0</v>
      </c>
      <c r="M716" s="202" t="b">
        <v>0</v>
      </c>
      <c r="N716" s="202" t="b">
        <v>0</v>
      </c>
    </row>
    <row r="717">
      <c r="A717" s="201"/>
      <c r="B717" s="201"/>
      <c r="C717" s="202" t="b">
        <v>0</v>
      </c>
      <c r="D717" s="201"/>
      <c r="E717" s="201"/>
      <c r="F717" s="202" t="b">
        <v>0</v>
      </c>
      <c r="G717" s="202" t="b">
        <v>0</v>
      </c>
      <c r="H717" s="202" t="b">
        <v>0</v>
      </c>
      <c r="I717" s="202" t="b">
        <v>0</v>
      </c>
      <c r="J717" s="202" t="b">
        <v>0</v>
      </c>
      <c r="K717" s="202" t="b">
        <v>0</v>
      </c>
      <c r="L717" s="202" t="b">
        <v>0</v>
      </c>
      <c r="M717" s="202" t="b">
        <v>0</v>
      </c>
      <c r="N717" s="202" t="b">
        <v>0</v>
      </c>
    </row>
    <row r="718">
      <c r="A718" s="201"/>
      <c r="B718" s="201"/>
      <c r="C718" s="202" t="b">
        <v>0</v>
      </c>
      <c r="D718" s="201"/>
      <c r="E718" s="201"/>
      <c r="F718" s="202" t="b">
        <v>0</v>
      </c>
      <c r="G718" s="202" t="b">
        <v>0</v>
      </c>
      <c r="H718" s="202" t="b">
        <v>0</v>
      </c>
      <c r="I718" s="202" t="b">
        <v>0</v>
      </c>
      <c r="J718" s="202" t="b">
        <v>0</v>
      </c>
      <c r="K718" s="202" t="b">
        <v>0</v>
      </c>
      <c r="L718" s="202" t="b">
        <v>0</v>
      </c>
      <c r="M718" s="202" t="b">
        <v>0</v>
      </c>
      <c r="N718" s="202" t="b">
        <v>0</v>
      </c>
    </row>
    <row r="719">
      <c r="A719" s="201"/>
      <c r="B719" s="201"/>
      <c r="C719" s="202" t="b">
        <v>0</v>
      </c>
      <c r="D719" s="201"/>
      <c r="E719" s="201"/>
      <c r="F719" s="202" t="b">
        <v>0</v>
      </c>
      <c r="G719" s="202" t="b">
        <v>0</v>
      </c>
      <c r="H719" s="202" t="b">
        <v>0</v>
      </c>
      <c r="I719" s="202" t="b">
        <v>0</v>
      </c>
      <c r="J719" s="202" t="b">
        <v>0</v>
      </c>
      <c r="K719" s="202" t="b">
        <v>0</v>
      </c>
      <c r="L719" s="202" t="b">
        <v>0</v>
      </c>
      <c r="M719" s="202" t="b">
        <v>0</v>
      </c>
      <c r="N719" s="202" t="b">
        <v>0</v>
      </c>
    </row>
    <row r="720">
      <c r="A720" s="201"/>
      <c r="B720" s="201"/>
      <c r="C720" s="202" t="b">
        <v>0</v>
      </c>
      <c r="D720" s="201"/>
      <c r="E720" s="201"/>
      <c r="F720" s="202" t="b">
        <v>0</v>
      </c>
      <c r="G720" s="202" t="b">
        <v>0</v>
      </c>
      <c r="H720" s="202" t="b">
        <v>0</v>
      </c>
      <c r="I720" s="202" t="b">
        <v>0</v>
      </c>
      <c r="J720" s="202" t="b">
        <v>0</v>
      </c>
      <c r="K720" s="202" t="b">
        <v>0</v>
      </c>
      <c r="L720" s="202" t="b">
        <v>0</v>
      </c>
      <c r="M720" s="202" t="b">
        <v>0</v>
      </c>
      <c r="N720" s="202" t="b">
        <v>0</v>
      </c>
    </row>
    <row r="721">
      <c r="A721" s="201"/>
      <c r="B721" s="201"/>
      <c r="C721" s="202" t="b">
        <v>0</v>
      </c>
      <c r="D721" s="201"/>
      <c r="E721" s="201"/>
      <c r="F721" s="202" t="b">
        <v>0</v>
      </c>
      <c r="G721" s="202" t="b">
        <v>0</v>
      </c>
      <c r="H721" s="202" t="b">
        <v>0</v>
      </c>
      <c r="I721" s="202" t="b">
        <v>0</v>
      </c>
      <c r="J721" s="202" t="b">
        <v>0</v>
      </c>
      <c r="K721" s="202" t="b">
        <v>0</v>
      </c>
      <c r="L721" s="202" t="b">
        <v>0</v>
      </c>
      <c r="M721" s="202" t="b">
        <v>0</v>
      </c>
      <c r="N721" s="202" t="b">
        <v>0</v>
      </c>
    </row>
    <row r="722">
      <c r="A722" s="201"/>
      <c r="B722" s="201"/>
      <c r="C722" s="202" t="b">
        <v>0</v>
      </c>
      <c r="D722" s="201"/>
      <c r="E722" s="201"/>
      <c r="F722" s="202" t="b">
        <v>0</v>
      </c>
      <c r="G722" s="202" t="b">
        <v>0</v>
      </c>
      <c r="H722" s="202" t="b">
        <v>0</v>
      </c>
      <c r="I722" s="202" t="b">
        <v>0</v>
      </c>
      <c r="J722" s="202" t="b">
        <v>0</v>
      </c>
      <c r="K722" s="202" t="b">
        <v>0</v>
      </c>
      <c r="L722" s="202" t="b">
        <v>0</v>
      </c>
      <c r="M722" s="202" t="b">
        <v>0</v>
      </c>
      <c r="N722" s="202" t="b">
        <v>0</v>
      </c>
    </row>
    <row r="723">
      <c r="A723" s="201"/>
      <c r="B723" s="201"/>
      <c r="C723" s="202" t="b">
        <v>0</v>
      </c>
      <c r="D723" s="201"/>
      <c r="E723" s="201"/>
      <c r="F723" s="202" t="b">
        <v>0</v>
      </c>
      <c r="G723" s="202" t="b">
        <v>0</v>
      </c>
      <c r="H723" s="202" t="b">
        <v>0</v>
      </c>
      <c r="I723" s="202" t="b">
        <v>0</v>
      </c>
      <c r="J723" s="202" t="b">
        <v>0</v>
      </c>
      <c r="K723" s="202" t="b">
        <v>0</v>
      </c>
      <c r="L723" s="202" t="b">
        <v>0</v>
      </c>
      <c r="M723" s="202" t="b">
        <v>0</v>
      </c>
      <c r="N723" s="202" t="b">
        <v>0</v>
      </c>
    </row>
    <row r="724">
      <c r="A724" s="201"/>
      <c r="B724" s="201"/>
      <c r="C724" s="202" t="b">
        <v>0</v>
      </c>
      <c r="D724" s="201"/>
      <c r="E724" s="201"/>
      <c r="F724" s="202" t="b">
        <v>0</v>
      </c>
      <c r="G724" s="202" t="b">
        <v>0</v>
      </c>
      <c r="H724" s="202" t="b">
        <v>0</v>
      </c>
      <c r="I724" s="202" t="b">
        <v>0</v>
      </c>
      <c r="J724" s="202" t="b">
        <v>0</v>
      </c>
      <c r="K724" s="202" t="b">
        <v>0</v>
      </c>
      <c r="L724" s="202" t="b">
        <v>0</v>
      </c>
      <c r="M724" s="202" t="b">
        <v>0</v>
      </c>
      <c r="N724" s="202" t="b">
        <v>0</v>
      </c>
    </row>
    <row r="725">
      <c r="A725" s="201"/>
      <c r="B725" s="201"/>
      <c r="C725" s="202" t="b">
        <v>0</v>
      </c>
      <c r="D725" s="201"/>
      <c r="E725" s="201"/>
      <c r="F725" s="202" t="b">
        <v>0</v>
      </c>
      <c r="G725" s="202" t="b">
        <v>0</v>
      </c>
      <c r="H725" s="202" t="b">
        <v>0</v>
      </c>
      <c r="I725" s="202" t="b">
        <v>0</v>
      </c>
      <c r="J725" s="202" t="b">
        <v>0</v>
      </c>
      <c r="K725" s="202" t="b">
        <v>0</v>
      </c>
      <c r="L725" s="202" t="b">
        <v>0</v>
      </c>
      <c r="M725" s="202" t="b">
        <v>0</v>
      </c>
      <c r="N725" s="202" t="b">
        <v>0</v>
      </c>
    </row>
    <row r="726">
      <c r="A726" s="201"/>
      <c r="B726" s="201"/>
      <c r="C726" s="202" t="b">
        <v>0</v>
      </c>
      <c r="D726" s="201"/>
      <c r="E726" s="201"/>
      <c r="F726" s="202" t="b">
        <v>0</v>
      </c>
      <c r="G726" s="202" t="b">
        <v>0</v>
      </c>
      <c r="H726" s="202" t="b">
        <v>0</v>
      </c>
      <c r="I726" s="202" t="b">
        <v>0</v>
      </c>
      <c r="J726" s="202" t="b">
        <v>0</v>
      </c>
      <c r="K726" s="202" t="b">
        <v>0</v>
      </c>
      <c r="L726" s="202" t="b">
        <v>0</v>
      </c>
      <c r="M726" s="202" t="b">
        <v>0</v>
      </c>
      <c r="N726" s="202" t="b">
        <v>0</v>
      </c>
    </row>
    <row r="727">
      <c r="A727" s="201"/>
      <c r="B727" s="201"/>
      <c r="C727" s="202" t="b">
        <v>0</v>
      </c>
      <c r="D727" s="201"/>
      <c r="E727" s="201"/>
      <c r="F727" s="202" t="b">
        <v>0</v>
      </c>
      <c r="G727" s="202" t="b">
        <v>0</v>
      </c>
      <c r="H727" s="202" t="b">
        <v>0</v>
      </c>
      <c r="I727" s="202" t="b">
        <v>0</v>
      </c>
      <c r="J727" s="202" t="b">
        <v>0</v>
      </c>
      <c r="K727" s="202" t="b">
        <v>0</v>
      </c>
      <c r="L727" s="202" t="b">
        <v>0</v>
      </c>
      <c r="M727" s="202" t="b">
        <v>0</v>
      </c>
      <c r="N727" s="202" t="b">
        <v>0</v>
      </c>
    </row>
    <row r="728">
      <c r="A728" s="201"/>
      <c r="B728" s="201"/>
      <c r="C728" s="202" t="b">
        <v>0</v>
      </c>
      <c r="D728" s="201"/>
      <c r="E728" s="201"/>
      <c r="F728" s="202" t="b">
        <v>0</v>
      </c>
      <c r="G728" s="202" t="b">
        <v>0</v>
      </c>
      <c r="H728" s="202" t="b">
        <v>0</v>
      </c>
      <c r="I728" s="202" t="b">
        <v>0</v>
      </c>
      <c r="J728" s="202" t="b">
        <v>0</v>
      </c>
      <c r="K728" s="202" t="b">
        <v>0</v>
      </c>
      <c r="L728" s="202" t="b">
        <v>0</v>
      </c>
      <c r="M728" s="202" t="b">
        <v>0</v>
      </c>
      <c r="N728" s="202" t="b">
        <v>0</v>
      </c>
    </row>
    <row r="729">
      <c r="A729" s="201"/>
      <c r="B729" s="201"/>
      <c r="C729" s="202" t="b">
        <v>0</v>
      </c>
      <c r="D729" s="201"/>
      <c r="E729" s="201"/>
      <c r="F729" s="202" t="b">
        <v>0</v>
      </c>
      <c r="G729" s="202" t="b">
        <v>0</v>
      </c>
      <c r="H729" s="202" t="b">
        <v>0</v>
      </c>
      <c r="I729" s="202" t="b">
        <v>0</v>
      </c>
      <c r="J729" s="202" t="b">
        <v>0</v>
      </c>
      <c r="K729" s="202" t="b">
        <v>0</v>
      </c>
      <c r="L729" s="202" t="b">
        <v>0</v>
      </c>
      <c r="M729" s="202" t="b">
        <v>0</v>
      </c>
      <c r="N729" s="202" t="b">
        <v>0</v>
      </c>
    </row>
    <row r="730">
      <c r="A730" s="201"/>
      <c r="B730" s="201"/>
      <c r="C730" s="202" t="b">
        <v>0</v>
      </c>
      <c r="D730" s="201"/>
      <c r="E730" s="201"/>
      <c r="F730" s="202" t="b">
        <v>0</v>
      </c>
      <c r="G730" s="202" t="b">
        <v>0</v>
      </c>
      <c r="H730" s="202" t="b">
        <v>0</v>
      </c>
      <c r="I730" s="202" t="b">
        <v>0</v>
      </c>
      <c r="J730" s="202" t="b">
        <v>0</v>
      </c>
      <c r="K730" s="202" t="b">
        <v>0</v>
      </c>
      <c r="L730" s="202" t="b">
        <v>0</v>
      </c>
      <c r="M730" s="202" t="b">
        <v>0</v>
      </c>
      <c r="N730" s="202" t="b">
        <v>0</v>
      </c>
    </row>
    <row r="731">
      <c r="A731" s="201"/>
      <c r="B731" s="201"/>
      <c r="C731" s="202" t="b">
        <v>0</v>
      </c>
      <c r="D731" s="201"/>
      <c r="E731" s="201"/>
      <c r="F731" s="202" t="b">
        <v>0</v>
      </c>
      <c r="G731" s="202" t="b">
        <v>0</v>
      </c>
      <c r="H731" s="202" t="b">
        <v>0</v>
      </c>
      <c r="I731" s="202" t="b">
        <v>0</v>
      </c>
      <c r="J731" s="202" t="b">
        <v>0</v>
      </c>
      <c r="K731" s="202" t="b">
        <v>0</v>
      </c>
      <c r="L731" s="202" t="b">
        <v>0</v>
      </c>
      <c r="M731" s="202" t="b">
        <v>0</v>
      </c>
      <c r="N731" s="202" t="b">
        <v>0</v>
      </c>
    </row>
    <row r="732">
      <c r="A732" s="201"/>
      <c r="B732" s="201"/>
      <c r="C732" s="202" t="b">
        <v>0</v>
      </c>
      <c r="D732" s="201"/>
      <c r="E732" s="201"/>
      <c r="F732" s="202" t="b">
        <v>0</v>
      </c>
      <c r="G732" s="202" t="b">
        <v>0</v>
      </c>
      <c r="H732" s="202" t="b">
        <v>0</v>
      </c>
      <c r="I732" s="202" t="b">
        <v>0</v>
      </c>
      <c r="J732" s="202" t="b">
        <v>0</v>
      </c>
      <c r="K732" s="202" t="b">
        <v>0</v>
      </c>
      <c r="L732" s="202" t="b">
        <v>0</v>
      </c>
      <c r="M732" s="202" t="b">
        <v>0</v>
      </c>
      <c r="N732" s="202" t="b">
        <v>0</v>
      </c>
    </row>
    <row r="733">
      <c r="A733" s="201"/>
      <c r="B733" s="201"/>
      <c r="C733" s="202" t="b">
        <v>0</v>
      </c>
      <c r="D733" s="201"/>
      <c r="E733" s="201"/>
      <c r="F733" s="202" t="b">
        <v>0</v>
      </c>
      <c r="G733" s="202" t="b">
        <v>0</v>
      </c>
      <c r="H733" s="202" t="b">
        <v>0</v>
      </c>
      <c r="I733" s="202" t="b">
        <v>0</v>
      </c>
      <c r="J733" s="202" t="b">
        <v>0</v>
      </c>
      <c r="K733" s="202" t="b">
        <v>0</v>
      </c>
      <c r="L733" s="202" t="b">
        <v>0</v>
      </c>
      <c r="M733" s="202" t="b">
        <v>0</v>
      </c>
      <c r="N733" s="202" t="b">
        <v>0</v>
      </c>
    </row>
    <row r="734">
      <c r="A734" s="201"/>
      <c r="B734" s="201"/>
      <c r="C734" s="202" t="b">
        <v>0</v>
      </c>
      <c r="D734" s="201"/>
      <c r="E734" s="201"/>
      <c r="F734" s="202" t="b">
        <v>0</v>
      </c>
      <c r="G734" s="202" t="b">
        <v>0</v>
      </c>
      <c r="H734" s="202" t="b">
        <v>0</v>
      </c>
      <c r="I734" s="202" t="b">
        <v>0</v>
      </c>
      <c r="J734" s="202" t="b">
        <v>0</v>
      </c>
      <c r="K734" s="202" t="b">
        <v>0</v>
      </c>
      <c r="L734" s="202" t="b">
        <v>0</v>
      </c>
      <c r="M734" s="202" t="b">
        <v>0</v>
      </c>
      <c r="N734" s="202" t="b">
        <v>0</v>
      </c>
    </row>
    <row r="735">
      <c r="A735" s="201"/>
      <c r="B735" s="201"/>
      <c r="C735" s="202" t="b">
        <v>0</v>
      </c>
      <c r="D735" s="201"/>
      <c r="E735" s="201"/>
      <c r="F735" s="202" t="b">
        <v>0</v>
      </c>
      <c r="G735" s="202" t="b">
        <v>0</v>
      </c>
      <c r="H735" s="202" t="b">
        <v>0</v>
      </c>
      <c r="I735" s="202" t="b">
        <v>0</v>
      </c>
      <c r="J735" s="202" t="b">
        <v>0</v>
      </c>
      <c r="K735" s="202" t="b">
        <v>0</v>
      </c>
      <c r="L735" s="202" t="b">
        <v>0</v>
      </c>
      <c r="M735" s="202" t="b">
        <v>0</v>
      </c>
      <c r="N735" s="202" t="b">
        <v>0</v>
      </c>
    </row>
    <row r="736">
      <c r="A736" s="201"/>
      <c r="B736" s="201"/>
      <c r="C736" s="202" t="b">
        <v>0</v>
      </c>
      <c r="D736" s="201"/>
      <c r="E736" s="201"/>
      <c r="F736" s="202" t="b">
        <v>0</v>
      </c>
      <c r="G736" s="202" t="b">
        <v>0</v>
      </c>
      <c r="H736" s="202" t="b">
        <v>0</v>
      </c>
      <c r="I736" s="202" t="b">
        <v>0</v>
      </c>
      <c r="J736" s="202" t="b">
        <v>0</v>
      </c>
      <c r="K736" s="202" t="b">
        <v>0</v>
      </c>
      <c r="L736" s="202" t="b">
        <v>0</v>
      </c>
      <c r="M736" s="202" t="b">
        <v>0</v>
      </c>
      <c r="N736" s="202" t="b">
        <v>0</v>
      </c>
    </row>
    <row r="737">
      <c r="A737" s="201"/>
      <c r="B737" s="201"/>
      <c r="C737" s="202" t="b">
        <v>0</v>
      </c>
      <c r="D737" s="201"/>
      <c r="E737" s="201"/>
      <c r="F737" s="202" t="b">
        <v>0</v>
      </c>
      <c r="G737" s="202" t="b">
        <v>0</v>
      </c>
      <c r="H737" s="202" t="b">
        <v>0</v>
      </c>
      <c r="I737" s="202" t="b">
        <v>0</v>
      </c>
      <c r="J737" s="202" t="b">
        <v>0</v>
      </c>
      <c r="K737" s="202" t="b">
        <v>0</v>
      </c>
      <c r="L737" s="202" t="b">
        <v>0</v>
      </c>
      <c r="M737" s="202" t="b">
        <v>0</v>
      </c>
      <c r="N737" s="202" t="b">
        <v>0</v>
      </c>
    </row>
    <row r="738">
      <c r="A738" s="201"/>
      <c r="B738" s="201"/>
      <c r="C738" s="202" t="b">
        <v>0</v>
      </c>
      <c r="D738" s="201"/>
      <c r="E738" s="201"/>
      <c r="F738" s="202" t="b">
        <v>0</v>
      </c>
      <c r="G738" s="202" t="b">
        <v>0</v>
      </c>
      <c r="H738" s="202" t="b">
        <v>0</v>
      </c>
      <c r="I738" s="202" t="b">
        <v>0</v>
      </c>
      <c r="J738" s="202" t="b">
        <v>0</v>
      </c>
      <c r="K738" s="202" t="b">
        <v>0</v>
      </c>
      <c r="L738" s="202" t="b">
        <v>0</v>
      </c>
      <c r="M738" s="202" t="b">
        <v>0</v>
      </c>
      <c r="N738" s="202" t="b">
        <v>0</v>
      </c>
    </row>
    <row r="739">
      <c r="A739" s="201"/>
      <c r="B739" s="201"/>
      <c r="C739" s="202" t="b">
        <v>0</v>
      </c>
      <c r="D739" s="201"/>
      <c r="E739" s="201"/>
      <c r="F739" s="202" t="b">
        <v>0</v>
      </c>
      <c r="G739" s="202" t="b">
        <v>0</v>
      </c>
      <c r="H739" s="202" t="b">
        <v>0</v>
      </c>
      <c r="I739" s="202" t="b">
        <v>0</v>
      </c>
      <c r="J739" s="202" t="b">
        <v>0</v>
      </c>
      <c r="K739" s="202" t="b">
        <v>0</v>
      </c>
      <c r="L739" s="202" t="b">
        <v>0</v>
      </c>
      <c r="M739" s="202" t="b">
        <v>0</v>
      </c>
      <c r="N739" s="202" t="b">
        <v>0</v>
      </c>
    </row>
    <row r="740">
      <c r="A740" s="201"/>
      <c r="B740" s="201"/>
      <c r="C740" s="202" t="b">
        <v>0</v>
      </c>
      <c r="D740" s="201"/>
      <c r="E740" s="201"/>
      <c r="F740" s="202" t="b">
        <v>0</v>
      </c>
      <c r="G740" s="202" t="b">
        <v>0</v>
      </c>
      <c r="H740" s="202" t="b">
        <v>0</v>
      </c>
      <c r="I740" s="202" t="b">
        <v>0</v>
      </c>
      <c r="J740" s="202" t="b">
        <v>0</v>
      </c>
      <c r="K740" s="202" t="b">
        <v>0</v>
      </c>
      <c r="L740" s="202" t="b">
        <v>0</v>
      </c>
      <c r="M740" s="202" t="b">
        <v>0</v>
      </c>
      <c r="N740" s="202" t="b">
        <v>0</v>
      </c>
    </row>
    <row r="741">
      <c r="A741" s="201"/>
      <c r="B741" s="201"/>
      <c r="C741" s="202" t="b">
        <v>0</v>
      </c>
      <c r="D741" s="201"/>
      <c r="E741" s="201"/>
      <c r="F741" s="202" t="b">
        <v>0</v>
      </c>
      <c r="G741" s="202" t="b">
        <v>0</v>
      </c>
      <c r="H741" s="202" t="b">
        <v>0</v>
      </c>
      <c r="I741" s="202" t="b">
        <v>0</v>
      </c>
      <c r="J741" s="202" t="b">
        <v>0</v>
      </c>
      <c r="K741" s="202" t="b">
        <v>0</v>
      </c>
      <c r="L741" s="202" t="b">
        <v>0</v>
      </c>
      <c r="M741" s="202" t="b">
        <v>0</v>
      </c>
      <c r="N741" s="202" t="b">
        <v>0</v>
      </c>
    </row>
    <row r="742">
      <c r="A742" s="201"/>
      <c r="B742" s="201"/>
      <c r="C742" s="202" t="b">
        <v>0</v>
      </c>
      <c r="D742" s="201"/>
      <c r="E742" s="201"/>
      <c r="F742" s="202" t="b">
        <v>0</v>
      </c>
      <c r="G742" s="202" t="b">
        <v>0</v>
      </c>
      <c r="H742" s="202" t="b">
        <v>0</v>
      </c>
      <c r="I742" s="202" t="b">
        <v>0</v>
      </c>
      <c r="J742" s="202" t="b">
        <v>0</v>
      </c>
      <c r="K742" s="202" t="b">
        <v>0</v>
      </c>
      <c r="L742" s="202" t="b">
        <v>0</v>
      </c>
      <c r="M742" s="202" t="b">
        <v>0</v>
      </c>
      <c r="N742" s="202" t="b">
        <v>0</v>
      </c>
    </row>
    <row r="743">
      <c r="A743" s="201"/>
      <c r="B743" s="201"/>
      <c r="C743" s="202" t="b">
        <v>0</v>
      </c>
      <c r="D743" s="201"/>
      <c r="E743" s="201"/>
      <c r="F743" s="202" t="b">
        <v>0</v>
      </c>
      <c r="G743" s="202" t="b">
        <v>0</v>
      </c>
      <c r="H743" s="202" t="b">
        <v>0</v>
      </c>
      <c r="I743" s="202" t="b">
        <v>0</v>
      </c>
      <c r="J743" s="202" t="b">
        <v>0</v>
      </c>
      <c r="K743" s="202" t="b">
        <v>0</v>
      </c>
      <c r="L743" s="202" t="b">
        <v>0</v>
      </c>
      <c r="M743" s="202" t="b">
        <v>0</v>
      </c>
      <c r="N743" s="202" t="b">
        <v>0</v>
      </c>
    </row>
    <row r="744">
      <c r="A744" s="201"/>
      <c r="B744" s="201"/>
      <c r="C744" s="202" t="b">
        <v>0</v>
      </c>
      <c r="D744" s="201"/>
      <c r="E744" s="201"/>
      <c r="F744" s="202" t="b">
        <v>0</v>
      </c>
      <c r="G744" s="202" t="b">
        <v>0</v>
      </c>
      <c r="H744" s="202" t="b">
        <v>0</v>
      </c>
      <c r="I744" s="202" t="b">
        <v>0</v>
      </c>
      <c r="J744" s="202" t="b">
        <v>0</v>
      </c>
      <c r="K744" s="202" t="b">
        <v>0</v>
      </c>
      <c r="L744" s="202" t="b">
        <v>0</v>
      </c>
      <c r="M744" s="202" t="b">
        <v>0</v>
      </c>
      <c r="N744" s="202" t="b">
        <v>0</v>
      </c>
    </row>
    <row r="745">
      <c r="A745" s="201"/>
      <c r="B745" s="201"/>
      <c r="C745" s="202" t="b">
        <v>0</v>
      </c>
      <c r="D745" s="201"/>
      <c r="E745" s="201"/>
      <c r="F745" s="202" t="b">
        <v>0</v>
      </c>
      <c r="G745" s="202" t="b">
        <v>0</v>
      </c>
      <c r="H745" s="202" t="b">
        <v>0</v>
      </c>
      <c r="I745" s="202" t="b">
        <v>0</v>
      </c>
      <c r="J745" s="202" t="b">
        <v>0</v>
      </c>
      <c r="K745" s="202" t="b">
        <v>0</v>
      </c>
      <c r="L745" s="202" t="b">
        <v>0</v>
      </c>
      <c r="M745" s="202" t="b">
        <v>0</v>
      </c>
      <c r="N745" s="202" t="b">
        <v>0</v>
      </c>
    </row>
    <row r="746">
      <c r="A746" s="201"/>
      <c r="B746" s="201"/>
      <c r="C746" s="202" t="b">
        <v>0</v>
      </c>
      <c r="D746" s="201"/>
      <c r="E746" s="201"/>
      <c r="F746" s="202" t="b">
        <v>0</v>
      </c>
      <c r="G746" s="202" t="b">
        <v>0</v>
      </c>
      <c r="H746" s="202" t="b">
        <v>0</v>
      </c>
      <c r="I746" s="202" t="b">
        <v>0</v>
      </c>
      <c r="J746" s="202" t="b">
        <v>0</v>
      </c>
      <c r="K746" s="202" t="b">
        <v>0</v>
      </c>
      <c r="L746" s="202" t="b">
        <v>0</v>
      </c>
      <c r="M746" s="202" t="b">
        <v>0</v>
      </c>
      <c r="N746" s="202" t="b">
        <v>0</v>
      </c>
    </row>
    <row r="747">
      <c r="A747" s="201"/>
      <c r="B747" s="201"/>
      <c r="C747" s="202" t="b">
        <v>0</v>
      </c>
      <c r="D747" s="201"/>
      <c r="E747" s="201"/>
      <c r="F747" s="202" t="b">
        <v>0</v>
      </c>
      <c r="G747" s="202" t="b">
        <v>0</v>
      </c>
      <c r="H747" s="202" t="b">
        <v>0</v>
      </c>
      <c r="I747" s="202" t="b">
        <v>0</v>
      </c>
      <c r="J747" s="202" t="b">
        <v>0</v>
      </c>
      <c r="K747" s="202" t="b">
        <v>0</v>
      </c>
      <c r="L747" s="202" t="b">
        <v>0</v>
      </c>
      <c r="M747" s="202" t="b">
        <v>0</v>
      </c>
      <c r="N747" s="202" t="b">
        <v>0</v>
      </c>
    </row>
    <row r="748">
      <c r="A748" s="201"/>
      <c r="B748" s="201"/>
      <c r="C748" s="202" t="b">
        <v>0</v>
      </c>
      <c r="D748" s="201"/>
      <c r="E748" s="201"/>
      <c r="F748" s="202" t="b">
        <v>0</v>
      </c>
      <c r="G748" s="202" t="b">
        <v>0</v>
      </c>
      <c r="H748" s="202" t="b">
        <v>0</v>
      </c>
      <c r="I748" s="202" t="b">
        <v>0</v>
      </c>
      <c r="J748" s="202" t="b">
        <v>0</v>
      </c>
      <c r="K748" s="202" t="b">
        <v>0</v>
      </c>
      <c r="L748" s="202" t="b">
        <v>0</v>
      </c>
      <c r="M748" s="202" t="b">
        <v>0</v>
      </c>
      <c r="N748" s="202" t="b">
        <v>0</v>
      </c>
    </row>
    <row r="749">
      <c r="A749" s="201"/>
      <c r="B749" s="201"/>
      <c r="C749" s="202" t="b">
        <v>0</v>
      </c>
      <c r="D749" s="201"/>
      <c r="E749" s="201"/>
      <c r="F749" s="202" t="b">
        <v>0</v>
      </c>
      <c r="G749" s="202" t="b">
        <v>0</v>
      </c>
      <c r="H749" s="202" t="b">
        <v>0</v>
      </c>
      <c r="I749" s="202" t="b">
        <v>0</v>
      </c>
      <c r="J749" s="202" t="b">
        <v>0</v>
      </c>
      <c r="K749" s="202" t="b">
        <v>0</v>
      </c>
      <c r="L749" s="202" t="b">
        <v>0</v>
      </c>
      <c r="M749" s="202" t="b">
        <v>0</v>
      </c>
      <c r="N749" s="202" t="b">
        <v>0</v>
      </c>
    </row>
    <row r="750">
      <c r="A750" s="201"/>
      <c r="B750" s="201"/>
      <c r="C750" s="202" t="b">
        <v>0</v>
      </c>
      <c r="D750" s="201"/>
      <c r="E750" s="201"/>
      <c r="F750" s="202" t="b">
        <v>0</v>
      </c>
      <c r="G750" s="202" t="b">
        <v>0</v>
      </c>
      <c r="H750" s="202" t="b">
        <v>0</v>
      </c>
      <c r="I750" s="202" t="b">
        <v>0</v>
      </c>
      <c r="J750" s="202" t="b">
        <v>0</v>
      </c>
      <c r="K750" s="202" t="b">
        <v>0</v>
      </c>
      <c r="L750" s="202" t="b">
        <v>0</v>
      </c>
      <c r="M750" s="202" t="b">
        <v>0</v>
      </c>
      <c r="N750" s="202" t="b">
        <v>0</v>
      </c>
    </row>
    <row r="751">
      <c r="A751" s="201"/>
      <c r="B751" s="201"/>
      <c r="C751" s="202" t="b">
        <v>0</v>
      </c>
      <c r="D751" s="201"/>
      <c r="E751" s="201"/>
      <c r="F751" s="202" t="b">
        <v>0</v>
      </c>
      <c r="G751" s="202" t="b">
        <v>0</v>
      </c>
      <c r="H751" s="202" t="b">
        <v>0</v>
      </c>
      <c r="I751" s="202" t="b">
        <v>0</v>
      </c>
      <c r="J751" s="202" t="b">
        <v>0</v>
      </c>
      <c r="K751" s="202" t="b">
        <v>0</v>
      </c>
      <c r="L751" s="202" t="b">
        <v>0</v>
      </c>
      <c r="M751" s="202" t="b">
        <v>0</v>
      </c>
      <c r="N751" s="202" t="b">
        <v>0</v>
      </c>
    </row>
    <row r="752">
      <c r="A752" s="201"/>
      <c r="B752" s="201"/>
      <c r="C752" s="202" t="b">
        <v>0</v>
      </c>
      <c r="D752" s="201"/>
      <c r="E752" s="201"/>
      <c r="F752" s="202" t="b">
        <v>0</v>
      </c>
      <c r="G752" s="202" t="b">
        <v>0</v>
      </c>
      <c r="H752" s="202" t="b">
        <v>0</v>
      </c>
      <c r="I752" s="202" t="b">
        <v>0</v>
      </c>
      <c r="J752" s="202" t="b">
        <v>0</v>
      </c>
      <c r="K752" s="202" t="b">
        <v>0</v>
      </c>
      <c r="L752" s="202" t="b">
        <v>0</v>
      </c>
      <c r="M752" s="202" t="b">
        <v>0</v>
      </c>
      <c r="N752" s="202" t="b">
        <v>0</v>
      </c>
    </row>
    <row r="753">
      <c r="A753" s="201"/>
      <c r="B753" s="201"/>
      <c r="C753" s="202" t="b">
        <v>0</v>
      </c>
      <c r="D753" s="201"/>
      <c r="E753" s="201"/>
      <c r="F753" s="202" t="b">
        <v>0</v>
      </c>
      <c r="G753" s="202" t="b">
        <v>0</v>
      </c>
      <c r="H753" s="202" t="b">
        <v>0</v>
      </c>
      <c r="I753" s="202" t="b">
        <v>0</v>
      </c>
      <c r="J753" s="202" t="b">
        <v>0</v>
      </c>
      <c r="K753" s="202" t="b">
        <v>0</v>
      </c>
      <c r="L753" s="202" t="b">
        <v>0</v>
      </c>
      <c r="M753" s="202" t="b">
        <v>0</v>
      </c>
      <c r="N753" s="202" t="b">
        <v>0</v>
      </c>
    </row>
    <row r="754">
      <c r="A754" s="201"/>
      <c r="B754" s="201"/>
      <c r="C754" s="202" t="b">
        <v>0</v>
      </c>
      <c r="D754" s="201"/>
      <c r="E754" s="201"/>
      <c r="F754" s="202" t="b">
        <v>0</v>
      </c>
      <c r="G754" s="202" t="b">
        <v>0</v>
      </c>
      <c r="H754" s="202" t="b">
        <v>0</v>
      </c>
      <c r="I754" s="202" t="b">
        <v>0</v>
      </c>
      <c r="J754" s="202" t="b">
        <v>0</v>
      </c>
      <c r="K754" s="202" t="b">
        <v>0</v>
      </c>
      <c r="L754" s="202" t="b">
        <v>0</v>
      </c>
      <c r="M754" s="202" t="b">
        <v>0</v>
      </c>
      <c r="N754" s="202" t="b">
        <v>0</v>
      </c>
    </row>
    <row r="755">
      <c r="A755" s="201"/>
      <c r="B755" s="201"/>
      <c r="C755" s="202" t="b">
        <v>0</v>
      </c>
      <c r="D755" s="201"/>
      <c r="E755" s="201"/>
      <c r="F755" s="202" t="b">
        <v>0</v>
      </c>
      <c r="G755" s="202" t="b">
        <v>0</v>
      </c>
      <c r="H755" s="202" t="b">
        <v>0</v>
      </c>
      <c r="I755" s="202" t="b">
        <v>0</v>
      </c>
      <c r="J755" s="202" t="b">
        <v>0</v>
      </c>
      <c r="K755" s="202" t="b">
        <v>0</v>
      </c>
      <c r="L755" s="202" t="b">
        <v>0</v>
      </c>
      <c r="M755" s="202" t="b">
        <v>0</v>
      </c>
      <c r="N755" s="202" t="b">
        <v>0</v>
      </c>
    </row>
    <row r="756">
      <c r="A756" s="201"/>
      <c r="B756" s="201"/>
      <c r="C756" s="202" t="b">
        <v>0</v>
      </c>
      <c r="D756" s="201"/>
      <c r="E756" s="201"/>
      <c r="F756" s="202" t="b">
        <v>0</v>
      </c>
      <c r="G756" s="202" t="b">
        <v>0</v>
      </c>
      <c r="H756" s="202" t="b">
        <v>0</v>
      </c>
      <c r="I756" s="202" t="b">
        <v>0</v>
      </c>
      <c r="J756" s="202" t="b">
        <v>0</v>
      </c>
      <c r="K756" s="202" t="b">
        <v>0</v>
      </c>
      <c r="L756" s="202" t="b">
        <v>0</v>
      </c>
      <c r="M756" s="202" t="b">
        <v>0</v>
      </c>
      <c r="N756" s="202" t="b">
        <v>0</v>
      </c>
    </row>
    <row r="757">
      <c r="A757" s="201"/>
      <c r="B757" s="201"/>
      <c r="C757" s="202" t="b">
        <v>0</v>
      </c>
      <c r="D757" s="201"/>
      <c r="E757" s="201"/>
      <c r="F757" s="202" t="b">
        <v>0</v>
      </c>
      <c r="G757" s="202" t="b">
        <v>0</v>
      </c>
      <c r="H757" s="202" t="b">
        <v>0</v>
      </c>
      <c r="I757" s="202" t="b">
        <v>0</v>
      </c>
      <c r="J757" s="202" t="b">
        <v>0</v>
      </c>
      <c r="K757" s="202" t="b">
        <v>0</v>
      </c>
      <c r="L757" s="202" t="b">
        <v>0</v>
      </c>
      <c r="M757" s="202" t="b">
        <v>0</v>
      </c>
      <c r="N757" s="202" t="b">
        <v>0</v>
      </c>
    </row>
    <row r="758">
      <c r="A758" s="201"/>
      <c r="B758" s="201"/>
      <c r="C758" s="202" t="b">
        <v>0</v>
      </c>
      <c r="D758" s="201"/>
      <c r="E758" s="201"/>
      <c r="F758" s="202" t="b">
        <v>0</v>
      </c>
      <c r="G758" s="202" t="b">
        <v>0</v>
      </c>
      <c r="H758" s="202" t="b">
        <v>0</v>
      </c>
      <c r="I758" s="202" t="b">
        <v>0</v>
      </c>
      <c r="J758" s="202" t="b">
        <v>0</v>
      </c>
      <c r="K758" s="202" t="b">
        <v>0</v>
      </c>
      <c r="L758" s="202" t="b">
        <v>0</v>
      </c>
      <c r="M758" s="202" t="b">
        <v>0</v>
      </c>
      <c r="N758" s="202" t="b">
        <v>0</v>
      </c>
    </row>
    <row r="759">
      <c r="A759" s="201"/>
      <c r="B759" s="201"/>
      <c r="C759" s="202" t="b">
        <v>0</v>
      </c>
      <c r="D759" s="201"/>
      <c r="E759" s="201"/>
      <c r="F759" s="202" t="b">
        <v>0</v>
      </c>
      <c r="G759" s="202" t="b">
        <v>0</v>
      </c>
      <c r="H759" s="202" t="b">
        <v>0</v>
      </c>
      <c r="I759" s="202" t="b">
        <v>0</v>
      </c>
      <c r="J759" s="202" t="b">
        <v>0</v>
      </c>
      <c r="K759" s="202" t="b">
        <v>0</v>
      </c>
      <c r="L759" s="202" t="b">
        <v>0</v>
      </c>
      <c r="M759" s="202" t="b">
        <v>0</v>
      </c>
      <c r="N759" s="202" t="b">
        <v>0</v>
      </c>
    </row>
    <row r="760">
      <c r="A760" s="201"/>
      <c r="B760" s="201"/>
      <c r="C760" s="202" t="b">
        <v>0</v>
      </c>
      <c r="D760" s="201"/>
      <c r="E760" s="201"/>
      <c r="F760" s="202" t="b">
        <v>0</v>
      </c>
      <c r="G760" s="202" t="b">
        <v>0</v>
      </c>
      <c r="H760" s="202" t="b">
        <v>0</v>
      </c>
      <c r="I760" s="202" t="b">
        <v>0</v>
      </c>
      <c r="J760" s="202" t="b">
        <v>0</v>
      </c>
      <c r="K760" s="202" t="b">
        <v>0</v>
      </c>
      <c r="L760" s="202" t="b">
        <v>0</v>
      </c>
      <c r="M760" s="202" t="b">
        <v>0</v>
      </c>
      <c r="N760" s="202" t="b">
        <v>0</v>
      </c>
    </row>
    <row r="761">
      <c r="A761" s="201"/>
      <c r="B761" s="201"/>
      <c r="C761" s="202" t="b">
        <v>0</v>
      </c>
      <c r="D761" s="201"/>
      <c r="E761" s="201"/>
      <c r="F761" s="202" t="b">
        <v>0</v>
      </c>
      <c r="G761" s="202" t="b">
        <v>0</v>
      </c>
      <c r="H761" s="202" t="b">
        <v>0</v>
      </c>
      <c r="I761" s="202" t="b">
        <v>0</v>
      </c>
      <c r="J761" s="202" t="b">
        <v>0</v>
      </c>
      <c r="K761" s="202" t="b">
        <v>0</v>
      </c>
      <c r="L761" s="202" t="b">
        <v>0</v>
      </c>
      <c r="M761" s="202" t="b">
        <v>0</v>
      </c>
      <c r="N761" s="202" t="b">
        <v>0</v>
      </c>
    </row>
    <row r="762">
      <c r="A762" s="201"/>
      <c r="B762" s="201"/>
      <c r="C762" s="202" t="b">
        <v>0</v>
      </c>
      <c r="D762" s="201"/>
      <c r="E762" s="201"/>
      <c r="F762" s="202" t="b">
        <v>0</v>
      </c>
      <c r="G762" s="202" t="b">
        <v>0</v>
      </c>
      <c r="H762" s="202" t="b">
        <v>0</v>
      </c>
      <c r="I762" s="202" t="b">
        <v>0</v>
      </c>
      <c r="J762" s="202" t="b">
        <v>0</v>
      </c>
      <c r="K762" s="202" t="b">
        <v>0</v>
      </c>
      <c r="L762" s="202" t="b">
        <v>0</v>
      </c>
      <c r="M762" s="202" t="b">
        <v>0</v>
      </c>
      <c r="N762" s="202" t="b">
        <v>0</v>
      </c>
    </row>
    <row r="763">
      <c r="A763" s="201"/>
      <c r="B763" s="201"/>
      <c r="C763" s="202" t="b">
        <v>0</v>
      </c>
      <c r="D763" s="201"/>
      <c r="E763" s="201"/>
      <c r="F763" s="202" t="b">
        <v>0</v>
      </c>
      <c r="G763" s="202" t="b">
        <v>0</v>
      </c>
      <c r="H763" s="202" t="b">
        <v>0</v>
      </c>
      <c r="I763" s="202" t="b">
        <v>0</v>
      </c>
      <c r="J763" s="202" t="b">
        <v>0</v>
      </c>
      <c r="K763" s="202" t="b">
        <v>0</v>
      </c>
      <c r="L763" s="202" t="b">
        <v>0</v>
      </c>
      <c r="M763" s="202" t="b">
        <v>0</v>
      </c>
      <c r="N763" s="202" t="b">
        <v>0</v>
      </c>
    </row>
    <row r="764">
      <c r="A764" s="201"/>
      <c r="B764" s="201"/>
      <c r="C764" s="202" t="b">
        <v>0</v>
      </c>
      <c r="D764" s="201"/>
      <c r="E764" s="201"/>
      <c r="F764" s="202" t="b">
        <v>0</v>
      </c>
      <c r="G764" s="202" t="b">
        <v>0</v>
      </c>
      <c r="H764" s="202" t="b">
        <v>0</v>
      </c>
      <c r="I764" s="202" t="b">
        <v>0</v>
      </c>
      <c r="J764" s="202" t="b">
        <v>0</v>
      </c>
      <c r="K764" s="202" t="b">
        <v>0</v>
      </c>
      <c r="L764" s="202" t="b">
        <v>0</v>
      </c>
      <c r="M764" s="202" t="b">
        <v>0</v>
      </c>
      <c r="N764" s="202" t="b">
        <v>0</v>
      </c>
    </row>
    <row r="765">
      <c r="A765" s="201"/>
      <c r="B765" s="201"/>
      <c r="C765" s="202" t="b">
        <v>0</v>
      </c>
      <c r="D765" s="201"/>
      <c r="E765" s="201"/>
      <c r="F765" s="202" t="b">
        <v>0</v>
      </c>
      <c r="G765" s="202" t="b">
        <v>0</v>
      </c>
      <c r="H765" s="202" t="b">
        <v>0</v>
      </c>
      <c r="I765" s="202" t="b">
        <v>0</v>
      </c>
      <c r="J765" s="202" t="b">
        <v>0</v>
      </c>
      <c r="K765" s="202" t="b">
        <v>0</v>
      </c>
      <c r="L765" s="202" t="b">
        <v>0</v>
      </c>
      <c r="M765" s="202" t="b">
        <v>0</v>
      </c>
      <c r="N765" s="202" t="b">
        <v>0</v>
      </c>
    </row>
    <row r="766">
      <c r="A766" s="201"/>
      <c r="B766" s="201"/>
      <c r="C766" s="202" t="b">
        <v>0</v>
      </c>
      <c r="D766" s="201"/>
      <c r="E766" s="201"/>
      <c r="F766" s="202" t="b">
        <v>0</v>
      </c>
      <c r="G766" s="202" t="b">
        <v>0</v>
      </c>
      <c r="H766" s="202" t="b">
        <v>0</v>
      </c>
      <c r="I766" s="202" t="b">
        <v>0</v>
      </c>
      <c r="J766" s="202" t="b">
        <v>0</v>
      </c>
      <c r="K766" s="202" t="b">
        <v>0</v>
      </c>
      <c r="L766" s="202" t="b">
        <v>0</v>
      </c>
      <c r="M766" s="202" t="b">
        <v>0</v>
      </c>
      <c r="N766" s="202" t="b">
        <v>0</v>
      </c>
    </row>
    <row r="767">
      <c r="A767" s="201"/>
      <c r="B767" s="201"/>
      <c r="C767" s="202" t="b">
        <v>0</v>
      </c>
      <c r="D767" s="201"/>
      <c r="E767" s="201"/>
      <c r="F767" s="202" t="b">
        <v>0</v>
      </c>
      <c r="G767" s="202" t="b">
        <v>0</v>
      </c>
      <c r="H767" s="202" t="b">
        <v>0</v>
      </c>
      <c r="I767" s="202" t="b">
        <v>0</v>
      </c>
      <c r="J767" s="202" t="b">
        <v>0</v>
      </c>
      <c r="K767" s="202" t="b">
        <v>0</v>
      </c>
      <c r="L767" s="202" t="b">
        <v>0</v>
      </c>
      <c r="M767" s="202" t="b">
        <v>0</v>
      </c>
      <c r="N767" s="202" t="b">
        <v>0</v>
      </c>
    </row>
    <row r="768">
      <c r="A768" s="201"/>
      <c r="B768" s="201"/>
      <c r="C768" s="202" t="b">
        <v>0</v>
      </c>
      <c r="D768" s="201"/>
      <c r="E768" s="201"/>
      <c r="F768" s="202" t="b">
        <v>0</v>
      </c>
      <c r="G768" s="202" t="b">
        <v>0</v>
      </c>
      <c r="H768" s="202" t="b">
        <v>0</v>
      </c>
      <c r="I768" s="202" t="b">
        <v>0</v>
      </c>
      <c r="J768" s="202" t="b">
        <v>0</v>
      </c>
      <c r="K768" s="202" t="b">
        <v>0</v>
      </c>
      <c r="L768" s="202" t="b">
        <v>0</v>
      </c>
      <c r="M768" s="202" t="b">
        <v>0</v>
      </c>
      <c r="N768" s="202" t="b">
        <v>0</v>
      </c>
    </row>
    <row r="769">
      <c r="A769" s="201"/>
      <c r="B769" s="201"/>
      <c r="C769" s="202" t="b">
        <v>0</v>
      </c>
      <c r="D769" s="201"/>
      <c r="E769" s="201"/>
      <c r="F769" s="202" t="b">
        <v>0</v>
      </c>
      <c r="G769" s="202" t="b">
        <v>0</v>
      </c>
      <c r="H769" s="202" t="b">
        <v>0</v>
      </c>
      <c r="I769" s="202" t="b">
        <v>0</v>
      </c>
      <c r="J769" s="202" t="b">
        <v>0</v>
      </c>
      <c r="K769" s="202" t="b">
        <v>0</v>
      </c>
      <c r="L769" s="202" t="b">
        <v>0</v>
      </c>
      <c r="M769" s="202" t="b">
        <v>0</v>
      </c>
      <c r="N769" s="202" t="b">
        <v>0</v>
      </c>
    </row>
    <row r="770">
      <c r="A770" s="201"/>
      <c r="B770" s="201"/>
      <c r="C770" s="202" t="b">
        <v>0</v>
      </c>
      <c r="D770" s="201"/>
      <c r="E770" s="201"/>
      <c r="F770" s="202" t="b">
        <v>0</v>
      </c>
      <c r="G770" s="202" t="b">
        <v>0</v>
      </c>
      <c r="H770" s="202" t="b">
        <v>0</v>
      </c>
      <c r="I770" s="202" t="b">
        <v>0</v>
      </c>
      <c r="J770" s="202" t="b">
        <v>0</v>
      </c>
      <c r="K770" s="202" t="b">
        <v>0</v>
      </c>
      <c r="L770" s="202" t="b">
        <v>0</v>
      </c>
      <c r="M770" s="202" t="b">
        <v>0</v>
      </c>
      <c r="N770" s="202" t="b">
        <v>0</v>
      </c>
    </row>
    <row r="771">
      <c r="A771" s="201"/>
      <c r="B771" s="201"/>
      <c r="C771" s="202" t="b">
        <v>0</v>
      </c>
      <c r="D771" s="201"/>
      <c r="E771" s="201"/>
      <c r="F771" s="202" t="b">
        <v>0</v>
      </c>
      <c r="G771" s="202" t="b">
        <v>0</v>
      </c>
      <c r="H771" s="202" t="b">
        <v>0</v>
      </c>
      <c r="I771" s="202" t="b">
        <v>0</v>
      </c>
      <c r="J771" s="202" t="b">
        <v>0</v>
      </c>
      <c r="K771" s="202" t="b">
        <v>0</v>
      </c>
      <c r="L771" s="202" t="b">
        <v>0</v>
      </c>
      <c r="M771" s="202" t="b">
        <v>0</v>
      </c>
      <c r="N771" s="202" t="b">
        <v>0</v>
      </c>
    </row>
    <row r="772">
      <c r="A772" s="201"/>
      <c r="B772" s="201"/>
      <c r="C772" s="202" t="b">
        <v>0</v>
      </c>
      <c r="D772" s="201"/>
      <c r="E772" s="201"/>
      <c r="F772" s="202" t="b">
        <v>0</v>
      </c>
      <c r="G772" s="202" t="b">
        <v>0</v>
      </c>
      <c r="H772" s="202" t="b">
        <v>0</v>
      </c>
      <c r="I772" s="202" t="b">
        <v>0</v>
      </c>
      <c r="J772" s="202" t="b">
        <v>0</v>
      </c>
      <c r="K772" s="202" t="b">
        <v>0</v>
      </c>
      <c r="L772" s="202" t="b">
        <v>0</v>
      </c>
      <c r="M772" s="202" t="b">
        <v>0</v>
      </c>
      <c r="N772" s="202" t="b">
        <v>0</v>
      </c>
    </row>
    <row r="773">
      <c r="A773" s="201"/>
      <c r="B773" s="201"/>
      <c r="C773" s="202" t="b">
        <v>0</v>
      </c>
      <c r="D773" s="201"/>
      <c r="E773" s="201"/>
      <c r="F773" s="202" t="b">
        <v>0</v>
      </c>
      <c r="G773" s="202" t="b">
        <v>0</v>
      </c>
      <c r="H773" s="202" t="b">
        <v>0</v>
      </c>
      <c r="I773" s="202" t="b">
        <v>0</v>
      </c>
      <c r="J773" s="202" t="b">
        <v>0</v>
      </c>
      <c r="K773" s="202" t="b">
        <v>0</v>
      </c>
      <c r="L773" s="202" t="b">
        <v>0</v>
      </c>
      <c r="M773" s="202" t="b">
        <v>0</v>
      </c>
      <c r="N773" s="202" t="b">
        <v>0</v>
      </c>
    </row>
    <row r="774">
      <c r="A774" s="201"/>
      <c r="B774" s="201"/>
      <c r="C774" s="202" t="b">
        <v>0</v>
      </c>
      <c r="D774" s="201"/>
      <c r="E774" s="201"/>
      <c r="F774" s="202" t="b">
        <v>0</v>
      </c>
      <c r="G774" s="202" t="b">
        <v>0</v>
      </c>
      <c r="H774" s="202" t="b">
        <v>0</v>
      </c>
      <c r="I774" s="202" t="b">
        <v>0</v>
      </c>
      <c r="J774" s="202" t="b">
        <v>0</v>
      </c>
      <c r="K774" s="202" t="b">
        <v>0</v>
      </c>
      <c r="L774" s="202" t="b">
        <v>0</v>
      </c>
      <c r="M774" s="202" t="b">
        <v>0</v>
      </c>
      <c r="N774" s="202" t="b">
        <v>0</v>
      </c>
    </row>
    <row r="775">
      <c r="A775" s="201"/>
      <c r="B775" s="201"/>
      <c r="C775" s="202" t="b">
        <v>0</v>
      </c>
      <c r="D775" s="201"/>
      <c r="E775" s="201"/>
      <c r="F775" s="202" t="b">
        <v>0</v>
      </c>
      <c r="G775" s="202" t="b">
        <v>0</v>
      </c>
      <c r="H775" s="202" t="b">
        <v>0</v>
      </c>
      <c r="I775" s="202" t="b">
        <v>0</v>
      </c>
      <c r="J775" s="202" t="b">
        <v>0</v>
      </c>
      <c r="K775" s="202" t="b">
        <v>0</v>
      </c>
      <c r="L775" s="202" t="b">
        <v>0</v>
      </c>
      <c r="M775" s="202" t="b">
        <v>0</v>
      </c>
      <c r="N775" s="202" t="b">
        <v>0</v>
      </c>
    </row>
    <row r="776">
      <c r="A776" s="201"/>
      <c r="B776" s="201"/>
      <c r="C776" s="202" t="b">
        <v>0</v>
      </c>
      <c r="D776" s="201"/>
      <c r="E776" s="201"/>
      <c r="F776" s="202" t="b">
        <v>0</v>
      </c>
      <c r="G776" s="202" t="b">
        <v>0</v>
      </c>
      <c r="H776" s="202" t="b">
        <v>0</v>
      </c>
      <c r="I776" s="202" t="b">
        <v>0</v>
      </c>
      <c r="J776" s="202" t="b">
        <v>0</v>
      </c>
      <c r="K776" s="202" t="b">
        <v>0</v>
      </c>
      <c r="L776" s="202" t="b">
        <v>0</v>
      </c>
      <c r="M776" s="202" t="b">
        <v>0</v>
      </c>
      <c r="N776" s="202" t="b">
        <v>0</v>
      </c>
    </row>
    <row r="777">
      <c r="A777" s="201"/>
      <c r="B777" s="201"/>
      <c r="C777" s="202" t="b">
        <v>0</v>
      </c>
      <c r="D777" s="201"/>
      <c r="E777" s="201"/>
      <c r="F777" s="202" t="b">
        <v>0</v>
      </c>
      <c r="G777" s="202" t="b">
        <v>0</v>
      </c>
      <c r="H777" s="202" t="b">
        <v>0</v>
      </c>
      <c r="I777" s="202" t="b">
        <v>0</v>
      </c>
      <c r="J777" s="202" t="b">
        <v>0</v>
      </c>
      <c r="K777" s="202" t="b">
        <v>0</v>
      </c>
      <c r="L777" s="202" t="b">
        <v>0</v>
      </c>
      <c r="M777" s="202" t="b">
        <v>0</v>
      </c>
      <c r="N777" s="202" t="b">
        <v>0</v>
      </c>
    </row>
    <row r="778">
      <c r="A778" s="201"/>
      <c r="B778" s="201"/>
      <c r="C778" s="202" t="b">
        <v>0</v>
      </c>
      <c r="D778" s="201"/>
      <c r="E778" s="201"/>
      <c r="F778" s="202" t="b">
        <v>0</v>
      </c>
      <c r="G778" s="202" t="b">
        <v>0</v>
      </c>
      <c r="H778" s="202" t="b">
        <v>0</v>
      </c>
      <c r="I778" s="202" t="b">
        <v>0</v>
      </c>
      <c r="J778" s="202" t="b">
        <v>0</v>
      </c>
      <c r="K778" s="202" t="b">
        <v>0</v>
      </c>
      <c r="L778" s="202" t="b">
        <v>0</v>
      </c>
      <c r="M778" s="202" t="b">
        <v>0</v>
      </c>
      <c r="N778" s="202" t="b">
        <v>0</v>
      </c>
    </row>
    <row r="779">
      <c r="A779" s="201"/>
      <c r="B779" s="201"/>
      <c r="C779" s="202" t="b">
        <v>0</v>
      </c>
      <c r="D779" s="201"/>
      <c r="E779" s="201"/>
      <c r="F779" s="202" t="b">
        <v>0</v>
      </c>
      <c r="G779" s="202" t="b">
        <v>0</v>
      </c>
      <c r="H779" s="202" t="b">
        <v>0</v>
      </c>
      <c r="I779" s="202" t="b">
        <v>0</v>
      </c>
      <c r="J779" s="202" t="b">
        <v>0</v>
      </c>
      <c r="K779" s="202" t="b">
        <v>0</v>
      </c>
      <c r="L779" s="202" t="b">
        <v>0</v>
      </c>
      <c r="M779" s="202" t="b">
        <v>0</v>
      </c>
      <c r="N779" s="202" t="b">
        <v>0</v>
      </c>
    </row>
    <row r="780">
      <c r="A780" s="201"/>
      <c r="B780" s="201"/>
      <c r="C780" s="202" t="b">
        <v>0</v>
      </c>
      <c r="D780" s="201"/>
      <c r="E780" s="201"/>
      <c r="F780" s="202" t="b">
        <v>0</v>
      </c>
      <c r="G780" s="202" t="b">
        <v>0</v>
      </c>
      <c r="H780" s="202" t="b">
        <v>0</v>
      </c>
      <c r="I780" s="202" t="b">
        <v>0</v>
      </c>
      <c r="J780" s="202" t="b">
        <v>0</v>
      </c>
      <c r="K780" s="202" t="b">
        <v>0</v>
      </c>
      <c r="L780" s="202" t="b">
        <v>0</v>
      </c>
      <c r="M780" s="202" t="b">
        <v>0</v>
      </c>
      <c r="N780" s="202" t="b">
        <v>0</v>
      </c>
    </row>
    <row r="781">
      <c r="A781" s="201"/>
      <c r="B781" s="201"/>
      <c r="C781" s="202" t="b">
        <v>0</v>
      </c>
      <c r="D781" s="201"/>
      <c r="E781" s="201"/>
      <c r="F781" s="202" t="b">
        <v>0</v>
      </c>
      <c r="G781" s="202" t="b">
        <v>0</v>
      </c>
      <c r="H781" s="202" t="b">
        <v>0</v>
      </c>
      <c r="I781" s="202" t="b">
        <v>0</v>
      </c>
      <c r="J781" s="202" t="b">
        <v>0</v>
      </c>
      <c r="K781" s="202" t="b">
        <v>0</v>
      </c>
      <c r="L781" s="202" t="b">
        <v>0</v>
      </c>
      <c r="M781" s="202" t="b">
        <v>0</v>
      </c>
      <c r="N781" s="202" t="b">
        <v>0</v>
      </c>
    </row>
    <row r="782">
      <c r="A782" s="201"/>
      <c r="B782" s="201"/>
      <c r="C782" s="202" t="b">
        <v>0</v>
      </c>
      <c r="D782" s="201"/>
      <c r="E782" s="201"/>
      <c r="F782" s="202" t="b">
        <v>0</v>
      </c>
      <c r="G782" s="202" t="b">
        <v>0</v>
      </c>
      <c r="H782" s="202" t="b">
        <v>0</v>
      </c>
      <c r="I782" s="202" t="b">
        <v>0</v>
      </c>
      <c r="J782" s="202" t="b">
        <v>0</v>
      </c>
      <c r="K782" s="202" t="b">
        <v>0</v>
      </c>
      <c r="L782" s="202" t="b">
        <v>0</v>
      </c>
      <c r="M782" s="202" t="b">
        <v>0</v>
      </c>
      <c r="N782" s="202" t="b">
        <v>0</v>
      </c>
    </row>
    <row r="783">
      <c r="A783" s="201"/>
      <c r="B783" s="201"/>
      <c r="C783" s="202" t="b">
        <v>0</v>
      </c>
      <c r="D783" s="201"/>
      <c r="E783" s="201"/>
      <c r="F783" s="202" t="b">
        <v>0</v>
      </c>
      <c r="G783" s="202" t="b">
        <v>0</v>
      </c>
      <c r="H783" s="202" t="b">
        <v>0</v>
      </c>
      <c r="I783" s="202" t="b">
        <v>0</v>
      </c>
      <c r="J783" s="202" t="b">
        <v>0</v>
      </c>
      <c r="K783" s="202" t="b">
        <v>0</v>
      </c>
      <c r="L783" s="202" t="b">
        <v>0</v>
      </c>
      <c r="M783" s="202" t="b">
        <v>0</v>
      </c>
      <c r="N783" s="202" t="b">
        <v>0</v>
      </c>
    </row>
    <row r="784">
      <c r="A784" s="201"/>
      <c r="B784" s="201"/>
      <c r="C784" s="202" t="b">
        <v>0</v>
      </c>
      <c r="D784" s="201"/>
      <c r="E784" s="201"/>
      <c r="F784" s="202" t="b">
        <v>0</v>
      </c>
      <c r="G784" s="202" t="b">
        <v>0</v>
      </c>
      <c r="H784" s="202" t="b">
        <v>0</v>
      </c>
      <c r="I784" s="202" t="b">
        <v>0</v>
      </c>
      <c r="J784" s="202" t="b">
        <v>0</v>
      </c>
      <c r="K784" s="202" t="b">
        <v>0</v>
      </c>
      <c r="L784" s="202" t="b">
        <v>0</v>
      </c>
      <c r="M784" s="202" t="b">
        <v>0</v>
      </c>
      <c r="N784" s="202" t="b">
        <v>0</v>
      </c>
    </row>
    <row r="785">
      <c r="A785" s="201"/>
      <c r="B785" s="201"/>
      <c r="C785" s="202" t="b">
        <v>0</v>
      </c>
      <c r="D785" s="201"/>
      <c r="E785" s="201"/>
      <c r="F785" s="202" t="b">
        <v>0</v>
      </c>
      <c r="G785" s="202" t="b">
        <v>0</v>
      </c>
      <c r="H785" s="202" t="b">
        <v>0</v>
      </c>
      <c r="I785" s="202" t="b">
        <v>0</v>
      </c>
      <c r="J785" s="202" t="b">
        <v>0</v>
      </c>
      <c r="K785" s="202" t="b">
        <v>0</v>
      </c>
      <c r="L785" s="202" t="b">
        <v>0</v>
      </c>
      <c r="M785" s="202" t="b">
        <v>0</v>
      </c>
      <c r="N785" s="202" t="b">
        <v>0</v>
      </c>
    </row>
    <row r="786">
      <c r="A786" s="201"/>
      <c r="B786" s="201"/>
      <c r="C786" s="202" t="b">
        <v>0</v>
      </c>
      <c r="D786" s="201"/>
      <c r="E786" s="201"/>
      <c r="F786" s="202" t="b">
        <v>0</v>
      </c>
      <c r="G786" s="202" t="b">
        <v>0</v>
      </c>
      <c r="H786" s="202" t="b">
        <v>0</v>
      </c>
      <c r="I786" s="202" t="b">
        <v>0</v>
      </c>
      <c r="J786" s="202" t="b">
        <v>0</v>
      </c>
      <c r="K786" s="202" t="b">
        <v>0</v>
      </c>
      <c r="L786" s="202" t="b">
        <v>0</v>
      </c>
      <c r="M786" s="202" t="b">
        <v>0</v>
      </c>
      <c r="N786" s="202" t="b">
        <v>0</v>
      </c>
    </row>
    <row r="787">
      <c r="A787" s="201"/>
      <c r="B787" s="201"/>
      <c r="C787" s="202" t="b">
        <v>0</v>
      </c>
      <c r="D787" s="201"/>
      <c r="E787" s="201"/>
      <c r="F787" s="202" t="b">
        <v>0</v>
      </c>
      <c r="G787" s="202" t="b">
        <v>0</v>
      </c>
      <c r="H787" s="202" t="b">
        <v>0</v>
      </c>
      <c r="I787" s="202" t="b">
        <v>0</v>
      </c>
      <c r="J787" s="202" t="b">
        <v>0</v>
      </c>
      <c r="K787" s="202" t="b">
        <v>0</v>
      </c>
      <c r="L787" s="202" t="b">
        <v>0</v>
      </c>
      <c r="M787" s="202" t="b">
        <v>0</v>
      </c>
      <c r="N787" s="202" t="b">
        <v>0</v>
      </c>
    </row>
    <row r="788">
      <c r="A788" s="201"/>
      <c r="B788" s="201"/>
      <c r="C788" s="202" t="b">
        <v>0</v>
      </c>
      <c r="D788" s="201"/>
      <c r="E788" s="201"/>
      <c r="F788" s="202" t="b">
        <v>0</v>
      </c>
      <c r="G788" s="202" t="b">
        <v>0</v>
      </c>
      <c r="H788" s="202" t="b">
        <v>0</v>
      </c>
      <c r="I788" s="202" t="b">
        <v>0</v>
      </c>
      <c r="J788" s="202" t="b">
        <v>0</v>
      </c>
      <c r="K788" s="202" t="b">
        <v>0</v>
      </c>
      <c r="L788" s="202" t="b">
        <v>0</v>
      </c>
      <c r="M788" s="202" t="b">
        <v>0</v>
      </c>
      <c r="N788" s="202" t="b">
        <v>0</v>
      </c>
    </row>
    <row r="789">
      <c r="A789" s="201"/>
      <c r="B789" s="201"/>
      <c r="C789" s="202" t="b">
        <v>0</v>
      </c>
      <c r="D789" s="201"/>
      <c r="E789" s="201"/>
      <c r="F789" s="202" t="b">
        <v>0</v>
      </c>
      <c r="G789" s="202" t="b">
        <v>0</v>
      </c>
      <c r="H789" s="202" t="b">
        <v>0</v>
      </c>
      <c r="I789" s="202" t="b">
        <v>0</v>
      </c>
      <c r="J789" s="202" t="b">
        <v>0</v>
      </c>
      <c r="K789" s="202" t="b">
        <v>0</v>
      </c>
      <c r="L789" s="202" t="b">
        <v>0</v>
      </c>
      <c r="M789" s="202" t="b">
        <v>0</v>
      </c>
      <c r="N789" s="202" t="b">
        <v>0</v>
      </c>
    </row>
    <row r="790">
      <c r="A790" s="201"/>
      <c r="B790" s="201"/>
      <c r="C790" s="202" t="b">
        <v>0</v>
      </c>
      <c r="D790" s="201"/>
      <c r="E790" s="201"/>
      <c r="F790" s="202" t="b">
        <v>0</v>
      </c>
      <c r="G790" s="202" t="b">
        <v>0</v>
      </c>
      <c r="H790" s="202" t="b">
        <v>0</v>
      </c>
      <c r="I790" s="202" t="b">
        <v>0</v>
      </c>
      <c r="J790" s="202" t="b">
        <v>0</v>
      </c>
      <c r="K790" s="202" t="b">
        <v>0</v>
      </c>
      <c r="L790" s="202" t="b">
        <v>0</v>
      </c>
      <c r="M790" s="202" t="b">
        <v>0</v>
      </c>
      <c r="N790" s="202" t="b">
        <v>0</v>
      </c>
    </row>
    <row r="791">
      <c r="A791" s="201"/>
      <c r="B791" s="201"/>
      <c r="C791" s="202" t="b">
        <v>0</v>
      </c>
      <c r="D791" s="201"/>
      <c r="E791" s="201"/>
      <c r="F791" s="202" t="b">
        <v>0</v>
      </c>
      <c r="G791" s="202" t="b">
        <v>0</v>
      </c>
      <c r="H791" s="202" t="b">
        <v>0</v>
      </c>
      <c r="I791" s="202" t="b">
        <v>0</v>
      </c>
      <c r="J791" s="202" t="b">
        <v>0</v>
      </c>
      <c r="K791" s="202" t="b">
        <v>0</v>
      </c>
      <c r="L791" s="202" t="b">
        <v>0</v>
      </c>
      <c r="M791" s="202" t="b">
        <v>0</v>
      </c>
      <c r="N791" s="202" t="b">
        <v>0</v>
      </c>
    </row>
    <row r="792">
      <c r="A792" s="201"/>
      <c r="B792" s="201"/>
      <c r="C792" s="202" t="b">
        <v>0</v>
      </c>
      <c r="D792" s="201"/>
      <c r="E792" s="201"/>
      <c r="F792" s="202" t="b">
        <v>0</v>
      </c>
      <c r="G792" s="202" t="b">
        <v>0</v>
      </c>
      <c r="H792" s="202" t="b">
        <v>0</v>
      </c>
      <c r="I792" s="202" t="b">
        <v>0</v>
      </c>
      <c r="J792" s="202" t="b">
        <v>0</v>
      </c>
      <c r="K792" s="202" t="b">
        <v>0</v>
      </c>
      <c r="L792" s="202" t="b">
        <v>0</v>
      </c>
      <c r="M792" s="202" t="b">
        <v>0</v>
      </c>
      <c r="N792" s="202" t="b">
        <v>0</v>
      </c>
    </row>
    <row r="793">
      <c r="A793" s="201"/>
      <c r="B793" s="201"/>
      <c r="C793" s="202" t="b">
        <v>0</v>
      </c>
      <c r="D793" s="201"/>
      <c r="E793" s="201"/>
      <c r="F793" s="202" t="b">
        <v>0</v>
      </c>
      <c r="G793" s="202" t="b">
        <v>0</v>
      </c>
      <c r="H793" s="202" t="b">
        <v>0</v>
      </c>
      <c r="I793" s="202" t="b">
        <v>0</v>
      </c>
      <c r="J793" s="202" t="b">
        <v>0</v>
      </c>
      <c r="K793" s="202" t="b">
        <v>0</v>
      </c>
      <c r="L793" s="202" t="b">
        <v>0</v>
      </c>
      <c r="M793" s="202" t="b">
        <v>0</v>
      </c>
      <c r="N793" s="202" t="b">
        <v>0</v>
      </c>
    </row>
    <row r="794">
      <c r="A794" s="201"/>
      <c r="B794" s="201"/>
      <c r="C794" s="202" t="b">
        <v>0</v>
      </c>
      <c r="D794" s="201"/>
      <c r="E794" s="201"/>
      <c r="F794" s="202" t="b">
        <v>0</v>
      </c>
      <c r="G794" s="202" t="b">
        <v>0</v>
      </c>
      <c r="H794" s="202" t="b">
        <v>0</v>
      </c>
      <c r="I794" s="202" t="b">
        <v>0</v>
      </c>
      <c r="J794" s="202" t="b">
        <v>0</v>
      </c>
      <c r="K794" s="202" t="b">
        <v>0</v>
      </c>
      <c r="L794" s="202" t="b">
        <v>0</v>
      </c>
      <c r="M794" s="202" t="b">
        <v>0</v>
      </c>
      <c r="N794" s="202" t="b">
        <v>0</v>
      </c>
    </row>
    <row r="795">
      <c r="A795" s="201"/>
      <c r="B795" s="201"/>
      <c r="C795" s="202" t="b">
        <v>0</v>
      </c>
      <c r="D795" s="201"/>
      <c r="E795" s="201"/>
      <c r="F795" s="202" t="b">
        <v>0</v>
      </c>
      <c r="G795" s="202" t="b">
        <v>0</v>
      </c>
      <c r="H795" s="202" t="b">
        <v>0</v>
      </c>
      <c r="I795" s="202" t="b">
        <v>0</v>
      </c>
      <c r="J795" s="202" t="b">
        <v>0</v>
      </c>
      <c r="K795" s="202" t="b">
        <v>0</v>
      </c>
      <c r="L795" s="202" t="b">
        <v>0</v>
      </c>
      <c r="M795" s="202" t="b">
        <v>0</v>
      </c>
      <c r="N795" s="202" t="b">
        <v>0</v>
      </c>
    </row>
    <row r="796">
      <c r="A796" s="201"/>
      <c r="B796" s="201"/>
      <c r="C796" s="202" t="b">
        <v>0</v>
      </c>
      <c r="D796" s="201"/>
      <c r="E796" s="201"/>
      <c r="F796" s="202" t="b">
        <v>0</v>
      </c>
      <c r="G796" s="202" t="b">
        <v>0</v>
      </c>
      <c r="H796" s="202" t="b">
        <v>0</v>
      </c>
      <c r="I796" s="202" t="b">
        <v>0</v>
      </c>
      <c r="J796" s="202" t="b">
        <v>0</v>
      </c>
      <c r="K796" s="202" t="b">
        <v>0</v>
      </c>
      <c r="L796" s="202" t="b">
        <v>0</v>
      </c>
      <c r="M796" s="202" t="b">
        <v>0</v>
      </c>
      <c r="N796" s="202" t="b">
        <v>0</v>
      </c>
    </row>
    <row r="797">
      <c r="A797" s="201"/>
      <c r="B797" s="201"/>
      <c r="C797" s="202" t="b">
        <v>0</v>
      </c>
      <c r="D797" s="201"/>
      <c r="E797" s="201"/>
      <c r="F797" s="202" t="b">
        <v>0</v>
      </c>
      <c r="G797" s="202" t="b">
        <v>0</v>
      </c>
      <c r="H797" s="202" t="b">
        <v>0</v>
      </c>
      <c r="I797" s="202" t="b">
        <v>0</v>
      </c>
      <c r="J797" s="202" t="b">
        <v>0</v>
      </c>
      <c r="K797" s="202" t="b">
        <v>0</v>
      </c>
      <c r="L797" s="202" t="b">
        <v>0</v>
      </c>
      <c r="M797" s="202" t="b">
        <v>0</v>
      </c>
      <c r="N797" s="202" t="b">
        <v>0</v>
      </c>
    </row>
    <row r="798">
      <c r="A798" s="201"/>
      <c r="B798" s="201"/>
      <c r="C798" s="202" t="b">
        <v>0</v>
      </c>
      <c r="D798" s="201"/>
      <c r="E798" s="201"/>
      <c r="F798" s="202" t="b">
        <v>0</v>
      </c>
      <c r="G798" s="202" t="b">
        <v>0</v>
      </c>
      <c r="H798" s="202" t="b">
        <v>0</v>
      </c>
      <c r="I798" s="202" t="b">
        <v>0</v>
      </c>
      <c r="J798" s="202" t="b">
        <v>0</v>
      </c>
      <c r="K798" s="202" t="b">
        <v>0</v>
      </c>
      <c r="L798" s="202" t="b">
        <v>0</v>
      </c>
      <c r="M798" s="202" t="b">
        <v>0</v>
      </c>
      <c r="N798" s="202" t="b">
        <v>0</v>
      </c>
    </row>
    <row r="799">
      <c r="A799" s="201"/>
      <c r="B799" s="201"/>
      <c r="C799" s="202" t="b">
        <v>0</v>
      </c>
      <c r="D799" s="201"/>
      <c r="E799" s="201"/>
      <c r="F799" s="202" t="b">
        <v>0</v>
      </c>
      <c r="G799" s="202" t="b">
        <v>0</v>
      </c>
      <c r="H799" s="202" t="b">
        <v>0</v>
      </c>
      <c r="I799" s="202" t="b">
        <v>0</v>
      </c>
      <c r="J799" s="202" t="b">
        <v>0</v>
      </c>
      <c r="K799" s="202" t="b">
        <v>0</v>
      </c>
      <c r="L799" s="202" t="b">
        <v>0</v>
      </c>
      <c r="M799" s="202" t="b">
        <v>0</v>
      </c>
      <c r="N799" s="202" t="b">
        <v>0</v>
      </c>
    </row>
    <row r="800">
      <c r="A800" s="201"/>
      <c r="B800" s="201"/>
      <c r="C800" s="202" t="b">
        <v>0</v>
      </c>
      <c r="D800" s="201"/>
      <c r="E800" s="201"/>
      <c r="F800" s="202" t="b">
        <v>0</v>
      </c>
      <c r="G800" s="202" t="b">
        <v>0</v>
      </c>
      <c r="H800" s="202" t="b">
        <v>0</v>
      </c>
      <c r="I800" s="202" t="b">
        <v>0</v>
      </c>
      <c r="J800" s="202" t="b">
        <v>0</v>
      </c>
      <c r="K800" s="202" t="b">
        <v>0</v>
      </c>
      <c r="L800" s="202" t="b">
        <v>0</v>
      </c>
      <c r="M800" s="202" t="b">
        <v>0</v>
      </c>
      <c r="N800" s="202" t="b">
        <v>0</v>
      </c>
    </row>
    <row r="801">
      <c r="A801" s="201"/>
      <c r="B801" s="201"/>
      <c r="C801" s="202" t="b">
        <v>0</v>
      </c>
      <c r="D801" s="201"/>
      <c r="E801" s="201"/>
      <c r="F801" s="202" t="b">
        <v>0</v>
      </c>
      <c r="G801" s="202" t="b">
        <v>0</v>
      </c>
      <c r="H801" s="202" t="b">
        <v>0</v>
      </c>
      <c r="I801" s="202" t="b">
        <v>0</v>
      </c>
      <c r="J801" s="202" t="b">
        <v>0</v>
      </c>
      <c r="K801" s="202" t="b">
        <v>0</v>
      </c>
      <c r="L801" s="202" t="b">
        <v>0</v>
      </c>
      <c r="M801" s="202" t="b">
        <v>0</v>
      </c>
      <c r="N801" s="202" t="b">
        <v>0</v>
      </c>
    </row>
    <row r="802">
      <c r="A802" s="201"/>
      <c r="B802" s="201"/>
      <c r="C802" s="202" t="b">
        <v>0</v>
      </c>
      <c r="D802" s="201"/>
      <c r="E802" s="201"/>
      <c r="F802" s="202" t="b">
        <v>0</v>
      </c>
      <c r="G802" s="202" t="b">
        <v>0</v>
      </c>
      <c r="H802" s="202" t="b">
        <v>0</v>
      </c>
      <c r="I802" s="202" t="b">
        <v>0</v>
      </c>
      <c r="J802" s="202" t="b">
        <v>0</v>
      </c>
      <c r="K802" s="202" t="b">
        <v>0</v>
      </c>
      <c r="L802" s="202" t="b">
        <v>0</v>
      </c>
      <c r="M802" s="202" t="b">
        <v>0</v>
      </c>
      <c r="N802" s="202" t="b">
        <v>0</v>
      </c>
    </row>
    <row r="803">
      <c r="A803" s="201"/>
      <c r="B803" s="201"/>
      <c r="C803" s="202" t="b">
        <v>0</v>
      </c>
      <c r="D803" s="201"/>
      <c r="E803" s="201"/>
      <c r="F803" s="202" t="b">
        <v>0</v>
      </c>
      <c r="G803" s="202" t="b">
        <v>0</v>
      </c>
      <c r="H803" s="202" t="b">
        <v>0</v>
      </c>
      <c r="I803" s="202" t="b">
        <v>0</v>
      </c>
      <c r="J803" s="202" t="b">
        <v>0</v>
      </c>
      <c r="K803" s="202" t="b">
        <v>0</v>
      </c>
      <c r="L803" s="202" t="b">
        <v>0</v>
      </c>
      <c r="M803" s="202" t="b">
        <v>0</v>
      </c>
      <c r="N803" s="202" t="b">
        <v>0</v>
      </c>
    </row>
    <row r="804">
      <c r="A804" s="201"/>
      <c r="B804" s="201"/>
      <c r="C804" s="202" t="b">
        <v>0</v>
      </c>
      <c r="D804" s="201"/>
      <c r="E804" s="201"/>
      <c r="F804" s="202" t="b">
        <v>0</v>
      </c>
      <c r="G804" s="202" t="b">
        <v>0</v>
      </c>
      <c r="H804" s="202" t="b">
        <v>0</v>
      </c>
      <c r="I804" s="202" t="b">
        <v>0</v>
      </c>
      <c r="J804" s="202" t="b">
        <v>0</v>
      </c>
      <c r="K804" s="202" t="b">
        <v>0</v>
      </c>
      <c r="L804" s="202" t="b">
        <v>0</v>
      </c>
      <c r="M804" s="202" t="b">
        <v>0</v>
      </c>
      <c r="N804" s="202" t="b">
        <v>0</v>
      </c>
    </row>
    <row r="805">
      <c r="A805" s="201"/>
      <c r="B805" s="201"/>
      <c r="C805" s="202" t="b">
        <v>0</v>
      </c>
      <c r="D805" s="201"/>
      <c r="E805" s="201"/>
      <c r="F805" s="202" t="b">
        <v>0</v>
      </c>
      <c r="G805" s="202" t="b">
        <v>0</v>
      </c>
      <c r="H805" s="202" t="b">
        <v>0</v>
      </c>
      <c r="I805" s="202" t="b">
        <v>0</v>
      </c>
      <c r="J805" s="202" t="b">
        <v>0</v>
      </c>
      <c r="K805" s="202" t="b">
        <v>0</v>
      </c>
      <c r="L805" s="202" t="b">
        <v>0</v>
      </c>
      <c r="M805" s="202" t="b">
        <v>0</v>
      </c>
      <c r="N805" s="202" t="b">
        <v>0</v>
      </c>
    </row>
    <row r="806">
      <c r="A806" s="201"/>
      <c r="B806" s="201"/>
      <c r="C806" s="202" t="b">
        <v>0</v>
      </c>
      <c r="D806" s="201"/>
      <c r="E806" s="201"/>
      <c r="F806" s="202" t="b">
        <v>0</v>
      </c>
      <c r="G806" s="202" t="b">
        <v>0</v>
      </c>
      <c r="H806" s="202" t="b">
        <v>0</v>
      </c>
      <c r="I806" s="202" t="b">
        <v>0</v>
      </c>
      <c r="J806" s="202" t="b">
        <v>0</v>
      </c>
      <c r="K806" s="202" t="b">
        <v>0</v>
      </c>
      <c r="L806" s="202" t="b">
        <v>0</v>
      </c>
      <c r="M806" s="202" t="b">
        <v>0</v>
      </c>
      <c r="N806" s="202" t="b">
        <v>0</v>
      </c>
    </row>
    <row r="807">
      <c r="A807" s="201"/>
      <c r="B807" s="201"/>
      <c r="C807" s="202" t="b">
        <v>0</v>
      </c>
      <c r="D807" s="201"/>
      <c r="E807" s="201"/>
      <c r="F807" s="202" t="b">
        <v>0</v>
      </c>
      <c r="G807" s="202" t="b">
        <v>0</v>
      </c>
      <c r="H807" s="202" t="b">
        <v>0</v>
      </c>
      <c r="I807" s="202" t="b">
        <v>0</v>
      </c>
      <c r="J807" s="202" t="b">
        <v>0</v>
      </c>
      <c r="K807" s="202" t="b">
        <v>0</v>
      </c>
      <c r="L807" s="202" t="b">
        <v>0</v>
      </c>
      <c r="M807" s="202" t="b">
        <v>0</v>
      </c>
      <c r="N807" s="202" t="b">
        <v>0</v>
      </c>
    </row>
    <row r="808">
      <c r="A808" s="201"/>
      <c r="B808" s="201"/>
      <c r="C808" s="202" t="b">
        <v>0</v>
      </c>
      <c r="D808" s="201"/>
      <c r="E808" s="201"/>
      <c r="F808" s="202" t="b">
        <v>0</v>
      </c>
      <c r="G808" s="202" t="b">
        <v>0</v>
      </c>
      <c r="H808" s="202" t="b">
        <v>0</v>
      </c>
      <c r="I808" s="202" t="b">
        <v>0</v>
      </c>
      <c r="J808" s="202" t="b">
        <v>0</v>
      </c>
      <c r="K808" s="202" t="b">
        <v>0</v>
      </c>
      <c r="L808" s="202" t="b">
        <v>0</v>
      </c>
      <c r="M808" s="202" t="b">
        <v>0</v>
      </c>
      <c r="N808" s="202" t="b">
        <v>0</v>
      </c>
    </row>
    <row r="809">
      <c r="A809" s="201"/>
      <c r="B809" s="201"/>
      <c r="C809" s="202" t="b">
        <v>0</v>
      </c>
      <c r="D809" s="201"/>
      <c r="E809" s="201"/>
      <c r="F809" s="202" t="b">
        <v>0</v>
      </c>
      <c r="G809" s="202" t="b">
        <v>0</v>
      </c>
      <c r="H809" s="202" t="b">
        <v>0</v>
      </c>
      <c r="I809" s="202" t="b">
        <v>0</v>
      </c>
      <c r="J809" s="202" t="b">
        <v>0</v>
      </c>
      <c r="K809" s="202" t="b">
        <v>0</v>
      </c>
      <c r="L809" s="202" t="b">
        <v>0</v>
      </c>
      <c r="M809" s="202" t="b">
        <v>0</v>
      </c>
      <c r="N809" s="202" t="b">
        <v>0</v>
      </c>
    </row>
    <row r="810">
      <c r="A810" s="201"/>
      <c r="B810" s="201"/>
      <c r="C810" s="202" t="b">
        <v>0</v>
      </c>
      <c r="D810" s="201"/>
      <c r="E810" s="201"/>
      <c r="F810" s="202" t="b">
        <v>0</v>
      </c>
      <c r="G810" s="202" t="b">
        <v>0</v>
      </c>
      <c r="H810" s="202" t="b">
        <v>0</v>
      </c>
      <c r="I810" s="202" t="b">
        <v>0</v>
      </c>
      <c r="J810" s="202" t="b">
        <v>0</v>
      </c>
      <c r="K810" s="202" t="b">
        <v>0</v>
      </c>
      <c r="L810" s="202" t="b">
        <v>0</v>
      </c>
      <c r="M810" s="202" t="b">
        <v>0</v>
      </c>
      <c r="N810" s="202" t="b">
        <v>0</v>
      </c>
    </row>
    <row r="811">
      <c r="A811" s="201"/>
      <c r="B811" s="201"/>
      <c r="C811" s="202" t="b">
        <v>0</v>
      </c>
      <c r="D811" s="201"/>
      <c r="E811" s="201"/>
      <c r="F811" s="202" t="b">
        <v>0</v>
      </c>
      <c r="G811" s="202" t="b">
        <v>0</v>
      </c>
      <c r="H811" s="202" t="b">
        <v>0</v>
      </c>
      <c r="I811" s="202" t="b">
        <v>0</v>
      </c>
      <c r="J811" s="202" t="b">
        <v>0</v>
      </c>
      <c r="K811" s="202" t="b">
        <v>0</v>
      </c>
      <c r="L811" s="202" t="b">
        <v>0</v>
      </c>
      <c r="M811" s="202" t="b">
        <v>0</v>
      </c>
      <c r="N811" s="202" t="b">
        <v>0</v>
      </c>
    </row>
    <row r="812">
      <c r="A812" s="201"/>
      <c r="B812" s="201"/>
      <c r="C812" s="202" t="b">
        <v>0</v>
      </c>
      <c r="D812" s="201"/>
      <c r="E812" s="201"/>
      <c r="F812" s="202" t="b">
        <v>0</v>
      </c>
      <c r="G812" s="202" t="b">
        <v>0</v>
      </c>
      <c r="H812" s="202" t="b">
        <v>0</v>
      </c>
      <c r="I812" s="202" t="b">
        <v>0</v>
      </c>
      <c r="J812" s="202" t="b">
        <v>0</v>
      </c>
      <c r="K812" s="202" t="b">
        <v>0</v>
      </c>
      <c r="L812" s="202" t="b">
        <v>0</v>
      </c>
      <c r="M812" s="202" t="b">
        <v>0</v>
      </c>
      <c r="N812" s="202" t="b">
        <v>0</v>
      </c>
    </row>
    <row r="813">
      <c r="A813" s="201"/>
      <c r="B813" s="201"/>
      <c r="C813" s="202" t="b">
        <v>0</v>
      </c>
      <c r="D813" s="201"/>
      <c r="E813" s="201"/>
      <c r="F813" s="202" t="b">
        <v>0</v>
      </c>
      <c r="G813" s="202" t="b">
        <v>0</v>
      </c>
      <c r="H813" s="202" t="b">
        <v>0</v>
      </c>
      <c r="I813" s="202" t="b">
        <v>0</v>
      </c>
      <c r="J813" s="202" t="b">
        <v>0</v>
      </c>
      <c r="K813" s="202" t="b">
        <v>0</v>
      </c>
      <c r="L813" s="202" t="b">
        <v>0</v>
      </c>
      <c r="M813" s="202" t="b">
        <v>0</v>
      </c>
      <c r="N813" s="202" t="b">
        <v>0</v>
      </c>
    </row>
    <row r="814">
      <c r="A814" s="201"/>
      <c r="B814" s="201"/>
      <c r="C814" s="202" t="b">
        <v>0</v>
      </c>
      <c r="D814" s="201"/>
      <c r="E814" s="201"/>
      <c r="F814" s="202" t="b">
        <v>0</v>
      </c>
      <c r="G814" s="202" t="b">
        <v>0</v>
      </c>
      <c r="H814" s="202" t="b">
        <v>0</v>
      </c>
      <c r="I814" s="202" t="b">
        <v>0</v>
      </c>
      <c r="J814" s="202" t="b">
        <v>0</v>
      </c>
      <c r="K814" s="202" t="b">
        <v>0</v>
      </c>
      <c r="L814" s="202" t="b">
        <v>0</v>
      </c>
      <c r="M814" s="202" t="b">
        <v>0</v>
      </c>
      <c r="N814" s="202" t="b">
        <v>0</v>
      </c>
    </row>
    <row r="815">
      <c r="A815" s="201"/>
      <c r="B815" s="201"/>
      <c r="C815" s="202" t="b">
        <v>0</v>
      </c>
      <c r="D815" s="201"/>
      <c r="E815" s="201"/>
      <c r="F815" s="202" t="b">
        <v>0</v>
      </c>
      <c r="G815" s="202" t="b">
        <v>0</v>
      </c>
      <c r="H815" s="202" t="b">
        <v>0</v>
      </c>
      <c r="I815" s="202" t="b">
        <v>0</v>
      </c>
      <c r="J815" s="202" t="b">
        <v>0</v>
      </c>
      <c r="K815" s="202" t="b">
        <v>0</v>
      </c>
      <c r="L815" s="202" t="b">
        <v>0</v>
      </c>
      <c r="M815" s="202" t="b">
        <v>0</v>
      </c>
      <c r="N815" s="202" t="b">
        <v>0</v>
      </c>
    </row>
    <row r="816">
      <c r="A816" s="201"/>
      <c r="B816" s="201"/>
      <c r="C816" s="202" t="b">
        <v>0</v>
      </c>
      <c r="D816" s="201"/>
      <c r="E816" s="201"/>
      <c r="F816" s="202" t="b">
        <v>0</v>
      </c>
      <c r="G816" s="202" t="b">
        <v>0</v>
      </c>
      <c r="H816" s="202" t="b">
        <v>0</v>
      </c>
      <c r="I816" s="202" t="b">
        <v>0</v>
      </c>
      <c r="J816" s="202" t="b">
        <v>0</v>
      </c>
      <c r="K816" s="202" t="b">
        <v>0</v>
      </c>
      <c r="L816" s="202" t="b">
        <v>0</v>
      </c>
      <c r="M816" s="202" t="b">
        <v>0</v>
      </c>
      <c r="N816" s="202" t="b">
        <v>0</v>
      </c>
    </row>
    <row r="817">
      <c r="A817" s="201"/>
      <c r="B817" s="201"/>
      <c r="C817" s="202" t="b">
        <v>0</v>
      </c>
      <c r="D817" s="201"/>
      <c r="E817" s="201"/>
      <c r="F817" s="202" t="b">
        <v>0</v>
      </c>
      <c r="G817" s="202" t="b">
        <v>0</v>
      </c>
      <c r="H817" s="202" t="b">
        <v>0</v>
      </c>
      <c r="I817" s="202" t="b">
        <v>0</v>
      </c>
      <c r="J817" s="202" t="b">
        <v>0</v>
      </c>
      <c r="K817" s="202" t="b">
        <v>0</v>
      </c>
      <c r="L817" s="202" t="b">
        <v>0</v>
      </c>
      <c r="M817" s="202" t="b">
        <v>0</v>
      </c>
      <c r="N817" s="202" t="b">
        <v>0</v>
      </c>
    </row>
    <row r="818">
      <c r="A818" s="201"/>
      <c r="B818" s="201"/>
      <c r="C818" s="202" t="b">
        <v>0</v>
      </c>
      <c r="D818" s="201"/>
      <c r="E818" s="201"/>
      <c r="F818" s="202" t="b">
        <v>0</v>
      </c>
      <c r="G818" s="202" t="b">
        <v>0</v>
      </c>
      <c r="H818" s="202" t="b">
        <v>0</v>
      </c>
      <c r="I818" s="202" t="b">
        <v>0</v>
      </c>
      <c r="J818" s="202" t="b">
        <v>0</v>
      </c>
      <c r="K818" s="202" t="b">
        <v>0</v>
      </c>
      <c r="L818" s="202" t="b">
        <v>0</v>
      </c>
      <c r="M818" s="202" t="b">
        <v>0</v>
      </c>
      <c r="N818" s="202" t="b">
        <v>0</v>
      </c>
    </row>
    <row r="819">
      <c r="A819" s="201"/>
      <c r="B819" s="201"/>
      <c r="C819" s="202" t="b">
        <v>0</v>
      </c>
      <c r="D819" s="201"/>
      <c r="E819" s="201"/>
      <c r="F819" s="202" t="b">
        <v>0</v>
      </c>
      <c r="G819" s="202" t="b">
        <v>0</v>
      </c>
      <c r="H819" s="202" t="b">
        <v>0</v>
      </c>
      <c r="I819" s="202" t="b">
        <v>0</v>
      </c>
      <c r="J819" s="202" t="b">
        <v>0</v>
      </c>
      <c r="K819" s="202" t="b">
        <v>0</v>
      </c>
      <c r="L819" s="202" t="b">
        <v>0</v>
      </c>
      <c r="M819" s="202" t="b">
        <v>0</v>
      </c>
      <c r="N819" s="202" t="b">
        <v>0</v>
      </c>
    </row>
    <row r="820">
      <c r="A820" s="201"/>
      <c r="B820" s="201"/>
      <c r="C820" s="202" t="b">
        <v>0</v>
      </c>
      <c r="D820" s="201"/>
      <c r="E820" s="201"/>
      <c r="F820" s="202" t="b">
        <v>0</v>
      </c>
      <c r="G820" s="202" t="b">
        <v>0</v>
      </c>
      <c r="H820" s="202" t="b">
        <v>0</v>
      </c>
      <c r="I820" s="202" t="b">
        <v>0</v>
      </c>
      <c r="J820" s="202" t="b">
        <v>0</v>
      </c>
      <c r="K820" s="202" t="b">
        <v>0</v>
      </c>
      <c r="L820" s="202" t="b">
        <v>0</v>
      </c>
      <c r="M820" s="202" t="b">
        <v>0</v>
      </c>
      <c r="N820" s="202" t="b">
        <v>0</v>
      </c>
    </row>
    <row r="821">
      <c r="A821" s="201"/>
      <c r="B821" s="201"/>
      <c r="C821" s="202" t="b">
        <v>0</v>
      </c>
      <c r="D821" s="201"/>
      <c r="E821" s="201"/>
      <c r="F821" s="202" t="b">
        <v>0</v>
      </c>
      <c r="G821" s="202" t="b">
        <v>0</v>
      </c>
      <c r="H821" s="202" t="b">
        <v>0</v>
      </c>
      <c r="I821" s="202" t="b">
        <v>0</v>
      </c>
      <c r="J821" s="202" t="b">
        <v>0</v>
      </c>
      <c r="K821" s="202" t="b">
        <v>0</v>
      </c>
      <c r="L821" s="202" t="b">
        <v>0</v>
      </c>
      <c r="M821" s="202" t="b">
        <v>0</v>
      </c>
      <c r="N821" s="202" t="b">
        <v>0</v>
      </c>
    </row>
    <row r="822">
      <c r="A822" s="201"/>
      <c r="B822" s="201"/>
      <c r="C822" s="202" t="b">
        <v>0</v>
      </c>
      <c r="D822" s="201"/>
      <c r="E822" s="201"/>
      <c r="F822" s="202" t="b">
        <v>0</v>
      </c>
      <c r="G822" s="202" t="b">
        <v>0</v>
      </c>
      <c r="H822" s="202" t="b">
        <v>0</v>
      </c>
      <c r="I822" s="202" t="b">
        <v>0</v>
      </c>
      <c r="J822" s="202" t="b">
        <v>0</v>
      </c>
      <c r="K822" s="202" t="b">
        <v>0</v>
      </c>
      <c r="L822" s="202" t="b">
        <v>0</v>
      </c>
      <c r="M822" s="202" t="b">
        <v>0</v>
      </c>
      <c r="N822" s="202" t="b">
        <v>0</v>
      </c>
    </row>
    <row r="823">
      <c r="A823" s="201"/>
      <c r="B823" s="201"/>
      <c r="C823" s="202" t="b">
        <v>0</v>
      </c>
      <c r="D823" s="201"/>
      <c r="E823" s="201"/>
      <c r="F823" s="202" t="b">
        <v>0</v>
      </c>
      <c r="G823" s="202" t="b">
        <v>0</v>
      </c>
      <c r="H823" s="202" t="b">
        <v>0</v>
      </c>
      <c r="I823" s="202" t="b">
        <v>0</v>
      </c>
      <c r="J823" s="202" t="b">
        <v>0</v>
      </c>
      <c r="K823" s="202" t="b">
        <v>0</v>
      </c>
      <c r="L823" s="202" t="b">
        <v>0</v>
      </c>
      <c r="M823" s="202" t="b">
        <v>0</v>
      </c>
      <c r="N823" s="202" t="b">
        <v>0</v>
      </c>
    </row>
    <row r="824">
      <c r="A824" s="201"/>
      <c r="B824" s="201"/>
      <c r="C824" s="202" t="b">
        <v>0</v>
      </c>
      <c r="D824" s="201"/>
      <c r="E824" s="201"/>
      <c r="F824" s="202" t="b">
        <v>0</v>
      </c>
      <c r="G824" s="202" t="b">
        <v>0</v>
      </c>
      <c r="H824" s="202" t="b">
        <v>0</v>
      </c>
      <c r="I824" s="202" t="b">
        <v>0</v>
      </c>
      <c r="J824" s="202" t="b">
        <v>0</v>
      </c>
      <c r="K824" s="202" t="b">
        <v>0</v>
      </c>
      <c r="L824" s="202" t="b">
        <v>0</v>
      </c>
      <c r="M824" s="202" t="b">
        <v>0</v>
      </c>
      <c r="N824" s="202" t="b">
        <v>0</v>
      </c>
    </row>
    <row r="825">
      <c r="A825" s="201"/>
      <c r="B825" s="201"/>
      <c r="C825" s="202" t="b">
        <v>0</v>
      </c>
      <c r="D825" s="201"/>
      <c r="E825" s="201"/>
      <c r="F825" s="202" t="b">
        <v>0</v>
      </c>
      <c r="G825" s="202" t="b">
        <v>0</v>
      </c>
      <c r="H825" s="202" t="b">
        <v>0</v>
      </c>
      <c r="I825" s="202" t="b">
        <v>0</v>
      </c>
      <c r="J825" s="202" t="b">
        <v>0</v>
      </c>
      <c r="K825" s="202" t="b">
        <v>0</v>
      </c>
      <c r="L825" s="202" t="b">
        <v>0</v>
      </c>
      <c r="M825" s="202" t="b">
        <v>0</v>
      </c>
      <c r="N825" s="202" t="b">
        <v>0</v>
      </c>
    </row>
    <row r="826">
      <c r="A826" s="201"/>
      <c r="B826" s="201"/>
      <c r="C826" s="202" t="b">
        <v>0</v>
      </c>
      <c r="D826" s="201"/>
      <c r="E826" s="201"/>
      <c r="F826" s="202" t="b">
        <v>0</v>
      </c>
      <c r="G826" s="202" t="b">
        <v>0</v>
      </c>
      <c r="H826" s="202" t="b">
        <v>0</v>
      </c>
      <c r="I826" s="202" t="b">
        <v>0</v>
      </c>
      <c r="J826" s="202" t="b">
        <v>0</v>
      </c>
      <c r="K826" s="202" t="b">
        <v>0</v>
      </c>
      <c r="L826" s="202" t="b">
        <v>0</v>
      </c>
      <c r="M826" s="202" t="b">
        <v>0</v>
      </c>
      <c r="N826" s="202" t="b">
        <v>0</v>
      </c>
    </row>
    <row r="827">
      <c r="A827" s="201"/>
      <c r="B827" s="201"/>
      <c r="C827" s="202" t="b">
        <v>0</v>
      </c>
      <c r="D827" s="201"/>
      <c r="E827" s="201"/>
      <c r="F827" s="202" t="b">
        <v>0</v>
      </c>
      <c r="G827" s="202" t="b">
        <v>0</v>
      </c>
      <c r="H827" s="202" t="b">
        <v>0</v>
      </c>
      <c r="I827" s="202" t="b">
        <v>0</v>
      </c>
      <c r="J827" s="202" t="b">
        <v>0</v>
      </c>
      <c r="K827" s="202" t="b">
        <v>0</v>
      </c>
      <c r="L827" s="202" t="b">
        <v>0</v>
      </c>
      <c r="M827" s="202" t="b">
        <v>0</v>
      </c>
      <c r="N827" s="202" t="b">
        <v>0</v>
      </c>
    </row>
    <row r="828">
      <c r="A828" s="201"/>
      <c r="B828" s="201"/>
      <c r="C828" s="202" t="b">
        <v>0</v>
      </c>
      <c r="D828" s="201"/>
      <c r="E828" s="201"/>
      <c r="F828" s="202" t="b">
        <v>0</v>
      </c>
      <c r="G828" s="202" t="b">
        <v>0</v>
      </c>
      <c r="H828" s="202" t="b">
        <v>0</v>
      </c>
      <c r="I828" s="202" t="b">
        <v>0</v>
      </c>
      <c r="J828" s="202" t="b">
        <v>0</v>
      </c>
      <c r="K828" s="202" t="b">
        <v>0</v>
      </c>
      <c r="L828" s="202" t="b">
        <v>0</v>
      </c>
      <c r="M828" s="202" t="b">
        <v>0</v>
      </c>
      <c r="N828" s="202" t="b">
        <v>0</v>
      </c>
    </row>
    <row r="829">
      <c r="A829" s="201"/>
      <c r="B829" s="201"/>
      <c r="C829" s="202" t="b">
        <v>0</v>
      </c>
      <c r="D829" s="201"/>
      <c r="E829" s="201"/>
      <c r="F829" s="202" t="b">
        <v>0</v>
      </c>
      <c r="G829" s="202" t="b">
        <v>0</v>
      </c>
      <c r="H829" s="202" t="b">
        <v>0</v>
      </c>
      <c r="I829" s="202" t="b">
        <v>0</v>
      </c>
      <c r="J829" s="202" t="b">
        <v>0</v>
      </c>
      <c r="K829" s="202" t="b">
        <v>0</v>
      </c>
      <c r="L829" s="202" t="b">
        <v>0</v>
      </c>
      <c r="M829" s="202" t="b">
        <v>0</v>
      </c>
      <c r="N829" s="202" t="b">
        <v>0</v>
      </c>
    </row>
    <row r="830">
      <c r="A830" s="201"/>
      <c r="B830" s="201"/>
      <c r="C830" s="202" t="b">
        <v>0</v>
      </c>
      <c r="D830" s="201"/>
      <c r="E830" s="201"/>
      <c r="F830" s="202" t="b">
        <v>0</v>
      </c>
      <c r="G830" s="202" t="b">
        <v>0</v>
      </c>
      <c r="H830" s="202" t="b">
        <v>0</v>
      </c>
      <c r="I830" s="202" t="b">
        <v>0</v>
      </c>
      <c r="J830" s="202" t="b">
        <v>0</v>
      </c>
      <c r="K830" s="202" t="b">
        <v>0</v>
      </c>
      <c r="L830" s="202" t="b">
        <v>0</v>
      </c>
      <c r="M830" s="202" t="b">
        <v>0</v>
      </c>
      <c r="N830" s="202" t="b">
        <v>0</v>
      </c>
    </row>
    <row r="831">
      <c r="A831" s="201"/>
      <c r="B831" s="201"/>
      <c r="C831" s="202" t="b">
        <v>0</v>
      </c>
      <c r="D831" s="201"/>
      <c r="E831" s="201"/>
      <c r="F831" s="202" t="b">
        <v>0</v>
      </c>
      <c r="G831" s="202" t="b">
        <v>0</v>
      </c>
      <c r="H831" s="202" t="b">
        <v>0</v>
      </c>
      <c r="I831" s="202" t="b">
        <v>0</v>
      </c>
      <c r="J831" s="202" t="b">
        <v>0</v>
      </c>
      <c r="K831" s="202" t="b">
        <v>0</v>
      </c>
      <c r="L831" s="202" t="b">
        <v>0</v>
      </c>
      <c r="M831" s="202" t="b">
        <v>0</v>
      </c>
      <c r="N831" s="202" t="b">
        <v>0</v>
      </c>
    </row>
    <row r="832">
      <c r="A832" s="201"/>
      <c r="B832" s="201"/>
      <c r="C832" s="202" t="b">
        <v>0</v>
      </c>
      <c r="D832" s="201"/>
      <c r="E832" s="201"/>
      <c r="F832" s="202" t="b">
        <v>0</v>
      </c>
      <c r="G832" s="202" t="b">
        <v>0</v>
      </c>
      <c r="H832" s="202" t="b">
        <v>0</v>
      </c>
      <c r="I832" s="202" t="b">
        <v>0</v>
      </c>
      <c r="J832" s="202" t="b">
        <v>0</v>
      </c>
      <c r="K832" s="202" t="b">
        <v>0</v>
      </c>
      <c r="L832" s="202" t="b">
        <v>0</v>
      </c>
      <c r="M832" s="202" t="b">
        <v>0</v>
      </c>
      <c r="N832" s="202" t="b">
        <v>0</v>
      </c>
    </row>
    <row r="833">
      <c r="A833" s="201"/>
      <c r="B833" s="201"/>
      <c r="C833" s="202" t="b">
        <v>0</v>
      </c>
      <c r="D833" s="201"/>
      <c r="E833" s="201"/>
      <c r="F833" s="202" t="b">
        <v>0</v>
      </c>
      <c r="G833" s="202" t="b">
        <v>0</v>
      </c>
      <c r="H833" s="202" t="b">
        <v>0</v>
      </c>
      <c r="I833" s="202" t="b">
        <v>0</v>
      </c>
      <c r="J833" s="202" t="b">
        <v>0</v>
      </c>
      <c r="K833" s="202" t="b">
        <v>0</v>
      </c>
      <c r="L833" s="202" t="b">
        <v>0</v>
      </c>
      <c r="M833" s="202" t="b">
        <v>0</v>
      </c>
      <c r="N833" s="202" t="b">
        <v>0</v>
      </c>
    </row>
    <row r="834">
      <c r="A834" s="201"/>
      <c r="B834" s="201"/>
      <c r="C834" s="202" t="b">
        <v>0</v>
      </c>
      <c r="D834" s="201"/>
      <c r="E834" s="201"/>
      <c r="F834" s="202" t="b">
        <v>0</v>
      </c>
      <c r="G834" s="202" t="b">
        <v>0</v>
      </c>
      <c r="H834" s="202" t="b">
        <v>0</v>
      </c>
      <c r="I834" s="202" t="b">
        <v>0</v>
      </c>
      <c r="J834" s="202" t="b">
        <v>0</v>
      </c>
      <c r="K834" s="202" t="b">
        <v>0</v>
      </c>
      <c r="L834" s="202" t="b">
        <v>0</v>
      </c>
      <c r="M834" s="202" t="b">
        <v>0</v>
      </c>
      <c r="N834" s="202" t="b">
        <v>0</v>
      </c>
    </row>
    <row r="835">
      <c r="A835" s="201"/>
      <c r="B835" s="201"/>
      <c r="C835" s="202" t="b">
        <v>0</v>
      </c>
      <c r="D835" s="201"/>
      <c r="E835" s="201"/>
      <c r="F835" s="202" t="b">
        <v>0</v>
      </c>
      <c r="G835" s="202" t="b">
        <v>0</v>
      </c>
      <c r="H835" s="202" t="b">
        <v>0</v>
      </c>
      <c r="I835" s="202" t="b">
        <v>0</v>
      </c>
      <c r="J835" s="202" t="b">
        <v>0</v>
      </c>
      <c r="K835" s="202" t="b">
        <v>0</v>
      </c>
      <c r="L835" s="202" t="b">
        <v>0</v>
      </c>
      <c r="M835" s="202" t="b">
        <v>0</v>
      </c>
      <c r="N835" s="202" t="b">
        <v>0</v>
      </c>
    </row>
    <row r="836">
      <c r="A836" s="201"/>
      <c r="B836" s="201"/>
      <c r="C836" s="202" t="b">
        <v>0</v>
      </c>
      <c r="D836" s="201"/>
      <c r="E836" s="201"/>
      <c r="F836" s="202" t="b">
        <v>0</v>
      </c>
      <c r="G836" s="202" t="b">
        <v>0</v>
      </c>
      <c r="H836" s="202" t="b">
        <v>0</v>
      </c>
      <c r="I836" s="202" t="b">
        <v>0</v>
      </c>
      <c r="J836" s="202" t="b">
        <v>0</v>
      </c>
      <c r="K836" s="202" t="b">
        <v>0</v>
      </c>
      <c r="L836" s="202" t="b">
        <v>0</v>
      </c>
      <c r="M836" s="202" t="b">
        <v>0</v>
      </c>
      <c r="N836" s="202" t="b">
        <v>0</v>
      </c>
    </row>
    <row r="837">
      <c r="A837" s="201"/>
      <c r="B837" s="201"/>
      <c r="C837" s="202" t="b">
        <v>0</v>
      </c>
      <c r="D837" s="201"/>
      <c r="E837" s="201"/>
      <c r="F837" s="202" t="b">
        <v>0</v>
      </c>
      <c r="G837" s="202" t="b">
        <v>0</v>
      </c>
      <c r="H837" s="202" t="b">
        <v>0</v>
      </c>
      <c r="I837" s="202" t="b">
        <v>0</v>
      </c>
      <c r="J837" s="202" t="b">
        <v>0</v>
      </c>
      <c r="K837" s="202" t="b">
        <v>0</v>
      </c>
      <c r="L837" s="202" t="b">
        <v>0</v>
      </c>
      <c r="M837" s="202" t="b">
        <v>0</v>
      </c>
      <c r="N837" s="202" t="b">
        <v>0</v>
      </c>
    </row>
    <row r="838">
      <c r="A838" s="201"/>
      <c r="B838" s="201"/>
      <c r="C838" s="202" t="b">
        <v>0</v>
      </c>
      <c r="D838" s="201"/>
      <c r="E838" s="201"/>
      <c r="F838" s="202" t="b">
        <v>0</v>
      </c>
      <c r="G838" s="202" t="b">
        <v>0</v>
      </c>
      <c r="H838" s="202" t="b">
        <v>0</v>
      </c>
      <c r="I838" s="202" t="b">
        <v>0</v>
      </c>
      <c r="J838" s="202" t="b">
        <v>0</v>
      </c>
      <c r="K838" s="202" t="b">
        <v>0</v>
      </c>
      <c r="L838" s="202" t="b">
        <v>0</v>
      </c>
      <c r="M838" s="202" t="b">
        <v>0</v>
      </c>
      <c r="N838" s="202" t="b">
        <v>0</v>
      </c>
    </row>
    <row r="839">
      <c r="A839" s="201"/>
      <c r="B839" s="201"/>
      <c r="C839" s="202" t="b">
        <v>0</v>
      </c>
      <c r="D839" s="201"/>
      <c r="E839" s="201"/>
      <c r="F839" s="202" t="b">
        <v>0</v>
      </c>
      <c r="G839" s="202" t="b">
        <v>0</v>
      </c>
      <c r="H839" s="202" t="b">
        <v>0</v>
      </c>
      <c r="I839" s="202" t="b">
        <v>0</v>
      </c>
      <c r="J839" s="202" t="b">
        <v>0</v>
      </c>
      <c r="K839" s="202" t="b">
        <v>0</v>
      </c>
      <c r="L839" s="202" t="b">
        <v>0</v>
      </c>
      <c r="M839" s="202" t="b">
        <v>0</v>
      </c>
      <c r="N839" s="202" t="b">
        <v>0</v>
      </c>
    </row>
    <row r="840">
      <c r="A840" s="201"/>
      <c r="B840" s="201"/>
      <c r="C840" s="202" t="b">
        <v>0</v>
      </c>
      <c r="D840" s="201"/>
      <c r="E840" s="201"/>
      <c r="F840" s="202" t="b">
        <v>0</v>
      </c>
      <c r="G840" s="202" t="b">
        <v>0</v>
      </c>
      <c r="H840" s="202" t="b">
        <v>0</v>
      </c>
      <c r="I840" s="202" t="b">
        <v>0</v>
      </c>
      <c r="J840" s="202" t="b">
        <v>0</v>
      </c>
      <c r="K840" s="202" t="b">
        <v>0</v>
      </c>
      <c r="L840" s="202" t="b">
        <v>0</v>
      </c>
      <c r="M840" s="202" t="b">
        <v>0</v>
      </c>
      <c r="N840" s="202" t="b">
        <v>0</v>
      </c>
    </row>
    <row r="841">
      <c r="A841" s="201"/>
      <c r="B841" s="201"/>
      <c r="C841" s="202" t="b">
        <v>0</v>
      </c>
      <c r="D841" s="201"/>
      <c r="E841" s="201"/>
      <c r="F841" s="202" t="b">
        <v>0</v>
      </c>
      <c r="G841" s="202" t="b">
        <v>0</v>
      </c>
      <c r="H841" s="202" t="b">
        <v>0</v>
      </c>
      <c r="I841" s="202" t="b">
        <v>0</v>
      </c>
      <c r="J841" s="202" t="b">
        <v>0</v>
      </c>
      <c r="K841" s="202" t="b">
        <v>0</v>
      </c>
      <c r="L841" s="202" t="b">
        <v>0</v>
      </c>
      <c r="M841" s="202" t="b">
        <v>0</v>
      </c>
      <c r="N841" s="202" t="b">
        <v>0</v>
      </c>
    </row>
    <row r="842">
      <c r="A842" s="201"/>
      <c r="B842" s="201"/>
      <c r="C842" s="202" t="b">
        <v>0</v>
      </c>
      <c r="D842" s="201"/>
      <c r="E842" s="201"/>
      <c r="F842" s="202" t="b">
        <v>0</v>
      </c>
      <c r="G842" s="202" t="b">
        <v>0</v>
      </c>
      <c r="H842" s="202" t="b">
        <v>0</v>
      </c>
      <c r="I842" s="202" t="b">
        <v>0</v>
      </c>
      <c r="J842" s="202" t="b">
        <v>0</v>
      </c>
      <c r="K842" s="202" t="b">
        <v>0</v>
      </c>
      <c r="L842" s="202" t="b">
        <v>0</v>
      </c>
      <c r="M842" s="202" t="b">
        <v>0</v>
      </c>
      <c r="N842" s="202" t="b">
        <v>0</v>
      </c>
    </row>
    <row r="843">
      <c r="A843" s="201"/>
      <c r="B843" s="201"/>
      <c r="C843" s="202" t="b">
        <v>0</v>
      </c>
      <c r="D843" s="201"/>
      <c r="E843" s="201"/>
      <c r="F843" s="202" t="b">
        <v>0</v>
      </c>
      <c r="G843" s="202" t="b">
        <v>0</v>
      </c>
      <c r="H843" s="202" t="b">
        <v>0</v>
      </c>
      <c r="I843" s="202" t="b">
        <v>0</v>
      </c>
      <c r="J843" s="202" t="b">
        <v>0</v>
      </c>
      <c r="K843" s="202" t="b">
        <v>0</v>
      </c>
      <c r="L843" s="202" t="b">
        <v>0</v>
      </c>
      <c r="M843" s="202" t="b">
        <v>0</v>
      </c>
      <c r="N843" s="202" t="b">
        <v>0</v>
      </c>
    </row>
    <row r="844">
      <c r="A844" s="201"/>
      <c r="B844" s="201"/>
      <c r="C844" s="202" t="b">
        <v>0</v>
      </c>
      <c r="D844" s="201"/>
      <c r="E844" s="201"/>
      <c r="F844" s="202" t="b">
        <v>0</v>
      </c>
      <c r="G844" s="202" t="b">
        <v>0</v>
      </c>
      <c r="H844" s="202" t="b">
        <v>0</v>
      </c>
      <c r="I844" s="202" t="b">
        <v>0</v>
      </c>
      <c r="J844" s="202" t="b">
        <v>0</v>
      </c>
      <c r="K844" s="202" t="b">
        <v>0</v>
      </c>
      <c r="L844" s="202" t="b">
        <v>0</v>
      </c>
      <c r="M844" s="202" t="b">
        <v>0</v>
      </c>
      <c r="N844" s="202" t="b">
        <v>0</v>
      </c>
    </row>
    <row r="845">
      <c r="A845" s="201"/>
      <c r="B845" s="201"/>
      <c r="C845" s="202" t="b">
        <v>0</v>
      </c>
      <c r="D845" s="201"/>
      <c r="E845" s="201"/>
      <c r="F845" s="202" t="b">
        <v>0</v>
      </c>
      <c r="G845" s="202" t="b">
        <v>0</v>
      </c>
      <c r="H845" s="202" t="b">
        <v>0</v>
      </c>
      <c r="I845" s="202" t="b">
        <v>0</v>
      </c>
      <c r="J845" s="202" t="b">
        <v>0</v>
      </c>
      <c r="K845" s="202" t="b">
        <v>0</v>
      </c>
      <c r="L845" s="202" t="b">
        <v>0</v>
      </c>
      <c r="M845" s="202" t="b">
        <v>0</v>
      </c>
      <c r="N845" s="202" t="b">
        <v>0</v>
      </c>
    </row>
    <row r="846">
      <c r="A846" s="201"/>
      <c r="B846" s="201"/>
      <c r="C846" s="202" t="b">
        <v>0</v>
      </c>
      <c r="D846" s="201"/>
      <c r="E846" s="201"/>
      <c r="F846" s="202" t="b">
        <v>0</v>
      </c>
      <c r="G846" s="202" t="b">
        <v>0</v>
      </c>
      <c r="H846" s="202" t="b">
        <v>0</v>
      </c>
      <c r="I846" s="202" t="b">
        <v>0</v>
      </c>
      <c r="J846" s="202" t="b">
        <v>0</v>
      </c>
      <c r="K846" s="202" t="b">
        <v>0</v>
      </c>
      <c r="L846" s="202" t="b">
        <v>0</v>
      </c>
      <c r="M846" s="202" t="b">
        <v>0</v>
      </c>
      <c r="N846" s="202" t="b">
        <v>0</v>
      </c>
    </row>
    <row r="847">
      <c r="A847" s="201"/>
      <c r="B847" s="201"/>
      <c r="C847" s="202" t="b">
        <v>0</v>
      </c>
      <c r="D847" s="201"/>
      <c r="E847" s="201"/>
      <c r="F847" s="202" t="b">
        <v>0</v>
      </c>
      <c r="G847" s="202" t="b">
        <v>0</v>
      </c>
      <c r="H847" s="202" t="b">
        <v>0</v>
      </c>
      <c r="I847" s="202" t="b">
        <v>0</v>
      </c>
      <c r="J847" s="202" t="b">
        <v>0</v>
      </c>
      <c r="K847" s="202" t="b">
        <v>0</v>
      </c>
      <c r="L847" s="202" t="b">
        <v>0</v>
      </c>
      <c r="M847" s="202" t="b">
        <v>0</v>
      </c>
      <c r="N847" s="202" t="b">
        <v>0</v>
      </c>
    </row>
    <row r="848">
      <c r="A848" s="201"/>
      <c r="B848" s="201"/>
      <c r="C848" s="202" t="b">
        <v>0</v>
      </c>
      <c r="D848" s="201"/>
      <c r="E848" s="201"/>
      <c r="F848" s="202" t="b">
        <v>0</v>
      </c>
      <c r="G848" s="202" t="b">
        <v>0</v>
      </c>
      <c r="H848" s="202" t="b">
        <v>0</v>
      </c>
      <c r="I848" s="202" t="b">
        <v>0</v>
      </c>
      <c r="J848" s="202" t="b">
        <v>0</v>
      </c>
      <c r="K848" s="202" t="b">
        <v>0</v>
      </c>
      <c r="L848" s="202" t="b">
        <v>0</v>
      </c>
      <c r="M848" s="202" t="b">
        <v>0</v>
      </c>
      <c r="N848" s="202" t="b">
        <v>0</v>
      </c>
    </row>
    <row r="849">
      <c r="A849" s="201"/>
      <c r="B849" s="201"/>
      <c r="C849" s="202" t="b">
        <v>0</v>
      </c>
      <c r="D849" s="201"/>
      <c r="E849" s="201"/>
      <c r="F849" s="202" t="b">
        <v>0</v>
      </c>
      <c r="G849" s="202" t="b">
        <v>0</v>
      </c>
      <c r="H849" s="202" t="b">
        <v>0</v>
      </c>
      <c r="I849" s="202" t="b">
        <v>0</v>
      </c>
      <c r="J849" s="202" t="b">
        <v>0</v>
      </c>
      <c r="K849" s="202" t="b">
        <v>0</v>
      </c>
      <c r="L849" s="202" t="b">
        <v>0</v>
      </c>
      <c r="M849" s="202" t="b">
        <v>0</v>
      </c>
      <c r="N849" s="202" t="b">
        <v>0</v>
      </c>
    </row>
    <row r="850">
      <c r="A850" s="201"/>
      <c r="B850" s="201"/>
      <c r="C850" s="202" t="b">
        <v>0</v>
      </c>
      <c r="D850" s="201"/>
      <c r="E850" s="201"/>
      <c r="F850" s="202" t="b">
        <v>0</v>
      </c>
      <c r="G850" s="202" t="b">
        <v>0</v>
      </c>
      <c r="H850" s="202" t="b">
        <v>0</v>
      </c>
      <c r="I850" s="202" t="b">
        <v>0</v>
      </c>
      <c r="J850" s="202" t="b">
        <v>0</v>
      </c>
      <c r="K850" s="202" t="b">
        <v>0</v>
      </c>
      <c r="L850" s="202" t="b">
        <v>0</v>
      </c>
      <c r="M850" s="202" t="b">
        <v>0</v>
      </c>
      <c r="N850" s="202" t="b">
        <v>0</v>
      </c>
    </row>
    <row r="851">
      <c r="A851" s="201"/>
      <c r="B851" s="201"/>
      <c r="C851" s="202" t="b">
        <v>0</v>
      </c>
      <c r="D851" s="201"/>
      <c r="E851" s="201"/>
      <c r="F851" s="202" t="b">
        <v>0</v>
      </c>
      <c r="G851" s="202" t="b">
        <v>0</v>
      </c>
      <c r="H851" s="202" t="b">
        <v>0</v>
      </c>
      <c r="I851" s="202" t="b">
        <v>0</v>
      </c>
      <c r="J851" s="202" t="b">
        <v>0</v>
      </c>
      <c r="K851" s="202" t="b">
        <v>0</v>
      </c>
      <c r="L851" s="202" t="b">
        <v>0</v>
      </c>
      <c r="M851" s="202" t="b">
        <v>0</v>
      </c>
      <c r="N851" s="202" t="b">
        <v>0</v>
      </c>
    </row>
    <row r="852">
      <c r="A852" s="201"/>
      <c r="B852" s="201"/>
      <c r="C852" s="202" t="b">
        <v>0</v>
      </c>
      <c r="D852" s="201"/>
      <c r="E852" s="201"/>
      <c r="F852" s="202" t="b">
        <v>0</v>
      </c>
      <c r="G852" s="202" t="b">
        <v>0</v>
      </c>
      <c r="H852" s="202" t="b">
        <v>0</v>
      </c>
      <c r="I852" s="202" t="b">
        <v>0</v>
      </c>
      <c r="J852" s="202" t="b">
        <v>0</v>
      </c>
      <c r="K852" s="202" t="b">
        <v>0</v>
      </c>
      <c r="L852" s="202" t="b">
        <v>0</v>
      </c>
      <c r="M852" s="202" t="b">
        <v>0</v>
      </c>
      <c r="N852" s="202" t="b">
        <v>0</v>
      </c>
    </row>
    <row r="853">
      <c r="A853" s="201"/>
      <c r="B853" s="201"/>
      <c r="C853" s="202" t="b">
        <v>0</v>
      </c>
      <c r="D853" s="201"/>
      <c r="E853" s="201"/>
      <c r="F853" s="202" t="b">
        <v>0</v>
      </c>
      <c r="G853" s="202" t="b">
        <v>0</v>
      </c>
      <c r="H853" s="202" t="b">
        <v>0</v>
      </c>
      <c r="I853" s="202" t="b">
        <v>0</v>
      </c>
      <c r="J853" s="202" t="b">
        <v>0</v>
      </c>
      <c r="K853" s="202" t="b">
        <v>0</v>
      </c>
      <c r="L853" s="202" t="b">
        <v>0</v>
      </c>
      <c r="M853" s="202" t="b">
        <v>0</v>
      </c>
      <c r="N853" s="202" t="b">
        <v>0</v>
      </c>
    </row>
    <row r="854">
      <c r="A854" s="201"/>
      <c r="B854" s="201"/>
      <c r="C854" s="202" t="b">
        <v>0</v>
      </c>
      <c r="D854" s="201"/>
      <c r="E854" s="201"/>
      <c r="F854" s="202" t="b">
        <v>0</v>
      </c>
      <c r="G854" s="202" t="b">
        <v>0</v>
      </c>
      <c r="H854" s="202" t="b">
        <v>0</v>
      </c>
      <c r="I854" s="202" t="b">
        <v>0</v>
      </c>
      <c r="J854" s="202" t="b">
        <v>0</v>
      </c>
      <c r="K854" s="202" t="b">
        <v>0</v>
      </c>
      <c r="L854" s="202" t="b">
        <v>0</v>
      </c>
      <c r="M854" s="202" t="b">
        <v>0</v>
      </c>
      <c r="N854" s="202" t="b">
        <v>0</v>
      </c>
    </row>
    <row r="855">
      <c r="A855" s="201"/>
      <c r="B855" s="201"/>
      <c r="C855" s="202" t="b">
        <v>0</v>
      </c>
      <c r="D855" s="201"/>
      <c r="E855" s="201"/>
      <c r="F855" s="202" t="b">
        <v>0</v>
      </c>
      <c r="G855" s="202" t="b">
        <v>0</v>
      </c>
      <c r="H855" s="202" t="b">
        <v>0</v>
      </c>
      <c r="I855" s="202" t="b">
        <v>0</v>
      </c>
      <c r="J855" s="202" t="b">
        <v>0</v>
      </c>
      <c r="K855" s="202" t="b">
        <v>0</v>
      </c>
      <c r="L855" s="202" t="b">
        <v>0</v>
      </c>
      <c r="M855" s="202" t="b">
        <v>0</v>
      </c>
      <c r="N855" s="202" t="b">
        <v>0</v>
      </c>
    </row>
    <row r="856">
      <c r="A856" s="201"/>
      <c r="B856" s="201"/>
      <c r="C856" s="202" t="b">
        <v>0</v>
      </c>
      <c r="D856" s="201"/>
      <c r="E856" s="201"/>
      <c r="F856" s="202" t="b">
        <v>0</v>
      </c>
      <c r="G856" s="202" t="b">
        <v>0</v>
      </c>
      <c r="H856" s="202" t="b">
        <v>0</v>
      </c>
      <c r="I856" s="202" t="b">
        <v>0</v>
      </c>
      <c r="J856" s="202" t="b">
        <v>0</v>
      </c>
      <c r="K856" s="202" t="b">
        <v>0</v>
      </c>
      <c r="L856" s="202" t="b">
        <v>0</v>
      </c>
      <c r="M856" s="202" t="b">
        <v>0</v>
      </c>
      <c r="N856" s="202" t="b">
        <v>0</v>
      </c>
    </row>
    <row r="857">
      <c r="A857" s="201"/>
      <c r="B857" s="201"/>
      <c r="C857" s="202" t="b">
        <v>0</v>
      </c>
      <c r="D857" s="201"/>
      <c r="E857" s="201"/>
      <c r="F857" s="202" t="b">
        <v>0</v>
      </c>
      <c r="G857" s="202" t="b">
        <v>0</v>
      </c>
      <c r="H857" s="202" t="b">
        <v>0</v>
      </c>
      <c r="I857" s="202" t="b">
        <v>0</v>
      </c>
      <c r="J857" s="202" t="b">
        <v>0</v>
      </c>
      <c r="K857" s="202" t="b">
        <v>0</v>
      </c>
      <c r="L857" s="202" t="b">
        <v>0</v>
      </c>
      <c r="M857" s="202" t="b">
        <v>0</v>
      </c>
      <c r="N857" s="202" t="b">
        <v>0</v>
      </c>
    </row>
    <row r="858">
      <c r="A858" s="201"/>
      <c r="B858" s="201"/>
      <c r="C858" s="202" t="b">
        <v>0</v>
      </c>
      <c r="D858" s="201"/>
      <c r="E858" s="201"/>
      <c r="F858" s="202" t="b">
        <v>0</v>
      </c>
      <c r="G858" s="202" t="b">
        <v>0</v>
      </c>
      <c r="H858" s="202" t="b">
        <v>0</v>
      </c>
      <c r="I858" s="202" t="b">
        <v>0</v>
      </c>
      <c r="J858" s="202" t="b">
        <v>0</v>
      </c>
      <c r="K858" s="202" t="b">
        <v>0</v>
      </c>
      <c r="L858" s="202" t="b">
        <v>0</v>
      </c>
      <c r="M858" s="202" t="b">
        <v>0</v>
      </c>
      <c r="N858" s="202" t="b">
        <v>0</v>
      </c>
    </row>
    <row r="859">
      <c r="A859" s="201"/>
      <c r="B859" s="201"/>
      <c r="C859" s="202" t="b">
        <v>0</v>
      </c>
      <c r="D859" s="201"/>
      <c r="E859" s="201"/>
      <c r="F859" s="202" t="b">
        <v>0</v>
      </c>
      <c r="G859" s="202" t="b">
        <v>0</v>
      </c>
      <c r="H859" s="202" t="b">
        <v>0</v>
      </c>
      <c r="I859" s="202" t="b">
        <v>0</v>
      </c>
      <c r="J859" s="202" t="b">
        <v>0</v>
      </c>
      <c r="K859" s="202" t="b">
        <v>0</v>
      </c>
      <c r="L859" s="202" t="b">
        <v>0</v>
      </c>
      <c r="M859" s="202" t="b">
        <v>0</v>
      </c>
      <c r="N859" s="202" t="b">
        <v>0</v>
      </c>
    </row>
    <row r="860">
      <c r="A860" s="201"/>
      <c r="B860" s="201"/>
      <c r="C860" s="202" t="b">
        <v>0</v>
      </c>
      <c r="D860" s="201"/>
      <c r="E860" s="201"/>
      <c r="F860" s="202" t="b">
        <v>0</v>
      </c>
      <c r="G860" s="202" t="b">
        <v>0</v>
      </c>
      <c r="H860" s="202" t="b">
        <v>0</v>
      </c>
      <c r="I860" s="202" t="b">
        <v>0</v>
      </c>
      <c r="J860" s="202" t="b">
        <v>0</v>
      </c>
      <c r="K860" s="202" t="b">
        <v>0</v>
      </c>
      <c r="L860" s="202" t="b">
        <v>0</v>
      </c>
      <c r="M860" s="202" t="b">
        <v>0</v>
      </c>
      <c r="N860" s="202" t="b">
        <v>0</v>
      </c>
    </row>
    <row r="861">
      <c r="A861" s="201"/>
      <c r="B861" s="201"/>
      <c r="C861" s="202" t="b">
        <v>0</v>
      </c>
      <c r="D861" s="201"/>
      <c r="E861" s="201"/>
      <c r="F861" s="202" t="b">
        <v>0</v>
      </c>
      <c r="G861" s="202" t="b">
        <v>0</v>
      </c>
      <c r="H861" s="202" t="b">
        <v>0</v>
      </c>
      <c r="I861" s="202" t="b">
        <v>0</v>
      </c>
      <c r="J861" s="202" t="b">
        <v>0</v>
      </c>
      <c r="K861" s="202" t="b">
        <v>0</v>
      </c>
      <c r="L861" s="202" t="b">
        <v>0</v>
      </c>
      <c r="M861" s="202" t="b">
        <v>0</v>
      </c>
      <c r="N861" s="202" t="b">
        <v>0</v>
      </c>
    </row>
    <row r="862">
      <c r="A862" s="201"/>
      <c r="B862" s="201"/>
      <c r="C862" s="202" t="b">
        <v>0</v>
      </c>
      <c r="D862" s="201"/>
      <c r="E862" s="201"/>
      <c r="F862" s="202" t="b">
        <v>0</v>
      </c>
      <c r="G862" s="202" t="b">
        <v>0</v>
      </c>
      <c r="H862" s="202" t="b">
        <v>0</v>
      </c>
      <c r="I862" s="202" t="b">
        <v>0</v>
      </c>
      <c r="J862" s="202" t="b">
        <v>0</v>
      </c>
      <c r="K862" s="202" t="b">
        <v>0</v>
      </c>
      <c r="L862" s="202" t="b">
        <v>0</v>
      </c>
      <c r="M862" s="202" t="b">
        <v>0</v>
      </c>
      <c r="N862" s="202" t="b">
        <v>0</v>
      </c>
    </row>
    <row r="863">
      <c r="A863" s="201"/>
      <c r="B863" s="201"/>
      <c r="C863" s="202" t="b">
        <v>0</v>
      </c>
      <c r="D863" s="201"/>
      <c r="E863" s="201"/>
      <c r="F863" s="202" t="b">
        <v>0</v>
      </c>
      <c r="G863" s="202" t="b">
        <v>0</v>
      </c>
      <c r="H863" s="202" t="b">
        <v>0</v>
      </c>
      <c r="I863" s="202" t="b">
        <v>0</v>
      </c>
      <c r="J863" s="202" t="b">
        <v>0</v>
      </c>
      <c r="K863" s="202" t="b">
        <v>0</v>
      </c>
      <c r="L863" s="202" t="b">
        <v>0</v>
      </c>
      <c r="M863" s="202" t="b">
        <v>0</v>
      </c>
      <c r="N863" s="202" t="b">
        <v>0</v>
      </c>
    </row>
    <row r="864">
      <c r="A864" s="201"/>
      <c r="B864" s="201"/>
      <c r="C864" s="202" t="b">
        <v>0</v>
      </c>
      <c r="D864" s="201"/>
      <c r="E864" s="201"/>
      <c r="F864" s="202" t="b">
        <v>0</v>
      </c>
      <c r="G864" s="202" t="b">
        <v>0</v>
      </c>
      <c r="H864" s="202" t="b">
        <v>0</v>
      </c>
      <c r="I864" s="202" t="b">
        <v>0</v>
      </c>
      <c r="J864" s="202" t="b">
        <v>0</v>
      </c>
      <c r="K864" s="202" t="b">
        <v>0</v>
      </c>
      <c r="L864" s="202" t="b">
        <v>0</v>
      </c>
      <c r="M864" s="202" t="b">
        <v>0</v>
      </c>
      <c r="N864" s="202" t="b">
        <v>0</v>
      </c>
    </row>
    <row r="865">
      <c r="A865" s="201"/>
      <c r="B865" s="201"/>
      <c r="C865" s="202" t="b">
        <v>0</v>
      </c>
      <c r="D865" s="201"/>
      <c r="E865" s="201"/>
      <c r="F865" s="202" t="b">
        <v>0</v>
      </c>
      <c r="G865" s="202" t="b">
        <v>0</v>
      </c>
      <c r="H865" s="202" t="b">
        <v>0</v>
      </c>
      <c r="I865" s="202" t="b">
        <v>0</v>
      </c>
      <c r="J865" s="202" t="b">
        <v>0</v>
      </c>
      <c r="K865" s="202" t="b">
        <v>0</v>
      </c>
      <c r="L865" s="202" t="b">
        <v>0</v>
      </c>
      <c r="M865" s="202" t="b">
        <v>0</v>
      </c>
      <c r="N865" s="202" t="b">
        <v>0</v>
      </c>
    </row>
    <row r="866">
      <c r="A866" s="201"/>
      <c r="B866" s="201"/>
      <c r="C866" s="202" t="b">
        <v>0</v>
      </c>
      <c r="D866" s="201"/>
      <c r="E866" s="201"/>
      <c r="F866" s="202" t="b">
        <v>0</v>
      </c>
      <c r="G866" s="202" t="b">
        <v>0</v>
      </c>
      <c r="H866" s="202" t="b">
        <v>0</v>
      </c>
      <c r="I866" s="202" t="b">
        <v>0</v>
      </c>
      <c r="J866" s="202" t="b">
        <v>0</v>
      </c>
      <c r="K866" s="202" t="b">
        <v>0</v>
      </c>
      <c r="L866" s="202" t="b">
        <v>0</v>
      </c>
      <c r="M866" s="202" t="b">
        <v>0</v>
      </c>
      <c r="N866" s="202" t="b">
        <v>0</v>
      </c>
    </row>
    <row r="867">
      <c r="A867" s="201"/>
      <c r="B867" s="201"/>
      <c r="C867" s="202" t="b">
        <v>0</v>
      </c>
      <c r="D867" s="201"/>
      <c r="E867" s="201"/>
      <c r="F867" s="202" t="b">
        <v>0</v>
      </c>
      <c r="G867" s="202" t="b">
        <v>0</v>
      </c>
      <c r="H867" s="202" t="b">
        <v>0</v>
      </c>
      <c r="I867" s="202" t="b">
        <v>0</v>
      </c>
      <c r="J867" s="202" t="b">
        <v>0</v>
      </c>
      <c r="K867" s="202" t="b">
        <v>0</v>
      </c>
      <c r="L867" s="202" t="b">
        <v>0</v>
      </c>
      <c r="M867" s="202" t="b">
        <v>0</v>
      </c>
      <c r="N867" s="202" t="b">
        <v>0</v>
      </c>
    </row>
    <row r="868">
      <c r="A868" s="201"/>
      <c r="B868" s="201"/>
      <c r="C868" s="202" t="b">
        <v>0</v>
      </c>
      <c r="D868" s="201"/>
      <c r="E868" s="201"/>
      <c r="F868" s="202" t="b">
        <v>0</v>
      </c>
      <c r="G868" s="202" t="b">
        <v>0</v>
      </c>
      <c r="H868" s="202" t="b">
        <v>0</v>
      </c>
      <c r="I868" s="202" t="b">
        <v>0</v>
      </c>
      <c r="J868" s="202" t="b">
        <v>0</v>
      </c>
      <c r="K868" s="202" t="b">
        <v>0</v>
      </c>
      <c r="L868" s="202" t="b">
        <v>0</v>
      </c>
      <c r="M868" s="202" t="b">
        <v>0</v>
      </c>
      <c r="N868" s="202" t="b">
        <v>0</v>
      </c>
    </row>
    <row r="869">
      <c r="A869" s="201"/>
      <c r="B869" s="201"/>
      <c r="C869" s="202" t="b">
        <v>0</v>
      </c>
      <c r="D869" s="201"/>
      <c r="E869" s="201"/>
      <c r="F869" s="202" t="b">
        <v>0</v>
      </c>
      <c r="G869" s="202" t="b">
        <v>0</v>
      </c>
      <c r="H869" s="202" t="b">
        <v>0</v>
      </c>
      <c r="I869" s="202" t="b">
        <v>0</v>
      </c>
      <c r="J869" s="202" t="b">
        <v>0</v>
      </c>
      <c r="K869" s="202" t="b">
        <v>0</v>
      </c>
      <c r="L869" s="202" t="b">
        <v>0</v>
      </c>
      <c r="M869" s="202" t="b">
        <v>0</v>
      </c>
      <c r="N869" s="202" t="b">
        <v>0</v>
      </c>
    </row>
    <row r="870">
      <c r="A870" s="201"/>
      <c r="B870" s="201"/>
      <c r="C870" s="202" t="b">
        <v>0</v>
      </c>
      <c r="D870" s="201"/>
      <c r="E870" s="201"/>
      <c r="F870" s="202" t="b">
        <v>0</v>
      </c>
      <c r="G870" s="202" t="b">
        <v>0</v>
      </c>
      <c r="H870" s="202" t="b">
        <v>0</v>
      </c>
      <c r="I870" s="202" t="b">
        <v>0</v>
      </c>
      <c r="J870" s="202" t="b">
        <v>0</v>
      </c>
      <c r="K870" s="202" t="b">
        <v>0</v>
      </c>
      <c r="L870" s="202" t="b">
        <v>0</v>
      </c>
      <c r="M870" s="202" t="b">
        <v>0</v>
      </c>
      <c r="N870" s="202" t="b">
        <v>0</v>
      </c>
    </row>
    <row r="871">
      <c r="A871" s="201"/>
      <c r="B871" s="201"/>
      <c r="C871" s="202" t="b">
        <v>0</v>
      </c>
      <c r="D871" s="201"/>
      <c r="E871" s="201"/>
      <c r="F871" s="202" t="b">
        <v>0</v>
      </c>
      <c r="G871" s="202" t="b">
        <v>0</v>
      </c>
      <c r="H871" s="202" t="b">
        <v>0</v>
      </c>
      <c r="I871" s="202" t="b">
        <v>0</v>
      </c>
      <c r="J871" s="202" t="b">
        <v>0</v>
      </c>
      <c r="K871" s="202" t="b">
        <v>0</v>
      </c>
      <c r="L871" s="202" t="b">
        <v>0</v>
      </c>
      <c r="M871" s="202" t="b">
        <v>0</v>
      </c>
      <c r="N871" s="202" t="b">
        <v>0</v>
      </c>
    </row>
    <row r="872">
      <c r="A872" s="201"/>
      <c r="B872" s="201"/>
      <c r="C872" s="202" t="b">
        <v>0</v>
      </c>
      <c r="D872" s="201"/>
      <c r="E872" s="201"/>
      <c r="F872" s="202" t="b">
        <v>0</v>
      </c>
      <c r="G872" s="202" t="b">
        <v>0</v>
      </c>
      <c r="H872" s="202" t="b">
        <v>0</v>
      </c>
      <c r="I872" s="202" t="b">
        <v>0</v>
      </c>
      <c r="J872" s="202" t="b">
        <v>0</v>
      </c>
      <c r="K872" s="202" t="b">
        <v>0</v>
      </c>
      <c r="L872" s="202" t="b">
        <v>0</v>
      </c>
      <c r="M872" s="202" t="b">
        <v>0</v>
      </c>
      <c r="N872" s="202" t="b">
        <v>0</v>
      </c>
    </row>
    <row r="873">
      <c r="A873" s="201"/>
      <c r="B873" s="201"/>
      <c r="C873" s="202" t="b">
        <v>0</v>
      </c>
      <c r="D873" s="201"/>
      <c r="E873" s="201"/>
      <c r="F873" s="202" t="b">
        <v>0</v>
      </c>
      <c r="G873" s="202" t="b">
        <v>0</v>
      </c>
      <c r="H873" s="202" t="b">
        <v>0</v>
      </c>
      <c r="I873" s="202" t="b">
        <v>0</v>
      </c>
      <c r="J873" s="202" t="b">
        <v>0</v>
      </c>
      <c r="K873" s="202" t="b">
        <v>0</v>
      </c>
      <c r="L873" s="202" t="b">
        <v>0</v>
      </c>
      <c r="M873" s="202" t="b">
        <v>0</v>
      </c>
      <c r="N873" s="202" t="b">
        <v>0</v>
      </c>
    </row>
    <row r="874">
      <c r="A874" s="201"/>
      <c r="B874" s="201"/>
      <c r="C874" s="202" t="b">
        <v>0</v>
      </c>
      <c r="D874" s="201"/>
      <c r="E874" s="201"/>
      <c r="F874" s="202" t="b">
        <v>0</v>
      </c>
      <c r="G874" s="202" t="b">
        <v>0</v>
      </c>
      <c r="H874" s="202" t="b">
        <v>0</v>
      </c>
      <c r="I874" s="202" t="b">
        <v>0</v>
      </c>
      <c r="J874" s="202" t="b">
        <v>0</v>
      </c>
      <c r="K874" s="202" t="b">
        <v>0</v>
      </c>
      <c r="L874" s="202" t="b">
        <v>0</v>
      </c>
      <c r="M874" s="202" t="b">
        <v>0</v>
      </c>
      <c r="N874" s="202" t="b">
        <v>0</v>
      </c>
    </row>
    <row r="875">
      <c r="A875" s="201"/>
      <c r="B875" s="201"/>
      <c r="C875" s="202" t="b">
        <v>0</v>
      </c>
      <c r="D875" s="201"/>
      <c r="E875" s="201"/>
      <c r="F875" s="202" t="b">
        <v>0</v>
      </c>
      <c r="G875" s="202" t="b">
        <v>0</v>
      </c>
      <c r="H875" s="202" t="b">
        <v>0</v>
      </c>
      <c r="I875" s="202" t="b">
        <v>0</v>
      </c>
      <c r="J875" s="202" t="b">
        <v>0</v>
      </c>
      <c r="K875" s="202" t="b">
        <v>0</v>
      </c>
      <c r="L875" s="202" t="b">
        <v>0</v>
      </c>
      <c r="M875" s="202" t="b">
        <v>0</v>
      </c>
      <c r="N875" s="202" t="b">
        <v>0</v>
      </c>
    </row>
    <row r="876">
      <c r="A876" s="201"/>
      <c r="B876" s="201"/>
      <c r="C876" s="202" t="b">
        <v>0</v>
      </c>
      <c r="D876" s="201"/>
      <c r="E876" s="201"/>
      <c r="F876" s="202" t="b">
        <v>0</v>
      </c>
      <c r="G876" s="202" t="b">
        <v>0</v>
      </c>
      <c r="H876" s="202" t="b">
        <v>0</v>
      </c>
      <c r="I876" s="202" t="b">
        <v>0</v>
      </c>
      <c r="J876" s="202" t="b">
        <v>0</v>
      </c>
      <c r="K876" s="202" t="b">
        <v>0</v>
      </c>
      <c r="L876" s="202" t="b">
        <v>0</v>
      </c>
      <c r="M876" s="202" t="b">
        <v>0</v>
      </c>
      <c r="N876" s="202" t="b">
        <v>0</v>
      </c>
    </row>
    <row r="877">
      <c r="A877" s="201"/>
      <c r="B877" s="201"/>
      <c r="C877" s="202" t="b">
        <v>0</v>
      </c>
      <c r="D877" s="201"/>
      <c r="E877" s="201"/>
      <c r="F877" s="202" t="b">
        <v>0</v>
      </c>
      <c r="G877" s="202" t="b">
        <v>0</v>
      </c>
      <c r="H877" s="202" t="b">
        <v>0</v>
      </c>
      <c r="I877" s="202" t="b">
        <v>0</v>
      </c>
      <c r="J877" s="202" t="b">
        <v>0</v>
      </c>
      <c r="K877" s="202" t="b">
        <v>0</v>
      </c>
      <c r="L877" s="202" t="b">
        <v>0</v>
      </c>
      <c r="M877" s="202" t="b">
        <v>0</v>
      </c>
      <c r="N877" s="202" t="b">
        <v>0</v>
      </c>
    </row>
    <row r="878">
      <c r="A878" s="201"/>
      <c r="B878" s="201"/>
      <c r="C878" s="202" t="b">
        <v>0</v>
      </c>
      <c r="D878" s="201"/>
      <c r="E878" s="201"/>
      <c r="F878" s="202" t="b">
        <v>0</v>
      </c>
      <c r="G878" s="202" t="b">
        <v>0</v>
      </c>
      <c r="H878" s="202" t="b">
        <v>0</v>
      </c>
      <c r="I878" s="202" t="b">
        <v>0</v>
      </c>
      <c r="J878" s="202" t="b">
        <v>0</v>
      </c>
      <c r="K878" s="202" t="b">
        <v>0</v>
      </c>
      <c r="L878" s="202" t="b">
        <v>0</v>
      </c>
      <c r="M878" s="202" t="b">
        <v>0</v>
      </c>
      <c r="N878" s="202" t="b">
        <v>0</v>
      </c>
    </row>
    <row r="879">
      <c r="A879" s="201"/>
      <c r="B879" s="201"/>
      <c r="C879" s="202" t="b">
        <v>0</v>
      </c>
      <c r="D879" s="201"/>
      <c r="E879" s="201"/>
      <c r="F879" s="202" t="b">
        <v>0</v>
      </c>
      <c r="G879" s="202" t="b">
        <v>0</v>
      </c>
      <c r="H879" s="202" t="b">
        <v>0</v>
      </c>
      <c r="I879" s="202" t="b">
        <v>0</v>
      </c>
      <c r="J879" s="202" t="b">
        <v>0</v>
      </c>
      <c r="K879" s="202" t="b">
        <v>0</v>
      </c>
      <c r="L879" s="202" t="b">
        <v>0</v>
      </c>
      <c r="M879" s="202" t="b">
        <v>0</v>
      </c>
      <c r="N879" s="202" t="b">
        <v>0</v>
      </c>
    </row>
    <row r="880">
      <c r="A880" s="201"/>
      <c r="B880" s="201"/>
      <c r="C880" s="202" t="b">
        <v>0</v>
      </c>
      <c r="D880" s="201"/>
      <c r="E880" s="201"/>
      <c r="F880" s="202" t="b">
        <v>0</v>
      </c>
      <c r="G880" s="202" t="b">
        <v>0</v>
      </c>
      <c r="H880" s="202" t="b">
        <v>0</v>
      </c>
      <c r="I880" s="202" t="b">
        <v>0</v>
      </c>
      <c r="J880" s="202" t="b">
        <v>0</v>
      </c>
      <c r="K880" s="202" t="b">
        <v>0</v>
      </c>
      <c r="L880" s="202" t="b">
        <v>0</v>
      </c>
      <c r="M880" s="202" t="b">
        <v>0</v>
      </c>
      <c r="N880" s="202" t="b">
        <v>0</v>
      </c>
    </row>
    <row r="881">
      <c r="A881" s="201"/>
      <c r="B881" s="201"/>
      <c r="C881" s="202" t="b">
        <v>0</v>
      </c>
      <c r="D881" s="201"/>
      <c r="E881" s="201"/>
      <c r="F881" s="202" t="b">
        <v>0</v>
      </c>
      <c r="G881" s="202" t="b">
        <v>0</v>
      </c>
      <c r="H881" s="202" t="b">
        <v>0</v>
      </c>
      <c r="I881" s="202" t="b">
        <v>0</v>
      </c>
      <c r="J881" s="202" t="b">
        <v>0</v>
      </c>
      <c r="K881" s="202" t="b">
        <v>0</v>
      </c>
      <c r="L881" s="202" t="b">
        <v>0</v>
      </c>
      <c r="M881" s="202" t="b">
        <v>0</v>
      </c>
      <c r="N881" s="202" t="b">
        <v>0</v>
      </c>
    </row>
    <row r="882">
      <c r="A882" s="201"/>
      <c r="B882" s="201"/>
      <c r="C882" s="202" t="b">
        <v>0</v>
      </c>
      <c r="D882" s="201"/>
      <c r="E882" s="201"/>
      <c r="F882" s="202" t="b">
        <v>0</v>
      </c>
      <c r="G882" s="202" t="b">
        <v>0</v>
      </c>
      <c r="H882" s="202" t="b">
        <v>0</v>
      </c>
      <c r="I882" s="202" t="b">
        <v>0</v>
      </c>
      <c r="J882" s="202" t="b">
        <v>0</v>
      </c>
      <c r="K882" s="202" t="b">
        <v>0</v>
      </c>
      <c r="L882" s="202" t="b">
        <v>0</v>
      </c>
      <c r="M882" s="202" t="b">
        <v>0</v>
      </c>
      <c r="N882" s="202" t="b">
        <v>0</v>
      </c>
    </row>
    <row r="883">
      <c r="A883" s="201"/>
      <c r="B883" s="201"/>
      <c r="C883" s="202" t="b">
        <v>0</v>
      </c>
      <c r="D883" s="201"/>
      <c r="E883" s="201"/>
      <c r="F883" s="202" t="b">
        <v>0</v>
      </c>
      <c r="G883" s="202" t="b">
        <v>0</v>
      </c>
      <c r="H883" s="202" t="b">
        <v>0</v>
      </c>
      <c r="I883" s="202" t="b">
        <v>0</v>
      </c>
      <c r="J883" s="202" t="b">
        <v>0</v>
      </c>
      <c r="K883" s="202" t="b">
        <v>0</v>
      </c>
      <c r="L883" s="202" t="b">
        <v>0</v>
      </c>
      <c r="M883" s="202" t="b">
        <v>0</v>
      </c>
      <c r="N883" s="202" t="b">
        <v>0</v>
      </c>
    </row>
    <row r="884">
      <c r="A884" s="201"/>
      <c r="B884" s="201"/>
      <c r="C884" s="202" t="b">
        <v>0</v>
      </c>
      <c r="D884" s="201"/>
      <c r="E884" s="201"/>
      <c r="F884" s="202" t="b">
        <v>0</v>
      </c>
      <c r="G884" s="202" t="b">
        <v>0</v>
      </c>
      <c r="H884" s="202" t="b">
        <v>0</v>
      </c>
      <c r="I884" s="202" t="b">
        <v>0</v>
      </c>
      <c r="J884" s="202" t="b">
        <v>0</v>
      </c>
      <c r="K884" s="202" t="b">
        <v>0</v>
      </c>
      <c r="L884" s="202" t="b">
        <v>0</v>
      </c>
      <c r="M884" s="202" t="b">
        <v>0</v>
      </c>
      <c r="N884" s="202" t="b">
        <v>0</v>
      </c>
    </row>
    <row r="885">
      <c r="A885" s="201"/>
      <c r="B885" s="201"/>
      <c r="C885" s="202" t="b">
        <v>0</v>
      </c>
      <c r="D885" s="201"/>
      <c r="E885" s="201"/>
      <c r="F885" s="202" t="b">
        <v>0</v>
      </c>
      <c r="G885" s="202" t="b">
        <v>0</v>
      </c>
      <c r="H885" s="202" t="b">
        <v>0</v>
      </c>
      <c r="I885" s="202" t="b">
        <v>0</v>
      </c>
      <c r="J885" s="202" t="b">
        <v>0</v>
      </c>
      <c r="K885" s="202" t="b">
        <v>0</v>
      </c>
      <c r="L885" s="202" t="b">
        <v>0</v>
      </c>
      <c r="M885" s="202" t="b">
        <v>0</v>
      </c>
      <c r="N885" s="202" t="b">
        <v>0</v>
      </c>
    </row>
    <row r="886">
      <c r="A886" s="201"/>
      <c r="B886" s="201"/>
      <c r="C886" s="202" t="b">
        <v>0</v>
      </c>
      <c r="D886" s="201"/>
      <c r="E886" s="201"/>
      <c r="F886" s="202" t="b">
        <v>0</v>
      </c>
      <c r="G886" s="202" t="b">
        <v>0</v>
      </c>
      <c r="H886" s="202" t="b">
        <v>0</v>
      </c>
      <c r="I886" s="202" t="b">
        <v>0</v>
      </c>
      <c r="J886" s="202" t="b">
        <v>0</v>
      </c>
      <c r="K886" s="202" t="b">
        <v>0</v>
      </c>
      <c r="L886" s="202" t="b">
        <v>0</v>
      </c>
      <c r="M886" s="202" t="b">
        <v>0</v>
      </c>
      <c r="N886" s="202" t="b">
        <v>0</v>
      </c>
    </row>
    <row r="887">
      <c r="A887" s="201"/>
      <c r="B887" s="201"/>
      <c r="C887" s="202" t="b">
        <v>0</v>
      </c>
      <c r="D887" s="201"/>
      <c r="E887" s="201"/>
      <c r="F887" s="202" t="b">
        <v>0</v>
      </c>
      <c r="G887" s="202" t="b">
        <v>0</v>
      </c>
      <c r="H887" s="202" t="b">
        <v>0</v>
      </c>
      <c r="I887" s="202" t="b">
        <v>0</v>
      </c>
      <c r="J887" s="202" t="b">
        <v>0</v>
      </c>
      <c r="K887" s="202" t="b">
        <v>0</v>
      </c>
      <c r="L887" s="202" t="b">
        <v>0</v>
      </c>
      <c r="M887" s="202" t="b">
        <v>0</v>
      </c>
      <c r="N887" s="202" t="b">
        <v>0</v>
      </c>
    </row>
    <row r="888">
      <c r="A888" s="201"/>
      <c r="B888" s="201"/>
      <c r="C888" s="202" t="b">
        <v>0</v>
      </c>
      <c r="D888" s="201"/>
      <c r="E888" s="201"/>
      <c r="F888" s="202" t="b">
        <v>0</v>
      </c>
      <c r="G888" s="202" t="b">
        <v>0</v>
      </c>
      <c r="H888" s="202" t="b">
        <v>0</v>
      </c>
      <c r="I888" s="202" t="b">
        <v>0</v>
      </c>
      <c r="J888" s="202" t="b">
        <v>0</v>
      </c>
      <c r="K888" s="202" t="b">
        <v>0</v>
      </c>
      <c r="L888" s="202" t="b">
        <v>0</v>
      </c>
      <c r="M888" s="202" t="b">
        <v>0</v>
      </c>
      <c r="N888" s="202" t="b">
        <v>0</v>
      </c>
    </row>
    <row r="889">
      <c r="A889" s="201"/>
      <c r="B889" s="201"/>
      <c r="C889" s="202" t="b">
        <v>0</v>
      </c>
      <c r="D889" s="201"/>
      <c r="E889" s="201"/>
      <c r="F889" s="202" t="b">
        <v>0</v>
      </c>
      <c r="G889" s="202" t="b">
        <v>0</v>
      </c>
      <c r="H889" s="202" t="b">
        <v>0</v>
      </c>
      <c r="I889" s="202" t="b">
        <v>0</v>
      </c>
      <c r="J889" s="202" t="b">
        <v>0</v>
      </c>
      <c r="K889" s="202" t="b">
        <v>0</v>
      </c>
      <c r="L889" s="202" t="b">
        <v>0</v>
      </c>
      <c r="M889" s="202" t="b">
        <v>0</v>
      </c>
      <c r="N889" s="202" t="b">
        <v>0</v>
      </c>
    </row>
    <row r="890">
      <c r="A890" s="201"/>
      <c r="B890" s="201"/>
      <c r="C890" s="202" t="b">
        <v>0</v>
      </c>
      <c r="D890" s="201"/>
      <c r="E890" s="201"/>
      <c r="F890" s="202" t="b">
        <v>0</v>
      </c>
      <c r="G890" s="202" t="b">
        <v>0</v>
      </c>
      <c r="H890" s="202" t="b">
        <v>0</v>
      </c>
      <c r="I890" s="202" t="b">
        <v>0</v>
      </c>
      <c r="J890" s="202" t="b">
        <v>0</v>
      </c>
      <c r="K890" s="202" t="b">
        <v>0</v>
      </c>
      <c r="L890" s="202" t="b">
        <v>0</v>
      </c>
      <c r="M890" s="202" t="b">
        <v>0</v>
      </c>
      <c r="N890" s="202" t="b">
        <v>0</v>
      </c>
    </row>
    <row r="891">
      <c r="A891" s="201"/>
      <c r="B891" s="201"/>
      <c r="C891" s="202" t="b">
        <v>0</v>
      </c>
      <c r="D891" s="201"/>
      <c r="E891" s="201"/>
      <c r="F891" s="202" t="b">
        <v>0</v>
      </c>
      <c r="G891" s="202" t="b">
        <v>0</v>
      </c>
      <c r="H891" s="202" t="b">
        <v>0</v>
      </c>
      <c r="I891" s="202" t="b">
        <v>0</v>
      </c>
      <c r="J891" s="202" t="b">
        <v>0</v>
      </c>
      <c r="K891" s="202" t="b">
        <v>0</v>
      </c>
      <c r="L891" s="202" t="b">
        <v>0</v>
      </c>
      <c r="M891" s="202" t="b">
        <v>0</v>
      </c>
      <c r="N891" s="202" t="b">
        <v>0</v>
      </c>
    </row>
    <row r="892">
      <c r="A892" s="201"/>
      <c r="B892" s="201"/>
      <c r="C892" s="202" t="b">
        <v>0</v>
      </c>
      <c r="D892" s="201"/>
      <c r="E892" s="201"/>
      <c r="F892" s="202" t="b">
        <v>0</v>
      </c>
      <c r="G892" s="202" t="b">
        <v>0</v>
      </c>
      <c r="H892" s="202" t="b">
        <v>0</v>
      </c>
      <c r="I892" s="202" t="b">
        <v>0</v>
      </c>
      <c r="J892" s="202" t="b">
        <v>0</v>
      </c>
      <c r="K892" s="202" t="b">
        <v>0</v>
      </c>
      <c r="L892" s="202" t="b">
        <v>0</v>
      </c>
      <c r="M892" s="202" t="b">
        <v>0</v>
      </c>
      <c r="N892" s="202" t="b">
        <v>0</v>
      </c>
    </row>
    <row r="893">
      <c r="A893" s="201"/>
      <c r="B893" s="201"/>
      <c r="C893" s="202" t="b">
        <v>0</v>
      </c>
      <c r="D893" s="201"/>
      <c r="E893" s="201"/>
      <c r="F893" s="202" t="b">
        <v>0</v>
      </c>
      <c r="G893" s="202" t="b">
        <v>0</v>
      </c>
      <c r="H893" s="202" t="b">
        <v>0</v>
      </c>
      <c r="I893" s="202" t="b">
        <v>0</v>
      </c>
      <c r="J893" s="202" t="b">
        <v>0</v>
      </c>
      <c r="K893" s="202" t="b">
        <v>0</v>
      </c>
      <c r="L893" s="202" t="b">
        <v>0</v>
      </c>
      <c r="M893" s="202" t="b">
        <v>0</v>
      </c>
      <c r="N893" s="202" t="b">
        <v>0</v>
      </c>
    </row>
    <row r="894">
      <c r="A894" s="201"/>
      <c r="B894" s="201"/>
      <c r="C894" s="202" t="b">
        <v>0</v>
      </c>
      <c r="D894" s="201"/>
      <c r="E894" s="201"/>
      <c r="F894" s="202" t="b">
        <v>0</v>
      </c>
      <c r="G894" s="202" t="b">
        <v>0</v>
      </c>
      <c r="H894" s="202" t="b">
        <v>0</v>
      </c>
      <c r="I894" s="202" t="b">
        <v>0</v>
      </c>
      <c r="J894" s="202" t="b">
        <v>0</v>
      </c>
      <c r="K894" s="202" t="b">
        <v>0</v>
      </c>
      <c r="L894" s="202" t="b">
        <v>0</v>
      </c>
      <c r="M894" s="202" t="b">
        <v>0</v>
      </c>
      <c r="N894" s="202" t="b">
        <v>0</v>
      </c>
    </row>
    <row r="895">
      <c r="A895" s="201"/>
      <c r="B895" s="201"/>
      <c r="C895" s="202" t="b">
        <v>0</v>
      </c>
      <c r="D895" s="201"/>
      <c r="E895" s="201"/>
      <c r="F895" s="202" t="b">
        <v>0</v>
      </c>
      <c r="G895" s="202" t="b">
        <v>0</v>
      </c>
      <c r="H895" s="202" t="b">
        <v>0</v>
      </c>
      <c r="I895" s="202" t="b">
        <v>0</v>
      </c>
      <c r="J895" s="202" t="b">
        <v>0</v>
      </c>
      <c r="K895" s="202" t="b">
        <v>0</v>
      </c>
      <c r="L895" s="202" t="b">
        <v>0</v>
      </c>
      <c r="M895" s="202" t="b">
        <v>0</v>
      </c>
      <c r="N895" s="202" t="b">
        <v>0</v>
      </c>
    </row>
    <row r="896">
      <c r="A896" s="201"/>
      <c r="B896" s="201"/>
      <c r="C896" s="202" t="b">
        <v>0</v>
      </c>
      <c r="D896" s="201"/>
      <c r="E896" s="201"/>
      <c r="F896" s="202" t="b">
        <v>0</v>
      </c>
      <c r="G896" s="202" t="b">
        <v>0</v>
      </c>
      <c r="H896" s="202" t="b">
        <v>0</v>
      </c>
      <c r="I896" s="202" t="b">
        <v>0</v>
      </c>
      <c r="J896" s="202" t="b">
        <v>0</v>
      </c>
      <c r="K896" s="202" t="b">
        <v>0</v>
      </c>
      <c r="L896" s="202" t="b">
        <v>0</v>
      </c>
      <c r="M896" s="202" t="b">
        <v>0</v>
      </c>
      <c r="N896" s="202" t="b">
        <v>0</v>
      </c>
    </row>
    <row r="897">
      <c r="A897" s="201"/>
      <c r="B897" s="201"/>
      <c r="C897" s="202" t="b">
        <v>0</v>
      </c>
      <c r="D897" s="201"/>
      <c r="E897" s="201"/>
      <c r="F897" s="202" t="b">
        <v>0</v>
      </c>
      <c r="G897" s="202" t="b">
        <v>0</v>
      </c>
      <c r="H897" s="202" t="b">
        <v>0</v>
      </c>
      <c r="I897" s="202" t="b">
        <v>0</v>
      </c>
      <c r="J897" s="202" t="b">
        <v>0</v>
      </c>
      <c r="K897" s="202" t="b">
        <v>0</v>
      </c>
      <c r="L897" s="202" t="b">
        <v>0</v>
      </c>
      <c r="M897" s="202" t="b">
        <v>0</v>
      </c>
      <c r="N897" s="202" t="b">
        <v>0</v>
      </c>
    </row>
    <row r="898">
      <c r="A898" s="201"/>
      <c r="B898" s="201"/>
      <c r="C898" s="202" t="b">
        <v>0</v>
      </c>
      <c r="D898" s="201"/>
      <c r="E898" s="201"/>
      <c r="F898" s="202" t="b">
        <v>0</v>
      </c>
      <c r="G898" s="202" t="b">
        <v>0</v>
      </c>
      <c r="H898" s="202" t="b">
        <v>0</v>
      </c>
      <c r="I898" s="202" t="b">
        <v>0</v>
      </c>
      <c r="J898" s="202" t="b">
        <v>0</v>
      </c>
      <c r="K898" s="202" t="b">
        <v>0</v>
      </c>
      <c r="L898" s="202" t="b">
        <v>0</v>
      </c>
      <c r="M898" s="202" t="b">
        <v>0</v>
      </c>
      <c r="N898" s="202" t="b">
        <v>0</v>
      </c>
    </row>
    <row r="899">
      <c r="A899" s="201"/>
      <c r="B899" s="201"/>
      <c r="C899" s="202" t="b">
        <v>0</v>
      </c>
      <c r="D899" s="201"/>
      <c r="E899" s="201"/>
      <c r="F899" s="202" t="b">
        <v>0</v>
      </c>
      <c r="G899" s="202" t="b">
        <v>0</v>
      </c>
      <c r="H899" s="202" t="b">
        <v>0</v>
      </c>
      <c r="I899" s="202" t="b">
        <v>0</v>
      </c>
      <c r="J899" s="202" t="b">
        <v>0</v>
      </c>
      <c r="K899" s="202" t="b">
        <v>0</v>
      </c>
      <c r="L899" s="202" t="b">
        <v>0</v>
      </c>
      <c r="M899" s="202" t="b">
        <v>0</v>
      </c>
      <c r="N899" s="202" t="b">
        <v>0</v>
      </c>
    </row>
    <row r="900">
      <c r="A900" s="201"/>
      <c r="B900" s="201"/>
      <c r="C900" s="202" t="b">
        <v>0</v>
      </c>
      <c r="D900" s="201"/>
      <c r="E900" s="201"/>
      <c r="F900" s="202" t="b">
        <v>0</v>
      </c>
      <c r="G900" s="202" t="b">
        <v>0</v>
      </c>
      <c r="H900" s="202" t="b">
        <v>0</v>
      </c>
      <c r="I900" s="202" t="b">
        <v>0</v>
      </c>
      <c r="J900" s="202" t="b">
        <v>0</v>
      </c>
      <c r="K900" s="202" t="b">
        <v>0</v>
      </c>
      <c r="L900" s="202" t="b">
        <v>0</v>
      </c>
      <c r="M900" s="202" t="b">
        <v>0</v>
      </c>
      <c r="N900" s="202" t="b">
        <v>0</v>
      </c>
    </row>
    <row r="901">
      <c r="A901" s="201"/>
      <c r="B901" s="201"/>
      <c r="C901" s="202" t="b">
        <v>0</v>
      </c>
      <c r="D901" s="201"/>
      <c r="E901" s="201"/>
      <c r="F901" s="202" t="b">
        <v>0</v>
      </c>
      <c r="G901" s="202" t="b">
        <v>0</v>
      </c>
      <c r="H901" s="202" t="b">
        <v>0</v>
      </c>
      <c r="I901" s="202" t="b">
        <v>0</v>
      </c>
      <c r="J901" s="202" t="b">
        <v>0</v>
      </c>
      <c r="K901" s="202" t="b">
        <v>0</v>
      </c>
      <c r="L901" s="202" t="b">
        <v>0</v>
      </c>
      <c r="M901" s="202" t="b">
        <v>0</v>
      </c>
      <c r="N901" s="202" t="b">
        <v>0</v>
      </c>
    </row>
    <row r="902">
      <c r="A902" s="201"/>
      <c r="B902" s="201"/>
      <c r="C902" s="202" t="b">
        <v>0</v>
      </c>
      <c r="D902" s="201"/>
      <c r="E902" s="201"/>
      <c r="F902" s="202" t="b">
        <v>0</v>
      </c>
      <c r="G902" s="202" t="b">
        <v>0</v>
      </c>
      <c r="H902" s="202" t="b">
        <v>0</v>
      </c>
      <c r="I902" s="202" t="b">
        <v>0</v>
      </c>
      <c r="J902" s="202" t="b">
        <v>0</v>
      </c>
      <c r="K902" s="202" t="b">
        <v>0</v>
      </c>
      <c r="L902" s="202" t="b">
        <v>0</v>
      </c>
      <c r="M902" s="202" t="b">
        <v>0</v>
      </c>
      <c r="N902" s="202" t="b">
        <v>0</v>
      </c>
    </row>
    <row r="903">
      <c r="A903" s="201"/>
      <c r="B903" s="201"/>
      <c r="C903" s="202" t="b">
        <v>0</v>
      </c>
      <c r="D903" s="201"/>
      <c r="E903" s="201"/>
      <c r="F903" s="202" t="b">
        <v>0</v>
      </c>
      <c r="G903" s="202" t="b">
        <v>0</v>
      </c>
      <c r="H903" s="202" t="b">
        <v>0</v>
      </c>
      <c r="I903" s="202" t="b">
        <v>0</v>
      </c>
      <c r="J903" s="202" t="b">
        <v>0</v>
      </c>
      <c r="K903" s="202" t="b">
        <v>0</v>
      </c>
      <c r="L903" s="202" t="b">
        <v>0</v>
      </c>
      <c r="M903" s="202" t="b">
        <v>0</v>
      </c>
      <c r="N903" s="202" t="b">
        <v>0</v>
      </c>
    </row>
    <row r="904">
      <c r="A904" s="201"/>
      <c r="B904" s="201"/>
      <c r="C904" s="202" t="b">
        <v>0</v>
      </c>
      <c r="D904" s="201"/>
      <c r="E904" s="201"/>
      <c r="F904" s="202" t="b">
        <v>0</v>
      </c>
      <c r="G904" s="202" t="b">
        <v>0</v>
      </c>
      <c r="H904" s="202" t="b">
        <v>0</v>
      </c>
      <c r="I904" s="202" t="b">
        <v>0</v>
      </c>
      <c r="J904" s="202" t="b">
        <v>0</v>
      </c>
      <c r="K904" s="202" t="b">
        <v>0</v>
      </c>
      <c r="L904" s="202" t="b">
        <v>0</v>
      </c>
      <c r="M904" s="202" t="b">
        <v>0</v>
      </c>
      <c r="N904" s="202" t="b">
        <v>0</v>
      </c>
    </row>
    <row r="905">
      <c r="A905" s="201"/>
      <c r="B905" s="201"/>
      <c r="C905" s="202" t="b">
        <v>0</v>
      </c>
      <c r="D905" s="201"/>
      <c r="E905" s="201"/>
      <c r="F905" s="202" t="b">
        <v>0</v>
      </c>
      <c r="G905" s="202" t="b">
        <v>0</v>
      </c>
      <c r="H905" s="202" t="b">
        <v>0</v>
      </c>
      <c r="I905" s="202" t="b">
        <v>0</v>
      </c>
      <c r="J905" s="202" t="b">
        <v>0</v>
      </c>
      <c r="K905" s="202" t="b">
        <v>0</v>
      </c>
      <c r="L905" s="202" t="b">
        <v>0</v>
      </c>
      <c r="M905" s="202" t="b">
        <v>0</v>
      </c>
      <c r="N905" s="202" t="b">
        <v>0</v>
      </c>
    </row>
    <row r="906">
      <c r="A906" s="201"/>
      <c r="B906" s="201"/>
      <c r="C906" s="202" t="b">
        <v>0</v>
      </c>
      <c r="D906" s="201"/>
      <c r="E906" s="201"/>
      <c r="F906" s="202" t="b">
        <v>0</v>
      </c>
      <c r="G906" s="202" t="b">
        <v>0</v>
      </c>
      <c r="H906" s="202" t="b">
        <v>0</v>
      </c>
      <c r="I906" s="202" t="b">
        <v>0</v>
      </c>
      <c r="J906" s="202" t="b">
        <v>0</v>
      </c>
      <c r="K906" s="202" t="b">
        <v>0</v>
      </c>
      <c r="L906" s="202" t="b">
        <v>0</v>
      </c>
      <c r="M906" s="202" t="b">
        <v>0</v>
      </c>
      <c r="N906" s="202" t="b">
        <v>0</v>
      </c>
    </row>
    <row r="907">
      <c r="A907" s="201"/>
      <c r="B907" s="201"/>
      <c r="C907" s="202" t="b">
        <v>0</v>
      </c>
      <c r="D907" s="201"/>
      <c r="E907" s="201"/>
      <c r="F907" s="202" t="b">
        <v>0</v>
      </c>
      <c r="G907" s="202" t="b">
        <v>0</v>
      </c>
      <c r="H907" s="202" t="b">
        <v>0</v>
      </c>
      <c r="I907" s="202" t="b">
        <v>0</v>
      </c>
      <c r="J907" s="202" t="b">
        <v>0</v>
      </c>
      <c r="K907" s="202" t="b">
        <v>0</v>
      </c>
      <c r="L907" s="202" t="b">
        <v>0</v>
      </c>
      <c r="M907" s="202" t="b">
        <v>0</v>
      </c>
      <c r="N907" s="202" t="b">
        <v>0</v>
      </c>
    </row>
    <row r="908">
      <c r="A908" s="201"/>
      <c r="B908" s="201"/>
      <c r="C908" s="202" t="b">
        <v>0</v>
      </c>
      <c r="D908" s="201"/>
      <c r="E908" s="201"/>
      <c r="F908" s="202" t="b">
        <v>0</v>
      </c>
      <c r="G908" s="202" t="b">
        <v>0</v>
      </c>
      <c r="H908" s="202" t="b">
        <v>0</v>
      </c>
      <c r="I908" s="202" t="b">
        <v>0</v>
      </c>
      <c r="J908" s="202" t="b">
        <v>0</v>
      </c>
      <c r="K908" s="202" t="b">
        <v>0</v>
      </c>
      <c r="L908" s="202" t="b">
        <v>0</v>
      </c>
      <c r="M908" s="202" t="b">
        <v>0</v>
      </c>
      <c r="N908" s="202" t="b">
        <v>0</v>
      </c>
    </row>
    <row r="909">
      <c r="A909" s="201"/>
      <c r="B909" s="201"/>
      <c r="C909" s="202" t="b">
        <v>0</v>
      </c>
      <c r="D909" s="201"/>
      <c r="E909" s="201"/>
      <c r="F909" s="202" t="b">
        <v>0</v>
      </c>
      <c r="G909" s="202" t="b">
        <v>0</v>
      </c>
      <c r="H909" s="202" t="b">
        <v>0</v>
      </c>
      <c r="I909" s="202" t="b">
        <v>0</v>
      </c>
      <c r="J909" s="202" t="b">
        <v>0</v>
      </c>
      <c r="K909" s="202" t="b">
        <v>0</v>
      </c>
      <c r="L909" s="202" t="b">
        <v>0</v>
      </c>
      <c r="M909" s="202" t="b">
        <v>0</v>
      </c>
      <c r="N909" s="202" t="b">
        <v>0</v>
      </c>
    </row>
    <row r="910">
      <c r="A910" s="201"/>
      <c r="B910" s="201"/>
      <c r="C910" s="202" t="b">
        <v>0</v>
      </c>
      <c r="D910" s="201"/>
      <c r="E910" s="201"/>
      <c r="F910" s="202" t="b">
        <v>0</v>
      </c>
      <c r="G910" s="202" t="b">
        <v>0</v>
      </c>
      <c r="H910" s="202" t="b">
        <v>0</v>
      </c>
      <c r="I910" s="202" t="b">
        <v>0</v>
      </c>
      <c r="J910" s="202" t="b">
        <v>0</v>
      </c>
      <c r="K910" s="202" t="b">
        <v>0</v>
      </c>
      <c r="L910" s="202" t="b">
        <v>0</v>
      </c>
      <c r="M910" s="202" t="b">
        <v>0</v>
      </c>
      <c r="N910" s="202" t="b">
        <v>0</v>
      </c>
    </row>
    <row r="911">
      <c r="A911" s="201"/>
      <c r="B911" s="201"/>
      <c r="C911" s="202" t="b">
        <v>0</v>
      </c>
      <c r="D911" s="201"/>
      <c r="E911" s="201"/>
      <c r="F911" s="202" t="b">
        <v>0</v>
      </c>
      <c r="G911" s="202" t="b">
        <v>0</v>
      </c>
      <c r="H911" s="202" t="b">
        <v>0</v>
      </c>
      <c r="I911" s="202" t="b">
        <v>0</v>
      </c>
      <c r="J911" s="202" t="b">
        <v>0</v>
      </c>
      <c r="K911" s="202" t="b">
        <v>0</v>
      </c>
      <c r="L911" s="202" t="b">
        <v>0</v>
      </c>
      <c r="M911" s="202" t="b">
        <v>0</v>
      </c>
      <c r="N911" s="202" t="b">
        <v>0</v>
      </c>
    </row>
    <row r="912">
      <c r="A912" s="201"/>
      <c r="B912" s="201"/>
      <c r="C912" s="202" t="b">
        <v>0</v>
      </c>
      <c r="D912" s="201"/>
      <c r="E912" s="201"/>
      <c r="F912" s="202" t="b">
        <v>0</v>
      </c>
      <c r="G912" s="202" t="b">
        <v>0</v>
      </c>
      <c r="H912" s="202" t="b">
        <v>0</v>
      </c>
      <c r="I912" s="202" t="b">
        <v>0</v>
      </c>
      <c r="J912" s="202" t="b">
        <v>0</v>
      </c>
      <c r="K912" s="202" t="b">
        <v>0</v>
      </c>
      <c r="L912" s="202" t="b">
        <v>0</v>
      </c>
      <c r="M912" s="202" t="b">
        <v>0</v>
      </c>
      <c r="N912" s="202" t="b">
        <v>0</v>
      </c>
    </row>
    <row r="913">
      <c r="A913" s="201"/>
      <c r="B913" s="201"/>
      <c r="C913" s="202" t="b">
        <v>0</v>
      </c>
      <c r="D913" s="201"/>
      <c r="E913" s="201"/>
      <c r="F913" s="202" t="b">
        <v>0</v>
      </c>
      <c r="G913" s="202" t="b">
        <v>0</v>
      </c>
      <c r="H913" s="202" t="b">
        <v>0</v>
      </c>
      <c r="I913" s="202" t="b">
        <v>0</v>
      </c>
      <c r="J913" s="202" t="b">
        <v>0</v>
      </c>
      <c r="K913" s="202" t="b">
        <v>0</v>
      </c>
      <c r="L913" s="202" t="b">
        <v>0</v>
      </c>
      <c r="M913" s="202" t="b">
        <v>0</v>
      </c>
      <c r="N913" s="202" t="b">
        <v>0</v>
      </c>
    </row>
    <row r="914">
      <c r="A914" s="201"/>
      <c r="B914" s="201"/>
      <c r="C914" s="202" t="b">
        <v>0</v>
      </c>
      <c r="D914" s="201"/>
      <c r="E914" s="201"/>
      <c r="F914" s="202" t="b">
        <v>0</v>
      </c>
      <c r="G914" s="202" t="b">
        <v>0</v>
      </c>
      <c r="H914" s="202" t="b">
        <v>0</v>
      </c>
      <c r="I914" s="202" t="b">
        <v>0</v>
      </c>
      <c r="J914" s="202" t="b">
        <v>0</v>
      </c>
      <c r="K914" s="202" t="b">
        <v>0</v>
      </c>
      <c r="L914" s="202" t="b">
        <v>0</v>
      </c>
      <c r="M914" s="202" t="b">
        <v>0</v>
      </c>
      <c r="N914" s="202" t="b">
        <v>0</v>
      </c>
    </row>
    <row r="915">
      <c r="A915" s="201"/>
      <c r="B915" s="201"/>
      <c r="C915" s="202" t="b">
        <v>0</v>
      </c>
      <c r="D915" s="201"/>
      <c r="E915" s="201"/>
      <c r="F915" s="202" t="b">
        <v>0</v>
      </c>
      <c r="G915" s="202" t="b">
        <v>0</v>
      </c>
      <c r="H915" s="202" t="b">
        <v>0</v>
      </c>
      <c r="I915" s="202" t="b">
        <v>0</v>
      </c>
      <c r="J915" s="202" t="b">
        <v>0</v>
      </c>
      <c r="K915" s="202" t="b">
        <v>0</v>
      </c>
      <c r="L915" s="202" t="b">
        <v>0</v>
      </c>
      <c r="M915" s="202" t="b">
        <v>0</v>
      </c>
      <c r="N915" s="202" t="b">
        <v>0</v>
      </c>
    </row>
    <row r="916">
      <c r="A916" s="201"/>
      <c r="B916" s="201"/>
      <c r="C916" s="202" t="b">
        <v>0</v>
      </c>
      <c r="D916" s="201"/>
      <c r="E916" s="201"/>
      <c r="F916" s="202" t="b">
        <v>0</v>
      </c>
      <c r="G916" s="202" t="b">
        <v>0</v>
      </c>
      <c r="H916" s="202" t="b">
        <v>0</v>
      </c>
      <c r="I916" s="202" t="b">
        <v>0</v>
      </c>
      <c r="J916" s="202" t="b">
        <v>0</v>
      </c>
      <c r="K916" s="202" t="b">
        <v>0</v>
      </c>
      <c r="L916" s="202" t="b">
        <v>0</v>
      </c>
      <c r="M916" s="202" t="b">
        <v>0</v>
      </c>
      <c r="N916" s="202" t="b">
        <v>0</v>
      </c>
    </row>
    <row r="917">
      <c r="A917" s="201"/>
      <c r="B917" s="201"/>
      <c r="C917" s="202" t="b">
        <v>0</v>
      </c>
      <c r="D917" s="201"/>
      <c r="E917" s="201"/>
      <c r="F917" s="202" t="b">
        <v>0</v>
      </c>
      <c r="G917" s="202" t="b">
        <v>0</v>
      </c>
      <c r="H917" s="202" t="b">
        <v>0</v>
      </c>
      <c r="I917" s="202" t="b">
        <v>0</v>
      </c>
      <c r="J917" s="202" t="b">
        <v>0</v>
      </c>
      <c r="K917" s="202" t="b">
        <v>0</v>
      </c>
      <c r="L917" s="202" t="b">
        <v>0</v>
      </c>
      <c r="M917" s="202" t="b">
        <v>0</v>
      </c>
      <c r="N917" s="202" t="b">
        <v>0</v>
      </c>
    </row>
    <row r="918">
      <c r="A918" s="201"/>
      <c r="B918" s="201"/>
      <c r="C918" s="202" t="b">
        <v>0</v>
      </c>
      <c r="D918" s="201"/>
      <c r="E918" s="201"/>
      <c r="F918" s="202" t="b">
        <v>0</v>
      </c>
      <c r="G918" s="202" t="b">
        <v>0</v>
      </c>
      <c r="H918" s="202" t="b">
        <v>0</v>
      </c>
      <c r="I918" s="202" t="b">
        <v>0</v>
      </c>
      <c r="J918" s="202" t="b">
        <v>0</v>
      </c>
      <c r="K918" s="202" t="b">
        <v>0</v>
      </c>
      <c r="L918" s="202" t="b">
        <v>0</v>
      </c>
      <c r="M918" s="202" t="b">
        <v>0</v>
      </c>
      <c r="N918" s="202" t="b">
        <v>0</v>
      </c>
    </row>
    <row r="919">
      <c r="A919" s="201"/>
      <c r="B919" s="201"/>
      <c r="C919" s="202" t="b">
        <v>0</v>
      </c>
      <c r="D919" s="201"/>
      <c r="E919" s="201"/>
      <c r="F919" s="202" t="b">
        <v>0</v>
      </c>
      <c r="G919" s="202" t="b">
        <v>0</v>
      </c>
      <c r="H919" s="202" t="b">
        <v>0</v>
      </c>
      <c r="I919" s="202" t="b">
        <v>0</v>
      </c>
      <c r="J919" s="202" t="b">
        <v>0</v>
      </c>
      <c r="K919" s="202" t="b">
        <v>0</v>
      </c>
      <c r="L919" s="202" t="b">
        <v>0</v>
      </c>
      <c r="M919" s="202" t="b">
        <v>0</v>
      </c>
      <c r="N919" s="202" t="b">
        <v>0</v>
      </c>
    </row>
    <row r="920">
      <c r="A920" s="201"/>
      <c r="B920" s="201"/>
      <c r="C920" s="202" t="b">
        <v>0</v>
      </c>
      <c r="D920" s="201"/>
      <c r="E920" s="201"/>
      <c r="F920" s="202" t="b">
        <v>0</v>
      </c>
      <c r="G920" s="202" t="b">
        <v>0</v>
      </c>
      <c r="H920" s="202" t="b">
        <v>0</v>
      </c>
      <c r="I920" s="202" t="b">
        <v>0</v>
      </c>
      <c r="J920" s="202" t="b">
        <v>0</v>
      </c>
      <c r="K920" s="202" t="b">
        <v>0</v>
      </c>
      <c r="L920" s="202" t="b">
        <v>0</v>
      </c>
      <c r="M920" s="202" t="b">
        <v>0</v>
      </c>
      <c r="N920" s="202" t="b">
        <v>0</v>
      </c>
    </row>
    <row r="921">
      <c r="A921" s="201"/>
      <c r="B921" s="201"/>
      <c r="C921" s="202" t="b">
        <v>0</v>
      </c>
      <c r="D921" s="201"/>
      <c r="E921" s="201"/>
      <c r="F921" s="202" t="b">
        <v>0</v>
      </c>
      <c r="G921" s="202" t="b">
        <v>0</v>
      </c>
      <c r="H921" s="202" t="b">
        <v>0</v>
      </c>
      <c r="I921" s="202" t="b">
        <v>0</v>
      </c>
      <c r="J921" s="202" t="b">
        <v>0</v>
      </c>
      <c r="K921" s="202" t="b">
        <v>0</v>
      </c>
      <c r="L921" s="202" t="b">
        <v>0</v>
      </c>
      <c r="M921" s="202" t="b">
        <v>0</v>
      </c>
      <c r="N921" s="202" t="b">
        <v>0</v>
      </c>
    </row>
    <row r="922">
      <c r="A922" s="201"/>
      <c r="B922" s="201"/>
      <c r="C922" s="202" t="b">
        <v>0</v>
      </c>
      <c r="D922" s="201"/>
      <c r="E922" s="201"/>
      <c r="F922" s="202" t="b">
        <v>0</v>
      </c>
      <c r="G922" s="202" t="b">
        <v>0</v>
      </c>
      <c r="H922" s="202" t="b">
        <v>0</v>
      </c>
      <c r="I922" s="202" t="b">
        <v>0</v>
      </c>
      <c r="J922" s="202" t="b">
        <v>0</v>
      </c>
      <c r="K922" s="202" t="b">
        <v>0</v>
      </c>
      <c r="L922" s="202" t="b">
        <v>0</v>
      </c>
      <c r="M922" s="202" t="b">
        <v>0</v>
      </c>
      <c r="N922" s="202" t="b">
        <v>0</v>
      </c>
    </row>
    <row r="923">
      <c r="A923" s="201"/>
      <c r="B923" s="201"/>
      <c r="C923" s="202" t="b">
        <v>0</v>
      </c>
      <c r="D923" s="201"/>
      <c r="E923" s="201"/>
      <c r="F923" s="202" t="b">
        <v>0</v>
      </c>
      <c r="G923" s="202" t="b">
        <v>0</v>
      </c>
      <c r="H923" s="202" t="b">
        <v>0</v>
      </c>
      <c r="I923" s="202" t="b">
        <v>0</v>
      </c>
      <c r="J923" s="202" t="b">
        <v>0</v>
      </c>
      <c r="K923" s="202" t="b">
        <v>0</v>
      </c>
      <c r="L923" s="202" t="b">
        <v>0</v>
      </c>
      <c r="M923" s="202" t="b">
        <v>0</v>
      </c>
      <c r="N923" s="202" t="b">
        <v>0</v>
      </c>
    </row>
    <row r="924">
      <c r="A924" s="201"/>
      <c r="B924" s="201"/>
      <c r="C924" s="202" t="b">
        <v>0</v>
      </c>
      <c r="D924" s="201"/>
      <c r="E924" s="201"/>
      <c r="F924" s="202" t="b">
        <v>0</v>
      </c>
      <c r="G924" s="202" t="b">
        <v>0</v>
      </c>
      <c r="H924" s="202" t="b">
        <v>0</v>
      </c>
      <c r="I924" s="202" t="b">
        <v>0</v>
      </c>
      <c r="J924" s="202" t="b">
        <v>0</v>
      </c>
      <c r="K924" s="202" t="b">
        <v>0</v>
      </c>
      <c r="L924" s="202" t="b">
        <v>0</v>
      </c>
      <c r="M924" s="202" t="b">
        <v>0</v>
      </c>
      <c r="N924" s="202" t="b">
        <v>0</v>
      </c>
    </row>
    <row r="925">
      <c r="A925" s="201"/>
      <c r="B925" s="201"/>
      <c r="C925" s="202" t="b">
        <v>0</v>
      </c>
      <c r="D925" s="201"/>
      <c r="E925" s="201"/>
      <c r="F925" s="202" t="b">
        <v>0</v>
      </c>
      <c r="G925" s="202" t="b">
        <v>0</v>
      </c>
      <c r="H925" s="202" t="b">
        <v>0</v>
      </c>
      <c r="I925" s="202" t="b">
        <v>0</v>
      </c>
      <c r="J925" s="202" t="b">
        <v>0</v>
      </c>
      <c r="K925" s="202" t="b">
        <v>0</v>
      </c>
      <c r="L925" s="202" t="b">
        <v>0</v>
      </c>
      <c r="M925" s="202" t="b">
        <v>0</v>
      </c>
      <c r="N925" s="202" t="b">
        <v>0</v>
      </c>
    </row>
    <row r="926">
      <c r="A926" s="201"/>
      <c r="B926" s="201"/>
      <c r="C926" s="202" t="b">
        <v>0</v>
      </c>
      <c r="D926" s="201"/>
      <c r="E926" s="201"/>
      <c r="F926" s="202" t="b">
        <v>0</v>
      </c>
      <c r="G926" s="202" t="b">
        <v>0</v>
      </c>
      <c r="H926" s="202" t="b">
        <v>0</v>
      </c>
      <c r="I926" s="202" t="b">
        <v>0</v>
      </c>
      <c r="J926" s="202" t="b">
        <v>0</v>
      </c>
      <c r="K926" s="202" t="b">
        <v>0</v>
      </c>
      <c r="L926" s="202" t="b">
        <v>0</v>
      </c>
      <c r="M926" s="202" t="b">
        <v>0</v>
      </c>
      <c r="N926" s="202" t="b">
        <v>0</v>
      </c>
    </row>
    <row r="927">
      <c r="A927" s="201"/>
      <c r="B927" s="201"/>
      <c r="C927" s="202" t="b">
        <v>0</v>
      </c>
      <c r="D927" s="201"/>
      <c r="E927" s="201"/>
      <c r="F927" s="202" t="b">
        <v>0</v>
      </c>
      <c r="G927" s="202" t="b">
        <v>0</v>
      </c>
      <c r="H927" s="202" t="b">
        <v>0</v>
      </c>
      <c r="I927" s="202" t="b">
        <v>0</v>
      </c>
      <c r="J927" s="202" t="b">
        <v>0</v>
      </c>
      <c r="K927" s="202" t="b">
        <v>0</v>
      </c>
      <c r="L927" s="202" t="b">
        <v>0</v>
      </c>
      <c r="M927" s="202" t="b">
        <v>0</v>
      </c>
      <c r="N927" s="202" t="b">
        <v>0</v>
      </c>
    </row>
    <row r="928">
      <c r="A928" s="201"/>
      <c r="B928" s="201"/>
      <c r="C928" s="202" t="b">
        <v>0</v>
      </c>
      <c r="D928" s="201"/>
      <c r="E928" s="201"/>
      <c r="F928" s="202" t="b">
        <v>0</v>
      </c>
      <c r="G928" s="202" t="b">
        <v>0</v>
      </c>
      <c r="H928" s="202" t="b">
        <v>0</v>
      </c>
      <c r="I928" s="202" t="b">
        <v>0</v>
      </c>
      <c r="J928" s="202" t="b">
        <v>0</v>
      </c>
      <c r="K928" s="202" t="b">
        <v>0</v>
      </c>
      <c r="L928" s="202" t="b">
        <v>0</v>
      </c>
      <c r="M928" s="202" t="b">
        <v>0</v>
      </c>
      <c r="N928" s="202" t="b">
        <v>0</v>
      </c>
    </row>
    <row r="929">
      <c r="A929" s="201"/>
      <c r="B929" s="201"/>
      <c r="C929" s="202" t="b">
        <v>0</v>
      </c>
      <c r="D929" s="201"/>
      <c r="E929" s="201"/>
      <c r="F929" s="202" t="b">
        <v>0</v>
      </c>
      <c r="G929" s="202" t="b">
        <v>0</v>
      </c>
      <c r="H929" s="202" t="b">
        <v>0</v>
      </c>
      <c r="I929" s="202" t="b">
        <v>0</v>
      </c>
      <c r="J929" s="202" t="b">
        <v>0</v>
      </c>
      <c r="K929" s="202" t="b">
        <v>0</v>
      </c>
      <c r="L929" s="202" t="b">
        <v>0</v>
      </c>
      <c r="M929" s="202" t="b">
        <v>0</v>
      </c>
      <c r="N929" s="202" t="b">
        <v>0</v>
      </c>
    </row>
    <row r="930">
      <c r="A930" s="201"/>
      <c r="B930" s="201"/>
      <c r="C930" s="202" t="b">
        <v>0</v>
      </c>
      <c r="D930" s="201"/>
      <c r="E930" s="201"/>
      <c r="F930" s="202" t="b">
        <v>0</v>
      </c>
      <c r="G930" s="202" t="b">
        <v>0</v>
      </c>
      <c r="H930" s="202" t="b">
        <v>0</v>
      </c>
      <c r="I930" s="202" t="b">
        <v>0</v>
      </c>
      <c r="J930" s="202" t="b">
        <v>0</v>
      </c>
      <c r="K930" s="202" t="b">
        <v>0</v>
      </c>
      <c r="L930" s="202" t="b">
        <v>0</v>
      </c>
      <c r="M930" s="202" t="b">
        <v>0</v>
      </c>
      <c r="N930" s="202" t="b">
        <v>0</v>
      </c>
    </row>
    <row r="931">
      <c r="A931" s="201"/>
      <c r="B931" s="201"/>
      <c r="C931" s="202" t="b">
        <v>0</v>
      </c>
      <c r="D931" s="201"/>
      <c r="E931" s="201"/>
      <c r="F931" s="202" t="b">
        <v>0</v>
      </c>
      <c r="G931" s="202" t="b">
        <v>0</v>
      </c>
      <c r="H931" s="202" t="b">
        <v>0</v>
      </c>
      <c r="I931" s="202" t="b">
        <v>0</v>
      </c>
      <c r="J931" s="202" t="b">
        <v>0</v>
      </c>
      <c r="K931" s="202" t="b">
        <v>0</v>
      </c>
      <c r="L931" s="202" t="b">
        <v>0</v>
      </c>
      <c r="M931" s="202" t="b">
        <v>0</v>
      </c>
      <c r="N931" s="202" t="b">
        <v>0</v>
      </c>
    </row>
    <row r="932">
      <c r="A932" s="201"/>
      <c r="B932" s="201"/>
      <c r="C932" s="202" t="b">
        <v>0</v>
      </c>
      <c r="D932" s="201"/>
      <c r="E932" s="201"/>
      <c r="F932" s="202" t="b">
        <v>0</v>
      </c>
      <c r="G932" s="202" t="b">
        <v>0</v>
      </c>
      <c r="H932" s="202" t="b">
        <v>0</v>
      </c>
      <c r="I932" s="202" t="b">
        <v>0</v>
      </c>
      <c r="J932" s="202" t="b">
        <v>0</v>
      </c>
      <c r="K932" s="202" t="b">
        <v>0</v>
      </c>
      <c r="L932" s="202" t="b">
        <v>0</v>
      </c>
      <c r="M932" s="202" t="b">
        <v>0</v>
      </c>
      <c r="N932" s="202" t="b">
        <v>0</v>
      </c>
    </row>
    <row r="933">
      <c r="A933" s="201"/>
      <c r="B933" s="201"/>
      <c r="C933" s="202" t="b">
        <v>0</v>
      </c>
      <c r="D933" s="201"/>
      <c r="E933" s="201"/>
      <c r="F933" s="202" t="b">
        <v>0</v>
      </c>
      <c r="G933" s="202" t="b">
        <v>0</v>
      </c>
      <c r="H933" s="202" t="b">
        <v>0</v>
      </c>
      <c r="I933" s="202" t="b">
        <v>0</v>
      </c>
      <c r="J933" s="202" t="b">
        <v>0</v>
      </c>
      <c r="K933" s="202" t="b">
        <v>0</v>
      </c>
      <c r="L933" s="202" t="b">
        <v>0</v>
      </c>
      <c r="M933" s="202" t="b">
        <v>0</v>
      </c>
      <c r="N933" s="202" t="b">
        <v>0</v>
      </c>
    </row>
    <row r="934">
      <c r="A934" s="201"/>
      <c r="B934" s="201"/>
      <c r="C934" s="202" t="b">
        <v>0</v>
      </c>
      <c r="D934" s="201"/>
      <c r="E934" s="201"/>
      <c r="F934" s="202" t="b">
        <v>0</v>
      </c>
      <c r="G934" s="202" t="b">
        <v>0</v>
      </c>
      <c r="H934" s="202" t="b">
        <v>0</v>
      </c>
      <c r="I934" s="202" t="b">
        <v>0</v>
      </c>
      <c r="J934" s="202" t="b">
        <v>0</v>
      </c>
      <c r="K934" s="202" t="b">
        <v>0</v>
      </c>
      <c r="L934" s="202" t="b">
        <v>0</v>
      </c>
      <c r="M934" s="202" t="b">
        <v>0</v>
      </c>
      <c r="N934" s="202" t="b">
        <v>0</v>
      </c>
    </row>
    <row r="935">
      <c r="A935" s="201"/>
      <c r="B935" s="201"/>
      <c r="C935" s="202" t="b">
        <v>0</v>
      </c>
      <c r="D935" s="201"/>
      <c r="E935" s="201"/>
      <c r="F935" s="202" t="b">
        <v>0</v>
      </c>
      <c r="G935" s="202" t="b">
        <v>0</v>
      </c>
      <c r="H935" s="202" t="b">
        <v>0</v>
      </c>
      <c r="I935" s="202" t="b">
        <v>0</v>
      </c>
      <c r="J935" s="202" t="b">
        <v>0</v>
      </c>
      <c r="K935" s="202" t="b">
        <v>0</v>
      </c>
      <c r="L935" s="202" t="b">
        <v>0</v>
      </c>
      <c r="M935" s="202" t="b">
        <v>0</v>
      </c>
      <c r="N935" s="202" t="b">
        <v>0</v>
      </c>
    </row>
    <row r="936">
      <c r="A936" s="201"/>
      <c r="B936" s="201"/>
      <c r="C936" s="202" t="b">
        <v>0</v>
      </c>
      <c r="D936" s="201"/>
      <c r="E936" s="201"/>
      <c r="F936" s="202" t="b">
        <v>0</v>
      </c>
      <c r="G936" s="202" t="b">
        <v>0</v>
      </c>
      <c r="H936" s="202" t="b">
        <v>0</v>
      </c>
      <c r="I936" s="202" t="b">
        <v>0</v>
      </c>
      <c r="J936" s="202" t="b">
        <v>0</v>
      </c>
      <c r="K936" s="202" t="b">
        <v>0</v>
      </c>
      <c r="L936" s="202" t="b">
        <v>0</v>
      </c>
      <c r="M936" s="202" t="b">
        <v>0</v>
      </c>
      <c r="N936" s="202" t="b">
        <v>0</v>
      </c>
    </row>
    <row r="937">
      <c r="A937" s="201"/>
      <c r="B937" s="201"/>
      <c r="C937" s="202" t="b">
        <v>0</v>
      </c>
      <c r="D937" s="201"/>
      <c r="E937" s="201"/>
      <c r="F937" s="202" t="b">
        <v>0</v>
      </c>
      <c r="G937" s="202" t="b">
        <v>0</v>
      </c>
      <c r="H937" s="202" t="b">
        <v>0</v>
      </c>
      <c r="I937" s="202" t="b">
        <v>0</v>
      </c>
      <c r="J937" s="202" t="b">
        <v>0</v>
      </c>
      <c r="K937" s="202" t="b">
        <v>0</v>
      </c>
      <c r="L937" s="202" t="b">
        <v>0</v>
      </c>
      <c r="M937" s="202" t="b">
        <v>0</v>
      </c>
      <c r="N937" s="202" t="b">
        <v>0</v>
      </c>
    </row>
    <row r="938">
      <c r="A938" s="201"/>
      <c r="B938" s="201"/>
      <c r="C938" s="202" t="b">
        <v>0</v>
      </c>
      <c r="D938" s="201"/>
      <c r="E938" s="201"/>
      <c r="F938" s="202" t="b">
        <v>0</v>
      </c>
      <c r="G938" s="202" t="b">
        <v>0</v>
      </c>
      <c r="H938" s="202" t="b">
        <v>0</v>
      </c>
      <c r="I938" s="202" t="b">
        <v>0</v>
      </c>
      <c r="J938" s="202" t="b">
        <v>0</v>
      </c>
      <c r="K938" s="202" t="b">
        <v>0</v>
      </c>
      <c r="L938" s="202" t="b">
        <v>0</v>
      </c>
      <c r="M938" s="202" t="b">
        <v>0</v>
      </c>
      <c r="N938" s="202" t="b">
        <v>0</v>
      </c>
    </row>
    <row r="939">
      <c r="A939" s="201"/>
      <c r="B939" s="201"/>
      <c r="C939" s="202" t="b">
        <v>0</v>
      </c>
      <c r="D939" s="201"/>
      <c r="E939" s="201"/>
      <c r="F939" s="202" t="b">
        <v>0</v>
      </c>
      <c r="G939" s="202" t="b">
        <v>0</v>
      </c>
      <c r="H939" s="202" t="b">
        <v>0</v>
      </c>
      <c r="I939" s="202" t="b">
        <v>0</v>
      </c>
      <c r="J939" s="202" t="b">
        <v>0</v>
      </c>
      <c r="K939" s="202" t="b">
        <v>0</v>
      </c>
      <c r="L939" s="202" t="b">
        <v>0</v>
      </c>
      <c r="M939" s="202" t="b">
        <v>0</v>
      </c>
      <c r="N939" s="202" t="b">
        <v>0</v>
      </c>
    </row>
    <row r="940">
      <c r="A940" s="201"/>
      <c r="B940" s="201"/>
      <c r="C940" s="202" t="b">
        <v>0</v>
      </c>
      <c r="D940" s="201"/>
      <c r="E940" s="201"/>
      <c r="F940" s="202" t="b">
        <v>0</v>
      </c>
      <c r="G940" s="202" t="b">
        <v>0</v>
      </c>
      <c r="H940" s="202" t="b">
        <v>0</v>
      </c>
      <c r="I940" s="202" t="b">
        <v>0</v>
      </c>
      <c r="J940" s="202" t="b">
        <v>0</v>
      </c>
      <c r="K940" s="202" t="b">
        <v>0</v>
      </c>
      <c r="L940" s="202" t="b">
        <v>0</v>
      </c>
      <c r="M940" s="202" t="b">
        <v>0</v>
      </c>
      <c r="N940" s="202" t="b">
        <v>0</v>
      </c>
    </row>
    <row r="941">
      <c r="A941" s="201"/>
      <c r="B941" s="201"/>
      <c r="C941" s="202" t="b">
        <v>0</v>
      </c>
      <c r="D941" s="201"/>
      <c r="E941" s="201"/>
      <c r="F941" s="202" t="b">
        <v>0</v>
      </c>
      <c r="G941" s="202" t="b">
        <v>0</v>
      </c>
      <c r="H941" s="202" t="b">
        <v>0</v>
      </c>
      <c r="I941" s="202" t="b">
        <v>0</v>
      </c>
      <c r="J941" s="202" t="b">
        <v>0</v>
      </c>
      <c r="K941" s="202" t="b">
        <v>0</v>
      </c>
      <c r="L941" s="202" t="b">
        <v>0</v>
      </c>
      <c r="M941" s="202" t="b">
        <v>0</v>
      </c>
      <c r="N941" s="202" t="b">
        <v>0</v>
      </c>
    </row>
    <row r="942">
      <c r="A942" s="201"/>
      <c r="B942" s="201"/>
      <c r="C942" s="202" t="b">
        <v>0</v>
      </c>
      <c r="D942" s="201"/>
      <c r="E942" s="201"/>
      <c r="F942" s="202" t="b">
        <v>0</v>
      </c>
      <c r="G942" s="202" t="b">
        <v>0</v>
      </c>
      <c r="H942" s="202" t="b">
        <v>0</v>
      </c>
      <c r="I942" s="202" t="b">
        <v>0</v>
      </c>
      <c r="J942" s="202" t="b">
        <v>0</v>
      </c>
      <c r="K942" s="202" t="b">
        <v>0</v>
      </c>
      <c r="L942" s="202" t="b">
        <v>0</v>
      </c>
      <c r="M942" s="202" t="b">
        <v>0</v>
      </c>
      <c r="N942" s="202" t="b">
        <v>0</v>
      </c>
    </row>
    <row r="943">
      <c r="A943" s="201"/>
      <c r="B943" s="201"/>
      <c r="C943" s="202" t="b">
        <v>0</v>
      </c>
      <c r="D943" s="201"/>
      <c r="E943" s="201"/>
      <c r="F943" s="202" t="b">
        <v>0</v>
      </c>
      <c r="G943" s="202" t="b">
        <v>0</v>
      </c>
      <c r="H943" s="202" t="b">
        <v>0</v>
      </c>
      <c r="I943" s="202" t="b">
        <v>0</v>
      </c>
      <c r="J943" s="202" t="b">
        <v>0</v>
      </c>
      <c r="K943" s="202" t="b">
        <v>0</v>
      </c>
      <c r="L943" s="202" t="b">
        <v>0</v>
      </c>
      <c r="M943" s="202" t="b">
        <v>0</v>
      </c>
      <c r="N943" s="202" t="b">
        <v>0</v>
      </c>
    </row>
    <row r="944">
      <c r="A944" s="201"/>
      <c r="B944" s="201"/>
      <c r="C944" s="202" t="b">
        <v>0</v>
      </c>
      <c r="D944" s="201"/>
      <c r="E944" s="201"/>
      <c r="F944" s="202" t="b">
        <v>0</v>
      </c>
      <c r="G944" s="202" t="b">
        <v>0</v>
      </c>
      <c r="H944" s="202" t="b">
        <v>0</v>
      </c>
      <c r="I944" s="202" t="b">
        <v>0</v>
      </c>
      <c r="J944" s="202" t="b">
        <v>0</v>
      </c>
      <c r="K944" s="202" t="b">
        <v>0</v>
      </c>
      <c r="L944" s="202" t="b">
        <v>0</v>
      </c>
      <c r="M944" s="202" t="b">
        <v>0</v>
      </c>
      <c r="N944" s="202" t="b">
        <v>0</v>
      </c>
    </row>
    <row r="945">
      <c r="A945" s="201"/>
      <c r="B945" s="201"/>
      <c r="C945" s="202" t="b">
        <v>0</v>
      </c>
      <c r="D945" s="201"/>
      <c r="E945" s="201"/>
      <c r="F945" s="202" t="b">
        <v>0</v>
      </c>
      <c r="G945" s="202" t="b">
        <v>0</v>
      </c>
      <c r="H945" s="202" t="b">
        <v>0</v>
      </c>
      <c r="I945" s="202" t="b">
        <v>0</v>
      </c>
      <c r="J945" s="202" t="b">
        <v>0</v>
      </c>
      <c r="K945" s="202" t="b">
        <v>0</v>
      </c>
      <c r="L945" s="202" t="b">
        <v>0</v>
      </c>
      <c r="M945" s="202" t="b">
        <v>0</v>
      </c>
      <c r="N945" s="202" t="b">
        <v>0</v>
      </c>
    </row>
    <row r="946">
      <c r="A946" s="201"/>
      <c r="B946" s="201"/>
      <c r="C946" s="202" t="b">
        <v>0</v>
      </c>
      <c r="D946" s="201"/>
      <c r="E946" s="201"/>
      <c r="F946" s="202" t="b">
        <v>0</v>
      </c>
      <c r="G946" s="202" t="b">
        <v>0</v>
      </c>
      <c r="H946" s="202" t="b">
        <v>0</v>
      </c>
      <c r="I946" s="202" t="b">
        <v>0</v>
      </c>
      <c r="J946" s="202" t="b">
        <v>0</v>
      </c>
      <c r="K946" s="202" t="b">
        <v>0</v>
      </c>
      <c r="L946" s="202" t="b">
        <v>0</v>
      </c>
      <c r="M946" s="202" t="b">
        <v>0</v>
      </c>
      <c r="N946" s="202" t="b">
        <v>0</v>
      </c>
    </row>
    <row r="947">
      <c r="A947" s="201"/>
      <c r="B947" s="201"/>
      <c r="C947" s="202" t="b">
        <v>0</v>
      </c>
      <c r="D947" s="201"/>
      <c r="E947" s="201"/>
      <c r="F947" s="202" t="b">
        <v>0</v>
      </c>
      <c r="G947" s="202" t="b">
        <v>0</v>
      </c>
      <c r="H947" s="202" t="b">
        <v>0</v>
      </c>
      <c r="I947" s="202" t="b">
        <v>0</v>
      </c>
      <c r="J947" s="202" t="b">
        <v>0</v>
      </c>
      <c r="K947" s="202" t="b">
        <v>0</v>
      </c>
      <c r="L947" s="202" t="b">
        <v>0</v>
      </c>
      <c r="M947" s="202" t="b">
        <v>0</v>
      </c>
      <c r="N947" s="202" t="b">
        <v>0</v>
      </c>
    </row>
    <row r="948">
      <c r="A948" s="201"/>
      <c r="B948" s="201"/>
      <c r="C948" s="202" t="b">
        <v>0</v>
      </c>
      <c r="D948" s="201"/>
      <c r="E948" s="201"/>
      <c r="F948" s="202" t="b">
        <v>0</v>
      </c>
      <c r="G948" s="202" t="b">
        <v>0</v>
      </c>
      <c r="H948" s="202" t="b">
        <v>0</v>
      </c>
      <c r="I948" s="202" t="b">
        <v>0</v>
      </c>
      <c r="J948" s="202" t="b">
        <v>0</v>
      </c>
      <c r="K948" s="202" t="b">
        <v>0</v>
      </c>
      <c r="L948" s="202" t="b">
        <v>0</v>
      </c>
      <c r="M948" s="202" t="b">
        <v>0</v>
      </c>
      <c r="N948" s="202" t="b">
        <v>0</v>
      </c>
    </row>
    <row r="949">
      <c r="A949" s="201"/>
      <c r="B949" s="201"/>
      <c r="C949" s="202" t="b">
        <v>0</v>
      </c>
      <c r="D949" s="201"/>
      <c r="E949" s="201"/>
      <c r="F949" s="202" t="b">
        <v>0</v>
      </c>
      <c r="G949" s="202" t="b">
        <v>0</v>
      </c>
      <c r="H949" s="202" t="b">
        <v>0</v>
      </c>
      <c r="I949" s="202" t="b">
        <v>0</v>
      </c>
      <c r="J949" s="202" t="b">
        <v>0</v>
      </c>
      <c r="K949" s="202" t="b">
        <v>0</v>
      </c>
      <c r="L949" s="202" t="b">
        <v>0</v>
      </c>
      <c r="M949" s="202" t="b">
        <v>0</v>
      </c>
      <c r="N949" s="202" t="b">
        <v>0</v>
      </c>
    </row>
    <row r="950">
      <c r="A950" s="201"/>
      <c r="B950" s="201"/>
      <c r="C950" s="202" t="b">
        <v>0</v>
      </c>
      <c r="D950" s="201"/>
      <c r="E950" s="201"/>
      <c r="F950" s="202" t="b">
        <v>0</v>
      </c>
      <c r="G950" s="202" t="b">
        <v>0</v>
      </c>
      <c r="H950" s="202" t="b">
        <v>0</v>
      </c>
      <c r="I950" s="202" t="b">
        <v>0</v>
      </c>
      <c r="J950" s="202" t="b">
        <v>0</v>
      </c>
      <c r="K950" s="202" t="b">
        <v>0</v>
      </c>
      <c r="L950" s="202" t="b">
        <v>0</v>
      </c>
      <c r="M950" s="202" t="b">
        <v>0</v>
      </c>
      <c r="N950" s="202" t="b">
        <v>0</v>
      </c>
    </row>
    <row r="951">
      <c r="A951" s="201"/>
      <c r="B951" s="201"/>
      <c r="C951" s="202" t="b">
        <v>0</v>
      </c>
      <c r="D951" s="201"/>
      <c r="E951" s="201"/>
      <c r="F951" s="202" t="b">
        <v>0</v>
      </c>
      <c r="G951" s="202" t="b">
        <v>0</v>
      </c>
      <c r="H951" s="202" t="b">
        <v>0</v>
      </c>
      <c r="I951" s="202" t="b">
        <v>0</v>
      </c>
      <c r="J951" s="202" t="b">
        <v>0</v>
      </c>
      <c r="K951" s="202" t="b">
        <v>0</v>
      </c>
      <c r="L951" s="202" t="b">
        <v>0</v>
      </c>
      <c r="M951" s="202" t="b">
        <v>0</v>
      </c>
      <c r="N951" s="202" t="b">
        <v>0</v>
      </c>
    </row>
    <row r="952">
      <c r="A952" s="201"/>
      <c r="B952" s="201"/>
      <c r="C952" s="202" t="b">
        <v>0</v>
      </c>
      <c r="D952" s="201"/>
      <c r="E952" s="201"/>
      <c r="F952" s="202" t="b">
        <v>0</v>
      </c>
      <c r="G952" s="202" t="b">
        <v>0</v>
      </c>
      <c r="H952" s="202" t="b">
        <v>0</v>
      </c>
      <c r="I952" s="202" t="b">
        <v>0</v>
      </c>
      <c r="J952" s="202" t="b">
        <v>0</v>
      </c>
      <c r="K952" s="202" t="b">
        <v>0</v>
      </c>
      <c r="L952" s="202" t="b">
        <v>0</v>
      </c>
      <c r="M952" s="202" t="b">
        <v>0</v>
      </c>
      <c r="N952" s="202" t="b">
        <v>0</v>
      </c>
    </row>
    <row r="953">
      <c r="A953" s="201"/>
      <c r="B953" s="201"/>
      <c r="C953" s="202" t="b">
        <v>0</v>
      </c>
      <c r="D953" s="201"/>
      <c r="E953" s="201"/>
      <c r="F953" s="202" t="b">
        <v>0</v>
      </c>
      <c r="G953" s="202" t="b">
        <v>0</v>
      </c>
      <c r="H953" s="202" t="b">
        <v>0</v>
      </c>
      <c r="I953" s="202" t="b">
        <v>0</v>
      </c>
      <c r="J953" s="202" t="b">
        <v>0</v>
      </c>
      <c r="K953" s="202" t="b">
        <v>0</v>
      </c>
      <c r="L953" s="202" t="b">
        <v>0</v>
      </c>
      <c r="M953" s="202" t="b">
        <v>0</v>
      </c>
      <c r="N953" s="202" t="b">
        <v>0</v>
      </c>
    </row>
    <row r="954">
      <c r="A954" s="201"/>
      <c r="B954" s="201"/>
      <c r="C954" s="202" t="b">
        <v>0</v>
      </c>
      <c r="D954" s="201"/>
      <c r="E954" s="201"/>
      <c r="F954" s="202" t="b">
        <v>0</v>
      </c>
      <c r="G954" s="202" t="b">
        <v>0</v>
      </c>
      <c r="H954" s="202" t="b">
        <v>0</v>
      </c>
      <c r="I954" s="202" t="b">
        <v>0</v>
      </c>
      <c r="J954" s="202" t="b">
        <v>0</v>
      </c>
      <c r="K954" s="202" t="b">
        <v>0</v>
      </c>
      <c r="L954" s="202" t="b">
        <v>0</v>
      </c>
      <c r="M954" s="202" t="b">
        <v>0</v>
      </c>
      <c r="N954" s="202" t="b">
        <v>0</v>
      </c>
    </row>
    <row r="955">
      <c r="A955" s="201"/>
      <c r="B955" s="201"/>
      <c r="C955" s="202" t="b">
        <v>0</v>
      </c>
      <c r="D955" s="201"/>
      <c r="E955" s="201"/>
      <c r="F955" s="202" t="b">
        <v>0</v>
      </c>
      <c r="G955" s="202" t="b">
        <v>0</v>
      </c>
      <c r="H955" s="202" t="b">
        <v>0</v>
      </c>
      <c r="I955" s="202" t="b">
        <v>0</v>
      </c>
      <c r="J955" s="202" t="b">
        <v>0</v>
      </c>
      <c r="K955" s="202" t="b">
        <v>0</v>
      </c>
      <c r="L955" s="202" t="b">
        <v>0</v>
      </c>
      <c r="M955" s="202" t="b">
        <v>0</v>
      </c>
      <c r="N955" s="202" t="b">
        <v>0</v>
      </c>
    </row>
    <row r="956">
      <c r="A956" s="201"/>
      <c r="B956" s="201"/>
      <c r="C956" s="202" t="b">
        <v>0</v>
      </c>
      <c r="D956" s="201"/>
      <c r="E956" s="201"/>
      <c r="F956" s="202" t="b">
        <v>0</v>
      </c>
      <c r="G956" s="202" t="b">
        <v>0</v>
      </c>
      <c r="H956" s="202" t="b">
        <v>0</v>
      </c>
      <c r="I956" s="202" t="b">
        <v>0</v>
      </c>
      <c r="J956" s="202" t="b">
        <v>0</v>
      </c>
      <c r="K956" s="202" t="b">
        <v>0</v>
      </c>
      <c r="L956" s="202" t="b">
        <v>0</v>
      </c>
      <c r="M956" s="202" t="b">
        <v>0</v>
      </c>
      <c r="N956" s="202" t="b">
        <v>0</v>
      </c>
    </row>
    <row r="957">
      <c r="A957" s="201"/>
      <c r="B957" s="201"/>
      <c r="C957" s="202" t="b">
        <v>0</v>
      </c>
      <c r="D957" s="201"/>
      <c r="E957" s="201"/>
      <c r="F957" s="202" t="b">
        <v>0</v>
      </c>
      <c r="G957" s="202" t="b">
        <v>0</v>
      </c>
      <c r="H957" s="202" t="b">
        <v>0</v>
      </c>
      <c r="I957" s="202" t="b">
        <v>0</v>
      </c>
      <c r="J957" s="202" t="b">
        <v>0</v>
      </c>
      <c r="K957" s="202" t="b">
        <v>0</v>
      </c>
      <c r="L957" s="202" t="b">
        <v>0</v>
      </c>
      <c r="M957" s="202" t="b">
        <v>0</v>
      </c>
      <c r="N957" s="202" t="b">
        <v>0</v>
      </c>
    </row>
    <row r="958">
      <c r="A958" s="201"/>
      <c r="B958" s="201"/>
      <c r="C958" s="202" t="b">
        <v>0</v>
      </c>
      <c r="D958" s="201"/>
      <c r="E958" s="201"/>
      <c r="F958" s="202" t="b">
        <v>0</v>
      </c>
      <c r="G958" s="202" t="b">
        <v>0</v>
      </c>
      <c r="H958" s="202" t="b">
        <v>0</v>
      </c>
      <c r="I958" s="202" t="b">
        <v>0</v>
      </c>
      <c r="J958" s="202" t="b">
        <v>0</v>
      </c>
      <c r="K958" s="202" t="b">
        <v>0</v>
      </c>
      <c r="L958" s="202" t="b">
        <v>0</v>
      </c>
      <c r="M958" s="202" t="b">
        <v>0</v>
      </c>
      <c r="N958" s="202" t="b">
        <v>0</v>
      </c>
    </row>
    <row r="959">
      <c r="A959" s="201"/>
      <c r="B959" s="201"/>
      <c r="C959" s="202" t="b">
        <v>0</v>
      </c>
      <c r="D959" s="201"/>
      <c r="E959" s="201"/>
      <c r="F959" s="202" t="b">
        <v>0</v>
      </c>
      <c r="G959" s="202" t="b">
        <v>0</v>
      </c>
      <c r="H959" s="202" t="b">
        <v>0</v>
      </c>
      <c r="I959" s="202" t="b">
        <v>0</v>
      </c>
      <c r="J959" s="202" t="b">
        <v>0</v>
      </c>
      <c r="K959" s="202" t="b">
        <v>0</v>
      </c>
      <c r="L959" s="202" t="b">
        <v>0</v>
      </c>
      <c r="M959" s="202" t="b">
        <v>0</v>
      </c>
      <c r="N959" s="202" t="b">
        <v>0</v>
      </c>
    </row>
    <row r="960">
      <c r="A960" s="201"/>
      <c r="B960" s="201"/>
      <c r="C960" s="202" t="b">
        <v>0</v>
      </c>
      <c r="D960" s="201"/>
      <c r="E960" s="201"/>
      <c r="F960" s="202" t="b">
        <v>0</v>
      </c>
      <c r="G960" s="202" t="b">
        <v>0</v>
      </c>
      <c r="H960" s="202" t="b">
        <v>0</v>
      </c>
      <c r="I960" s="202" t="b">
        <v>0</v>
      </c>
      <c r="J960" s="202" t="b">
        <v>0</v>
      </c>
      <c r="K960" s="202" t="b">
        <v>0</v>
      </c>
      <c r="L960" s="202" t="b">
        <v>0</v>
      </c>
      <c r="M960" s="202" t="b">
        <v>0</v>
      </c>
      <c r="N960" s="202" t="b">
        <v>0</v>
      </c>
    </row>
    <row r="961">
      <c r="A961" s="201"/>
      <c r="B961" s="201"/>
      <c r="C961" s="202" t="b">
        <v>0</v>
      </c>
      <c r="D961" s="201"/>
      <c r="E961" s="201"/>
      <c r="F961" s="202" t="b">
        <v>0</v>
      </c>
      <c r="G961" s="202" t="b">
        <v>0</v>
      </c>
      <c r="H961" s="202" t="b">
        <v>0</v>
      </c>
      <c r="I961" s="202" t="b">
        <v>0</v>
      </c>
      <c r="J961" s="202" t="b">
        <v>0</v>
      </c>
      <c r="K961" s="202" t="b">
        <v>0</v>
      </c>
      <c r="L961" s="202" t="b">
        <v>0</v>
      </c>
      <c r="M961" s="202" t="b">
        <v>0</v>
      </c>
      <c r="N961" s="202" t="b">
        <v>0</v>
      </c>
    </row>
    <row r="962">
      <c r="A962" s="201"/>
      <c r="B962" s="201"/>
      <c r="C962" s="202" t="b">
        <v>0</v>
      </c>
      <c r="D962" s="201"/>
      <c r="E962" s="201"/>
      <c r="F962" s="202" t="b">
        <v>0</v>
      </c>
      <c r="G962" s="202" t="b">
        <v>0</v>
      </c>
      <c r="H962" s="202" t="b">
        <v>0</v>
      </c>
      <c r="I962" s="202" t="b">
        <v>0</v>
      </c>
      <c r="J962" s="202" t="b">
        <v>0</v>
      </c>
      <c r="K962" s="202" t="b">
        <v>0</v>
      </c>
      <c r="L962" s="202" t="b">
        <v>0</v>
      </c>
      <c r="M962" s="202" t="b">
        <v>0</v>
      </c>
      <c r="N962" s="202" t="b">
        <v>0</v>
      </c>
    </row>
    <row r="963">
      <c r="A963" s="201"/>
      <c r="B963" s="201"/>
      <c r="C963" s="202" t="b">
        <v>0</v>
      </c>
      <c r="D963" s="201"/>
      <c r="E963" s="201"/>
      <c r="F963" s="202" t="b">
        <v>0</v>
      </c>
      <c r="G963" s="202" t="b">
        <v>0</v>
      </c>
      <c r="H963" s="202" t="b">
        <v>0</v>
      </c>
      <c r="I963" s="202" t="b">
        <v>0</v>
      </c>
      <c r="J963" s="202" t="b">
        <v>0</v>
      </c>
      <c r="K963" s="202" t="b">
        <v>0</v>
      </c>
      <c r="L963" s="202" t="b">
        <v>0</v>
      </c>
      <c r="M963" s="202" t="b">
        <v>0</v>
      </c>
      <c r="N963" s="202" t="b">
        <v>0</v>
      </c>
    </row>
    <row r="964">
      <c r="A964" s="201"/>
      <c r="B964" s="201"/>
      <c r="C964" s="202" t="b">
        <v>0</v>
      </c>
      <c r="D964" s="201"/>
      <c r="E964" s="201"/>
      <c r="F964" s="202" t="b">
        <v>0</v>
      </c>
      <c r="G964" s="202" t="b">
        <v>0</v>
      </c>
      <c r="H964" s="202" t="b">
        <v>0</v>
      </c>
      <c r="I964" s="202" t="b">
        <v>0</v>
      </c>
      <c r="J964" s="202" t="b">
        <v>0</v>
      </c>
      <c r="K964" s="202" t="b">
        <v>0</v>
      </c>
      <c r="L964" s="202" t="b">
        <v>0</v>
      </c>
      <c r="M964" s="202" t="b">
        <v>0</v>
      </c>
      <c r="N964" s="202" t="b">
        <v>0</v>
      </c>
    </row>
    <row r="965">
      <c r="A965" s="201"/>
      <c r="B965" s="201"/>
      <c r="C965" s="202" t="b">
        <v>0</v>
      </c>
      <c r="D965" s="201"/>
      <c r="E965" s="201"/>
      <c r="F965" s="202" t="b">
        <v>0</v>
      </c>
      <c r="G965" s="202" t="b">
        <v>0</v>
      </c>
      <c r="H965" s="202" t="b">
        <v>0</v>
      </c>
      <c r="I965" s="202" t="b">
        <v>0</v>
      </c>
      <c r="J965" s="202" t="b">
        <v>0</v>
      </c>
      <c r="K965" s="202" t="b">
        <v>0</v>
      </c>
      <c r="L965" s="202" t="b">
        <v>0</v>
      </c>
      <c r="M965" s="202" t="b">
        <v>0</v>
      </c>
      <c r="N965" s="202" t="b">
        <v>0</v>
      </c>
    </row>
    <row r="966">
      <c r="A966" s="201"/>
      <c r="B966" s="201"/>
      <c r="C966" s="202" t="b">
        <v>0</v>
      </c>
      <c r="D966" s="201"/>
      <c r="E966" s="201"/>
      <c r="F966" s="202" t="b">
        <v>0</v>
      </c>
      <c r="G966" s="202" t="b">
        <v>0</v>
      </c>
      <c r="H966" s="202" t="b">
        <v>0</v>
      </c>
      <c r="I966" s="202" t="b">
        <v>0</v>
      </c>
      <c r="J966" s="202" t="b">
        <v>0</v>
      </c>
      <c r="K966" s="202" t="b">
        <v>0</v>
      </c>
      <c r="L966" s="202" t="b">
        <v>0</v>
      </c>
      <c r="M966" s="202" t="b">
        <v>0</v>
      </c>
      <c r="N966" s="202" t="b">
        <v>0</v>
      </c>
    </row>
    <row r="967">
      <c r="A967" s="201"/>
      <c r="B967" s="201"/>
      <c r="C967" s="202" t="b">
        <v>0</v>
      </c>
      <c r="D967" s="201"/>
      <c r="E967" s="201"/>
      <c r="F967" s="202" t="b">
        <v>0</v>
      </c>
      <c r="G967" s="202" t="b">
        <v>0</v>
      </c>
      <c r="H967" s="202" t="b">
        <v>0</v>
      </c>
      <c r="I967" s="202" t="b">
        <v>0</v>
      </c>
      <c r="J967" s="202" t="b">
        <v>0</v>
      </c>
      <c r="K967" s="202" t="b">
        <v>0</v>
      </c>
      <c r="L967" s="202" t="b">
        <v>0</v>
      </c>
      <c r="M967" s="202" t="b">
        <v>0</v>
      </c>
      <c r="N967" s="202" t="b">
        <v>0</v>
      </c>
    </row>
    <row r="968">
      <c r="A968" s="201"/>
      <c r="B968" s="201"/>
      <c r="C968" s="202" t="b">
        <v>0</v>
      </c>
      <c r="D968" s="201"/>
      <c r="E968" s="201"/>
      <c r="F968" s="202" t="b">
        <v>0</v>
      </c>
      <c r="G968" s="202" t="b">
        <v>0</v>
      </c>
      <c r="H968" s="202" t="b">
        <v>0</v>
      </c>
      <c r="I968" s="202" t="b">
        <v>0</v>
      </c>
      <c r="J968" s="202" t="b">
        <v>0</v>
      </c>
      <c r="K968" s="202" t="b">
        <v>0</v>
      </c>
      <c r="L968" s="202" t="b">
        <v>0</v>
      </c>
      <c r="M968" s="202" t="b">
        <v>0</v>
      </c>
      <c r="N968" s="202" t="b">
        <v>0</v>
      </c>
    </row>
    <row r="969">
      <c r="A969" s="201"/>
      <c r="B969" s="201"/>
      <c r="C969" s="202" t="b">
        <v>0</v>
      </c>
      <c r="D969" s="201"/>
      <c r="E969" s="201"/>
      <c r="F969" s="202" t="b">
        <v>0</v>
      </c>
      <c r="G969" s="202" t="b">
        <v>0</v>
      </c>
      <c r="H969" s="202" t="b">
        <v>0</v>
      </c>
      <c r="I969" s="202" t="b">
        <v>0</v>
      </c>
      <c r="J969" s="202" t="b">
        <v>0</v>
      </c>
      <c r="K969" s="202" t="b">
        <v>0</v>
      </c>
      <c r="L969" s="202" t="b">
        <v>0</v>
      </c>
      <c r="M969" s="202" t="b">
        <v>0</v>
      </c>
      <c r="N969" s="202" t="b">
        <v>0</v>
      </c>
    </row>
    <row r="970">
      <c r="A970" s="201"/>
      <c r="B970" s="201"/>
      <c r="C970" s="202" t="b">
        <v>0</v>
      </c>
      <c r="D970" s="201"/>
      <c r="E970" s="201"/>
      <c r="F970" s="202" t="b">
        <v>0</v>
      </c>
      <c r="G970" s="202" t="b">
        <v>0</v>
      </c>
      <c r="H970" s="202" t="b">
        <v>0</v>
      </c>
      <c r="I970" s="202" t="b">
        <v>0</v>
      </c>
      <c r="J970" s="202" t="b">
        <v>0</v>
      </c>
      <c r="K970" s="202" t="b">
        <v>0</v>
      </c>
      <c r="L970" s="202" t="b">
        <v>0</v>
      </c>
      <c r="M970" s="202" t="b">
        <v>0</v>
      </c>
      <c r="N970" s="202" t="b">
        <v>0</v>
      </c>
    </row>
    <row r="971">
      <c r="A971" s="201"/>
      <c r="B971" s="201"/>
      <c r="C971" s="202" t="b">
        <v>0</v>
      </c>
      <c r="D971" s="201"/>
      <c r="E971" s="201"/>
      <c r="F971" s="202" t="b">
        <v>0</v>
      </c>
      <c r="G971" s="202" t="b">
        <v>0</v>
      </c>
      <c r="H971" s="202" t="b">
        <v>0</v>
      </c>
      <c r="I971" s="202" t="b">
        <v>0</v>
      </c>
      <c r="J971" s="202" t="b">
        <v>0</v>
      </c>
      <c r="K971" s="202" t="b">
        <v>0</v>
      </c>
      <c r="L971" s="202" t="b">
        <v>0</v>
      </c>
      <c r="M971" s="202" t="b">
        <v>0</v>
      </c>
      <c r="N971" s="202" t="b">
        <v>0</v>
      </c>
    </row>
    <row r="972">
      <c r="A972" s="201"/>
      <c r="B972" s="201"/>
      <c r="C972" s="202" t="b">
        <v>0</v>
      </c>
      <c r="D972" s="201"/>
      <c r="E972" s="201"/>
      <c r="F972" s="202" t="b">
        <v>0</v>
      </c>
      <c r="G972" s="202" t="b">
        <v>0</v>
      </c>
      <c r="H972" s="202" t="b">
        <v>0</v>
      </c>
      <c r="I972" s="202" t="b">
        <v>0</v>
      </c>
      <c r="J972" s="202" t="b">
        <v>0</v>
      </c>
      <c r="K972" s="202" t="b">
        <v>0</v>
      </c>
      <c r="L972" s="202" t="b">
        <v>0</v>
      </c>
      <c r="M972" s="202" t="b">
        <v>0</v>
      </c>
      <c r="N972" s="202" t="b">
        <v>0</v>
      </c>
    </row>
    <row r="973">
      <c r="A973" s="201"/>
      <c r="B973" s="201"/>
      <c r="C973" s="202" t="b">
        <v>0</v>
      </c>
      <c r="D973" s="201"/>
      <c r="E973" s="201"/>
      <c r="F973" s="202" t="b">
        <v>0</v>
      </c>
      <c r="G973" s="202" t="b">
        <v>0</v>
      </c>
      <c r="H973" s="202" t="b">
        <v>0</v>
      </c>
      <c r="I973" s="202" t="b">
        <v>0</v>
      </c>
      <c r="J973" s="202" t="b">
        <v>0</v>
      </c>
      <c r="K973" s="202" t="b">
        <v>0</v>
      </c>
      <c r="L973" s="202" t="b">
        <v>0</v>
      </c>
      <c r="M973" s="202" t="b">
        <v>0</v>
      </c>
      <c r="N973" s="202" t="b">
        <v>0</v>
      </c>
    </row>
    <row r="974">
      <c r="A974" s="201"/>
      <c r="B974" s="201"/>
      <c r="C974" s="202" t="b">
        <v>0</v>
      </c>
      <c r="D974" s="201"/>
      <c r="E974" s="201"/>
      <c r="F974" s="202" t="b">
        <v>0</v>
      </c>
      <c r="G974" s="202" t="b">
        <v>0</v>
      </c>
      <c r="H974" s="202" t="b">
        <v>0</v>
      </c>
      <c r="I974" s="202" t="b">
        <v>0</v>
      </c>
      <c r="J974" s="202" t="b">
        <v>0</v>
      </c>
      <c r="K974" s="202" t="b">
        <v>0</v>
      </c>
      <c r="L974" s="202" t="b">
        <v>0</v>
      </c>
      <c r="M974" s="202" t="b">
        <v>0</v>
      </c>
      <c r="N974" s="202" t="b">
        <v>0</v>
      </c>
    </row>
    <row r="975">
      <c r="A975" s="201"/>
      <c r="B975" s="201"/>
      <c r="C975" s="202" t="b">
        <v>0</v>
      </c>
      <c r="D975" s="201"/>
      <c r="E975" s="201"/>
      <c r="F975" s="202" t="b">
        <v>0</v>
      </c>
      <c r="G975" s="202" t="b">
        <v>0</v>
      </c>
      <c r="H975" s="202" t="b">
        <v>0</v>
      </c>
      <c r="I975" s="202" t="b">
        <v>0</v>
      </c>
      <c r="J975" s="202" t="b">
        <v>0</v>
      </c>
      <c r="K975" s="202" t="b">
        <v>0</v>
      </c>
      <c r="L975" s="202" t="b">
        <v>0</v>
      </c>
      <c r="M975" s="202" t="b">
        <v>0</v>
      </c>
      <c r="N975" s="202" t="b">
        <v>0</v>
      </c>
    </row>
    <row r="976">
      <c r="A976" s="201"/>
      <c r="B976" s="201"/>
      <c r="C976" s="202" t="b">
        <v>0</v>
      </c>
      <c r="D976" s="201"/>
      <c r="E976" s="201"/>
      <c r="F976" s="202" t="b">
        <v>0</v>
      </c>
      <c r="G976" s="202" t="b">
        <v>0</v>
      </c>
      <c r="H976" s="202" t="b">
        <v>0</v>
      </c>
      <c r="I976" s="202" t="b">
        <v>0</v>
      </c>
      <c r="J976" s="202" t="b">
        <v>0</v>
      </c>
      <c r="K976" s="202" t="b">
        <v>0</v>
      </c>
      <c r="L976" s="202" t="b">
        <v>0</v>
      </c>
      <c r="M976" s="202" t="b">
        <v>0</v>
      </c>
      <c r="N976" s="202" t="b">
        <v>0</v>
      </c>
    </row>
    <row r="977">
      <c r="A977" s="201"/>
      <c r="B977" s="201"/>
      <c r="C977" s="202" t="b">
        <v>0</v>
      </c>
      <c r="D977" s="201"/>
      <c r="E977" s="201"/>
      <c r="F977" s="202" t="b">
        <v>0</v>
      </c>
      <c r="G977" s="202" t="b">
        <v>0</v>
      </c>
      <c r="H977" s="202" t="b">
        <v>0</v>
      </c>
      <c r="I977" s="202" t="b">
        <v>0</v>
      </c>
      <c r="J977" s="202" t="b">
        <v>0</v>
      </c>
      <c r="K977" s="202" t="b">
        <v>0</v>
      </c>
      <c r="L977" s="202" t="b">
        <v>0</v>
      </c>
      <c r="M977" s="202" t="b">
        <v>0</v>
      </c>
      <c r="N977" s="202" t="b">
        <v>0</v>
      </c>
    </row>
    <row r="978">
      <c r="A978" s="201"/>
      <c r="B978" s="201"/>
      <c r="C978" s="202" t="b">
        <v>0</v>
      </c>
      <c r="D978" s="201"/>
      <c r="E978" s="201"/>
      <c r="F978" s="202" t="b">
        <v>0</v>
      </c>
      <c r="G978" s="202" t="b">
        <v>0</v>
      </c>
      <c r="H978" s="202" t="b">
        <v>0</v>
      </c>
      <c r="I978" s="202" t="b">
        <v>0</v>
      </c>
      <c r="J978" s="202" t="b">
        <v>0</v>
      </c>
      <c r="K978" s="202" t="b">
        <v>0</v>
      </c>
      <c r="L978" s="202" t="b">
        <v>0</v>
      </c>
      <c r="M978" s="202" t="b">
        <v>0</v>
      </c>
      <c r="N978" s="202" t="b">
        <v>0</v>
      </c>
    </row>
    <row r="979">
      <c r="A979" s="201"/>
      <c r="B979" s="201"/>
      <c r="C979" s="202" t="b">
        <v>0</v>
      </c>
      <c r="D979" s="201"/>
      <c r="E979" s="201"/>
      <c r="F979" s="202" t="b">
        <v>0</v>
      </c>
      <c r="G979" s="202" t="b">
        <v>0</v>
      </c>
      <c r="H979" s="202" t="b">
        <v>0</v>
      </c>
      <c r="I979" s="202" t="b">
        <v>0</v>
      </c>
      <c r="J979" s="202" t="b">
        <v>0</v>
      </c>
      <c r="K979" s="202" t="b">
        <v>0</v>
      </c>
      <c r="L979" s="202" t="b">
        <v>0</v>
      </c>
      <c r="M979" s="202" t="b">
        <v>0</v>
      </c>
      <c r="N979" s="202" t="b">
        <v>0</v>
      </c>
    </row>
    <row r="980">
      <c r="A980" s="201"/>
      <c r="B980" s="201"/>
      <c r="C980" s="202" t="b">
        <v>0</v>
      </c>
      <c r="D980" s="201"/>
      <c r="E980" s="201"/>
      <c r="F980" s="202" t="b">
        <v>0</v>
      </c>
      <c r="G980" s="202" t="b">
        <v>0</v>
      </c>
      <c r="H980" s="202" t="b">
        <v>0</v>
      </c>
      <c r="I980" s="202" t="b">
        <v>0</v>
      </c>
      <c r="J980" s="202" t="b">
        <v>0</v>
      </c>
      <c r="K980" s="202" t="b">
        <v>0</v>
      </c>
      <c r="L980" s="202" t="b">
        <v>0</v>
      </c>
      <c r="M980" s="202" t="b">
        <v>0</v>
      </c>
      <c r="N980" s="202" t="b">
        <v>0</v>
      </c>
    </row>
    <row r="981">
      <c r="A981" s="201"/>
      <c r="B981" s="201"/>
      <c r="C981" s="202" t="b">
        <v>0</v>
      </c>
      <c r="D981" s="201"/>
      <c r="E981" s="201"/>
      <c r="F981" s="202" t="b">
        <v>0</v>
      </c>
      <c r="G981" s="202" t="b">
        <v>0</v>
      </c>
      <c r="H981" s="202" t="b">
        <v>0</v>
      </c>
      <c r="I981" s="202" t="b">
        <v>0</v>
      </c>
      <c r="J981" s="202" t="b">
        <v>0</v>
      </c>
      <c r="K981" s="202" t="b">
        <v>0</v>
      </c>
      <c r="L981" s="202" t="b">
        <v>0</v>
      </c>
      <c r="M981" s="202" t="b">
        <v>0</v>
      </c>
      <c r="N981" s="202" t="b">
        <v>0</v>
      </c>
    </row>
    <row r="982">
      <c r="A982" s="201"/>
      <c r="B982" s="201"/>
      <c r="C982" s="202" t="b">
        <v>0</v>
      </c>
      <c r="D982" s="201"/>
      <c r="E982" s="201"/>
      <c r="F982" s="202" t="b">
        <v>0</v>
      </c>
      <c r="G982" s="202" t="b">
        <v>0</v>
      </c>
      <c r="H982" s="202" t="b">
        <v>0</v>
      </c>
      <c r="I982" s="202" t="b">
        <v>0</v>
      </c>
      <c r="J982" s="202" t="b">
        <v>0</v>
      </c>
      <c r="K982" s="202" t="b">
        <v>0</v>
      </c>
      <c r="L982" s="202" t="b">
        <v>0</v>
      </c>
      <c r="M982" s="202" t="b">
        <v>0</v>
      </c>
      <c r="N982" s="202" t="b">
        <v>0</v>
      </c>
    </row>
    <row r="983">
      <c r="A983" s="201"/>
      <c r="B983" s="201"/>
      <c r="C983" s="202" t="b">
        <v>0</v>
      </c>
      <c r="D983" s="201"/>
      <c r="E983" s="201"/>
      <c r="F983" s="202" t="b">
        <v>0</v>
      </c>
      <c r="G983" s="202" t="b">
        <v>0</v>
      </c>
      <c r="H983" s="202" t="b">
        <v>0</v>
      </c>
      <c r="I983" s="202" t="b">
        <v>0</v>
      </c>
      <c r="J983" s="202" t="b">
        <v>0</v>
      </c>
      <c r="K983" s="202" t="b">
        <v>0</v>
      </c>
      <c r="L983" s="202" t="b">
        <v>0</v>
      </c>
      <c r="M983" s="202" t="b">
        <v>0</v>
      </c>
      <c r="N983" s="202" t="b">
        <v>0</v>
      </c>
    </row>
    <row r="984">
      <c r="A984" s="201"/>
      <c r="B984" s="201"/>
      <c r="C984" s="202" t="b">
        <v>0</v>
      </c>
      <c r="D984" s="201"/>
      <c r="E984" s="201"/>
      <c r="F984" s="202" t="b">
        <v>0</v>
      </c>
      <c r="G984" s="202" t="b">
        <v>0</v>
      </c>
      <c r="H984" s="202" t="b">
        <v>0</v>
      </c>
      <c r="I984" s="202" t="b">
        <v>0</v>
      </c>
      <c r="J984" s="202" t="b">
        <v>0</v>
      </c>
      <c r="K984" s="202" t="b">
        <v>0</v>
      </c>
      <c r="L984" s="202" t="b">
        <v>0</v>
      </c>
      <c r="M984" s="202" t="b">
        <v>0</v>
      </c>
      <c r="N984" s="202" t="b">
        <v>0</v>
      </c>
    </row>
    <row r="985">
      <c r="A985" s="201"/>
      <c r="B985" s="201"/>
      <c r="C985" s="202" t="b">
        <v>0</v>
      </c>
      <c r="D985" s="201"/>
      <c r="E985" s="201"/>
      <c r="F985" s="202" t="b">
        <v>0</v>
      </c>
      <c r="G985" s="202" t="b">
        <v>0</v>
      </c>
      <c r="H985" s="202" t="b">
        <v>0</v>
      </c>
      <c r="I985" s="202" t="b">
        <v>0</v>
      </c>
      <c r="J985" s="202" t="b">
        <v>0</v>
      </c>
      <c r="K985" s="202" t="b">
        <v>0</v>
      </c>
      <c r="L985" s="202" t="b">
        <v>0</v>
      </c>
      <c r="M985" s="202" t="b">
        <v>0</v>
      </c>
      <c r="N985" s="202" t="b">
        <v>0</v>
      </c>
    </row>
    <row r="986">
      <c r="A986" s="201"/>
      <c r="B986" s="201"/>
      <c r="C986" s="202" t="b">
        <v>0</v>
      </c>
      <c r="D986" s="201"/>
      <c r="E986" s="201"/>
      <c r="F986" s="202" t="b">
        <v>0</v>
      </c>
      <c r="G986" s="202" t="b">
        <v>0</v>
      </c>
      <c r="H986" s="202" t="b">
        <v>0</v>
      </c>
      <c r="I986" s="202" t="b">
        <v>0</v>
      </c>
      <c r="J986" s="202" t="b">
        <v>0</v>
      </c>
      <c r="K986" s="202" t="b">
        <v>0</v>
      </c>
      <c r="L986" s="202" t="b">
        <v>0</v>
      </c>
      <c r="M986" s="202" t="b">
        <v>0</v>
      </c>
      <c r="N986" s="202" t="b">
        <v>0</v>
      </c>
    </row>
    <row r="987">
      <c r="A987" s="201"/>
      <c r="B987" s="201"/>
      <c r="C987" s="202" t="b">
        <v>0</v>
      </c>
      <c r="D987" s="201"/>
      <c r="E987" s="201"/>
      <c r="F987" s="202" t="b">
        <v>0</v>
      </c>
      <c r="G987" s="202" t="b">
        <v>0</v>
      </c>
      <c r="H987" s="202" t="b">
        <v>0</v>
      </c>
      <c r="I987" s="202" t="b">
        <v>0</v>
      </c>
      <c r="J987" s="202" t="b">
        <v>0</v>
      </c>
      <c r="K987" s="202" t="b">
        <v>0</v>
      </c>
      <c r="L987" s="202" t="b">
        <v>0</v>
      </c>
      <c r="M987" s="202" t="b">
        <v>0</v>
      </c>
      <c r="N987" s="202" t="b">
        <v>0</v>
      </c>
    </row>
    <row r="988">
      <c r="A988" s="201"/>
      <c r="B988" s="201"/>
      <c r="C988" s="202" t="b">
        <v>0</v>
      </c>
      <c r="D988" s="201"/>
      <c r="E988" s="201"/>
      <c r="F988" s="202" t="b">
        <v>0</v>
      </c>
      <c r="G988" s="202" t="b">
        <v>0</v>
      </c>
      <c r="H988" s="202" t="b">
        <v>0</v>
      </c>
      <c r="I988" s="202" t="b">
        <v>0</v>
      </c>
      <c r="J988" s="202" t="b">
        <v>0</v>
      </c>
      <c r="K988" s="202" t="b">
        <v>0</v>
      </c>
      <c r="L988" s="202" t="b">
        <v>0</v>
      </c>
      <c r="M988" s="202" t="b">
        <v>0</v>
      </c>
      <c r="N988" s="202" t="b">
        <v>0</v>
      </c>
    </row>
    <row r="989">
      <c r="A989" s="201"/>
      <c r="B989" s="201"/>
      <c r="C989" s="202" t="b">
        <v>0</v>
      </c>
      <c r="D989" s="201"/>
      <c r="E989" s="201"/>
      <c r="F989" s="202" t="b">
        <v>0</v>
      </c>
      <c r="G989" s="202" t="b">
        <v>0</v>
      </c>
      <c r="H989" s="202" t="b">
        <v>0</v>
      </c>
      <c r="I989" s="202" t="b">
        <v>0</v>
      </c>
      <c r="J989" s="202" t="b">
        <v>0</v>
      </c>
      <c r="K989" s="202" t="b">
        <v>0</v>
      </c>
      <c r="L989" s="202" t="b">
        <v>0</v>
      </c>
      <c r="M989" s="202" t="b">
        <v>0</v>
      </c>
      <c r="N989" s="202" t="b">
        <v>0</v>
      </c>
    </row>
    <row r="990">
      <c r="A990" s="201"/>
      <c r="B990" s="201"/>
      <c r="C990" s="202" t="b">
        <v>0</v>
      </c>
      <c r="D990" s="201"/>
      <c r="E990" s="201"/>
      <c r="F990" s="202" t="b">
        <v>0</v>
      </c>
      <c r="G990" s="202" t="b">
        <v>0</v>
      </c>
      <c r="H990" s="202" t="b">
        <v>0</v>
      </c>
      <c r="I990" s="202" t="b">
        <v>0</v>
      </c>
      <c r="J990" s="202" t="b">
        <v>0</v>
      </c>
      <c r="K990" s="202" t="b">
        <v>0</v>
      </c>
      <c r="L990" s="202" t="b">
        <v>0</v>
      </c>
      <c r="M990" s="202" t="b">
        <v>0</v>
      </c>
      <c r="N990" s="202" t="b">
        <v>0</v>
      </c>
    </row>
    <row r="991">
      <c r="A991" s="201"/>
      <c r="B991" s="201"/>
      <c r="C991" s="202" t="b">
        <v>0</v>
      </c>
      <c r="D991" s="201"/>
      <c r="E991" s="201"/>
      <c r="F991" s="202" t="b">
        <v>0</v>
      </c>
      <c r="G991" s="202" t="b">
        <v>0</v>
      </c>
      <c r="H991" s="202" t="b">
        <v>0</v>
      </c>
      <c r="I991" s="202" t="b">
        <v>0</v>
      </c>
      <c r="J991" s="202" t="b">
        <v>0</v>
      </c>
      <c r="K991" s="202" t="b">
        <v>0</v>
      </c>
      <c r="L991" s="202" t="b">
        <v>0</v>
      </c>
      <c r="M991" s="202" t="b">
        <v>0</v>
      </c>
      <c r="N991" s="202" t="b">
        <v>0</v>
      </c>
    </row>
    <row r="992">
      <c r="A992" s="201"/>
      <c r="B992" s="201"/>
      <c r="C992" s="202" t="b">
        <v>0</v>
      </c>
      <c r="D992" s="201"/>
      <c r="E992" s="201"/>
      <c r="F992" s="202" t="b">
        <v>0</v>
      </c>
      <c r="G992" s="202" t="b">
        <v>0</v>
      </c>
      <c r="H992" s="202" t="b">
        <v>0</v>
      </c>
      <c r="I992" s="202" t="b">
        <v>0</v>
      </c>
      <c r="J992" s="202" t="b">
        <v>0</v>
      </c>
      <c r="K992" s="202" t="b">
        <v>0</v>
      </c>
      <c r="L992" s="202" t="b">
        <v>0</v>
      </c>
      <c r="M992" s="202" t="b">
        <v>0</v>
      </c>
      <c r="N992" s="202" t="b">
        <v>0</v>
      </c>
    </row>
    <row r="993">
      <c r="A993" s="201"/>
      <c r="B993" s="201"/>
      <c r="C993" s="202" t="b">
        <v>0</v>
      </c>
      <c r="D993" s="201"/>
      <c r="E993" s="201"/>
      <c r="F993" s="202" t="b">
        <v>0</v>
      </c>
      <c r="G993" s="202" t="b">
        <v>0</v>
      </c>
      <c r="H993" s="202" t="b">
        <v>0</v>
      </c>
      <c r="I993" s="202" t="b">
        <v>0</v>
      </c>
      <c r="J993" s="202" t="b">
        <v>0</v>
      </c>
      <c r="K993" s="202" t="b">
        <v>0</v>
      </c>
      <c r="L993" s="202" t="b">
        <v>0</v>
      </c>
      <c r="M993" s="202" t="b">
        <v>0</v>
      </c>
      <c r="N993" s="202" t="b">
        <v>0</v>
      </c>
    </row>
    <row r="994">
      <c r="A994" s="201"/>
      <c r="B994" s="201"/>
      <c r="C994" s="202" t="b">
        <v>0</v>
      </c>
      <c r="D994" s="201"/>
      <c r="E994" s="201"/>
      <c r="F994" s="202" t="b">
        <v>0</v>
      </c>
      <c r="G994" s="202" t="b">
        <v>0</v>
      </c>
      <c r="H994" s="202" t="b">
        <v>0</v>
      </c>
      <c r="I994" s="202" t="b">
        <v>0</v>
      </c>
      <c r="J994" s="202" t="b">
        <v>0</v>
      </c>
      <c r="K994" s="202" t="b">
        <v>0</v>
      </c>
      <c r="L994" s="202" t="b">
        <v>0</v>
      </c>
      <c r="M994" s="202" t="b">
        <v>0</v>
      </c>
      <c r="N994" s="202" t="b">
        <v>0</v>
      </c>
    </row>
    <row r="995">
      <c r="A995" s="201"/>
      <c r="B995" s="201"/>
      <c r="C995" s="202" t="b">
        <v>0</v>
      </c>
      <c r="D995" s="201"/>
      <c r="E995" s="201"/>
      <c r="F995" s="202" t="b">
        <v>0</v>
      </c>
      <c r="G995" s="202" t="b">
        <v>0</v>
      </c>
      <c r="H995" s="202" t="b">
        <v>0</v>
      </c>
      <c r="I995" s="202" t="b">
        <v>0</v>
      </c>
      <c r="J995" s="202" t="b">
        <v>0</v>
      </c>
      <c r="K995" s="202" t="b">
        <v>0</v>
      </c>
      <c r="L995" s="202" t="b">
        <v>0</v>
      </c>
      <c r="M995" s="202" t="b">
        <v>0</v>
      </c>
      <c r="N995" s="202" t="b">
        <v>0</v>
      </c>
    </row>
    <row r="996">
      <c r="A996" s="201"/>
      <c r="B996" s="201"/>
      <c r="C996" s="202" t="b">
        <v>0</v>
      </c>
      <c r="D996" s="201"/>
      <c r="E996" s="201"/>
      <c r="F996" s="202" t="b">
        <v>0</v>
      </c>
      <c r="G996" s="202" t="b">
        <v>0</v>
      </c>
      <c r="H996" s="202" t="b">
        <v>0</v>
      </c>
      <c r="I996" s="202" t="b">
        <v>0</v>
      </c>
      <c r="J996" s="202" t="b">
        <v>0</v>
      </c>
      <c r="K996" s="202" t="b">
        <v>0</v>
      </c>
      <c r="L996" s="202" t="b">
        <v>0</v>
      </c>
      <c r="M996" s="202" t="b">
        <v>0</v>
      </c>
      <c r="N996" s="202" t="b">
        <v>0</v>
      </c>
    </row>
    <row r="997">
      <c r="A997" s="201"/>
      <c r="B997" s="201"/>
      <c r="C997" s="202" t="b">
        <v>0</v>
      </c>
      <c r="D997" s="201"/>
      <c r="E997" s="201"/>
      <c r="F997" s="202" t="b">
        <v>0</v>
      </c>
      <c r="G997" s="202" t="b">
        <v>0</v>
      </c>
      <c r="H997" s="202" t="b">
        <v>0</v>
      </c>
      <c r="I997" s="202" t="b">
        <v>0</v>
      </c>
      <c r="J997" s="202" t="b">
        <v>0</v>
      </c>
      <c r="K997" s="202" t="b">
        <v>0</v>
      </c>
      <c r="L997" s="202" t="b">
        <v>0</v>
      </c>
      <c r="M997" s="202" t="b">
        <v>0</v>
      </c>
      <c r="N997" s="202" t="b">
        <v>0</v>
      </c>
    </row>
    <row r="998">
      <c r="A998" s="201"/>
      <c r="B998" s="201"/>
      <c r="C998" s="202" t="b">
        <v>0</v>
      </c>
      <c r="D998" s="201"/>
      <c r="E998" s="201"/>
      <c r="F998" s="202" t="b">
        <v>0</v>
      </c>
      <c r="G998" s="202" t="b">
        <v>0</v>
      </c>
      <c r="H998" s="202" t="b">
        <v>0</v>
      </c>
      <c r="I998" s="202" t="b">
        <v>0</v>
      </c>
      <c r="J998" s="202" t="b">
        <v>0</v>
      </c>
      <c r="K998" s="202" t="b">
        <v>0</v>
      </c>
      <c r="L998" s="202" t="b">
        <v>0</v>
      </c>
      <c r="M998" s="202" t="b">
        <v>0</v>
      </c>
      <c r="N998" s="202" t="b">
        <v>0</v>
      </c>
    </row>
    <row r="999">
      <c r="A999" s="201"/>
      <c r="B999" s="201"/>
      <c r="C999" s="202" t="b">
        <v>0</v>
      </c>
      <c r="D999" s="201"/>
      <c r="E999" s="201"/>
      <c r="F999" s="202" t="b">
        <v>0</v>
      </c>
      <c r="G999" s="202" t="b">
        <v>0</v>
      </c>
      <c r="H999" s="202" t="b">
        <v>0</v>
      </c>
      <c r="I999" s="202" t="b">
        <v>0</v>
      </c>
      <c r="J999" s="202" t="b">
        <v>0</v>
      </c>
      <c r="K999" s="202" t="b">
        <v>0</v>
      </c>
      <c r="L999" s="202" t="b">
        <v>0</v>
      </c>
      <c r="M999" s="202" t="b">
        <v>0</v>
      </c>
      <c r="N999" s="202" t="b">
        <v>0</v>
      </c>
    </row>
    <row r="1000">
      <c r="A1000" s="201"/>
      <c r="B1000" s="201"/>
      <c r="C1000" s="202" t="b">
        <v>0</v>
      </c>
      <c r="D1000" s="201"/>
      <c r="E1000" s="201"/>
      <c r="F1000" s="202" t="b">
        <v>0</v>
      </c>
      <c r="G1000" s="202" t="b">
        <v>0</v>
      </c>
      <c r="H1000" s="202" t="b">
        <v>0</v>
      </c>
      <c r="I1000" s="202" t="b">
        <v>0</v>
      </c>
      <c r="J1000" s="202" t="b">
        <v>0</v>
      </c>
      <c r="K1000" s="202" t="b">
        <v>0</v>
      </c>
      <c r="L1000" s="202" t="b">
        <v>0</v>
      </c>
      <c r="M1000" s="202" t="b">
        <v>0</v>
      </c>
      <c r="N1000" s="202" t="b">
        <v>0</v>
      </c>
    </row>
    <row r="1001">
      <c r="A1001" s="201"/>
      <c r="B1001" s="201"/>
      <c r="C1001" s="202" t="b">
        <v>0</v>
      </c>
      <c r="D1001" s="201"/>
      <c r="E1001" s="201"/>
      <c r="F1001" s="202" t="b">
        <v>0</v>
      </c>
      <c r="G1001" s="202" t="b">
        <v>0</v>
      </c>
      <c r="H1001" s="202" t="b">
        <v>0</v>
      </c>
      <c r="I1001" s="202" t="b">
        <v>0</v>
      </c>
      <c r="J1001" s="202" t="b">
        <v>0</v>
      </c>
      <c r="K1001" s="202" t="b">
        <v>0</v>
      </c>
      <c r="L1001" s="202" t="b">
        <v>0</v>
      </c>
      <c r="M1001" s="202" t="b">
        <v>0</v>
      </c>
      <c r="N1001" s="202" t="b">
        <v>0</v>
      </c>
    </row>
    <row r="1002">
      <c r="A1002" s="201"/>
      <c r="B1002" s="201"/>
      <c r="C1002" s="202" t="b">
        <v>0</v>
      </c>
      <c r="D1002" s="201"/>
      <c r="E1002" s="201"/>
      <c r="F1002" s="202" t="b">
        <v>0</v>
      </c>
      <c r="G1002" s="202" t="b">
        <v>0</v>
      </c>
      <c r="H1002" s="202" t="b">
        <v>0</v>
      </c>
      <c r="I1002" s="202" t="b">
        <v>0</v>
      </c>
      <c r="J1002" s="202" t="b">
        <v>0</v>
      </c>
      <c r="K1002" s="202" t="b">
        <v>0</v>
      </c>
      <c r="L1002" s="202" t="b">
        <v>0</v>
      </c>
      <c r="M1002" s="202" t="b">
        <v>0</v>
      </c>
      <c r="N1002" s="202" t="b">
        <v>0</v>
      </c>
    </row>
    <row r="1003">
      <c r="A1003" s="201"/>
      <c r="B1003" s="201"/>
      <c r="C1003" s="202" t="b">
        <v>0</v>
      </c>
      <c r="D1003" s="201"/>
      <c r="E1003" s="201"/>
      <c r="F1003" s="202" t="b">
        <v>0</v>
      </c>
      <c r="G1003" s="202" t="b">
        <v>0</v>
      </c>
      <c r="H1003" s="202" t="b">
        <v>0</v>
      </c>
      <c r="I1003" s="202" t="b">
        <v>0</v>
      </c>
      <c r="J1003" s="202" t="b">
        <v>0</v>
      </c>
      <c r="K1003" s="202" t="b">
        <v>0</v>
      </c>
      <c r="L1003" s="202" t="b">
        <v>0</v>
      </c>
      <c r="M1003" s="202" t="b">
        <v>0</v>
      </c>
      <c r="N1003" s="202" t="b">
        <v>0</v>
      </c>
    </row>
    <row r="1004">
      <c r="A1004" s="201"/>
      <c r="B1004" s="201"/>
      <c r="C1004" s="202" t="b">
        <v>0</v>
      </c>
      <c r="D1004" s="201"/>
      <c r="E1004" s="201"/>
      <c r="F1004" s="202" t="b">
        <v>0</v>
      </c>
      <c r="G1004" s="202" t="b">
        <v>0</v>
      </c>
      <c r="H1004" s="202" t="b">
        <v>0</v>
      </c>
      <c r="I1004" s="202" t="b">
        <v>0</v>
      </c>
      <c r="J1004" s="202" t="b">
        <v>0</v>
      </c>
      <c r="K1004" s="202" t="b">
        <v>0</v>
      </c>
      <c r="L1004" s="202" t="b">
        <v>0</v>
      </c>
      <c r="M1004" s="202" t="b">
        <v>0</v>
      </c>
      <c r="N1004" s="202" t="b">
        <v>0</v>
      </c>
    </row>
    <row r="1005">
      <c r="A1005" s="201"/>
      <c r="B1005" s="201"/>
      <c r="C1005" s="202" t="b">
        <v>0</v>
      </c>
      <c r="D1005" s="201"/>
      <c r="E1005" s="201"/>
      <c r="F1005" s="202" t="b">
        <v>0</v>
      </c>
      <c r="G1005" s="202" t="b">
        <v>0</v>
      </c>
      <c r="H1005" s="202" t="b">
        <v>0</v>
      </c>
      <c r="I1005" s="202" t="b">
        <v>0</v>
      </c>
      <c r="J1005" s="202" t="b">
        <v>0</v>
      </c>
      <c r="K1005" s="202" t="b">
        <v>0</v>
      </c>
      <c r="L1005" s="202" t="b">
        <v>0</v>
      </c>
      <c r="M1005" s="202" t="b">
        <v>0</v>
      </c>
      <c r="N1005" s="202" t="b">
        <v>0</v>
      </c>
    </row>
    <row r="1006">
      <c r="A1006" s="201"/>
      <c r="B1006" s="201"/>
      <c r="C1006" s="202" t="b">
        <v>0</v>
      </c>
      <c r="D1006" s="201"/>
      <c r="E1006" s="201"/>
      <c r="F1006" s="202" t="b">
        <v>0</v>
      </c>
      <c r="G1006" s="202" t="b">
        <v>0</v>
      </c>
      <c r="H1006" s="202" t="b">
        <v>0</v>
      </c>
      <c r="I1006" s="202" t="b">
        <v>0</v>
      </c>
      <c r="J1006" s="202" t="b">
        <v>0</v>
      </c>
      <c r="K1006" s="202" t="b">
        <v>0</v>
      </c>
      <c r="L1006" s="202" t="b">
        <v>0</v>
      </c>
      <c r="M1006" s="202" t="b">
        <v>0</v>
      </c>
      <c r="N1006" s="202" t="b">
        <v>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4"/>
    <hyperlink r:id="rId10" ref="A15"/>
    <hyperlink r:id="rId11" ref="A16"/>
    <hyperlink r:id="rId12" ref="A31"/>
  </hyperlinks>
  <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13"/>
    <col customWidth="1" min="2" max="2" width="13.13"/>
    <col customWidth="1" min="3" max="3" width="9.38"/>
    <col customWidth="1" min="4" max="4" width="7.75"/>
    <col customWidth="1" min="5" max="5" width="21.5"/>
    <col customWidth="1" min="6" max="6" width="5.25"/>
    <col customWidth="1" min="7" max="7" width="5.75"/>
    <col customWidth="1" min="8" max="8" width="6.13"/>
    <col customWidth="1" min="9" max="9" width="5.75"/>
    <col customWidth="1" min="10" max="10" width="5.25"/>
    <col customWidth="1" min="11" max="11" width="5.5"/>
    <col customWidth="1" min="12" max="13" width="5.13"/>
    <col customWidth="1" min="14" max="14" width="5.75"/>
    <col customWidth="1" min="15" max="15" width="5.88"/>
    <col customWidth="1" min="16" max="16" width="9.75"/>
    <col customWidth="1" min="17" max="17" width="8.88"/>
    <col customWidth="1" min="18" max="18" width="15.0"/>
    <col customWidth="1" min="19" max="19" width="34.13"/>
    <col customWidth="1" min="20" max="20" width="6.88"/>
    <col customWidth="1" min="21" max="21" width="4.88"/>
    <col customWidth="1" min="22" max="22" width="9.0"/>
    <col customWidth="1" min="23" max="23" width="15.88"/>
    <col customWidth="1" min="24" max="24" width="16.5"/>
  </cols>
  <sheetData>
    <row r="1">
      <c r="A1" s="199" t="s">
        <v>2</v>
      </c>
      <c r="B1" s="199" t="s">
        <v>49</v>
      </c>
      <c r="C1" s="199" t="s">
        <v>2541</v>
      </c>
      <c r="D1" s="199" t="s">
        <v>22</v>
      </c>
      <c r="E1" s="199" t="s">
        <v>2542</v>
      </c>
      <c r="F1" s="199" t="s">
        <v>23</v>
      </c>
      <c r="G1" s="199" t="s">
        <v>24</v>
      </c>
      <c r="H1" s="199" t="s">
        <v>25</v>
      </c>
      <c r="I1" s="199" t="s">
        <v>24</v>
      </c>
      <c r="J1" s="199" t="s">
        <v>75</v>
      </c>
      <c r="K1" s="199" t="s">
        <v>2543</v>
      </c>
      <c r="L1" s="199" t="s">
        <v>28</v>
      </c>
      <c r="M1" s="199" t="s">
        <v>29</v>
      </c>
      <c r="N1" s="199" t="s">
        <v>30</v>
      </c>
      <c r="O1" s="199" t="s">
        <v>31</v>
      </c>
      <c r="P1" s="199" t="s">
        <v>2544</v>
      </c>
      <c r="Q1" s="199" t="s">
        <v>2545</v>
      </c>
      <c r="R1" s="199" t="s">
        <v>2546</v>
      </c>
      <c r="S1" s="199" t="s">
        <v>18</v>
      </c>
      <c r="T1" s="199" t="s">
        <v>19</v>
      </c>
      <c r="U1" s="199" t="s">
        <v>14</v>
      </c>
      <c r="V1" s="199" t="s">
        <v>2547</v>
      </c>
      <c r="W1" s="199" t="s">
        <v>34</v>
      </c>
      <c r="X1" s="199" t="s">
        <v>35</v>
      </c>
      <c r="Y1" s="203"/>
      <c r="Z1" s="203"/>
      <c r="AA1" s="203"/>
      <c r="AB1" s="203"/>
      <c r="AC1" s="203"/>
    </row>
    <row r="2">
      <c r="A2" s="199" t="s">
        <v>37</v>
      </c>
      <c r="B2" s="199" t="s">
        <v>38</v>
      </c>
      <c r="C2" s="203"/>
      <c r="D2" s="203"/>
      <c r="E2" s="203"/>
      <c r="F2" s="199">
        <v>51.4</v>
      </c>
      <c r="G2" s="199">
        <v>46.9</v>
      </c>
      <c r="H2" s="199">
        <v>48.4</v>
      </c>
      <c r="I2" s="199">
        <v>46.3</v>
      </c>
      <c r="J2" s="199">
        <v>60.8</v>
      </c>
      <c r="K2" s="199">
        <v>16.8</v>
      </c>
      <c r="L2" s="199">
        <v>13.2</v>
      </c>
      <c r="M2" s="199">
        <v>7.0</v>
      </c>
      <c r="N2" s="199">
        <v>2.7</v>
      </c>
      <c r="O2" s="199">
        <v>0.4</v>
      </c>
      <c r="P2" s="199">
        <v>32.9</v>
      </c>
      <c r="Q2" s="199">
        <v>36.5</v>
      </c>
      <c r="R2" s="199">
        <v>42.9</v>
      </c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</row>
    <row r="3">
      <c r="A3" s="199" t="s">
        <v>42</v>
      </c>
      <c r="B3" s="199" t="s">
        <v>43</v>
      </c>
      <c r="C3" s="199" t="s">
        <v>43</v>
      </c>
      <c r="D3" s="199" t="s">
        <v>45</v>
      </c>
      <c r="E3" s="199" t="s">
        <v>44</v>
      </c>
      <c r="F3" s="199">
        <v>65.6</v>
      </c>
      <c r="G3" s="199">
        <v>33.6</v>
      </c>
      <c r="H3" s="199">
        <v>64.1</v>
      </c>
      <c r="I3" s="199">
        <v>33.5</v>
      </c>
      <c r="J3" s="199">
        <v>38.6</v>
      </c>
      <c r="K3" s="199">
        <v>3.7</v>
      </c>
      <c r="L3" s="199">
        <v>55.3</v>
      </c>
      <c r="M3" s="199">
        <v>1.5</v>
      </c>
      <c r="N3" s="199">
        <v>1.3</v>
      </c>
      <c r="O3" s="199">
        <v>0.1</v>
      </c>
      <c r="P3" s="199">
        <v>22.8</v>
      </c>
      <c r="Q3" s="199">
        <v>32.2</v>
      </c>
      <c r="R3" s="199">
        <v>27.3</v>
      </c>
      <c r="S3" s="199" t="s">
        <v>28</v>
      </c>
      <c r="T3" s="199"/>
      <c r="U3" s="199" t="s">
        <v>48</v>
      </c>
      <c r="V3" s="199" t="s">
        <v>49</v>
      </c>
      <c r="W3" s="199" t="s">
        <v>51</v>
      </c>
      <c r="X3" s="199" t="s">
        <v>52</v>
      </c>
      <c r="Y3" s="203"/>
      <c r="Z3" s="203"/>
      <c r="AA3" s="203"/>
      <c r="AB3" s="203"/>
      <c r="AC3" s="203"/>
    </row>
    <row r="4">
      <c r="A4" s="199" t="s">
        <v>57</v>
      </c>
      <c r="B4" s="199" t="s">
        <v>43</v>
      </c>
      <c r="C4" s="199" t="s">
        <v>43</v>
      </c>
      <c r="D4" s="199" t="s">
        <v>45</v>
      </c>
      <c r="E4" s="199" t="s">
        <v>58</v>
      </c>
      <c r="F4" s="199">
        <v>74.5</v>
      </c>
      <c r="G4" s="199">
        <v>23.9</v>
      </c>
      <c r="H4" s="199">
        <v>71.4</v>
      </c>
      <c r="I4" s="199">
        <v>21.5</v>
      </c>
      <c r="J4" s="199">
        <v>23.8</v>
      </c>
      <c r="K4" s="199">
        <v>58.2</v>
      </c>
      <c r="L4" s="199">
        <v>11.9</v>
      </c>
      <c r="M4" s="199">
        <v>3.8</v>
      </c>
      <c r="N4" s="199">
        <v>5.1</v>
      </c>
      <c r="O4" s="199">
        <v>0.5</v>
      </c>
      <c r="P4" s="199">
        <v>16.1</v>
      </c>
      <c r="Q4" s="199">
        <v>31.5</v>
      </c>
      <c r="R4" s="199">
        <v>20.5</v>
      </c>
      <c r="S4" s="199" t="s">
        <v>66</v>
      </c>
      <c r="T4" s="199"/>
      <c r="U4" s="199" t="s">
        <v>48</v>
      </c>
      <c r="V4" s="199" t="s">
        <v>49</v>
      </c>
      <c r="W4" s="199" t="s">
        <v>64</v>
      </c>
      <c r="X4" s="199" t="s">
        <v>65</v>
      </c>
      <c r="Y4" s="203"/>
      <c r="Z4" s="203"/>
      <c r="AA4" s="203"/>
      <c r="AB4" s="203"/>
      <c r="AC4" s="203"/>
    </row>
    <row r="5">
      <c r="A5" s="199" t="s">
        <v>69</v>
      </c>
      <c r="B5" s="199" t="s">
        <v>43</v>
      </c>
      <c r="C5" s="199" t="s">
        <v>43</v>
      </c>
      <c r="D5" s="199" t="s">
        <v>45</v>
      </c>
      <c r="E5" s="199" t="s">
        <v>70</v>
      </c>
      <c r="F5" s="199">
        <v>54.2</v>
      </c>
      <c r="G5" s="199">
        <v>43.9</v>
      </c>
      <c r="H5" s="199">
        <v>46.5</v>
      </c>
      <c r="I5" s="199">
        <v>44.1</v>
      </c>
      <c r="J5" s="199">
        <v>59.4</v>
      </c>
      <c r="K5" s="199">
        <v>23.1</v>
      </c>
      <c r="L5" s="199">
        <v>6.6</v>
      </c>
      <c r="M5" s="199">
        <v>7.3</v>
      </c>
      <c r="N5" s="199">
        <v>4.3</v>
      </c>
      <c r="O5" s="199">
        <v>0.6</v>
      </c>
      <c r="P5" s="199">
        <v>35.4</v>
      </c>
      <c r="Q5" s="199">
        <v>39.3</v>
      </c>
      <c r="R5" s="199">
        <v>40.7</v>
      </c>
      <c r="S5" s="199" t="s">
        <v>75</v>
      </c>
      <c r="T5" s="199"/>
      <c r="U5" s="199" t="s">
        <v>48</v>
      </c>
      <c r="V5" s="199" t="s">
        <v>49</v>
      </c>
      <c r="W5" s="199" t="s">
        <v>73</v>
      </c>
      <c r="X5" s="199" t="s">
        <v>74</v>
      </c>
      <c r="Y5" s="203"/>
      <c r="Z5" s="203"/>
      <c r="AA5" s="203"/>
      <c r="AB5" s="203"/>
      <c r="AC5" s="203"/>
    </row>
    <row r="6">
      <c r="A6" s="199" t="s">
        <v>78</v>
      </c>
      <c r="B6" s="199" t="s">
        <v>43</v>
      </c>
      <c r="C6" s="199" t="s">
        <v>43</v>
      </c>
      <c r="D6" s="199" t="s">
        <v>45</v>
      </c>
      <c r="E6" s="199" t="s">
        <v>79</v>
      </c>
      <c r="F6" s="199">
        <v>65.6</v>
      </c>
      <c r="G6" s="199">
        <v>32.9</v>
      </c>
      <c r="H6" s="199">
        <v>63.4</v>
      </c>
      <c r="I6" s="199">
        <v>29.8</v>
      </c>
      <c r="J6" s="199">
        <v>32.9</v>
      </c>
      <c r="K6" s="199">
        <v>55.5</v>
      </c>
      <c r="L6" s="199">
        <v>4.9</v>
      </c>
      <c r="M6" s="199">
        <v>3.0</v>
      </c>
      <c r="N6" s="199">
        <v>5.8</v>
      </c>
      <c r="O6" s="199">
        <v>0.4</v>
      </c>
      <c r="P6" s="199">
        <v>19.8</v>
      </c>
      <c r="Q6" s="199">
        <v>31.9</v>
      </c>
      <c r="R6" s="199">
        <v>25.6</v>
      </c>
      <c r="S6" s="199" t="s">
        <v>83</v>
      </c>
      <c r="T6" s="199"/>
      <c r="U6" s="199" t="s">
        <v>48</v>
      </c>
      <c r="V6" s="199" t="s">
        <v>49</v>
      </c>
      <c r="W6" s="199" t="s">
        <v>81</v>
      </c>
      <c r="X6" s="199" t="s">
        <v>82</v>
      </c>
      <c r="Y6" s="203"/>
      <c r="Z6" s="203"/>
      <c r="AA6" s="203"/>
      <c r="AB6" s="203"/>
      <c r="AC6" s="203"/>
    </row>
    <row r="7">
      <c r="A7" s="199" t="s">
        <v>85</v>
      </c>
      <c r="B7" s="199" t="s">
        <v>43</v>
      </c>
      <c r="C7" s="199" t="s">
        <v>43</v>
      </c>
      <c r="D7" s="199" t="s">
        <v>45</v>
      </c>
      <c r="E7" s="199" t="s">
        <v>86</v>
      </c>
      <c r="F7" s="199">
        <v>73.5</v>
      </c>
      <c r="G7" s="199">
        <v>24.0</v>
      </c>
      <c r="H7" s="199">
        <v>68.9</v>
      </c>
      <c r="I7" s="199">
        <v>23.4</v>
      </c>
      <c r="J7" s="199">
        <v>68.4</v>
      </c>
      <c r="K7" s="199">
        <v>17.9</v>
      </c>
      <c r="L7" s="199">
        <v>2.6</v>
      </c>
      <c r="M7" s="199">
        <v>5.9</v>
      </c>
      <c r="N7" s="199">
        <v>5.4</v>
      </c>
      <c r="O7" s="199">
        <v>0.6</v>
      </c>
      <c r="P7" s="199">
        <v>41.7</v>
      </c>
      <c r="Q7" s="199">
        <v>46.8</v>
      </c>
      <c r="R7" s="199">
        <v>41.5</v>
      </c>
      <c r="S7" s="199" t="s">
        <v>75</v>
      </c>
      <c r="T7" s="199"/>
      <c r="U7" s="199" t="s">
        <v>48</v>
      </c>
      <c r="V7" s="199" t="s">
        <v>49</v>
      </c>
      <c r="W7" s="199" t="s">
        <v>88</v>
      </c>
      <c r="X7" s="199" t="s">
        <v>89</v>
      </c>
      <c r="Y7" s="203"/>
      <c r="Z7" s="203"/>
      <c r="AA7" s="203"/>
      <c r="AB7" s="203"/>
      <c r="AC7" s="203"/>
    </row>
    <row r="8">
      <c r="A8" s="199" t="s">
        <v>91</v>
      </c>
      <c r="B8" s="199" t="s">
        <v>43</v>
      </c>
      <c r="C8" s="199" t="s">
        <v>43</v>
      </c>
      <c r="D8" s="199" t="s">
        <v>45</v>
      </c>
      <c r="E8" s="199" t="s">
        <v>92</v>
      </c>
      <c r="F8" s="199">
        <v>67.1</v>
      </c>
      <c r="G8" s="199">
        <v>30.5</v>
      </c>
      <c r="H8" s="199">
        <v>63.7</v>
      </c>
      <c r="I8" s="199">
        <v>29.3</v>
      </c>
      <c r="J8" s="199">
        <v>55.3</v>
      </c>
      <c r="K8" s="199">
        <v>27.5</v>
      </c>
      <c r="L8" s="199">
        <v>4.1</v>
      </c>
      <c r="M8" s="199">
        <v>10.0</v>
      </c>
      <c r="N8" s="199">
        <v>4.0</v>
      </c>
      <c r="O8" s="199">
        <v>0.8</v>
      </c>
      <c r="P8" s="199">
        <v>34.2</v>
      </c>
      <c r="Q8" s="199">
        <v>40.3</v>
      </c>
      <c r="R8" s="199">
        <v>38.9</v>
      </c>
      <c r="S8" s="199" t="s">
        <v>75</v>
      </c>
      <c r="T8" s="199"/>
      <c r="U8" s="199" t="s">
        <v>48</v>
      </c>
      <c r="V8" s="199" t="s">
        <v>49</v>
      </c>
      <c r="W8" s="199" t="s">
        <v>95</v>
      </c>
      <c r="X8" s="199" t="s">
        <v>96</v>
      </c>
      <c r="Y8" s="203"/>
      <c r="Z8" s="203"/>
      <c r="AA8" s="203"/>
      <c r="AB8" s="203"/>
      <c r="AC8" s="203"/>
    </row>
    <row r="9">
      <c r="A9" s="199" t="s">
        <v>98</v>
      </c>
      <c r="B9" s="199" t="s">
        <v>43</v>
      </c>
      <c r="C9" s="199" t="s">
        <v>43</v>
      </c>
      <c r="D9" s="199" t="s">
        <v>45</v>
      </c>
      <c r="E9" s="199" t="s">
        <v>100</v>
      </c>
      <c r="F9" s="199">
        <v>57.9</v>
      </c>
      <c r="G9" s="199">
        <v>39.4</v>
      </c>
      <c r="H9" s="199">
        <v>54.8</v>
      </c>
      <c r="I9" s="199">
        <v>38.0</v>
      </c>
      <c r="J9" s="199">
        <v>51.1</v>
      </c>
      <c r="K9" s="199">
        <v>20.3</v>
      </c>
      <c r="L9" s="199">
        <v>11.1</v>
      </c>
      <c r="M9" s="199">
        <v>14.7</v>
      </c>
      <c r="N9" s="199">
        <v>3.8</v>
      </c>
      <c r="O9" s="199">
        <v>1.5</v>
      </c>
      <c r="P9" s="199">
        <v>28.8</v>
      </c>
      <c r="Q9" s="199">
        <v>30.7</v>
      </c>
      <c r="R9" s="199">
        <v>39.9</v>
      </c>
      <c r="S9" s="199" t="s">
        <v>105</v>
      </c>
      <c r="T9" s="199"/>
      <c r="U9" s="199" t="s">
        <v>48</v>
      </c>
      <c r="V9" s="199" t="s">
        <v>49</v>
      </c>
      <c r="W9" s="199" t="s">
        <v>103</v>
      </c>
      <c r="X9" s="199" t="s">
        <v>104</v>
      </c>
      <c r="Y9" s="203"/>
      <c r="Z9" s="203"/>
      <c r="AA9" s="203"/>
      <c r="AB9" s="203"/>
      <c r="AC9" s="203"/>
    </row>
    <row r="10">
      <c r="A10" s="199" t="s">
        <v>107</v>
      </c>
      <c r="B10" s="199" t="s">
        <v>43</v>
      </c>
      <c r="C10" s="199" t="s">
        <v>43</v>
      </c>
      <c r="D10" s="199" t="s">
        <v>45</v>
      </c>
      <c r="E10" s="199" t="s">
        <v>109</v>
      </c>
      <c r="F10" s="199">
        <v>67.4</v>
      </c>
      <c r="G10" s="199">
        <v>30.3</v>
      </c>
      <c r="H10" s="199">
        <v>66.3</v>
      </c>
      <c r="I10" s="199">
        <v>27.7</v>
      </c>
      <c r="J10" s="199">
        <v>35.0</v>
      </c>
      <c r="K10" s="199">
        <v>24.1</v>
      </c>
      <c r="L10" s="199">
        <v>12.4</v>
      </c>
      <c r="M10" s="199">
        <v>26.0</v>
      </c>
      <c r="N10" s="199">
        <v>3.5</v>
      </c>
      <c r="O10" s="199">
        <v>2.4</v>
      </c>
      <c r="P10" s="199">
        <v>31.7</v>
      </c>
      <c r="Q10" s="199">
        <v>40.5</v>
      </c>
      <c r="R10" s="199">
        <v>24.6</v>
      </c>
      <c r="S10" s="199" t="s">
        <v>113</v>
      </c>
      <c r="T10" s="199"/>
      <c r="U10" s="199" t="s">
        <v>48</v>
      </c>
      <c r="V10" s="199" t="s">
        <v>49</v>
      </c>
      <c r="W10" s="199" t="s">
        <v>110</v>
      </c>
      <c r="X10" s="199" t="s">
        <v>111</v>
      </c>
      <c r="Y10" s="203"/>
      <c r="Z10" s="203"/>
      <c r="AA10" s="203"/>
      <c r="AB10" s="203"/>
      <c r="AC10" s="203"/>
    </row>
    <row r="11">
      <c r="A11" s="199" t="s">
        <v>115</v>
      </c>
      <c r="B11" s="199" t="s">
        <v>43</v>
      </c>
      <c r="C11" s="199" t="s">
        <v>43</v>
      </c>
      <c r="D11" s="199" t="s">
        <v>45</v>
      </c>
      <c r="E11" s="199" t="s">
        <v>116</v>
      </c>
      <c r="F11" s="199">
        <v>76.0</v>
      </c>
      <c r="G11" s="199">
        <v>22.0</v>
      </c>
      <c r="H11" s="199">
        <v>75.3</v>
      </c>
      <c r="I11" s="199">
        <v>19.4</v>
      </c>
      <c r="J11" s="199">
        <v>26.9</v>
      </c>
      <c r="K11" s="199">
        <v>31.5</v>
      </c>
      <c r="L11" s="199">
        <v>17.7</v>
      </c>
      <c r="M11" s="199">
        <v>22.4</v>
      </c>
      <c r="N11" s="199">
        <v>3.6</v>
      </c>
      <c r="O11" s="199">
        <v>1.6</v>
      </c>
      <c r="P11" s="199">
        <v>28.6</v>
      </c>
      <c r="Q11" s="199">
        <v>37.1</v>
      </c>
      <c r="R11" s="199">
        <v>21.5</v>
      </c>
      <c r="S11" s="199" t="s">
        <v>75</v>
      </c>
      <c r="T11" s="199"/>
      <c r="U11" s="199" t="s">
        <v>48</v>
      </c>
      <c r="V11" s="199" t="s">
        <v>49</v>
      </c>
      <c r="W11" s="199" t="s">
        <v>120</v>
      </c>
      <c r="X11" s="199" t="s">
        <v>121</v>
      </c>
      <c r="Y11" s="203"/>
      <c r="Z11" s="203"/>
      <c r="AA11" s="203"/>
      <c r="AB11" s="203"/>
      <c r="AC11" s="203"/>
    </row>
    <row r="12">
      <c r="A12" s="199" t="s">
        <v>125</v>
      </c>
      <c r="B12" s="199" t="s">
        <v>43</v>
      </c>
      <c r="C12" s="199" t="s">
        <v>43</v>
      </c>
      <c r="D12" s="199" t="s">
        <v>45</v>
      </c>
      <c r="E12" s="199" t="s">
        <v>126</v>
      </c>
      <c r="F12" s="199">
        <v>68.6</v>
      </c>
      <c r="G12" s="199">
        <v>29.3</v>
      </c>
      <c r="H12" s="199">
        <v>65.1</v>
      </c>
      <c r="I12" s="199">
        <v>28.9</v>
      </c>
      <c r="J12" s="199">
        <v>51.3</v>
      </c>
      <c r="K12" s="199">
        <v>16.7</v>
      </c>
      <c r="L12" s="199">
        <v>5.8</v>
      </c>
      <c r="M12" s="199">
        <v>24.5</v>
      </c>
      <c r="N12" s="199">
        <v>2.3</v>
      </c>
      <c r="O12" s="199">
        <v>0.9</v>
      </c>
      <c r="P12" s="199">
        <v>53.8</v>
      </c>
      <c r="Q12" s="199">
        <v>55.6</v>
      </c>
      <c r="R12" s="199">
        <v>26.9</v>
      </c>
      <c r="S12" s="199" t="s">
        <v>75</v>
      </c>
      <c r="T12" s="199"/>
      <c r="U12" s="199" t="s">
        <v>48</v>
      </c>
      <c r="V12" s="199" t="s">
        <v>49</v>
      </c>
      <c r="W12" s="199" t="s">
        <v>127</v>
      </c>
      <c r="X12" s="199" t="s">
        <v>129</v>
      </c>
      <c r="Y12" s="203"/>
      <c r="Z12" s="203"/>
      <c r="AA12" s="203"/>
      <c r="AB12" s="203"/>
      <c r="AC12" s="203"/>
    </row>
    <row r="13">
      <c r="A13" s="199" t="s">
        <v>132</v>
      </c>
      <c r="B13" s="199" t="s">
        <v>43</v>
      </c>
      <c r="C13" s="199" t="s">
        <v>43</v>
      </c>
      <c r="D13" s="199" t="s">
        <v>45</v>
      </c>
      <c r="E13" s="199" t="s">
        <v>133</v>
      </c>
      <c r="F13" s="199">
        <v>86.3</v>
      </c>
      <c r="G13" s="199">
        <v>11.7</v>
      </c>
      <c r="H13" s="199">
        <v>86.0</v>
      </c>
      <c r="I13" s="199">
        <v>8.9</v>
      </c>
      <c r="J13" s="199">
        <v>44.6</v>
      </c>
      <c r="K13" s="199">
        <v>13.2</v>
      </c>
      <c r="L13" s="199">
        <v>6.6</v>
      </c>
      <c r="M13" s="199">
        <v>34.2</v>
      </c>
      <c r="N13" s="199">
        <v>1.9</v>
      </c>
      <c r="O13" s="199">
        <v>0.7</v>
      </c>
      <c r="P13" s="199">
        <v>63.4</v>
      </c>
      <c r="Q13" s="199">
        <v>78.3</v>
      </c>
      <c r="R13" s="199">
        <v>10.8</v>
      </c>
      <c r="S13" s="199" t="s">
        <v>75</v>
      </c>
      <c r="T13" s="199"/>
      <c r="U13" s="199" t="s">
        <v>48</v>
      </c>
      <c r="V13" s="199" t="s">
        <v>49</v>
      </c>
      <c r="W13" s="199" t="s">
        <v>136</v>
      </c>
      <c r="X13" s="199" t="s">
        <v>137</v>
      </c>
      <c r="Y13" s="203"/>
      <c r="Z13" s="203"/>
      <c r="AA13" s="203"/>
      <c r="AB13" s="203"/>
      <c r="AC13" s="203"/>
    </row>
    <row r="14">
      <c r="A14" s="199" t="s">
        <v>140</v>
      </c>
      <c r="B14" s="199" t="s">
        <v>43</v>
      </c>
      <c r="C14" s="199" t="s">
        <v>43</v>
      </c>
      <c r="D14" s="199" t="s">
        <v>45</v>
      </c>
      <c r="E14" s="199" t="s">
        <v>141</v>
      </c>
      <c r="F14" s="199">
        <v>89.3</v>
      </c>
      <c r="G14" s="199">
        <v>8.6</v>
      </c>
      <c r="H14" s="199">
        <v>87.6</v>
      </c>
      <c r="I14" s="199">
        <v>6.5</v>
      </c>
      <c r="J14" s="199">
        <v>35.2</v>
      </c>
      <c r="K14" s="199">
        <v>21.2</v>
      </c>
      <c r="L14" s="199">
        <v>18.0</v>
      </c>
      <c r="M14" s="199">
        <v>24.6</v>
      </c>
      <c r="N14" s="199">
        <v>3.1</v>
      </c>
      <c r="O14" s="199">
        <v>0.9</v>
      </c>
      <c r="P14" s="199">
        <v>51.8</v>
      </c>
      <c r="Q14" s="199">
        <v>73.7</v>
      </c>
      <c r="R14" s="199">
        <v>11.0</v>
      </c>
      <c r="S14" s="199" t="s">
        <v>28</v>
      </c>
      <c r="T14" s="199"/>
      <c r="U14" s="199" t="s">
        <v>48</v>
      </c>
      <c r="V14" s="199" t="s">
        <v>49</v>
      </c>
      <c r="W14" s="199" t="s">
        <v>143</v>
      </c>
      <c r="X14" s="199" t="s">
        <v>144</v>
      </c>
      <c r="Y14" s="203"/>
      <c r="Z14" s="203"/>
      <c r="AA14" s="203"/>
      <c r="AB14" s="203"/>
      <c r="AC14" s="203"/>
    </row>
    <row r="15">
      <c r="A15" s="199" t="s">
        <v>149</v>
      </c>
      <c r="B15" s="199" t="s">
        <v>43</v>
      </c>
      <c r="C15" s="199" t="s">
        <v>43</v>
      </c>
      <c r="D15" s="199" t="s">
        <v>45</v>
      </c>
      <c r="E15" s="199" t="s">
        <v>150</v>
      </c>
      <c r="F15" s="199">
        <v>71.7</v>
      </c>
      <c r="G15" s="199">
        <v>26.2</v>
      </c>
      <c r="H15" s="199">
        <v>70.6</v>
      </c>
      <c r="I15" s="199">
        <v>23.5</v>
      </c>
      <c r="J15" s="199">
        <v>28.2</v>
      </c>
      <c r="K15" s="199">
        <v>22.8</v>
      </c>
      <c r="L15" s="199">
        <v>6.6</v>
      </c>
      <c r="M15" s="199">
        <v>40.8</v>
      </c>
      <c r="N15" s="199">
        <v>2.6</v>
      </c>
      <c r="O15" s="199">
        <v>1.9</v>
      </c>
      <c r="P15" s="199">
        <v>44.0</v>
      </c>
      <c r="Q15" s="199">
        <v>44.5</v>
      </c>
      <c r="R15" s="199">
        <v>20.8</v>
      </c>
      <c r="S15" s="199" t="s">
        <v>75</v>
      </c>
      <c r="T15" s="199"/>
      <c r="U15" s="199" t="s">
        <v>48</v>
      </c>
      <c r="V15" s="199" t="s">
        <v>49</v>
      </c>
      <c r="W15" s="199" t="s">
        <v>151</v>
      </c>
      <c r="X15" s="199" t="s">
        <v>153</v>
      </c>
      <c r="Y15" s="203"/>
      <c r="Z15" s="203"/>
      <c r="AA15" s="203"/>
      <c r="AB15" s="203"/>
      <c r="AC15" s="203"/>
    </row>
    <row r="16">
      <c r="A16" s="199" t="s">
        <v>157</v>
      </c>
      <c r="B16" s="199" t="s">
        <v>43</v>
      </c>
      <c r="C16" s="199" t="s">
        <v>43</v>
      </c>
      <c r="D16" s="199" t="s">
        <v>45</v>
      </c>
      <c r="E16" s="199" t="s">
        <v>158</v>
      </c>
      <c r="F16" s="199">
        <v>77.7</v>
      </c>
      <c r="G16" s="199">
        <v>20.4</v>
      </c>
      <c r="H16" s="199">
        <v>77.3</v>
      </c>
      <c r="I16" s="199">
        <v>17.9</v>
      </c>
      <c r="J16" s="199">
        <v>30.2</v>
      </c>
      <c r="K16" s="199">
        <v>24.6</v>
      </c>
      <c r="L16" s="199">
        <v>3.7</v>
      </c>
      <c r="M16" s="199">
        <v>39.6</v>
      </c>
      <c r="N16" s="199">
        <v>2.2</v>
      </c>
      <c r="O16" s="199">
        <v>1.8</v>
      </c>
      <c r="P16" s="199">
        <v>46.7</v>
      </c>
      <c r="Q16" s="199">
        <v>59.3</v>
      </c>
      <c r="R16" s="199">
        <v>14.9</v>
      </c>
      <c r="S16" s="199" t="s">
        <v>75</v>
      </c>
      <c r="T16" s="199"/>
      <c r="U16" s="199" t="s">
        <v>48</v>
      </c>
      <c r="V16" s="199" t="s">
        <v>159</v>
      </c>
      <c r="W16" s="199" t="s">
        <v>160</v>
      </c>
      <c r="X16" s="199" t="s">
        <v>162</v>
      </c>
      <c r="Y16" s="203"/>
      <c r="Z16" s="203"/>
      <c r="AA16" s="203"/>
      <c r="AB16" s="203"/>
      <c r="AC16" s="203"/>
    </row>
    <row r="17">
      <c r="A17" s="199" t="s">
        <v>164</v>
      </c>
      <c r="B17" s="199" t="s">
        <v>43</v>
      </c>
      <c r="C17" s="199" t="s">
        <v>43</v>
      </c>
      <c r="D17" s="199" t="s">
        <v>45</v>
      </c>
      <c r="E17" s="199" t="s">
        <v>165</v>
      </c>
      <c r="F17" s="199">
        <v>75.4</v>
      </c>
      <c r="G17" s="199">
        <v>22.4</v>
      </c>
      <c r="H17" s="199">
        <v>74.4</v>
      </c>
      <c r="I17" s="199">
        <v>19.6</v>
      </c>
      <c r="J17" s="199">
        <v>46.3</v>
      </c>
      <c r="K17" s="199">
        <v>17.4</v>
      </c>
      <c r="L17" s="199">
        <v>2.8</v>
      </c>
      <c r="M17" s="199">
        <v>32.1</v>
      </c>
      <c r="N17" s="199">
        <v>2.0</v>
      </c>
      <c r="O17" s="199">
        <v>0.7</v>
      </c>
      <c r="P17" s="199">
        <v>60.1</v>
      </c>
      <c r="Q17" s="199">
        <v>68.1</v>
      </c>
      <c r="R17" s="199">
        <v>17.7</v>
      </c>
      <c r="S17" s="199" t="s">
        <v>171</v>
      </c>
      <c r="T17" s="199"/>
      <c r="U17" s="199" t="s">
        <v>48</v>
      </c>
      <c r="V17" s="199" t="s">
        <v>49</v>
      </c>
      <c r="W17" s="199" t="s">
        <v>168</v>
      </c>
      <c r="X17" s="199" t="s">
        <v>169</v>
      </c>
      <c r="Y17" s="203"/>
      <c r="Z17" s="203"/>
      <c r="AA17" s="203"/>
      <c r="AB17" s="203"/>
      <c r="AC17" s="203"/>
    </row>
    <row r="18">
      <c r="A18" s="199" t="s">
        <v>173</v>
      </c>
      <c r="B18" s="199" t="s">
        <v>43</v>
      </c>
      <c r="C18" s="199" t="s">
        <v>43</v>
      </c>
      <c r="D18" s="199" t="s">
        <v>45</v>
      </c>
      <c r="E18" s="199" t="s">
        <v>174</v>
      </c>
      <c r="F18" s="199">
        <v>72.7</v>
      </c>
      <c r="G18" s="199">
        <v>25.3</v>
      </c>
      <c r="H18" s="199">
        <v>74.1</v>
      </c>
      <c r="I18" s="199">
        <v>20.2</v>
      </c>
      <c r="J18" s="199">
        <v>22.8</v>
      </c>
      <c r="K18" s="199">
        <v>15.1</v>
      </c>
      <c r="L18" s="199">
        <v>2.7</v>
      </c>
      <c r="M18" s="199">
        <v>58.5</v>
      </c>
      <c r="N18" s="199">
        <v>1.6</v>
      </c>
      <c r="O18" s="199">
        <v>0.8</v>
      </c>
      <c r="P18" s="199">
        <v>59.8</v>
      </c>
      <c r="Q18" s="199">
        <v>56.5</v>
      </c>
      <c r="R18" s="199">
        <v>14.1</v>
      </c>
      <c r="S18" s="199" t="s">
        <v>105</v>
      </c>
      <c r="T18" s="199"/>
      <c r="U18" s="199" t="s">
        <v>48</v>
      </c>
      <c r="V18" s="199" t="s">
        <v>49</v>
      </c>
      <c r="W18" s="199" t="s">
        <v>176</v>
      </c>
      <c r="X18" s="199" t="s">
        <v>178</v>
      </c>
      <c r="Y18" s="203"/>
      <c r="Z18" s="203"/>
      <c r="AA18" s="203"/>
      <c r="AB18" s="203"/>
      <c r="AC18" s="203"/>
    </row>
    <row r="19">
      <c r="A19" s="199" t="s">
        <v>181</v>
      </c>
      <c r="B19" s="199" t="s">
        <v>43</v>
      </c>
      <c r="C19" s="199" t="s">
        <v>43</v>
      </c>
      <c r="D19" s="199" t="s">
        <v>45</v>
      </c>
      <c r="E19" s="199" t="s">
        <v>182</v>
      </c>
      <c r="F19" s="199">
        <v>71.0</v>
      </c>
      <c r="G19" s="199">
        <v>26.9</v>
      </c>
      <c r="H19" s="199">
        <v>71.5</v>
      </c>
      <c r="I19" s="199">
        <v>22.7</v>
      </c>
      <c r="J19" s="199">
        <v>21.3</v>
      </c>
      <c r="K19" s="199">
        <v>60.8</v>
      </c>
      <c r="L19" s="199">
        <v>3.0</v>
      </c>
      <c r="M19" s="199">
        <v>14.3</v>
      </c>
      <c r="N19" s="199">
        <v>4.9</v>
      </c>
      <c r="O19" s="199">
        <v>0.7</v>
      </c>
      <c r="P19" s="199">
        <v>23.1</v>
      </c>
      <c r="Q19" s="199">
        <v>39.5</v>
      </c>
      <c r="R19" s="199">
        <v>18.3</v>
      </c>
      <c r="S19" s="199" t="s">
        <v>75</v>
      </c>
      <c r="T19" s="199"/>
      <c r="U19" s="199" t="s">
        <v>48</v>
      </c>
      <c r="V19" s="199" t="s">
        <v>49</v>
      </c>
      <c r="W19" s="199" t="s">
        <v>183</v>
      </c>
      <c r="X19" s="199" t="s">
        <v>184</v>
      </c>
      <c r="Y19" s="203"/>
      <c r="Z19" s="203"/>
      <c r="AA19" s="203"/>
      <c r="AB19" s="203"/>
      <c r="AC19" s="203"/>
    </row>
    <row r="20">
      <c r="A20" s="199" t="s">
        <v>187</v>
      </c>
      <c r="B20" s="199" t="s">
        <v>43</v>
      </c>
      <c r="C20" s="199" t="s">
        <v>43</v>
      </c>
      <c r="D20" s="199" t="s">
        <v>45</v>
      </c>
      <c r="E20" s="199" t="s">
        <v>188</v>
      </c>
      <c r="F20" s="199">
        <v>68.7</v>
      </c>
      <c r="G20" s="199">
        <v>29.1</v>
      </c>
      <c r="H20" s="199">
        <v>66.4</v>
      </c>
      <c r="I20" s="199">
        <v>27.0</v>
      </c>
      <c r="J20" s="199">
        <v>51.7</v>
      </c>
      <c r="K20" s="199">
        <v>22.0</v>
      </c>
      <c r="L20" s="199">
        <v>3.2</v>
      </c>
      <c r="M20" s="199">
        <v>20.9</v>
      </c>
      <c r="N20" s="199">
        <v>3.1</v>
      </c>
      <c r="O20" s="199">
        <v>0.8</v>
      </c>
      <c r="P20" s="199">
        <v>45.2</v>
      </c>
      <c r="Q20" s="199">
        <v>50.0</v>
      </c>
      <c r="R20" s="199">
        <v>30.0</v>
      </c>
      <c r="S20" s="199" t="s">
        <v>75</v>
      </c>
      <c r="T20" s="199"/>
      <c r="U20" s="199" t="s">
        <v>48</v>
      </c>
      <c r="V20" s="199" t="s">
        <v>49</v>
      </c>
      <c r="W20" s="199" t="s">
        <v>191</v>
      </c>
      <c r="X20" s="199" t="s">
        <v>192</v>
      </c>
      <c r="Y20" s="203"/>
      <c r="Z20" s="203"/>
      <c r="AA20" s="203"/>
      <c r="AB20" s="203"/>
      <c r="AC20" s="203"/>
    </row>
    <row r="21">
      <c r="A21" s="199" t="s">
        <v>195</v>
      </c>
      <c r="B21" s="199" t="s">
        <v>43</v>
      </c>
      <c r="C21" s="199" t="s">
        <v>43</v>
      </c>
      <c r="D21" s="199" t="s">
        <v>45</v>
      </c>
      <c r="E21" s="199" t="s">
        <v>196</v>
      </c>
      <c r="F21" s="199">
        <v>63.3</v>
      </c>
      <c r="G21" s="199">
        <v>34.3</v>
      </c>
      <c r="H21" s="199">
        <v>59.1</v>
      </c>
      <c r="I21" s="199">
        <v>34.0</v>
      </c>
      <c r="J21" s="199">
        <v>54.2</v>
      </c>
      <c r="K21" s="199">
        <v>33.9</v>
      </c>
      <c r="L21" s="199">
        <v>2.6</v>
      </c>
      <c r="M21" s="199">
        <v>7.3</v>
      </c>
      <c r="N21" s="199">
        <v>3.8</v>
      </c>
      <c r="O21" s="199">
        <v>0.5</v>
      </c>
      <c r="P21" s="199">
        <v>36.8</v>
      </c>
      <c r="Q21" s="199">
        <v>47.7</v>
      </c>
      <c r="R21" s="199">
        <v>33.6</v>
      </c>
      <c r="S21" s="199" t="s">
        <v>83</v>
      </c>
      <c r="T21" s="199"/>
      <c r="U21" s="199" t="s">
        <v>48</v>
      </c>
      <c r="V21" s="199" t="s">
        <v>49</v>
      </c>
      <c r="W21" s="199" t="s">
        <v>200</v>
      </c>
      <c r="X21" s="199" t="s">
        <v>201</v>
      </c>
      <c r="Y21" s="203"/>
      <c r="Z21" s="203"/>
      <c r="AA21" s="203"/>
      <c r="AB21" s="203"/>
      <c r="AC21" s="203"/>
    </row>
    <row r="22">
      <c r="A22" s="199" t="s">
        <v>203</v>
      </c>
      <c r="B22" s="199" t="s">
        <v>43</v>
      </c>
      <c r="C22" s="199" t="s">
        <v>43</v>
      </c>
      <c r="D22" s="199" t="s">
        <v>45</v>
      </c>
      <c r="E22" s="199" t="s">
        <v>204</v>
      </c>
      <c r="F22" s="199">
        <v>56.7</v>
      </c>
      <c r="G22" s="199">
        <v>41.4</v>
      </c>
      <c r="H22" s="199">
        <v>56.3</v>
      </c>
      <c r="I22" s="199">
        <v>38.9</v>
      </c>
      <c r="J22" s="199">
        <v>28.4</v>
      </c>
      <c r="K22" s="199">
        <v>60.4</v>
      </c>
      <c r="L22" s="199">
        <v>5.6</v>
      </c>
      <c r="M22" s="199">
        <v>4.2</v>
      </c>
      <c r="N22" s="199">
        <v>4.3</v>
      </c>
      <c r="O22" s="199">
        <v>0.4</v>
      </c>
      <c r="P22" s="199">
        <v>15.9</v>
      </c>
      <c r="Q22" s="199">
        <v>24.1</v>
      </c>
      <c r="R22" s="199">
        <v>26.9</v>
      </c>
      <c r="S22" s="199" t="s">
        <v>83</v>
      </c>
      <c r="T22" s="199"/>
      <c r="U22" s="199" t="s">
        <v>48</v>
      </c>
      <c r="V22" s="199" t="s">
        <v>49</v>
      </c>
      <c r="W22" s="199" t="s">
        <v>207</v>
      </c>
      <c r="X22" s="199" t="s">
        <v>208</v>
      </c>
      <c r="Y22" s="203"/>
      <c r="Z22" s="203"/>
      <c r="AA22" s="203"/>
      <c r="AB22" s="203"/>
      <c r="AC22" s="203"/>
    </row>
    <row r="23">
      <c r="A23" s="199" t="s">
        <v>212</v>
      </c>
      <c r="B23" s="199" t="s">
        <v>43</v>
      </c>
      <c r="C23" s="199" t="s">
        <v>43</v>
      </c>
      <c r="D23" s="199" t="s">
        <v>45</v>
      </c>
      <c r="E23" s="199" t="s">
        <v>213</v>
      </c>
      <c r="F23" s="199">
        <v>58.9</v>
      </c>
      <c r="G23" s="199">
        <v>39.0</v>
      </c>
      <c r="H23" s="199">
        <v>55.7</v>
      </c>
      <c r="I23" s="199">
        <v>38.4</v>
      </c>
      <c r="J23" s="199">
        <v>46.2</v>
      </c>
      <c r="K23" s="199">
        <v>39.1</v>
      </c>
      <c r="L23" s="199">
        <v>2.7</v>
      </c>
      <c r="M23" s="199">
        <v>10.6</v>
      </c>
      <c r="N23" s="199">
        <v>3.4</v>
      </c>
      <c r="O23" s="199">
        <v>0.5</v>
      </c>
      <c r="P23" s="199">
        <v>35.4</v>
      </c>
      <c r="Q23" s="199">
        <v>46.3</v>
      </c>
      <c r="R23" s="199">
        <v>29.6</v>
      </c>
      <c r="S23" s="199" t="s">
        <v>75</v>
      </c>
      <c r="T23" s="199"/>
      <c r="U23" s="199" t="s">
        <v>48</v>
      </c>
      <c r="V23" s="199" t="s">
        <v>49</v>
      </c>
      <c r="W23" s="199" t="s">
        <v>215</v>
      </c>
      <c r="X23" s="199" t="s">
        <v>216</v>
      </c>
      <c r="Y23" s="203"/>
      <c r="Z23" s="203"/>
      <c r="AA23" s="203"/>
      <c r="AB23" s="203"/>
      <c r="AC23" s="203"/>
    </row>
    <row r="24">
      <c r="A24" s="199" t="s">
        <v>219</v>
      </c>
      <c r="B24" s="199" t="s">
        <v>43</v>
      </c>
      <c r="C24" s="199" t="s">
        <v>43</v>
      </c>
      <c r="D24" s="199" t="s">
        <v>45</v>
      </c>
      <c r="E24" s="199" t="s">
        <v>220</v>
      </c>
      <c r="F24" s="199">
        <v>66.1</v>
      </c>
      <c r="G24" s="199">
        <v>31.9</v>
      </c>
      <c r="H24" s="199">
        <v>64.4</v>
      </c>
      <c r="I24" s="199">
        <v>29.9</v>
      </c>
      <c r="J24" s="199">
        <v>28.9</v>
      </c>
      <c r="K24" s="199">
        <v>24.7</v>
      </c>
      <c r="L24" s="199">
        <v>4.8</v>
      </c>
      <c r="M24" s="199">
        <v>41.4</v>
      </c>
      <c r="N24" s="199">
        <v>2.3</v>
      </c>
      <c r="O24" s="199">
        <v>0.4</v>
      </c>
      <c r="P24" s="199">
        <v>45.4</v>
      </c>
      <c r="Q24" s="199">
        <v>56.0</v>
      </c>
      <c r="R24" s="199">
        <v>15.0</v>
      </c>
      <c r="S24" s="199" t="s">
        <v>225</v>
      </c>
      <c r="T24" s="199"/>
      <c r="U24" s="199" t="s">
        <v>48</v>
      </c>
      <c r="V24" s="199" t="s">
        <v>49</v>
      </c>
      <c r="W24" s="199" t="s">
        <v>223</v>
      </c>
      <c r="X24" s="199" t="s">
        <v>224</v>
      </c>
      <c r="Y24" s="203"/>
      <c r="Z24" s="203"/>
      <c r="AA24" s="203"/>
      <c r="AB24" s="203"/>
      <c r="AC24" s="203"/>
    </row>
    <row r="25">
      <c r="A25" s="199" t="s">
        <v>227</v>
      </c>
      <c r="B25" s="199" t="s">
        <v>43</v>
      </c>
      <c r="C25" s="199" t="s">
        <v>43</v>
      </c>
      <c r="D25" s="199" t="s">
        <v>45</v>
      </c>
      <c r="E25" s="199" t="s">
        <v>228</v>
      </c>
      <c r="F25" s="199">
        <v>74.5</v>
      </c>
      <c r="G25" s="199">
        <v>23.2</v>
      </c>
      <c r="H25" s="199">
        <v>77.9</v>
      </c>
      <c r="I25" s="199">
        <v>16.6</v>
      </c>
      <c r="J25" s="199">
        <v>23.6</v>
      </c>
      <c r="K25" s="199">
        <v>61.1</v>
      </c>
      <c r="L25" s="199">
        <v>5.2</v>
      </c>
      <c r="M25" s="199">
        <v>9.8</v>
      </c>
      <c r="N25" s="199">
        <v>3.7</v>
      </c>
      <c r="O25" s="199">
        <v>0.3</v>
      </c>
      <c r="P25" s="199">
        <v>23.2</v>
      </c>
      <c r="Q25" s="199">
        <v>41.1</v>
      </c>
      <c r="R25" s="199">
        <v>17.2</v>
      </c>
      <c r="S25" s="199" t="s">
        <v>83</v>
      </c>
      <c r="T25" s="199"/>
      <c r="U25" s="199" t="s">
        <v>48</v>
      </c>
      <c r="V25" s="199" t="s">
        <v>49</v>
      </c>
      <c r="W25" s="199" t="s">
        <v>232</v>
      </c>
      <c r="X25" s="199" t="s">
        <v>233</v>
      </c>
      <c r="Y25" s="203"/>
      <c r="Z25" s="203"/>
      <c r="AA25" s="203"/>
      <c r="AB25" s="203"/>
      <c r="AC25" s="203"/>
    </row>
    <row r="26">
      <c r="A26" s="199" t="s">
        <v>236</v>
      </c>
      <c r="B26" s="199" t="s">
        <v>43</v>
      </c>
      <c r="C26" s="199" t="s">
        <v>43</v>
      </c>
      <c r="D26" s="199" t="s">
        <v>45</v>
      </c>
      <c r="E26" s="199" t="s">
        <v>237</v>
      </c>
      <c r="F26" s="199">
        <v>72.2</v>
      </c>
      <c r="G26" s="199">
        <v>26.0</v>
      </c>
      <c r="H26" s="199">
        <v>73.8</v>
      </c>
      <c r="I26" s="199">
        <v>20.8</v>
      </c>
      <c r="J26" s="199">
        <v>57.1</v>
      </c>
      <c r="K26" s="199">
        <v>21.9</v>
      </c>
      <c r="L26" s="199">
        <v>4.9</v>
      </c>
      <c r="M26" s="199">
        <v>15.1</v>
      </c>
      <c r="N26" s="199">
        <v>2.1</v>
      </c>
      <c r="O26" s="199">
        <v>0.3</v>
      </c>
      <c r="P26" s="199">
        <v>48.1</v>
      </c>
      <c r="Q26" s="199">
        <v>52.9</v>
      </c>
      <c r="R26" s="199">
        <v>28.7</v>
      </c>
      <c r="S26" s="199" t="s">
        <v>75</v>
      </c>
      <c r="T26" s="199"/>
      <c r="U26" s="199" t="s">
        <v>48</v>
      </c>
      <c r="V26" s="199" t="s">
        <v>49</v>
      </c>
      <c r="W26" s="199" t="s">
        <v>240</v>
      </c>
      <c r="X26" s="199" t="s">
        <v>241</v>
      </c>
      <c r="Y26" s="203"/>
      <c r="Z26" s="203"/>
      <c r="AA26" s="203"/>
      <c r="AB26" s="203"/>
      <c r="AC26" s="203"/>
    </row>
    <row r="27">
      <c r="A27" s="199" t="s">
        <v>244</v>
      </c>
      <c r="B27" s="199" t="s">
        <v>43</v>
      </c>
      <c r="C27" s="199" t="s">
        <v>43</v>
      </c>
      <c r="D27" s="199" t="s">
        <v>45</v>
      </c>
      <c r="E27" s="199" t="s">
        <v>246</v>
      </c>
      <c r="F27" s="199">
        <v>64.5</v>
      </c>
      <c r="G27" s="199">
        <v>33.4</v>
      </c>
      <c r="H27" s="199">
        <v>65.7</v>
      </c>
      <c r="I27" s="199">
        <v>28.5</v>
      </c>
      <c r="J27" s="199">
        <v>16.7</v>
      </c>
      <c r="K27" s="199">
        <v>57.4</v>
      </c>
      <c r="L27" s="199">
        <v>3.3</v>
      </c>
      <c r="M27" s="199">
        <v>22.5</v>
      </c>
      <c r="N27" s="199">
        <v>3.7</v>
      </c>
      <c r="O27" s="199">
        <v>0.4</v>
      </c>
      <c r="P27" s="199">
        <v>23.6</v>
      </c>
      <c r="Q27" s="199">
        <v>33.9</v>
      </c>
      <c r="R27" s="199">
        <v>13.6</v>
      </c>
      <c r="S27" s="199" t="s">
        <v>83</v>
      </c>
      <c r="T27" s="199"/>
      <c r="U27" s="199" t="s">
        <v>48</v>
      </c>
      <c r="V27" s="199" t="s">
        <v>49</v>
      </c>
      <c r="W27" s="199" t="s">
        <v>248</v>
      </c>
      <c r="X27" s="199" t="s">
        <v>249</v>
      </c>
      <c r="Y27" s="203"/>
      <c r="Z27" s="203"/>
      <c r="AA27" s="203"/>
      <c r="AB27" s="203"/>
      <c r="AC27" s="203"/>
    </row>
    <row r="28">
      <c r="A28" s="199" t="s">
        <v>253</v>
      </c>
      <c r="B28" s="199" t="s">
        <v>43</v>
      </c>
      <c r="C28" s="199" t="s">
        <v>43</v>
      </c>
      <c r="D28" s="199" t="s">
        <v>45</v>
      </c>
      <c r="E28" s="199" t="s">
        <v>254</v>
      </c>
      <c r="F28" s="199">
        <v>69.5</v>
      </c>
      <c r="G28" s="199">
        <v>28.7</v>
      </c>
      <c r="H28" s="199">
        <v>70.0</v>
      </c>
      <c r="I28" s="199">
        <v>24.9</v>
      </c>
      <c r="J28" s="199">
        <v>54.8</v>
      </c>
      <c r="K28" s="199">
        <v>23.5</v>
      </c>
      <c r="L28" s="199">
        <v>5.6</v>
      </c>
      <c r="M28" s="199">
        <v>15.1</v>
      </c>
      <c r="N28" s="199">
        <v>2.0</v>
      </c>
      <c r="O28" s="199">
        <v>0.4</v>
      </c>
      <c r="P28" s="199">
        <v>50.0</v>
      </c>
      <c r="Q28" s="199">
        <v>58.4</v>
      </c>
      <c r="R28" s="199">
        <v>25.4</v>
      </c>
      <c r="S28" s="199" t="s">
        <v>75</v>
      </c>
      <c r="T28" s="199"/>
      <c r="U28" s="199" t="s">
        <v>48</v>
      </c>
      <c r="V28" s="199" t="s">
        <v>49</v>
      </c>
      <c r="W28" s="199" t="s">
        <v>258</v>
      </c>
      <c r="X28" s="199" t="s">
        <v>259</v>
      </c>
      <c r="Y28" s="203"/>
      <c r="Z28" s="203"/>
      <c r="AA28" s="203"/>
      <c r="AB28" s="203"/>
      <c r="AC28" s="203"/>
    </row>
    <row r="29">
      <c r="A29" s="199" t="s">
        <v>262</v>
      </c>
      <c r="B29" s="199" t="s">
        <v>43</v>
      </c>
      <c r="C29" s="199" t="s">
        <v>43</v>
      </c>
      <c r="D29" s="199" t="s">
        <v>45</v>
      </c>
      <c r="E29" s="199" t="s">
        <v>263</v>
      </c>
      <c r="F29" s="199">
        <v>61.5</v>
      </c>
      <c r="G29" s="199">
        <v>36.2</v>
      </c>
      <c r="H29" s="199">
        <v>62.2</v>
      </c>
      <c r="I29" s="199">
        <v>32.3</v>
      </c>
      <c r="J29" s="199">
        <v>20.1</v>
      </c>
      <c r="K29" s="199">
        <v>58.7</v>
      </c>
      <c r="L29" s="199">
        <v>11.9</v>
      </c>
      <c r="M29" s="199">
        <v>8.9</v>
      </c>
      <c r="N29" s="199">
        <v>3.9</v>
      </c>
      <c r="O29" s="199">
        <v>0.6</v>
      </c>
      <c r="P29" s="199">
        <v>19.9</v>
      </c>
      <c r="Q29" s="199">
        <v>28.3</v>
      </c>
      <c r="R29" s="199">
        <v>18.3</v>
      </c>
      <c r="S29" s="199" t="s">
        <v>83</v>
      </c>
      <c r="T29" s="199"/>
      <c r="U29" s="199" t="s">
        <v>48</v>
      </c>
      <c r="V29" s="199" t="s">
        <v>49</v>
      </c>
      <c r="W29" s="199" t="s">
        <v>266</v>
      </c>
      <c r="X29" s="199" t="s">
        <v>268</v>
      </c>
      <c r="Y29" s="203"/>
      <c r="Z29" s="203"/>
      <c r="AA29" s="203"/>
      <c r="AB29" s="203"/>
      <c r="AC29" s="203"/>
    </row>
    <row r="30">
      <c r="A30" s="199" t="s">
        <v>271</v>
      </c>
      <c r="B30" s="199" t="s">
        <v>43</v>
      </c>
      <c r="C30" s="199" t="s">
        <v>43</v>
      </c>
      <c r="D30" s="199" t="s">
        <v>45</v>
      </c>
      <c r="E30" s="199" t="s">
        <v>272</v>
      </c>
      <c r="F30" s="199">
        <v>62.7</v>
      </c>
      <c r="G30" s="199">
        <v>35.1</v>
      </c>
      <c r="H30" s="199">
        <v>64.6</v>
      </c>
      <c r="I30" s="199">
        <v>30.0</v>
      </c>
      <c r="J30" s="199">
        <v>17.0</v>
      </c>
      <c r="K30" s="199">
        <v>61.2</v>
      </c>
      <c r="L30" s="199">
        <v>7.6</v>
      </c>
      <c r="M30" s="199">
        <v>13.9</v>
      </c>
      <c r="N30" s="199">
        <v>3.9</v>
      </c>
      <c r="O30" s="199">
        <v>0.5</v>
      </c>
      <c r="P30" s="199">
        <v>20.7</v>
      </c>
      <c r="Q30" s="199">
        <v>27.8</v>
      </c>
      <c r="R30" s="199">
        <v>16.4</v>
      </c>
      <c r="S30" s="199" t="s">
        <v>277</v>
      </c>
      <c r="T30" s="199"/>
      <c r="U30" s="199" t="s">
        <v>48</v>
      </c>
      <c r="V30" s="199" t="s">
        <v>49</v>
      </c>
      <c r="W30" s="199" t="s">
        <v>275</v>
      </c>
      <c r="X30" s="199" t="s">
        <v>276</v>
      </c>
      <c r="Y30" s="203"/>
      <c r="Z30" s="203"/>
      <c r="AA30" s="203"/>
      <c r="AB30" s="203"/>
      <c r="AC30" s="203"/>
    </row>
    <row r="31">
      <c r="A31" s="199" t="s">
        <v>281</v>
      </c>
      <c r="B31" s="199" t="s">
        <v>43</v>
      </c>
      <c r="C31" s="199" t="s">
        <v>43</v>
      </c>
      <c r="D31" s="199" t="s">
        <v>45</v>
      </c>
      <c r="E31" s="199" t="s">
        <v>282</v>
      </c>
      <c r="F31" s="199">
        <v>71.0</v>
      </c>
      <c r="G31" s="199">
        <v>26.9</v>
      </c>
      <c r="H31" s="199">
        <v>69.2</v>
      </c>
      <c r="I31" s="199">
        <v>24.8</v>
      </c>
      <c r="J31" s="199">
        <v>57.5</v>
      </c>
      <c r="K31" s="199">
        <v>15.5</v>
      </c>
      <c r="L31" s="199">
        <v>4.8</v>
      </c>
      <c r="M31" s="199">
        <v>20.5</v>
      </c>
      <c r="N31" s="199">
        <v>1.8</v>
      </c>
      <c r="O31" s="199">
        <v>0.5</v>
      </c>
      <c r="P31" s="199">
        <v>64.1</v>
      </c>
      <c r="Q31" s="199">
        <v>68.1</v>
      </c>
      <c r="R31" s="199">
        <v>19.9</v>
      </c>
      <c r="S31" s="199" t="s">
        <v>287</v>
      </c>
      <c r="T31" s="199"/>
      <c r="U31" s="199" t="s">
        <v>48</v>
      </c>
      <c r="V31" s="199" t="s">
        <v>49</v>
      </c>
      <c r="W31" s="199" t="s">
        <v>285</v>
      </c>
      <c r="X31" s="199" t="s">
        <v>286</v>
      </c>
      <c r="Y31" s="203"/>
      <c r="Z31" s="203"/>
      <c r="AA31" s="203"/>
      <c r="AB31" s="203"/>
      <c r="AC31" s="203"/>
    </row>
    <row r="32">
      <c r="A32" s="199" t="s">
        <v>290</v>
      </c>
      <c r="B32" s="199" t="s">
        <v>43</v>
      </c>
      <c r="C32" s="199" t="s">
        <v>43</v>
      </c>
      <c r="D32" s="199" t="s">
        <v>45</v>
      </c>
      <c r="E32" s="199" t="s">
        <v>292</v>
      </c>
      <c r="F32" s="199">
        <v>64.1</v>
      </c>
      <c r="G32" s="199">
        <v>33.9</v>
      </c>
      <c r="H32" s="199">
        <v>65.2</v>
      </c>
      <c r="I32" s="199">
        <v>29.3</v>
      </c>
      <c r="J32" s="199">
        <v>15.1</v>
      </c>
      <c r="K32" s="199">
        <v>58.3</v>
      </c>
      <c r="L32" s="199">
        <v>2.7</v>
      </c>
      <c r="M32" s="199">
        <v>23.8</v>
      </c>
      <c r="N32" s="199">
        <v>3.6</v>
      </c>
      <c r="O32" s="199">
        <v>0.5</v>
      </c>
      <c r="P32" s="199">
        <v>28.6</v>
      </c>
      <c r="Q32" s="199">
        <v>31.7</v>
      </c>
      <c r="R32" s="199">
        <v>13.4</v>
      </c>
      <c r="S32" s="199" t="s">
        <v>83</v>
      </c>
      <c r="T32" s="199"/>
      <c r="U32" s="199" t="s">
        <v>48</v>
      </c>
      <c r="V32" s="199" t="s">
        <v>49</v>
      </c>
      <c r="W32" s="199" t="s">
        <v>295</v>
      </c>
      <c r="X32" s="199" t="s">
        <v>296</v>
      </c>
      <c r="Y32" s="203"/>
      <c r="Z32" s="203"/>
      <c r="AA32" s="203"/>
      <c r="AB32" s="203"/>
      <c r="AC32" s="203"/>
    </row>
    <row r="33">
      <c r="A33" s="199" t="s">
        <v>298</v>
      </c>
      <c r="B33" s="199" t="s">
        <v>43</v>
      </c>
      <c r="C33" s="199" t="s">
        <v>43</v>
      </c>
      <c r="D33" s="199" t="s">
        <v>45</v>
      </c>
      <c r="E33" s="199" t="s">
        <v>300</v>
      </c>
      <c r="F33" s="199">
        <v>62.0</v>
      </c>
      <c r="G33" s="199">
        <v>35.8</v>
      </c>
      <c r="H33" s="199">
        <v>61.4</v>
      </c>
      <c r="I33" s="199">
        <v>32.7</v>
      </c>
      <c r="J33" s="199">
        <v>22.4</v>
      </c>
      <c r="K33" s="199">
        <v>58.5</v>
      </c>
      <c r="L33" s="199">
        <v>10.4</v>
      </c>
      <c r="M33" s="199">
        <v>7.9</v>
      </c>
      <c r="N33" s="199">
        <v>3.9</v>
      </c>
      <c r="O33" s="199">
        <v>0.7</v>
      </c>
      <c r="P33" s="199">
        <v>18.3</v>
      </c>
      <c r="Q33" s="199">
        <v>26.3</v>
      </c>
      <c r="R33" s="199">
        <v>20.7</v>
      </c>
      <c r="S33" s="199" t="s">
        <v>113</v>
      </c>
      <c r="T33" s="199" t="s">
        <v>304</v>
      </c>
      <c r="U33" s="199" t="s">
        <v>48</v>
      </c>
      <c r="V33" s="199" t="s">
        <v>49</v>
      </c>
      <c r="W33" s="199" t="s">
        <v>127</v>
      </c>
      <c r="X33" s="199" t="s">
        <v>303</v>
      </c>
      <c r="Y33" s="203"/>
      <c r="Z33" s="203"/>
      <c r="AA33" s="203"/>
      <c r="AB33" s="203"/>
      <c r="AC33" s="203"/>
    </row>
    <row r="34">
      <c r="A34" s="199" t="s">
        <v>306</v>
      </c>
      <c r="B34" s="199" t="s">
        <v>43</v>
      </c>
      <c r="C34" s="199" t="s">
        <v>43</v>
      </c>
      <c r="D34" s="199" t="s">
        <v>45</v>
      </c>
      <c r="E34" s="199" t="s">
        <v>308</v>
      </c>
      <c r="F34" s="199">
        <v>71.7</v>
      </c>
      <c r="G34" s="199">
        <v>25.9</v>
      </c>
      <c r="H34" s="199">
        <v>72.3</v>
      </c>
      <c r="I34" s="199">
        <v>21.6</v>
      </c>
      <c r="J34" s="199">
        <v>20.7</v>
      </c>
      <c r="K34" s="199">
        <v>61.1</v>
      </c>
      <c r="L34" s="199">
        <v>7.9</v>
      </c>
      <c r="M34" s="199">
        <v>9.8</v>
      </c>
      <c r="N34" s="199">
        <v>4.0</v>
      </c>
      <c r="O34" s="199">
        <v>0.7</v>
      </c>
      <c r="P34" s="199">
        <v>23.9</v>
      </c>
      <c r="Q34" s="199">
        <v>44.2</v>
      </c>
      <c r="R34" s="199">
        <v>15.4</v>
      </c>
      <c r="S34" s="199" t="s">
        <v>314</v>
      </c>
      <c r="T34" s="199" t="s">
        <v>304</v>
      </c>
      <c r="U34" s="199" t="s">
        <v>48</v>
      </c>
      <c r="V34" s="199" t="s">
        <v>159</v>
      </c>
      <c r="W34" s="199" t="s">
        <v>312</v>
      </c>
      <c r="X34" s="199" t="s">
        <v>313</v>
      </c>
      <c r="Y34" s="203"/>
      <c r="Z34" s="203"/>
      <c r="AA34" s="203"/>
      <c r="AB34" s="203"/>
      <c r="AC34" s="203"/>
    </row>
    <row r="35">
      <c r="A35" s="199" t="s">
        <v>316</v>
      </c>
      <c r="B35" s="199" t="s">
        <v>43</v>
      </c>
      <c r="C35" s="199" t="s">
        <v>43</v>
      </c>
      <c r="D35" s="199" t="s">
        <v>45</v>
      </c>
      <c r="E35" s="199" t="s">
        <v>317</v>
      </c>
      <c r="F35" s="199">
        <v>80.8</v>
      </c>
      <c r="G35" s="199">
        <v>17.0</v>
      </c>
      <c r="H35" s="199">
        <v>84.1</v>
      </c>
      <c r="I35" s="199">
        <v>11.4</v>
      </c>
      <c r="J35" s="199">
        <v>8.0</v>
      </c>
      <c r="K35" s="199">
        <v>54.1</v>
      </c>
      <c r="L35" s="199">
        <v>27.4</v>
      </c>
      <c r="M35" s="199">
        <v>10.6</v>
      </c>
      <c r="N35" s="199">
        <v>3.5</v>
      </c>
      <c r="O35" s="199">
        <v>0.7</v>
      </c>
      <c r="P35" s="199">
        <v>20.0</v>
      </c>
      <c r="Q35" s="199">
        <v>41.5</v>
      </c>
      <c r="R35" s="199">
        <v>6.0</v>
      </c>
      <c r="S35" s="199" t="s">
        <v>28</v>
      </c>
      <c r="T35" s="199"/>
      <c r="U35" s="199" t="s">
        <v>48</v>
      </c>
      <c r="V35" s="199" t="s">
        <v>49</v>
      </c>
      <c r="W35" s="199" t="s">
        <v>320</v>
      </c>
      <c r="X35" s="199" t="s">
        <v>321</v>
      </c>
      <c r="Y35" s="203"/>
      <c r="Z35" s="203"/>
      <c r="AA35" s="203"/>
      <c r="AB35" s="203"/>
      <c r="AC35" s="203"/>
    </row>
    <row r="36">
      <c r="A36" s="199" t="s">
        <v>325</v>
      </c>
      <c r="B36" s="199" t="s">
        <v>43</v>
      </c>
      <c r="C36" s="199" t="s">
        <v>43</v>
      </c>
      <c r="D36" s="199" t="s">
        <v>45</v>
      </c>
      <c r="E36" s="199" t="s">
        <v>326</v>
      </c>
      <c r="F36" s="199">
        <v>72.9</v>
      </c>
      <c r="G36" s="199">
        <v>24.7</v>
      </c>
      <c r="H36" s="199">
        <v>75.6</v>
      </c>
      <c r="I36" s="199">
        <v>19.1</v>
      </c>
      <c r="J36" s="199">
        <v>14.4</v>
      </c>
      <c r="K36" s="199">
        <v>57.9</v>
      </c>
      <c r="L36" s="199">
        <v>12.8</v>
      </c>
      <c r="M36" s="199">
        <v>14.2</v>
      </c>
      <c r="N36" s="199">
        <v>3.9</v>
      </c>
      <c r="O36" s="199">
        <v>1.4</v>
      </c>
      <c r="P36" s="199">
        <v>20.9</v>
      </c>
      <c r="Q36" s="199">
        <v>34.1</v>
      </c>
      <c r="R36" s="199">
        <v>12.2</v>
      </c>
      <c r="S36" s="199" t="s">
        <v>83</v>
      </c>
      <c r="T36" s="199"/>
      <c r="U36" s="199" t="s">
        <v>48</v>
      </c>
      <c r="V36" s="199" t="s">
        <v>49</v>
      </c>
      <c r="W36" s="199" t="s">
        <v>328</v>
      </c>
      <c r="X36" s="199" t="s">
        <v>329</v>
      </c>
      <c r="Y36" s="203"/>
      <c r="Z36" s="203"/>
      <c r="AA36" s="203"/>
      <c r="AB36" s="203"/>
      <c r="AC36" s="203"/>
    </row>
    <row r="37">
      <c r="A37" s="199" t="s">
        <v>331</v>
      </c>
      <c r="B37" s="199" t="s">
        <v>43</v>
      </c>
      <c r="C37" s="199" t="s">
        <v>43</v>
      </c>
      <c r="D37" s="199" t="s">
        <v>45</v>
      </c>
      <c r="E37" s="199" t="s">
        <v>333</v>
      </c>
      <c r="F37" s="199">
        <v>64.1</v>
      </c>
      <c r="G37" s="199">
        <v>33.7</v>
      </c>
      <c r="H37" s="199">
        <v>66.8</v>
      </c>
      <c r="I37" s="199">
        <v>27.3</v>
      </c>
      <c r="J37" s="199">
        <v>17.2</v>
      </c>
      <c r="K37" s="199">
        <v>61.2</v>
      </c>
      <c r="L37" s="199">
        <v>2.7</v>
      </c>
      <c r="M37" s="199">
        <v>18.3</v>
      </c>
      <c r="N37" s="199">
        <v>4.4</v>
      </c>
      <c r="O37" s="199">
        <v>0.7</v>
      </c>
      <c r="P37" s="199">
        <v>21.2</v>
      </c>
      <c r="Q37" s="199">
        <v>33.0</v>
      </c>
      <c r="R37" s="199">
        <v>16.9</v>
      </c>
      <c r="S37" s="199" t="s">
        <v>83</v>
      </c>
      <c r="T37" s="199"/>
      <c r="U37" s="199" t="s">
        <v>48</v>
      </c>
      <c r="V37" s="199" t="s">
        <v>49</v>
      </c>
      <c r="W37" s="199" t="s">
        <v>339</v>
      </c>
      <c r="X37" s="199" t="s">
        <v>341</v>
      </c>
      <c r="Y37" s="203"/>
      <c r="Z37" s="203"/>
      <c r="AA37" s="203"/>
      <c r="AB37" s="203"/>
      <c r="AC37" s="203"/>
    </row>
    <row r="38">
      <c r="A38" s="199" t="s">
        <v>344</v>
      </c>
      <c r="B38" s="199" t="s">
        <v>43</v>
      </c>
      <c r="C38" s="199" t="s">
        <v>43</v>
      </c>
      <c r="D38" s="199" t="s">
        <v>45</v>
      </c>
      <c r="E38" s="199" t="s">
        <v>345</v>
      </c>
      <c r="F38" s="199">
        <v>65.4</v>
      </c>
      <c r="G38" s="199">
        <v>32.2</v>
      </c>
      <c r="H38" s="199">
        <v>60.5</v>
      </c>
      <c r="I38" s="199">
        <v>33.2</v>
      </c>
      <c r="J38" s="199">
        <v>57.9</v>
      </c>
      <c r="K38" s="199">
        <v>19.6</v>
      </c>
      <c r="L38" s="199">
        <v>4.0</v>
      </c>
      <c r="M38" s="199">
        <v>16.8</v>
      </c>
      <c r="N38" s="199">
        <v>2.1</v>
      </c>
      <c r="O38" s="199">
        <v>0.7</v>
      </c>
      <c r="P38" s="199">
        <v>57.6</v>
      </c>
      <c r="Q38" s="199">
        <v>63.2</v>
      </c>
      <c r="R38" s="199">
        <v>24.1</v>
      </c>
      <c r="S38" s="199" t="s">
        <v>75</v>
      </c>
      <c r="T38" s="199"/>
      <c r="U38" s="199" t="s">
        <v>48</v>
      </c>
      <c r="V38" s="199" t="s">
        <v>49</v>
      </c>
      <c r="W38" s="199" t="s">
        <v>348</v>
      </c>
      <c r="X38" s="199" t="s">
        <v>349</v>
      </c>
      <c r="Y38" s="203"/>
      <c r="Z38" s="203"/>
      <c r="AA38" s="203"/>
      <c r="AB38" s="203"/>
      <c r="AC38" s="203"/>
    </row>
    <row r="39">
      <c r="A39" s="199" t="s">
        <v>352</v>
      </c>
      <c r="B39" s="199" t="s">
        <v>43</v>
      </c>
      <c r="C39" s="199" t="s">
        <v>43</v>
      </c>
      <c r="D39" s="199" t="s">
        <v>45</v>
      </c>
      <c r="E39" s="199" t="s">
        <v>353</v>
      </c>
      <c r="F39" s="199">
        <v>62.5</v>
      </c>
      <c r="G39" s="199">
        <v>35.2</v>
      </c>
      <c r="H39" s="199">
        <v>58.4</v>
      </c>
      <c r="I39" s="199">
        <v>35.4</v>
      </c>
      <c r="J39" s="199">
        <v>48.6</v>
      </c>
      <c r="K39" s="199">
        <v>22.6</v>
      </c>
      <c r="L39" s="199">
        <v>7.5</v>
      </c>
      <c r="M39" s="199">
        <v>19.9</v>
      </c>
      <c r="N39" s="199">
        <v>2.5</v>
      </c>
      <c r="O39" s="199">
        <v>1.1</v>
      </c>
      <c r="P39" s="199">
        <v>43.0</v>
      </c>
      <c r="Q39" s="199">
        <v>47.6</v>
      </c>
      <c r="R39" s="199">
        <v>29.0</v>
      </c>
      <c r="S39" s="199" t="s">
        <v>75</v>
      </c>
      <c r="T39" s="199"/>
      <c r="U39" s="199" t="s">
        <v>48</v>
      </c>
      <c r="V39" s="199" t="s">
        <v>49</v>
      </c>
      <c r="W39" s="199" t="s">
        <v>356</v>
      </c>
      <c r="X39" s="199" t="s">
        <v>357</v>
      </c>
      <c r="Y39" s="203"/>
      <c r="Z39" s="203"/>
      <c r="AA39" s="203"/>
      <c r="AB39" s="203"/>
      <c r="AC39" s="203"/>
    </row>
    <row r="40">
      <c r="A40" s="199" t="s">
        <v>359</v>
      </c>
      <c r="B40" s="199" t="s">
        <v>43</v>
      </c>
      <c r="C40" s="199" t="s">
        <v>43</v>
      </c>
      <c r="D40" s="199" t="s">
        <v>45</v>
      </c>
      <c r="E40" s="199" t="s">
        <v>360</v>
      </c>
      <c r="F40" s="199">
        <v>67.4</v>
      </c>
      <c r="G40" s="199">
        <v>30.5</v>
      </c>
      <c r="H40" s="199">
        <v>70.7</v>
      </c>
      <c r="I40" s="199">
        <v>24.1</v>
      </c>
      <c r="J40" s="199">
        <v>15.3</v>
      </c>
      <c r="K40" s="199">
        <v>57.2</v>
      </c>
      <c r="L40" s="199">
        <v>9.4</v>
      </c>
      <c r="M40" s="199">
        <v>18.3</v>
      </c>
      <c r="N40" s="199">
        <v>3.3</v>
      </c>
      <c r="O40" s="199">
        <v>1.1</v>
      </c>
      <c r="P40" s="199">
        <v>21.6</v>
      </c>
      <c r="Q40" s="199">
        <v>34.0</v>
      </c>
      <c r="R40" s="199">
        <v>13.4</v>
      </c>
      <c r="S40" s="199" t="s">
        <v>83</v>
      </c>
      <c r="T40" s="199"/>
      <c r="U40" s="199" t="s">
        <v>48</v>
      </c>
      <c r="V40" s="199" t="s">
        <v>49</v>
      </c>
      <c r="W40" s="199" t="s">
        <v>363</v>
      </c>
      <c r="X40" s="199" t="s">
        <v>364</v>
      </c>
      <c r="Y40" s="203"/>
      <c r="Z40" s="203"/>
      <c r="AA40" s="203"/>
      <c r="AB40" s="203"/>
      <c r="AC40" s="203"/>
    </row>
    <row r="41">
      <c r="A41" s="199" t="s">
        <v>367</v>
      </c>
      <c r="B41" s="199" t="s">
        <v>43</v>
      </c>
      <c r="C41" s="199" t="s">
        <v>43</v>
      </c>
      <c r="D41" s="199" t="s">
        <v>45</v>
      </c>
      <c r="E41" s="199" t="s">
        <v>368</v>
      </c>
      <c r="F41" s="199">
        <v>79.5</v>
      </c>
      <c r="G41" s="199">
        <v>18.2</v>
      </c>
      <c r="H41" s="199">
        <v>73.6</v>
      </c>
      <c r="I41" s="199">
        <v>18.9</v>
      </c>
      <c r="J41" s="199">
        <v>58.8</v>
      </c>
      <c r="K41" s="199">
        <v>24.4</v>
      </c>
      <c r="L41" s="199">
        <v>9.7</v>
      </c>
      <c r="M41" s="199">
        <v>5.2</v>
      </c>
      <c r="N41" s="199">
        <v>3.3</v>
      </c>
      <c r="O41" s="199">
        <v>0.4</v>
      </c>
      <c r="P41" s="199">
        <v>50.4</v>
      </c>
      <c r="Q41" s="199">
        <v>66.1</v>
      </c>
      <c r="R41" s="199">
        <v>21.8</v>
      </c>
      <c r="S41" s="199" t="s">
        <v>75</v>
      </c>
      <c r="T41" s="199"/>
      <c r="U41" s="199" t="s">
        <v>48</v>
      </c>
      <c r="V41" s="199" t="s">
        <v>49</v>
      </c>
      <c r="W41" s="199" t="s">
        <v>371</v>
      </c>
      <c r="X41" s="199" t="s">
        <v>372</v>
      </c>
      <c r="Y41" s="203"/>
      <c r="Z41" s="203"/>
      <c r="AA41" s="203"/>
      <c r="AB41" s="203"/>
      <c r="AC41" s="203"/>
    </row>
    <row r="42">
      <c r="A42" s="199" t="s">
        <v>374</v>
      </c>
      <c r="B42" s="199" t="s">
        <v>43</v>
      </c>
      <c r="C42" s="199" t="s">
        <v>43</v>
      </c>
      <c r="D42" s="199" t="s">
        <v>45</v>
      </c>
      <c r="E42" s="199" t="s">
        <v>375</v>
      </c>
      <c r="F42" s="199">
        <v>68.7</v>
      </c>
      <c r="G42" s="199">
        <v>28.8</v>
      </c>
      <c r="H42" s="199">
        <v>60.9</v>
      </c>
      <c r="I42" s="199">
        <v>30.4</v>
      </c>
      <c r="J42" s="199">
        <v>78.7</v>
      </c>
      <c r="K42" s="199">
        <v>12.2</v>
      </c>
      <c r="L42" s="199">
        <v>1.6</v>
      </c>
      <c r="M42" s="199">
        <v>4.8</v>
      </c>
      <c r="N42" s="199">
        <v>2.3</v>
      </c>
      <c r="O42" s="199">
        <v>0.3</v>
      </c>
      <c r="P42" s="199">
        <v>57.1</v>
      </c>
      <c r="Q42" s="199">
        <v>60.7</v>
      </c>
      <c r="R42" s="199">
        <v>33.5</v>
      </c>
      <c r="S42" s="199" t="s">
        <v>379</v>
      </c>
      <c r="T42" s="199"/>
      <c r="U42" s="199" t="s">
        <v>48</v>
      </c>
      <c r="V42" s="199" t="s">
        <v>49</v>
      </c>
      <c r="W42" s="199" t="s">
        <v>377</v>
      </c>
      <c r="X42" s="199" t="s">
        <v>378</v>
      </c>
      <c r="Y42" s="203"/>
      <c r="Z42" s="203"/>
      <c r="AA42" s="203"/>
      <c r="AB42" s="203"/>
      <c r="AC42" s="203"/>
    </row>
    <row r="43">
      <c r="A43" s="199" t="s">
        <v>381</v>
      </c>
      <c r="B43" s="199" t="s">
        <v>43</v>
      </c>
      <c r="C43" s="199" t="s">
        <v>43</v>
      </c>
      <c r="D43" s="199" t="s">
        <v>45</v>
      </c>
      <c r="E43" s="199" t="s">
        <v>382</v>
      </c>
      <c r="F43" s="199">
        <v>60.6</v>
      </c>
      <c r="G43" s="199">
        <v>36.8</v>
      </c>
      <c r="H43" s="199">
        <v>52.3</v>
      </c>
      <c r="I43" s="199">
        <v>39.1</v>
      </c>
      <c r="J43" s="199">
        <v>59.8</v>
      </c>
      <c r="K43" s="199">
        <v>19.4</v>
      </c>
      <c r="L43" s="199">
        <v>11.4</v>
      </c>
      <c r="M43" s="199">
        <v>7.3</v>
      </c>
      <c r="N43" s="199">
        <v>3.0</v>
      </c>
      <c r="O43" s="199">
        <v>0.5</v>
      </c>
      <c r="P43" s="199">
        <v>42.2</v>
      </c>
      <c r="Q43" s="199">
        <v>50.4</v>
      </c>
      <c r="R43" s="199">
        <v>34.7</v>
      </c>
      <c r="S43" s="199" t="s">
        <v>75</v>
      </c>
      <c r="T43" s="199"/>
      <c r="U43" s="199" t="s">
        <v>48</v>
      </c>
      <c r="V43" s="199" t="s">
        <v>49</v>
      </c>
      <c r="W43" s="199" t="s">
        <v>384</v>
      </c>
      <c r="X43" s="199" t="s">
        <v>386</v>
      </c>
      <c r="Y43" s="203"/>
      <c r="Z43" s="203"/>
      <c r="AA43" s="203"/>
      <c r="AB43" s="203"/>
      <c r="AC43" s="203"/>
    </row>
    <row r="44">
      <c r="A44" s="199" t="s">
        <v>388</v>
      </c>
      <c r="B44" s="199" t="s">
        <v>43</v>
      </c>
      <c r="C44" s="199" t="s">
        <v>43</v>
      </c>
      <c r="D44" s="199" t="s">
        <v>45</v>
      </c>
      <c r="E44" s="199" t="s">
        <v>389</v>
      </c>
      <c r="F44" s="199">
        <v>55.7</v>
      </c>
      <c r="G44" s="199">
        <v>41.5</v>
      </c>
      <c r="H44" s="199">
        <v>47.0</v>
      </c>
      <c r="I44" s="199">
        <v>44.1</v>
      </c>
      <c r="J44" s="199">
        <v>77.4</v>
      </c>
      <c r="K44" s="199">
        <v>13.3</v>
      </c>
      <c r="L44" s="199">
        <v>2.0</v>
      </c>
      <c r="M44" s="199">
        <v>4.1</v>
      </c>
      <c r="N44" s="199">
        <v>3.2</v>
      </c>
      <c r="O44" s="199">
        <v>0.2</v>
      </c>
      <c r="P44" s="199">
        <v>43.8</v>
      </c>
      <c r="Q44" s="199">
        <v>47.4</v>
      </c>
      <c r="R44" s="199">
        <v>43.2</v>
      </c>
      <c r="S44" s="199" t="s">
        <v>75</v>
      </c>
      <c r="T44" s="199"/>
      <c r="U44" s="199" t="s">
        <v>48</v>
      </c>
      <c r="V44" s="199" t="s">
        <v>159</v>
      </c>
      <c r="W44" s="199" t="s">
        <v>391</v>
      </c>
      <c r="X44" s="199" t="s">
        <v>392</v>
      </c>
      <c r="Y44" s="203"/>
      <c r="Z44" s="203"/>
      <c r="AA44" s="203"/>
      <c r="AB44" s="203"/>
      <c r="AC44" s="203"/>
    </row>
    <row r="45">
      <c r="A45" s="199" t="s">
        <v>394</v>
      </c>
      <c r="B45" s="199" t="s">
        <v>395</v>
      </c>
      <c r="C45" s="199" t="s">
        <v>43</v>
      </c>
      <c r="D45" s="199" t="s">
        <v>397</v>
      </c>
      <c r="E45" s="199" t="s">
        <v>396</v>
      </c>
      <c r="F45" s="199">
        <v>50.8</v>
      </c>
      <c r="G45" s="199">
        <v>46.3</v>
      </c>
      <c r="H45" s="199">
        <v>44.6</v>
      </c>
      <c r="I45" s="199">
        <v>46.4</v>
      </c>
      <c r="J45" s="199">
        <v>56.1</v>
      </c>
      <c r="K45" s="199">
        <v>34.5</v>
      </c>
      <c r="L45" s="199">
        <v>2.6</v>
      </c>
      <c r="M45" s="199">
        <v>4.3</v>
      </c>
      <c r="N45" s="199">
        <v>4.0</v>
      </c>
      <c r="O45" s="199">
        <v>0.3</v>
      </c>
      <c r="P45" s="199">
        <v>25.9</v>
      </c>
      <c r="Q45" s="199">
        <v>32.7</v>
      </c>
      <c r="R45" s="199">
        <v>43.7</v>
      </c>
      <c r="S45" s="199" t="s">
        <v>83</v>
      </c>
      <c r="T45" s="199"/>
      <c r="U45" s="199" t="s">
        <v>48</v>
      </c>
      <c r="V45" s="199" t="s">
        <v>159</v>
      </c>
      <c r="W45" s="199" t="s">
        <v>401</v>
      </c>
      <c r="X45" s="199" t="s">
        <v>402</v>
      </c>
      <c r="Y45" s="203"/>
      <c r="Z45" s="203"/>
      <c r="AA45" s="203"/>
      <c r="AB45" s="203"/>
      <c r="AC45" s="203"/>
    </row>
    <row r="46">
      <c r="A46" s="199" t="s">
        <v>405</v>
      </c>
      <c r="B46" s="199" t="s">
        <v>43</v>
      </c>
      <c r="C46" s="199" t="s">
        <v>43</v>
      </c>
      <c r="D46" s="199" t="s">
        <v>45</v>
      </c>
      <c r="E46" s="199" t="s">
        <v>406</v>
      </c>
      <c r="F46" s="199">
        <v>63.3</v>
      </c>
      <c r="G46" s="199">
        <v>35.2</v>
      </c>
      <c r="H46" s="199">
        <v>59.4</v>
      </c>
      <c r="I46" s="199">
        <v>36.2</v>
      </c>
      <c r="J46" s="199">
        <v>60.9</v>
      </c>
      <c r="K46" s="199">
        <v>15.5</v>
      </c>
      <c r="L46" s="199">
        <v>16.9</v>
      </c>
      <c r="M46" s="199">
        <v>6.2</v>
      </c>
      <c r="N46" s="199">
        <v>1.5</v>
      </c>
      <c r="O46" s="199">
        <v>0.1</v>
      </c>
      <c r="P46" s="199">
        <v>37.2</v>
      </c>
      <c r="Q46" s="199">
        <v>42.3</v>
      </c>
      <c r="R46" s="199">
        <v>38.5</v>
      </c>
      <c r="S46" s="199" t="s">
        <v>75</v>
      </c>
      <c r="T46" s="199"/>
      <c r="U46" s="199" t="s">
        <v>48</v>
      </c>
      <c r="V46" s="199" t="s">
        <v>49</v>
      </c>
      <c r="W46" s="199" t="s">
        <v>120</v>
      </c>
      <c r="X46" s="199" t="s">
        <v>409</v>
      </c>
      <c r="Y46" s="203"/>
      <c r="Z46" s="203"/>
      <c r="AA46" s="203"/>
      <c r="AB46" s="203"/>
      <c r="AC46" s="203"/>
    </row>
    <row r="47">
      <c r="A47" s="199" t="s">
        <v>412</v>
      </c>
      <c r="B47" s="199" t="s">
        <v>43</v>
      </c>
      <c r="C47" s="199" t="s">
        <v>43</v>
      </c>
      <c r="D47" s="199" t="s">
        <v>45</v>
      </c>
      <c r="E47" s="199" t="s">
        <v>413</v>
      </c>
      <c r="F47" s="199">
        <v>54.7</v>
      </c>
      <c r="G47" s="199">
        <v>43.3</v>
      </c>
      <c r="H47" s="199">
        <v>48.8</v>
      </c>
      <c r="I47" s="199">
        <v>45.4</v>
      </c>
      <c r="J47" s="199">
        <v>80.6</v>
      </c>
      <c r="K47" s="199">
        <v>7.7</v>
      </c>
      <c r="L47" s="199">
        <v>5.2</v>
      </c>
      <c r="M47" s="199">
        <v>4.4</v>
      </c>
      <c r="N47" s="199">
        <v>2.1</v>
      </c>
      <c r="O47" s="199">
        <v>0.2</v>
      </c>
      <c r="P47" s="199">
        <v>37.0</v>
      </c>
      <c r="Q47" s="199">
        <v>38.4</v>
      </c>
      <c r="R47" s="199">
        <v>52.6</v>
      </c>
      <c r="S47" s="199" t="s">
        <v>75</v>
      </c>
      <c r="T47" s="199"/>
      <c r="U47" s="199" t="s">
        <v>48</v>
      </c>
      <c r="V47" s="199" t="s">
        <v>49</v>
      </c>
      <c r="W47" s="199" t="s">
        <v>377</v>
      </c>
      <c r="X47" s="199" t="s">
        <v>414</v>
      </c>
      <c r="Y47" s="203"/>
      <c r="Z47" s="203"/>
      <c r="AA47" s="203"/>
      <c r="AB47" s="203"/>
      <c r="AC47" s="203"/>
    </row>
    <row r="48">
      <c r="A48" s="199" t="s">
        <v>417</v>
      </c>
      <c r="B48" s="199" t="s">
        <v>43</v>
      </c>
      <c r="C48" s="199" t="s">
        <v>43</v>
      </c>
      <c r="D48" s="199" t="s">
        <v>45</v>
      </c>
      <c r="E48" s="199" t="s">
        <v>418</v>
      </c>
      <c r="F48" s="199">
        <v>59.2</v>
      </c>
      <c r="G48" s="199">
        <v>39.5</v>
      </c>
      <c r="H48" s="199">
        <v>55.0</v>
      </c>
      <c r="I48" s="199">
        <v>41.1</v>
      </c>
      <c r="J48" s="199">
        <v>64.7</v>
      </c>
      <c r="K48" s="199">
        <v>14.3</v>
      </c>
      <c r="L48" s="199">
        <v>14.9</v>
      </c>
      <c r="M48" s="199">
        <v>5.3</v>
      </c>
      <c r="N48" s="199">
        <v>1.5</v>
      </c>
      <c r="O48" s="199">
        <v>0.1</v>
      </c>
      <c r="P48" s="199">
        <v>37.4</v>
      </c>
      <c r="Q48" s="199">
        <v>41.7</v>
      </c>
      <c r="R48" s="199">
        <v>40.9</v>
      </c>
      <c r="S48" s="199" t="s">
        <v>75</v>
      </c>
      <c r="T48" s="199"/>
      <c r="U48" s="199" t="s">
        <v>48</v>
      </c>
      <c r="V48" s="199" t="s">
        <v>49</v>
      </c>
      <c r="W48" s="199" t="s">
        <v>419</v>
      </c>
      <c r="X48" s="199" t="s">
        <v>420</v>
      </c>
      <c r="Y48" s="203"/>
      <c r="Z48" s="203"/>
      <c r="AA48" s="203"/>
      <c r="AB48" s="203"/>
      <c r="AC48" s="203"/>
    </row>
    <row r="49">
      <c r="A49" s="199" t="s">
        <v>423</v>
      </c>
      <c r="B49" s="199" t="s">
        <v>43</v>
      </c>
      <c r="C49" s="199" t="s">
        <v>43</v>
      </c>
      <c r="D49" s="199" t="s">
        <v>45</v>
      </c>
      <c r="E49" s="199" t="s">
        <v>424</v>
      </c>
      <c r="F49" s="199">
        <v>64.8</v>
      </c>
      <c r="G49" s="199">
        <v>33.8</v>
      </c>
      <c r="H49" s="199">
        <v>60.2</v>
      </c>
      <c r="I49" s="199">
        <v>35.7</v>
      </c>
      <c r="J49" s="199">
        <v>59.5</v>
      </c>
      <c r="K49" s="199">
        <v>19.9</v>
      </c>
      <c r="L49" s="199">
        <v>13.4</v>
      </c>
      <c r="M49" s="199">
        <v>6.2</v>
      </c>
      <c r="N49" s="199">
        <v>1.2</v>
      </c>
      <c r="O49" s="199">
        <v>0.1</v>
      </c>
      <c r="P49" s="199">
        <v>52.0</v>
      </c>
      <c r="Q49" s="199">
        <v>64.1</v>
      </c>
      <c r="R49" s="199">
        <v>24.4</v>
      </c>
      <c r="S49" s="199" t="s">
        <v>75</v>
      </c>
      <c r="T49" s="199"/>
      <c r="U49" s="199" t="s">
        <v>48</v>
      </c>
      <c r="V49" s="199" t="s">
        <v>49</v>
      </c>
      <c r="W49" s="199" t="s">
        <v>426</v>
      </c>
      <c r="X49" s="199" t="s">
        <v>427</v>
      </c>
      <c r="Y49" s="203"/>
      <c r="Z49" s="203"/>
      <c r="AA49" s="203"/>
      <c r="AB49" s="203"/>
      <c r="AC49" s="203"/>
    </row>
    <row r="50">
      <c r="A50" s="199" t="s">
        <v>429</v>
      </c>
      <c r="B50" s="199" t="s">
        <v>43</v>
      </c>
      <c r="C50" s="199" t="s">
        <v>43</v>
      </c>
      <c r="D50" s="199" t="s">
        <v>45</v>
      </c>
      <c r="E50" s="199" t="s">
        <v>430</v>
      </c>
      <c r="F50" s="199">
        <v>54.6</v>
      </c>
      <c r="G50" s="199">
        <v>43.9</v>
      </c>
      <c r="H50" s="199">
        <v>49.9</v>
      </c>
      <c r="I50" s="199">
        <v>45.7</v>
      </c>
      <c r="J50" s="199">
        <v>67.4</v>
      </c>
      <c r="K50" s="199">
        <v>18.0</v>
      </c>
      <c r="L50" s="199">
        <v>8.8</v>
      </c>
      <c r="M50" s="199">
        <v>4.2</v>
      </c>
      <c r="N50" s="199">
        <v>1.5</v>
      </c>
      <c r="O50" s="199">
        <v>0.1</v>
      </c>
      <c r="P50" s="199">
        <v>36.8</v>
      </c>
      <c r="Q50" s="199">
        <v>41.6</v>
      </c>
      <c r="R50" s="199">
        <v>43.9</v>
      </c>
      <c r="S50" s="199" t="s">
        <v>28</v>
      </c>
      <c r="T50" s="199"/>
      <c r="U50" s="199" t="s">
        <v>48</v>
      </c>
      <c r="V50" s="199" t="s">
        <v>49</v>
      </c>
      <c r="W50" s="199" t="s">
        <v>432</v>
      </c>
      <c r="X50" s="199" t="s">
        <v>433</v>
      </c>
      <c r="Y50" s="203"/>
      <c r="Z50" s="203"/>
      <c r="AA50" s="203"/>
      <c r="AB50" s="203"/>
      <c r="AC50" s="203"/>
    </row>
    <row r="51">
      <c r="A51" s="199" t="s">
        <v>435</v>
      </c>
      <c r="B51" s="199" t="s">
        <v>43</v>
      </c>
      <c r="C51" s="199" t="s">
        <v>43</v>
      </c>
      <c r="D51" s="199" t="s">
        <v>45</v>
      </c>
      <c r="E51" s="199" t="s">
        <v>436</v>
      </c>
      <c r="F51" s="199">
        <v>58.8</v>
      </c>
      <c r="G51" s="199">
        <v>39.8</v>
      </c>
      <c r="H51" s="199">
        <v>53.4</v>
      </c>
      <c r="I51" s="199">
        <v>41.9</v>
      </c>
      <c r="J51" s="199">
        <v>62.4</v>
      </c>
      <c r="K51" s="199">
        <v>8.7</v>
      </c>
      <c r="L51" s="199">
        <v>22.8</v>
      </c>
      <c r="M51" s="199">
        <v>4.8</v>
      </c>
      <c r="N51" s="199">
        <v>2.0</v>
      </c>
      <c r="O51" s="199">
        <v>0.1</v>
      </c>
      <c r="P51" s="199">
        <v>32.7</v>
      </c>
      <c r="Q51" s="199">
        <v>35.2</v>
      </c>
      <c r="R51" s="199">
        <v>44.5</v>
      </c>
      <c r="S51" s="199" t="s">
        <v>28</v>
      </c>
      <c r="T51" s="199"/>
      <c r="U51" s="199" t="s">
        <v>48</v>
      </c>
      <c r="V51" s="199" t="s">
        <v>49</v>
      </c>
      <c r="W51" s="199" t="s">
        <v>438</v>
      </c>
      <c r="X51" s="199" t="s">
        <v>439</v>
      </c>
      <c r="Y51" s="203"/>
      <c r="Z51" s="203"/>
      <c r="AA51" s="203"/>
      <c r="AB51" s="203"/>
      <c r="AC51" s="203"/>
    </row>
    <row r="52">
      <c r="A52" s="199" t="s">
        <v>441</v>
      </c>
      <c r="B52" s="199" t="s">
        <v>43</v>
      </c>
      <c r="C52" s="199" t="s">
        <v>43</v>
      </c>
      <c r="D52" s="199" t="s">
        <v>45</v>
      </c>
      <c r="E52" s="199" t="s">
        <v>443</v>
      </c>
      <c r="F52" s="199">
        <v>58.2</v>
      </c>
      <c r="G52" s="199">
        <v>40.8</v>
      </c>
      <c r="H52" s="199">
        <v>61.0</v>
      </c>
      <c r="I52" s="199">
        <v>34.7</v>
      </c>
      <c r="J52" s="199">
        <v>32.3</v>
      </c>
      <c r="K52" s="199">
        <v>50.0</v>
      </c>
      <c r="L52" s="199">
        <v>13.0</v>
      </c>
      <c r="M52" s="199">
        <v>5.2</v>
      </c>
      <c r="N52" s="199">
        <v>1.9</v>
      </c>
      <c r="O52" s="199">
        <v>0.3</v>
      </c>
      <c r="P52" s="199">
        <v>28.8</v>
      </c>
      <c r="Q52" s="199">
        <v>34.7</v>
      </c>
      <c r="R52" s="199">
        <v>24.5</v>
      </c>
      <c r="S52" s="199" t="s">
        <v>446</v>
      </c>
      <c r="T52" s="199"/>
      <c r="U52" s="199" t="s">
        <v>48</v>
      </c>
      <c r="V52" s="199" t="s">
        <v>49</v>
      </c>
      <c r="W52" s="199" t="s">
        <v>444</v>
      </c>
      <c r="X52" s="199" t="s">
        <v>445</v>
      </c>
      <c r="Y52" s="203"/>
      <c r="Z52" s="203"/>
      <c r="AA52" s="203"/>
      <c r="AB52" s="203"/>
      <c r="AC52" s="203"/>
    </row>
    <row r="53">
      <c r="A53" s="199" t="s">
        <v>448</v>
      </c>
      <c r="B53" s="199" t="s">
        <v>43</v>
      </c>
      <c r="C53" s="199" t="s">
        <v>43</v>
      </c>
      <c r="D53" s="199" t="s">
        <v>45</v>
      </c>
      <c r="E53" s="199" t="s">
        <v>449</v>
      </c>
      <c r="F53" s="199">
        <v>65.3</v>
      </c>
      <c r="G53" s="199">
        <v>33.5</v>
      </c>
      <c r="H53" s="199">
        <v>63.6</v>
      </c>
      <c r="I53" s="199">
        <v>31.4</v>
      </c>
      <c r="J53" s="199">
        <v>38.5</v>
      </c>
      <c r="K53" s="199">
        <v>28.6</v>
      </c>
      <c r="L53" s="199">
        <v>26.0</v>
      </c>
      <c r="M53" s="199">
        <v>6.1</v>
      </c>
      <c r="N53" s="199">
        <v>1.7</v>
      </c>
      <c r="O53" s="199">
        <v>0.3</v>
      </c>
      <c r="P53" s="199">
        <v>34.0</v>
      </c>
      <c r="Q53" s="199">
        <v>47.0</v>
      </c>
      <c r="R53" s="199">
        <v>23.6</v>
      </c>
      <c r="S53" s="199" t="s">
        <v>453</v>
      </c>
      <c r="T53" s="199"/>
      <c r="U53" s="199" t="s">
        <v>48</v>
      </c>
      <c r="V53" s="199" t="s">
        <v>159</v>
      </c>
      <c r="W53" s="199" t="s">
        <v>451</v>
      </c>
      <c r="X53" s="199" t="s">
        <v>452</v>
      </c>
      <c r="Y53" s="203"/>
      <c r="Z53" s="203"/>
      <c r="AA53" s="203"/>
      <c r="AB53" s="203"/>
      <c r="AC53" s="203"/>
    </row>
    <row r="54">
      <c r="A54" s="199" t="s">
        <v>456</v>
      </c>
      <c r="B54" s="199" t="s">
        <v>43</v>
      </c>
      <c r="C54" s="199" t="s">
        <v>43</v>
      </c>
      <c r="D54" s="199" t="s">
        <v>45</v>
      </c>
      <c r="E54" s="199" t="s">
        <v>457</v>
      </c>
      <c r="F54" s="199">
        <v>59.0</v>
      </c>
      <c r="G54" s="199">
        <v>39.8</v>
      </c>
      <c r="H54" s="199">
        <v>58.3</v>
      </c>
      <c r="I54" s="199">
        <v>36.7</v>
      </c>
      <c r="J54" s="199">
        <v>49.4</v>
      </c>
      <c r="K54" s="199">
        <v>26.0</v>
      </c>
      <c r="L54" s="199">
        <v>19.1</v>
      </c>
      <c r="M54" s="199">
        <v>5.0</v>
      </c>
      <c r="N54" s="199">
        <v>1.6</v>
      </c>
      <c r="O54" s="199">
        <v>0.2</v>
      </c>
      <c r="P54" s="199">
        <v>36.5</v>
      </c>
      <c r="Q54" s="199">
        <v>47.1</v>
      </c>
      <c r="R54" s="199">
        <v>29.0</v>
      </c>
      <c r="S54" s="199" t="s">
        <v>75</v>
      </c>
      <c r="T54" s="199"/>
      <c r="U54" s="199" t="s">
        <v>48</v>
      </c>
      <c r="V54" s="199" t="s">
        <v>49</v>
      </c>
      <c r="W54" s="199" t="s">
        <v>461</v>
      </c>
      <c r="X54" s="199" t="s">
        <v>462</v>
      </c>
      <c r="Y54" s="203"/>
      <c r="Z54" s="203"/>
      <c r="AA54" s="203"/>
      <c r="AB54" s="203"/>
      <c r="AC54" s="203"/>
    </row>
    <row r="55">
      <c r="A55" s="199" t="s">
        <v>464</v>
      </c>
      <c r="B55" s="199" t="s">
        <v>43</v>
      </c>
      <c r="C55" s="199" t="s">
        <v>43</v>
      </c>
      <c r="D55" s="199" t="s">
        <v>45</v>
      </c>
      <c r="E55" s="199" t="s">
        <v>465</v>
      </c>
      <c r="F55" s="199">
        <v>75.9</v>
      </c>
      <c r="G55" s="199">
        <v>23.5</v>
      </c>
      <c r="H55" s="199">
        <v>77.4</v>
      </c>
      <c r="I55" s="199">
        <v>20.3</v>
      </c>
      <c r="J55" s="199">
        <v>23.5</v>
      </c>
      <c r="K55" s="199">
        <v>23.0</v>
      </c>
      <c r="L55" s="199">
        <v>50.1</v>
      </c>
      <c r="M55" s="199">
        <v>3.4</v>
      </c>
      <c r="N55" s="199">
        <v>1.2</v>
      </c>
      <c r="O55" s="199">
        <v>0.2</v>
      </c>
      <c r="P55" s="199">
        <v>23.4</v>
      </c>
      <c r="Q55" s="199">
        <v>31.5</v>
      </c>
      <c r="R55" s="199">
        <v>19.1</v>
      </c>
      <c r="S55" s="199" t="s">
        <v>470</v>
      </c>
      <c r="T55" s="199"/>
      <c r="U55" s="199" t="s">
        <v>48</v>
      </c>
      <c r="V55" s="199" t="s">
        <v>49</v>
      </c>
      <c r="W55" s="199" t="s">
        <v>467</v>
      </c>
      <c r="X55" s="199" t="s">
        <v>468</v>
      </c>
      <c r="Y55" s="203"/>
      <c r="Z55" s="203"/>
      <c r="AA55" s="203"/>
      <c r="AB55" s="203"/>
      <c r="AC55" s="203"/>
    </row>
    <row r="56">
      <c r="A56" s="199" t="s">
        <v>472</v>
      </c>
      <c r="B56" s="199" t="s">
        <v>43</v>
      </c>
      <c r="C56" s="199" t="s">
        <v>43</v>
      </c>
      <c r="D56" s="199" t="s">
        <v>45</v>
      </c>
      <c r="E56" s="199" t="s">
        <v>473</v>
      </c>
      <c r="F56" s="199">
        <v>58.5</v>
      </c>
      <c r="G56" s="199">
        <v>40.9</v>
      </c>
      <c r="H56" s="199">
        <v>58.7</v>
      </c>
      <c r="I56" s="199">
        <v>38.5</v>
      </c>
      <c r="J56" s="199">
        <v>55.3</v>
      </c>
      <c r="K56" s="199">
        <v>24.7</v>
      </c>
      <c r="L56" s="199">
        <v>15.9</v>
      </c>
      <c r="M56" s="199">
        <v>3.3</v>
      </c>
      <c r="N56" s="199">
        <v>1.5</v>
      </c>
      <c r="O56" s="199">
        <v>0.2</v>
      </c>
      <c r="P56" s="199">
        <v>34.7</v>
      </c>
      <c r="Q56" s="199">
        <v>43.4</v>
      </c>
      <c r="R56" s="199">
        <v>36.1</v>
      </c>
      <c r="S56" s="199" t="s">
        <v>75</v>
      </c>
      <c r="T56" s="199"/>
      <c r="U56" s="199" t="s">
        <v>48</v>
      </c>
      <c r="V56" s="199" t="s">
        <v>49</v>
      </c>
      <c r="W56" s="199" t="s">
        <v>476</v>
      </c>
      <c r="X56" s="199" t="s">
        <v>477</v>
      </c>
      <c r="Y56" s="203"/>
      <c r="Z56" s="203"/>
      <c r="AA56" s="203"/>
      <c r="AB56" s="203"/>
      <c r="AC56" s="203"/>
    </row>
    <row r="57">
      <c r="A57" s="199" t="s">
        <v>479</v>
      </c>
      <c r="B57" s="199" t="s">
        <v>43</v>
      </c>
      <c r="C57" s="199" t="s">
        <v>43</v>
      </c>
      <c r="D57" s="199" t="s">
        <v>45</v>
      </c>
      <c r="E57" s="199" t="s">
        <v>480</v>
      </c>
      <c r="F57" s="199">
        <v>56.3</v>
      </c>
      <c r="G57" s="199">
        <v>43.1</v>
      </c>
      <c r="H57" s="199">
        <v>55.7</v>
      </c>
      <c r="I57" s="199">
        <v>41.5</v>
      </c>
      <c r="J57" s="199">
        <v>58.4</v>
      </c>
      <c r="K57" s="199">
        <v>20.5</v>
      </c>
      <c r="L57" s="199">
        <v>13.2</v>
      </c>
      <c r="M57" s="199">
        <v>4.4</v>
      </c>
      <c r="N57" s="199">
        <v>1.1</v>
      </c>
      <c r="O57" s="199">
        <v>0.2</v>
      </c>
      <c r="P57" s="199">
        <v>42.4</v>
      </c>
      <c r="Q57" s="199">
        <v>46.1</v>
      </c>
      <c r="R57" s="199">
        <v>36.1</v>
      </c>
      <c r="S57" s="199" t="s">
        <v>75</v>
      </c>
      <c r="T57" s="199"/>
      <c r="U57" s="199" t="s">
        <v>48</v>
      </c>
      <c r="V57" s="199" t="s">
        <v>482</v>
      </c>
      <c r="W57" s="199" t="s">
        <v>88</v>
      </c>
      <c r="X57" s="199" t="s">
        <v>484</v>
      </c>
      <c r="Y57" s="203"/>
      <c r="Z57" s="203"/>
      <c r="AA57" s="203"/>
      <c r="AB57" s="203"/>
      <c r="AC57" s="203"/>
    </row>
    <row r="58">
      <c r="A58" s="199" t="s">
        <v>488</v>
      </c>
      <c r="B58" s="199" t="s">
        <v>43</v>
      </c>
      <c r="C58" s="199" t="s">
        <v>43</v>
      </c>
      <c r="D58" s="199" t="s">
        <v>45</v>
      </c>
      <c r="E58" s="199" t="s">
        <v>489</v>
      </c>
      <c r="F58" s="199">
        <v>74.3</v>
      </c>
      <c r="G58" s="199">
        <v>25.2</v>
      </c>
      <c r="H58" s="199">
        <v>80.6</v>
      </c>
      <c r="I58" s="199">
        <v>17.2</v>
      </c>
      <c r="J58" s="199">
        <v>18.2</v>
      </c>
      <c r="K58" s="199">
        <v>38.5</v>
      </c>
      <c r="L58" s="199">
        <v>42.2</v>
      </c>
      <c r="M58" s="199">
        <v>2.2</v>
      </c>
      <c r="N58" s="199">
        <v>0.9</v>
      </c>
      <c r="O58" s="199">
        <v>0.1</v>
      </c>
      <c r="P58" s="199">
        <v>27.7</v>
      </c>
      <c r="Q58" s="199">
        <v>51.8</v>
      </c>
      <c r="R58" s="199">
        <v>8.9</v>
      </c>
      <c r="S58" s="199" t="s">
        <v>28</v>
      </c>
      <c r="T58" s="199"/>
      <c r="U58" s="199" t="s">
        <v>48</v>
      </c>
      <c r="V58" s="199" t="s">
        <v>49</v>
      </c>
      <c r="W58" s="199" t="s">
        <v>492</v>
      </c>
      <c r="X58" s="199" t="s">
        <v>493</v>
      </c>
      <c r="Y58" s="203"/>
      <c r="Z58" s="203"/>
      <c r="AA58" s="203"/>
      <c r="AB58" s="203"/>
      <c r="AC58" s="203"/>
    </row>
    <row r="59">
      <c r="A59" s="199" t="s">
        <v>497</v>
      </c>
      <c r="B59" s="199" t="s">
        <v>43</v>
      </c>
      <c r="C59" s="199" t="s">
        <v>43</v>
      </c>
      <c r="D59" s="199" t="s">
        <v>45</v>
      </c>
      <c r="E59" s="199" t="s">
        <v>499</v>
      </c>
      <c r="F59" s="199">
        <v>59.7</v>
      </c>
      <c r="G59" s="199">
        <v>39.7</v>
      </c>
      <c r="H59" s="199">
        <v>62.7</v>
      </c>
      <c r="I59" s="199">
        <v>34.3</v>
      </c>
      <c r="J59" s="199">
        <v>34.4</v>
      </c>
      <c r="K59" s="199">
        <v>42.3</v>
      </c>
      <c r="L59" s="199">
        <v>17.5</v>
      </c>
      <c r="M59" s="199">
        <v>6.0</v>
      </c>
      <c r="N59" s="199">
        <v>1.3</v>
      </c>
      <c r="O59" s="199">
        <v>0.2</v>
      </c>
      <c r="P59" s="199">
        <v>37.4</v>
      </c>
      <c r="Q59" s="199">
        <v>40.0</v>
      </c>
      <c r="R59" s="199">
        <v>24.3</v>
      </c>
      <c r="S59" s="199" t="s">
        <v>75</v>
      </c>
      <c r="T59" s="199"/>
      <c r="U59" s="199" t="s">
        <v>48</v>
      </c>
      <c r="V59" s="199" t="s">
        <v>49</v>
      </c>
      <c r="W59" s="199" t="s">
        <v>503</v>
      </c>
      <c r="X59" s="199" t="s">
        <v>504</v>
      </c>
      <c r="Y59" s="203"/>
      <c r="Z59" s="203"/>
      <c r="AA59" s="203"/>
      <c r="AB59" s="203"/>
      <c r="AC59" s="203"/>
    </row>
    <row r="60">
      <c r="A60" s="199" t="s">
        <v>506</v>
      </c>
      <c r="B60" s="199" t="s">
        <v>43</v>
      </c>
      <c r="C60" s="199" t="s">
        <v>43</v>
      </c>
      <c r="D60" s="199" t="s">
        <v>45</v>
      </c>
      <c r="E60" s="199" t="s">
        <v>507</v>
      </c>
      <c r="F60" s="199">
        <v>54.7</v>
      </c>
      <c r="G60" s="199">
        <v>44.4</v>
      </c>
      <c r="H60" s="199">
        <v>53.6</v>
      </c>
      <c r="I60" s="199">
        <v>44.5</v>
      </c>
      <c r="J60" s="199">
        <v>42.7</v>
      </c>
      <c r="K60" s="199">
        <v>5.1</v>
      </c>
      <c r="L60" s="199">
        <v>49.3</v>
      </c>
      <c r="M60" s="199">
        <v>1.9</v>
      </c>
      <c r="N60" s="199">
        <v>1.5</v>
      </c>
      <c r="O60" s="199">
        <v>0.2</v>
      </c>
      <c r="P60" s="199">
        <v>19.6</v>
      </c>
      <c r="Q60" s="199">
        <v>25.2</v>
      </c>
      <c r="R60" s="199">
        <v>33.4</v>
      </c>
      <c r="S60" s="199" t="s">
        <v>28</v>
      </c>
      <c r="T60" s="199"/>
      <c r="U60" s="199" t="s">
        <v>48</v>
      </c>
      <c r="V60" s="199" t="s">
        <v>49</v>
      </c>
      <c r="W60" s="199" t="s">
        <v>510</v>
      </c>
      <c r="X60" s="199" t="s">
        <v>511</v>
      </c>
      <c r="Y60" s="203"/>
      <c r="Z60" s="203"/>
      <c r="AA60" s="203"/>
      <c r="AB60" s="203"/>
      <c r="AC60" s="203"/>
    </row>
    <row r="61">
      <c r="A61" s="199" t="s">
        <v>513</v>
      </c>
      <c r="B61" s="199" t="s">
        <v>43</v>
      </c>
      <c r="C61" s="199" t="s">
        <v>43</v>
      </c>
      <c r="D61" s="199" t="s">
        <v>45</v>
      </c>
      <c r="E61" s="199" t="s">
        <v>514</v>
      </c>
      <c r="F61" s="199">
        <v>78.3</v>
      </c>
      <c r="G61" s="199">
        <v>20.6</v>
      </c>
      <c r="H61" s="199">
        <v>74.7</v>
      </c>
      <c r="I61" s="199">
        <v>22.4</v>
      </c>
      <c r="J61" s="199">
        <v>28.3</v>
      </c>
      <c r="K61" s="199">
        <v>10.1</v>
      </c>
      <c r="L61" s="199">
        <v>54.5</v>
      </c>
      <c r="M61" s="199">
        <v>6.7</v>
      </c>
      <c r="N61" s="199">
        <v>1.7</v>
      </c>
      <c r="O61" s="199">
        <v>0.1</v>
      </c>
      <c r="P61" s="199">
        <v>40.5</v>
      </c>
      <c r="Q61" s="199">
        <v>59.1</v>
      </c>
      <c r="R61" s="199">
        <v>13.4</v>
      </c>
      <c r="S61" s="199" t="s">
        <v>28</v>
      </c>
      <c r="T61" s="199"/>
      <c r="U61" s="199" t="s">
        <v>48</v>
      </c>
      <c r="V61" s="199" t="s">
        <v>49</v>
      </c>
      <c r="W61" s="199" t="s">
        <v>516</v>
      </c>
      <c r="X61" s="199" t="s">
        <v>517</v>
      </c>
      <c r="Y61" s="203"/>
      <c r="Z61" s="203"/>
      <c r="AA61" s="203"/>
      <c r="AB61" s="203"/>
      <c r="AC61" s="203"/>
    </row>
    <row r="62">
      <c r="A62" s="199" t="s">
        <v>519</v>
      </c>
      <c r="B62" s="199" t="s">
        <v>43</v>
      </c>
      <c r="C62" s="199" t="s">
        <v>43</v>
      </c>
      <c r="D62" s="199" t="s">
        <v>45</v>
      </c>
      <c r="E62" s="199" t="s">
        <v>520</v>
      </c>
      <c r="F62" s="199">
        <v>82.6</v>
      </c>
      <c r="G62" s="199">
        <v>16.2</v>
      </c>
      <c r="H62" s="199">
        <v>80.7</v>
      </c>
      <c r="I62" s="199">
        <v>15.9</v>
      </c>
      <c r="J62" s="199">
        <v>37.9</v>
      </c>
      <c r="K62" s="199">
        <v>6.7</v>
      </c>
      <c r="L62" s="199">
        <v>49.6</v>
      </c>
      <c r="M62" s="199">
        <v>5.4</v>
      </c>
      <c r="N62" s="199">
        <v>1.3</v>
      </c>
      <c r="O62" s="199">
        <v>0.1</v>
      </c>
      <c r="P62" s="199">
        <v>50.3</v>
      </c>
      <c r="Q62" s="199">
        <v>77.0</v>
      </c>
      <c r="R62" s="199">
        <v>9.1</v>
      </c>
      <c r="S62" s="199" t="s">
        <v>28</v>
      </c>
      <c r="T62" s="199"/>
      <c r="U62" s="199" t="s">
        <v>48</v>
      </c>
      <c r="V62" s="199" t="s">
        <v>49</v>
      </c>
      <c r="W62" s="199" t="s">
        <v>523</v>
      </c>
      <c r="X62" s="199" t="s">
        <v>524</v>
      </c>
      <c r="Y62" s="203"/>
      <c r="Z62" s="203"/>
      <c r="AA62" s="203"/>
      <c r="AB62" s="203"/>
      <c r="AC62" s="203"/>
    </row>
    <row r="63">
      <c r="A63" s="199" t="s">
        <v>527</v>
      </c>
      <c r="B63" s="199" t="s">
        <v>43</v>
      </c>
      <c r="C63" s="199" t="s">
        <v>43</v>
      </c>
      <c r="D63" s="199" t="s">
        <v>45</v>
      </c>
      <c r="E63" s="199" t="s">
        <v>528</v>
      </c>
      <c r="F63" s="199">
        <v>62.3</v>
      </c>
      <c r="G63" s="199">
        <v>36.5</v>
      </c>
      <c r="H63" s="199">
        <v>55.1</v>
      </c>
      <c r="I63" s="199">
        <v>41.1</v>
      </c>
      <c r="J63" s="199">
        <v>32.8</v>
      </c>
      <c r="K63" s="199">
        <v>21.3</v>
      </c>
      <c r="L63" s="199">
        <v>29.8</v>
      </c>
      <c r="M63" s="199">
        <v>15.9</v>
      </c>
      <c r="N63" s="199">
        <v>2.1</v>
      </c>
      <c r="O63" s="199">
        <v>0.2</v>
      </c>
      <c r="P63" s="199">
        <v>39.7</v>
      </c>
      <c r="Q63" s="199">
        <v>48.2</v>
      </c>
      <c r="R63" s="199">
        <v>22.6</v>
      </c>
      <c r="S63" s="199" t="s">
        <v>28</v>
      </c>
      <c r="T63" s="199"/>
      <c r="U63" s="199" t="s">
        <v>48</v>
      </c>
      <c r="V63" s="199" t="s">
        <v>49</v>
      </c>
      <c r="W63" s="199" t="s">
        <v>534</v>
      </c>
      <c r="X63" s="199" t="s">
        <v>535</v>
      </c>
      <c r="Y63" s="203"/>
      <c r="Z63" s="203"/>
      <c r="AA63" s="203"/>
      <c r="AB63" s="203"/>
      <c r="AC63" s="203"/>
    </row>
    <row r="64">
      <c r="A64" s="199" t="s">
        <v>537</v>
      </c>
      <c r="B64" s="199" t="s">
        <v>43</v>
      </c>
      <c r="C64" s="199" t="s">
        <v>43</v>
      </c>
      <c r="D64" s="199" t="s">
        <v>45</v>
      </c>
      <c r="E64" s="199" t="s">
        <v>538</v>
      </c>
      <c r="F64" s="199">
        <v>79.7</v>
      </c>
      <c r="G64" s="199">
        <v>19.3</v>
      </c>
      <c r="H64" s="199">
        <v>76.2</v>
      </c>
      <c r="I64" s="199">
        <v>21.6</v>
      </c>
      <c r="J64" s="199">
        <v>18.8</v>
      </c>
      <c r="K64" s="199">
        <v>10.5</v>
      </c>
      <c r="L64" s="199">
        <v>66.7</v>
      </c>
      <c r="M64" s="199">
        <v>3.8</v>
      </c>
      <c r="N64" s="199">
        <v>1.7</v>
      </c>
      <c r="O64" s="199">
        <v>0.1</v>
      </c>
      <c r="P64" s="199">
        <v>28.6</v>
      </c>
      <c r="Q64" s="199">
        <v>28.2</v>
      </c>
      <c r="R64" s="199">
        <v>16.7</v>
      </c>
      <c r="S64" s="199" t="s">
        <v>28</v>
      </c>
      <c r="T64" s="199"/>
      <c r="U64" s="199" t="s">
        <v>48</v>
      </c>
      <c r="V64" s="199" t="s">
        <v>49</v>
      </c>
      <c r="W64" s="199" t="s">
        <v>541</v>
      </c>
      <c r="X64" s="199" t="s">
        <v>348</v>
      </c>
      <c r="Y64" s="203"/>
      <c r="Z64" s="203"/>
      <c r="AA64" s="203"/>
      <c r="AB64" s="203"/>
      <c r="AC64" s="203"/>
    </row>
    <row r="65">
      <c r="A65" s="199" t="s">
        <v>543</v>
      </c>
      <c r="B65" s="199" t="s">
        <v>43</v>
      </c>
      <c r="C65" s="199" t="s">
        <v>43</v>
      </c>
      <c r="D65" s="199" t="s">
        <v>45</v>
      </c>
      <c r="E65" s="199" t="s">
        <v>544</v>
      </c>
      <c r="F65" s="199">
        <v>63.9</v>
      </c>
      <c r="G65" s="199">
        <v>34.5</v>
      </c>
      <c r="H65" s="199">
        <v>63.1</v>
      </c>
      <c r="I65" s="199">
        <v>30.5</v>
      </c>
      <c r="J65" s="199">
        <v>16.1</v>
      </c>
      <c r="K65" s="199">
        <v>6.6</v>
      </c>
      <c r="L65" s="199">
        <v>3.1</v>
      </c>
      <c r="M65" s="199">
        <v>68.1</v>
      </c>
      <c r="N65" s="199">
        <v>1.9</v>
      </c>
      <c r="O65" s="199">
        <v>17.9</v>
      </c>
      <c r="P65" s="199">
        <v>36.9</v>
      </c>
      <c r="Q65" s="199">
        <v>51.4</v>
      </c>
      <c r="R65" s="199">
        <v>8.6</v>
      </c>
      <c r="S65" s="199" t="s">
        <v>75</v>
      </c>
      <c r="T65" s="199"/>
      <c r="U65" s="199" t="s">
        <v>48</v>
      </c>
      <c r="V65" s="199" t="s">
        <v>49</v>
      </c>
      <c r="W65" s="199" t="s">
        <v>548</v>
      </c>
      <c r="X65" s="199" t="s">
        <v>549</v>
      </c>
      <c r="Y65" s="203"/>
      <c r="Z65" s="203"/>
      <c r="AA65" s="203"/>
      <c r="AB65" s="203"/>
      <c r="AC65" s="203"/>
    </row>
    <row r="66">
      <c r="A66" s="199" t="s">
        <v>552</v>
      </c>
      <c r="B66" s="199" t="s">
        <v>43</v>
      </c>
      <c r="C66" s="199" t="s">
        <v>43</v>
      </c>
      <c r="D66" s="199" t="s">
        <v>45</v>
      </c>
      <c r="E66" s="199" t="s">
        <v>553</v>
      </c>
      <c r="F66" s="199">
        <v>63.6</v>
      </c>
      <c r="G66" s="199">
        <v>34.1</v>
      </c>
      <c r="H66" s="199">
        <v>61.4</v>
      </c>
      <c r="I66" s="199">
        <v>29.6</v>
      </c>
      <c r="J66" s="199">
        <v>31.8</v>
      </c>
      <c r="K66" s="199">
        <v>9.5</v>
      </c>
      <c r="L66" s="199">
        <v>2.4</v>
      </c>
      <c r="M66" s="199">
        <v>43.4</v>
      </c>
      <c r="N66" s="199">
        <v>3.0</v>
      </c>
      <c r="O66" s="199">
        <v>28.0</v>
      </c>
      <c r="P66" s="199">
        <v>30.1</v>
      </c>
      <c r="Q66" s="199">
        <v>43.3</v>
      </c>
      <c r="R66" s="199">
        <v>18.8</v>
      </c>
      <c r="S66" s="199" t="s">
        <v>113</v>
      </c>
      <c r="T66" s="199"/>
      <c r="U66" s="199" t="s">
        <v>48</v>
      </c>
      <c r="V66" s="199" t="s">
        <v>159</v>
      </c>
      <c r="W66" s="199" t="s">
        <v>556</v>
      </c>
      <c r="X66" s="199" t="s">
        <v>557</v>
      </c>
      <c r="Y66" s="203"/>
      <c r="Z66" s="203"/>
      <c r="AA66" s="203"/>
      <c r="AB66" s="203"/>
      <c r="AC66" s="203"/>
    </row>
    <row r="67">
      <c r="A67" s="199" t="s">
        <v>559</v>
      </c>
      <c r="B67" s="199" t="s">
        <v>43</v>
      </c>
      <c r="C67" s="199" t="s">
        <v>43</v>
      </c>
      <c r="D67" s="199" t="s">
        <v>45</v>
      </c>
      <c r="E67" s="199" t="s">
        <v>560</v>
      </c>
      <c r="F67" s="199">
        <v>70.5</v>
      </c>
      <c r="G67" s="199">
        <v>28.1</v>
      </c>
      <c r="H67" s="199">
        <v>71.9</v>
      </c>
      <c r="I67" s="199">
        <v>24.0</v>
      </c>
      <c r="J67" s="199">
        <v>37.0</v>
      </c>
      <c r="K67" s="199">
        <v>7.9</v>
      </c>
      <c r="L67" s="199">
        <v>52.0</v>
      </c>
      <c r="M67" s="199">
        <v>2.6</v>
      </c>
      <c r="N67" s="199">
        <v>1.4</v>
      </c>
      <c r="O67" s="199">
        <v>0.1</v>
      </c>
      <c r="P67" s="199">
        <v>30.3</v>
      </c>
      <c r="Q67" s="199">
        <v>37.2</v>
      </c>
      <c r="R67" s="199">
        <v>24.7</v>
      </c>
      <c r="S67" s="199" t="s">
        <v>28</v>
      </c>
      <c r="T67" s="199"/>
      <c r="U67" s="199" t="s">
        <v>48</v>
      </c>
      <c r="V67" s="199" t="s">
        <v>159</v>
      </c>
      <c r="W67" s="199" t="s">
        <v>562</v>
      </c>
      <c r="X67" s="199" t="s">
        <v>563</v>
      </c>
      <c r="Y67" s="203"/>
      <c r="Z67" s="203"/>
      <c r="AA67" s="203"/>
      <c r="AB67" s="203"/>
      <c r="AC67" s="203"/>
    </row>
    <row r="68">
      <c r="A68" s="199" t="s">
        <v>565</v>
      </c>
      <c r="B68" s="199" t="s">
        <v>43</v>
      </c>
      <c r="C68" s="199" t="s">
        <v>43</v>
      </c>
      <c r="D68" s="199" t="s">
        <v>45</v>
      </c>
      <c r="E68" s="199" t="s">
        <v>566</v>
      </c>
      <c r="F68" s="199">
        <v>69.3</v>
      </c>
      <c r="G68" s="199">
        <v>29.3</v>
      </c>
      <c r="H68" s="199">
        <v>69.1</v>
      </c>
      <c r="I68" s="199">
        <v>26.8</v>
      </c>
      <c r="J68" s="199">
        <v>36.3</v>
      </c>
      <c r="K68" s="199">
        <v>13.4</v>
      </c>
      <c r="L68" s="199">
        <v>48.4</v>
      </c>
      <c r="M68" s="199">
        <v>1.3</v>
      </c>
      <c r="N68" s="199">
        <v>1.8</v>
      </c>
      <c r="O68" s="199">
        <v>0.1</v>
      </c>
      <c r="P68" s="199">
        <v>23.0</v>
      </c>
      <c r="Q68" s="199">
        <v>22.6</v>
      </c>
      <c r="R68" s="199">
        <v>31.4</v>
      </c>
      <c r="S68" s="199" t="s">
        <v>28</v>
      </c>
      <c r="T68" s="199"/>
      <c r="U68" s="199" t="s">
        <v>48</v>
      </c>
      <c r="V68" s="199" t="s">
        <v>49</v>
      </c>
      <c r="W68" s="199" t="s">
        <v>570</v>
      </c>
      <c r="X68" s="199" t="s">
        <v>571</v>
      </c>
      <c r="Y68" s="203"/>
      <c r="Z68" s="203"/>
      <c r="AA68" s="203"/>
      <c r="AB68" s="203"/>
      <c r="AC68" s="203"/>
    </row>
    <row r="69">
      <c r="A69" s="199" t="s">
        <v>575</v>
      </c>
      <c r="B69" s="199" t="s">
        <v>43</v>
      </c>
      <c r="C69" s="199" t="s">
        <v>43</v>
      </c>
      <c r="D69" s="199" t="s">
        <v>45</v>
      </c>
      <c r="E69" s="199" t="s">
        <v>577</v>
      </c>
      <c r="F69" s="199">
        <v>69.7</v>
      </c>
      <c r="G69" s="199">
        <v>28.3</v>
      </c>
      <c r="H69" s="199">
        <v>69.1</v>
      </c>
      <c r="I69" s="199">
        <v>24.6</v>
      </c>
      <c r="J69" s="199">
        <v>42.8</v>
      </c>
      <c r="K69" s="199">
        <v>43.8</v>
      </c>
      <c r="L69" s="199">
        <v>6.0</v>
      </c>
      <c r="M69" s="199">
        <v>7.3</v>
      </c>
      <c r="N69" s="199">
        <v>3.5</v>
      </c>
      <c r="O69" s="199">
        <v>0.2</v>
      </c>
      <c r="P69" s="199">
        <v>33.8</v>
      </c>
      <c r="Q69" s="199">
        <v>47.8</v>
      </c>
      <c r="R69" s="199">
        <v>26.8</v>
      </c>
      <c r="S69" s="199" t="s">
        <v>277</v>
      </c>
      <c r="T69" s="199"/>
      <c r="U69" s="199" t="s">
        <v>48</v>
      </c>
      <c r="V69" s="199" t="s">
        <v>159</v>
      </c>
      <c r="W69" s="199" t="s">
        <v>579</v>
      </c>
      <c r="X69" s="199" t="s">
        <v>580</v>
      </c>
      <c r="Y69" s="203"/>
      <c r="Z69" s="203"/>
      <c r="AA69" s="203"/>
      <c r="AB69" s="203"/>
      <c r="AC69" s="203"/>
    </row>
    <row r="70">
      <c r="A70" s="199" t="s">
        <v>582</v>
      </c>
      <c r="B70" s="199" t="s">
        <v>43</v>
      </c>
      <c r="C70" s="199" t="s">
        <v>43</v>
      </c>
      <c r="D70" s="199" t="s">
        <v>45</v>
      </c>
      <c r="E70" s="199" t="s">
        <v>583</v>
      </c>
      <c r="F70" s="199">
        <v>72.3</v>
      </c>
      <c r="G70" s="199">
        <v>25.9</v>
      </c>
      <c r="H70" s="199">
        <v>72.4</v>
      </c>
      <c r="I70" s="199">
        <v>21.7</v>
      </c>
      <c r="J70" s="199">
        <v>26.2</v>
      </c>
      <c r="K70" s="199">
        <v>63.2</v>
      </c>
      <c r="L70" s="199">
        <v>5.8</v>
      </c>
      <c r="M70" s="199">
        <v>4.7</v>
      </c>
      <c r="N70" s="199">
        <v>4.8</v>
      </c>
      <c r="O70" s="199">
        <v>0.1</v>
      </c>
      <c r="P70" s="199">
        <v>22.2</v>
      </c>
      <c r="Q70" s="199">
        <v>40.7</v>
      </c>
      <c r="R70" s="199">
        <v>20.9</v>
      </c>
      <c r="S70" s="199" t="s">
        <v>83</v>
      </c>
      <c r="T70" s="199"/>
      <c r="U70" s="199" t="s">
        <v>48</v>
      </c>
      <c r="V70" s="199" t="s">
        <v>49</v>
      </c>
      <c r="W70" s="199" t="s">
        <v>588</v>
      </c>
      <c r="X70" s="199" t="s">
        <v>589</v>
      </c>
      <c r="Y70" s="203"/>
      <c r="Z70" s="203"/>
      <c r="AA70" s="203"/>
      <c r="AB70" s="203"/>
      <c r="AC70" s="203"/>
    </row>
    <row r="71">
      <c r="A71" s="199" t="s">
        <v>591</v>
      </c>
      <c r="B71" s="199" t="s">
        <v>43</v>
      </c>
      <c r="C71" s="199" t="s">
        <v>43</v>
      </c>
      <c r="D71" s="199" t="s">
        <v>45</v>
      </c>
      <c r="E71" s="199" t="s">
        <v>593</v>
      </c>
      <c r="F71" s="199">
        <v>68.9</v>
      </c>
      <c r="G71" s="199">
        <v>29.3</v>
      </c>
      <c r="H71" s="199">
        <v>65.5</v>
      </c>
      <c r="I71" s="199">
        <v>27.3</v>
      </c>
      <c r="J71" s="199">
        <v>73.3</v>
      </c>
      <c r="K71" s="199">
        <v>10.7</v>
      </c>
      <c r="L71" s="199">
        <v>3.3</v>
      </c>
      <c r="M71" s="199">
        <v>11.8</v>
      </c>
      <c r="N71" s="199">
        <v>1.2</v>
      </c>
      <c r="O71" s="199">
        <v>0.1</v>
      </c>
      <c r="P71" s="199">
        <v>62.9</v>
      </c>
      <c r="Q71" s="199">
        <v>65.8</v>
      </c>
      <c r="R71" s="199">
        <v>26.9</v>
      </c>
      <c r="S71" s="199" t="s">
        <v>75</v>
      </c>
      <c r="T71" s="199"/>
      <c r="U71" s="199" t="s">
        <v>48</v>
      </c>
      <c r="V71" s="199" t="s">
        <v>49</v>
      </c>
      <c r="W71" s="199" t="s">
        <v>95</v>
      </c>
      <c r="X71" s="199" t="s">
        <v>595</v>
      </c>
      <c r="Y71" s="203"/>
      <c r="Z71" s="203"/>
      <c r="AA71" s="203"/>
      <c r="AB71" s="203"/>
      <c r="AC71" s="203"/>
    </row>
    <row r="72">
      <c r="A72" s="199" t="s">
        <v>598</v>
      </c>
      <c r="B72" s="199" t="s">
        <v>43</v>
      </c>
      <c r="C72" s="199" t="s">
        <v>43</v>
      </c>
      <c r="D72" s="199" t="s">
        <v>45</v>
      </c>
      <c r="E72" s="199" t="s">
        <v>599</v>
      </c>
      <c r="F72" s="199">
        <v>54.5</v>
      </c>
      <c r="G72" s="199">
        <v>43.6</v>
      </c>
      <c r="H72" s="199">
        <v>50.7</v>
      </c>
      <c r="I72" s="199">
        <v>42.4</v>
      </c>
      <c r="J72" s="199">
        <v>74.6</v>
      </c>
      <c r="K72" s="199">
        <v>11.8</v>
      </c>
      <c r="L72" s="199">
        <v>5.9</v>
      </c>
      <c r="M72" s="199">
        <v>6.5</v>
      </c>
      <c r="N72" s="199">
        <v>1.3</v>
      </c>
      <c r="O72" s="199">
        <v>0.1</v>
      </c>
      <c r="P72" s="199">
        <v>42.8</v>
      </c>
      <c r="Q72" s="199">
        <v>43.3</v>
      </c>
      <c r="R72" s="199">
        <v>44.7</v>
      </c>
      <c r="S72" s="199" t="s">
        <v>75</v>
      </c>
      <c r="T72" s="199"/>
      <c r="U72" s="199" t="s">
        <v>48</v>
      </c>
      <c r="V72" s="199" t="s">
        <v>49</v>
      </c>
      <c r="W72" s="199" t="s">
        <v>601</v>
      </c>
      <c r="X72" s="199" t="s">
        <v>602</v>
      </c>
      <c r="Y72" s="203"/>
      <c r="Z72" s="203"/>
      <c r="AA72" s="203"/>
      <c r="AB72" s="203"/>
      <c r="AC72" s="203"/>
    </row>
    <row r="73">
      <c r="A73" s="199" t="s">
        <v>604</v>
      </c>
      <c r="B73" s="199" t="s">
        <v>43</v>
      </c>
      <c r="C73" s="199" t="s">
        <v>43</v>
      </c>
      <c r="D73" s="199" t="s">
        <v>45</v>
      </c>
      <c r="E73" s="199" t="s">
        <v>605</v>
      </c>
      <c r="F73" s="199">
        <v>85.6</v>
      </c>
      <c r="G73" s="199">
        <v>12.8</v>
      </c>
      <c r="H73" s="199">
        <v>85.8</v>
      </c>
      <c r="I73" s="199">
        <v>9.8</v>
      </c>
      <c r="J73" s="199">
        <v>32.7</v>
      </c>
      <c r="K73" s="199">
        <v>13.8</v>
      </c>
      <c r="L73" s="199">
        <v>43.0</v>
      </c>
      <c r="M73" s="199">
        <v>10.2</v>
      </c>
      <c r="N73" s="199">
        <v>1.5</v>
      </c>
      <c r="O73" s="199">
        <v>0.1</v>
      </c>
      <c r="P73" s="199">
        <v>45.0</v>
      </c>
      <c r="Q73" s="199">
        <v>75.6</v>
      </c>
      <c r="R73" s="199">
        <v>8.7</v>
      </c>
      <c r="S73" s="199" t="s">
        <v>28</v>
      </c>
      <c r="T73" s="199"/>
      <c r="U73" s="199" t="s">
        <v>48</v>
      </c>
      <c r="V73" s="199" t="s">
        <v>49</v>
      </c>
      <c r="W73" s="199" t="s">
        <v>606</v>
      </c>
      <c r="X73" s="199" t="s">
        <v>607</v>
      </c>
      <c r="Y73" s="203"/>
      <c r="Z73" s="203"/>
      <c r="AA73" s="203"/>
      <c r="AB73" s="203"/>
      <c r="AC73" s="203"/>
    </row>
    <row r="74">
      <c r="A74" s="199" t="s">
        <v>609</v>
      </c>
      <c r="B74" s="199" t="s">
        <v>43</v>
      </c>
      <c r="C74" s="199" t="s">
        <v>43</v>
      </c>
      <c r="D74" s="199" t="s">
        <v>45</v>
      </c>
      <c r="E74" s="199" t="s">
        <v>610</v>
      </c>
      <c r="F74" s="199">
        <v>56.8</v>
      </c>
      <c r="G74" s="199">
        <v>41.4</v>
      </c>
      <c r="H74" s="199">
        <v>54.6</v>
      </c>
      <c r="I74" s="199">
        <v>38.9</v>
      </c>
      <c r="J74" s="199">
        <v>58.4</v>
      </c>
      <c r="K74" s="199">
        <v>20.7</v>
      </c>
      <c r="L74" s="199">
        <v>4.8</v>
      </c>
      <c r="M74" s="199">
        <v>15.2</v>
      </c>
      <c r="N74" s="199">
        <v>2.1</v>
      </c>
      <c r="O74" s="199">
        <v>0.1</v>
      </c>
      <c r="P74" s="199">
        <v>37.5</v>
      </c>
      <c r="Q74" s="199">
        <v>39.0</v>
      </c>
      <c r="R74" s="199">
        <v>41.4</v>
      </c>
      <c r="S74" s="199" t="s">
        <v>105</v>
      </c>
      <c r="T74" s="199"/>
      <c r="U74" s="199" t="s">
        <v>48</v>
      </c>
      <c r="V74" s="199" t="s">
        <v>49</v>
      </c>
      <c r="W74" s="199" t="s">
        <v>614</v>
      </c>
      <c r="X74" s="199" t="s">
        <v>615</v>
      </c>
      <c r="Y74" s="203"/>
      <c r="Z74" s="203"/>
      <c r="AA74" s="203"/>
      <c r="AB74" s="203"/>
      <c r="AC74" s="203"/>
    </row>
    <row r="75">
      <c r="A75" s="199" t="s">
        <v>617</v>
      </c>
      <c r="B75" s="199" t="s">
        <v>43</v>
      </c>
      <c r="C75" s="199" t="s">
        <v>43</v>
      </c>
      <c r="D75" s="199" t="s">
        <v>45</v>
      </c>
      <c r="E75" s="199" t="s">
        <v>618</v>
      </c>
      <c r="F75" s="199">
        <v>69.9</v>
      </c>
      <c r="G75" s="199">
        <v>28.4</v>
      </c>
      <c r="H75" s="199">
        <v>68.2</v>
      </c>
      <c r="I75" s="199">
        <v>25.8</v>
      </c>
      <c r="J75" s="199">
        <v>61.6</v>
      </c>
      <c r="K75" s="199">
        <v>11.7</v>
      </c>
      <c r="L75" s="199">
        <v>9.7</v>
      </c>
      <c r="M75" s="199">
        <v>16.0</v>
      </c>
      <c r="N75" s="199">
        <v>1.5</v>
      </c>
      <c r="O75" s="199">
        <v>0.1</v>
      </c>
      <c r="P75" s="199">
        <v>53.8</v>
      </c>
      <c r="Q75" s="199">
        <v>59.1</v>
      </c>
      <c r="R75" s="199">
        <v>28.5</v>
      </c>
      <c r="S75" s="199" t="s">
        <v>75</v>
      </c>
      <c r="T75" s="199"/>
      <c r="U75" s="199" t="s">
        <v>48</v>
      </c>
      <c r="V75" s="199" t="s">
        <v>49</v>
      </c>
      <c r="W75" s="199" t="s">
        <v>619</v>
      </c>
      <c r="X75" s="199" t="s">
        <v>620</v>
      </c>
      <c r="Y75" s="203"/>
      <c r="Z75" s="203"/>
      <c r="AA75" s="203"/>
      <c r="AB75" s="203"/>
      <c r="AC75" s="203"/>
    </row>
    <row r="76">
      <c r="A76" s="199" t="s">
        <v>622</v>
      </c>
      <c r="B76" s="199" t="s">
        <v>43</v>
      </c>
      <c r="C76" s="199" t="s">
        <v>43</v>
      </c>
      <c r="D76" s="199" t="s">
        <v>45</v>
      </c>
      <c r="E76" s="199" t="s">
        <v>623</v>
      </c>
      <c r="F76" s="199">
        <v>62.0</v>
      </c>
      <c r="G76" s="199">
        <v>36.1</v>
      </c>
      <c r="H76" s="199">
        <v>57.7</v>
      </c>
      <c r="I76" s="199">
        <v>34.9</v>
      </c>
      <c r="J76" s="199">
        <v>61.6</v>
      </c>
      <c r="K76" s="199">
        <v>21.2</v>
      </c>
      <c r="L76" s="199">
        <v>7.1</v>
      </c>
      <c r="M76" s="199">
        <v>8.7</v>
      </c>
      <c r="N76" s="199">
        <v>2.2</v>
      </c>
      <c r="O76" s="199">
        <v>0.2</v>
      </c>
      <c r="P76" s="199">
        <v>45.4</v>
      </c>
      <c r="Q76" s="199">
        <v>52.7</v>
      </c>
      <c r="R76" s="199">
        <v>33.9</v>
      </c>
      <c r="S76" s="199" t="s">
        <v>75</v>
      </c>
      <c r="T76" s="199"/>
      <c r="U76" s="199" t="s">
        <v>48</v>
      </c>
      <c r="V76" s="199" t="s">
        <v>49</v>
      </c>
      <c r="W76" s="199" t="s">
        <v>258</v>
      </c>
      <c r="X76" s="199" t="s">
        <v>624</v>
      </c>
      <c r="Y76" s="203"/>
      <c r="Z76" s="203"/>
      <c r="AA76" s="203"/>
      <c r="AB76" s="203"/>
      <c r="AC76" s="203"/>
    </row>
    <row r="77">
      <c r="A77" s="199" t="s">
        <v>626</v>
      </c>
      <c r="B77" s="199" t="s">
        <v>43</v>
      </c>
      <c r="C77" s="199" t="s">
        <v>43</v>
      </c>
      <c r="D77" s="199" t="s">
        <v>45</v>
      </c>
      <c r="E77" s="199" t="s">
        <v>627</v>
      </c>
      <c r="F77" s="199">
        <v>56.6</v>
      </c>
      <c r="G77" s="199">
        <v>41.3</v>
      </c>
      <c r="H77" s="199">
        <v>51.7</v>
      </c>
      <c r="I77" s="199">
        <v>41.1</v>
      </c>
      <c r="J77" s="199">
        <v>66.6</v>
      </c>
      <c r="K77" s="199">
        <v>16.4</v>
      </c>
      <c r="L77" s="199">
        <v>6.6</v>
      </c>
      <c r="M77" s="199">
        <v>9.0</v>
      </c>
      <c r="N77" s="199">
        <v>1.8</v>
      </c>
      <c r="O77" s="199">
        <v>0.1</v>
      </c>
      <c r="P77" s="199">
        <v>43.5</v>
      </c>
      <c r="Q77" s="199">
        <v>46.8</v>
      </c>
      <c r="R77" s="199">
        <v>39.5</v>
      </c>
      <c r="S77" s="199" t="s">
        <v>75</v>
      </c>
      <c r="T77" s="199"/>
      <c r="U77" s="199" t="s">
        <v>48</v>
      </c>
      <c r="V77" s="199" t="s">
        <v>49</v>
      </c>
      <c r="W77" s="199" t="s">
        <v>347</v>
      </c>
      <c r="X77" s="199" t="s">
        <v>628</v>
      </c>
      <c r="Y77" s="203"/>
      <c r="Z77" s="203"/>
      <c r="AA77" s="203"/>
      <c r="AB77" s="203"/>
      <c r="AC77" s="203"/>
    </row>
    <row r="78">
      <c r="A78" s="199" t="s">
        <v>631</v>
      </c>
      <c r="B78" s="199" t="s">
        <v>632</v>
      </c>
      <c r="C78" s="199" t="s">
        <v>43</v>
      </c>
      <c r="D78" s="199" t="s">
        <v>397</v>
      </c>
      <c r="E78" s="199" t="s">
        <v>633</v>
      </c>
      <c r="F78" s="199">
        <v>54.4</v>
      </c>
      <c r="G78" s="199">
        <v>43.2</v>
      </c>
      <c r="H78" s="199">
        <v>50.6</v>
      </c>
      <c r="I78" s="199">
        <v>42.3</v>
      </c>
      <c r="J78" s="199">
        <v>67.8</v>
      </c>
      <c r="K78" s="199">
        <v>4.3</v>
      </c>
      <c r="L78" s="199">
        <v>20.3</v>
      </c>
      <c r="M78" s="199">
        <v>5.4</v>
      </c>
      <c r="N78" s="199">
        <v>2.1</v>
      </c>
      <c r="O78" s="199">
        <v>0.1</v>
      </c>
      <c r="P78" s="199">
        <v>30.0</v>
      </c>
      <c r="Q78" s="199">
        <v>31.9</v>
      </c>
      <c r="R78" s="199">
        <v>50.6</v>
      </c>
      <c r="S78" s="199" t="s">
        <v>75</v>
      </c>
      <c r="T78" s="199"/>
      <c r="U78" s="199" t="s">
        <v>48</v>
      </c>
      <c r="V78" s="199" t="s">
        <v>159</v>
      </c>
      <c r="W78" s="199" t="s">
        <v>634</v>
      </c>
      <c r="X78" s="199" t="s">
        <v>635</v>
      </c>
      <c r="Y78" s="203"/>
      <c r="Z78" s="203"/>
      <c r="AA78" s="203"/>
      <c r="AB78" s="203"/>
      <c r="AC78" s="203"/>
    </row>
    <row r="79">
      <c r="A79" s="199" t="s">
        <v>637</v>
      </c>
      <c r="B79" s="199" t="s">
        <v>43</v>
      </c>
      <c r="C79" s="199" t="s">
        <v>43</v>
      </c>
      <c r="D79" s="199" t="s">
        <v>45</v>
      </c>
      <c r="E79" s="199" t="s">
        <v>638</v>
      </c>
      <c r="F79" s="199">
        <v>54.7</v>
      </c>
      <c r="G79" s="199">
        <v>43.3</v>
      </c>
      <c r="H79" s="199">
        <v>50.7</v>
      </c>
      <c r="I79" s="199">
        <v>42.1</v>
      </c>
      <c r="J79" s="199">
        <v>62.7</v>
      </c>
      <c r="K79" s="199">
        <v>20.1</v>
      </c>
      <c r="L79" s="199">
        <v>10.2</v>
      </c>
      <c r="M79" s="199">
        <v>5.7</v>
      </c>
      <c r="N79" s="199">
        <v>2.2</v>
      </c>
      <c r="O79" s="199">
        <v>0.1</v>
      </c>
      <c r="P79" s="199">
        <v>31.5</v>
      </c>
      <c r="Q79" s="199">
        <v>34.8</v>
      </c>
      <c r="R79" s="199">
        <v>45.5</v>
      </c>
      <c r="S79" s="199" t="s">
        <v>28</v>
      </c>
      <c r="T79" s="199"/>
      <c r="U79" s="199" t="s">
        <v>48</v>
      </c>
      <c r="V79" s="199" t="s">
        <v>49</v>
      </c>
      <c r="W79" s="199" t="s">
        <v>639</v>
      </c>
      <c r="X79" s="199" t="s">
        <v>640</v>
      </c>
      <c r="Y79" s="203"/>
      <c r="Z79" s="203"/>
      <c r="AA79" s="203"/>
      <c r="AB79" s="203"/>
      <c r="AC79" s="203"/>
    </row>
    <row r="80">
      <c r="A80" s="199" t="s">
        <v>642</v>
      </c>
      <c r="B80" s="199" t="s">
        <v>43</v>
      </c>
      <c r="C80" s="199" t="s">
        <v>43</v>
      </c>
      <c r="D80" s="199" t="s">
        <v>45</v>
      </c>
      <c r="E80" s="199" t="s">
        <v>644</v>
      </c>
      <c r="F80" s="199">
        <v>52.7</v>
      </c>
      <c r="G80" s="199">
        <v>44.9</v>
      </c>
      <c r="H80" s="199">
        <v>49.6</v>
      </c>
      <c r="I80" s="199">
        <v>42.9</v>
      </c>
      <c r="J80" s="199">
        <v>72.0</v>
      </c>
      <c r="K80" s="199">
        <v>9.4</v>
      </c>
      <c r="L80" s="199">
        <v>14.2</v>
      </c>
      <c r="M80" s="199">
        <v>2.6</v>
      </c>
      <c r="N80" s="199">
        <v>2.0</v>
      </c>
      <c r="O80" s="199">
        <v>0.1</v>
      </c>
      <c r="P80" s="199">
        <v>23.6</v>
      </c>
      <c r="Q80" s="199">
        <v>25.7</v>
      </c>
      <c r="R80" s="199">
        <v>58.3</v>
      </c>
      <c r="S80" s="199" t="s">
        <v>75</v>
      </c>
      <c r="T80" s="199" t="s">
        <v>304</v>
      </c>
      <c r="U80" s="199" t="s">
        <v>48</v>
      </c>
      <c r="V80" s="199" t="s">
        <v>159</v>
      </c>
      <c r="W80" s="199" t="s">
        <v>151</v>
      </c>
      <c r="X80" s="199" t="s">
        <v>647</v>
      </c>
      <c r="Y80" s="203"/>
      <c r="Z80" s="203"/>
      <c r="AA80" s="203"/>
      <c r="AB80" s="203"/>
      <c r="AC80" s="203"/>
    </row>
    <row r="81">
      <c r="A81" s="199" t="s">
        <v>649</v>
      </c>
      <c r="B81" s="199" t="s">
        <v>43</v>
      </c>
      <c r="C81" s="199" t="s">
        <v>43</v>
      </c>
      <c r="D81" s="199" t="s">
        <v>45</v>
      </c>
      <c r="E81" s="199" t="s">
        <v>650</v>
      </c>
      <c r="F81" s="199">
        <v>53.4</v>
      </c>
      <c r="G81" s="199">
        <v>45.0</v>
      </c>
      <c r="H81" s="199">
        <v>53.0</v>
      </c>
      <c r="I81" s="199">
        <v>41.2</v>
      </c>
      <c r="J81" s="199">
        <v>63.2</v>
      </c>
      <c r="K81" s="199">
        <v>14.3</v>
      </c>
      <c r="L81" s="199">
        <v>18.9</v>
      </c>
      <c r="M81" s="199">
        <v>1.8</v>
      </c>
      <c r="N81" s="199">
        <v>2.1</v>
      </c>
      <c r="O81" s="199">
        <v>0.1</v>
      </c>
      <c r="P81" s="199">
        <v>24.0</v>
      </c>
      <c r="Q81" s="199">
        <v>27.0</v>
      </c>
      <c r="R81" s="199">
        <v>49.4</v>
      </c>
      <c r="S81" s="199" t="s">
        <v>75</v>
      </c>
      <c r="T81" s="199"/>
      <c r="U81" s="199" t="s">
        <v>48</v>
      </c>
      <c r="V81" s="199" t="s">
        <v>49</v>
      </c>
      <c r="W81" s="199" t="s">
        <v>652</v>
      </c>
      <c r="X81" s="199" t="s">
        <v>653</v>
      </c>
      <c r="Y81" s="203"/>
      <c r="Z81" s="203"/>
      <c r="AA81" s="203"/>
      <c r="AB81" s="203"/>
      <c r="AC81" s="203"/>
    </row>
    <row r="82">
      <c r="A82" s="199" t="s">
        <v>655</v>
      </c>
      <c r="B82" s="199" t="s">
        <v>43</v>
      </c>
      <c r="C82" s="199" t="s">
        <v>43</v>
      </c>
      <c r="D82" s="199" t="s">
        <v>45</v>
      </c>
      <c r="E82" s="199" t="s">
        <v>656</v>
      </c>
      <c r="F82" s="199">
        <v>70.3</v>
      </c>
      <c r="G82" s="199">
        <v>27.9</v>
      </c>
      <c r="H82" s="199">
        <v>64.7</v>
      </c>
      <c r="I82" s="199">
        <v>29.0</v>
      </c>
      <c r="J82" s="199">
        <v>50.4</v>
      </c>
      <c r="K82" s="199">
        <v>12.2</v>
      </c>
      <c r="L82" s="199">
        <v>33.4</v>
      </c>
      <c r="M82" s="199">
        <v>2.7</v>
      </c>
      <c r="N82" s="199">
        <v>2.0</v>
      </c>
      <c r="O82" s="199">
        <v>0.1</v>
      </c>
      <c r="P82" s="199">
        <v>33.1</v>
      </c>
      <c r="Q82" s="199">
        <v>42.8</v>
      </c>
      <c r="R82" s="199">
        <v>33.3</v>
      </c>
      <c r="S82" s="199" t="s">
        <v>28</v>
      </c>
      <c r="T82" s="199"/>
      <c r="U82" s="199" t="s">
        <v>48</v>
      </c>
      <c r="V82" s="199" t="s">
        <v>49</v>
      </c>
      <c r="W82" s="199" t="s">
        <v>657</v>
      </c>
      <c r="X82" s="199" t="s">
        <v>658</v>
      </c>
      <c r="Y82" s="203"/>
      <c r="Z82" s="203"/>
      <c r="AA82" s="203"/>
      <c r="AB82" s="203"/>
      <c r="AC82" s="203"/>
    </row>
    <row r="83">
      <c r="A83" s="199" t="s">
        <v>661</v>
      </c>
      <c r="B83" s="199" t="s">
        <v>43</v>
      </c>
      <c r="C83" s="199" t="s">
        <v>43</v>
      </c>
      <c r="D83" s="199" t="s">
        <v>45</v>
      </c>
      <c r="E83" s="199" t="s">
        <v>662</v>
      </c>
      <c r="F83" s="199">
        <v>51.2</v>
      </c>
      <c r="G83" s="199">
        <v>46.7</v>
      </c>
      <c r="H83" s="199">
        <v>42.9</v>
      </c>
      <c r="I83" s="199">
        <v>48.2</v>
      </c>
      <c r="J83" s="199">
        <v>77.9</v>
      </c>
      <c r="K83" s="199">
        <v>8.5</v>
      </c>
      <c r="L83" s="199">
        <v>5.4</v>
      </c>
      <c r="M83" s="199">
        <v>5.4</v>
      </c>
      <c r="N83" s="199">
        <v>2.5</v>
      </c>
      <c r="O83" s="199">
        <v>0.1</v>
      </c>
      <c r="P83" s="199">
        <v>50.6</v>
      </c>
      <c r="Q83" s="199">
        <v>52.6</v>
      </c>
      <c r="R83" s="199">
        <v>40.5</v>
      </c>
      <c r="S83" s="199" t="s">
        <v>665</v>
      </c>
      <c r="T83" s="199" t="s">
        <v>666</v>
      </c>
      <c r="U83" s="199" t="s">
        <v>48</v>
      </c>
      <c r="V83" s="199" t="s">
        <v>49</v>
      </c>
      <c r="W83" s="199" t="s">
        <v>663</v>
      </c>
      <c r="X83" s="199" t="s">
        <v>664</v>
      </c>
      <c r="Y83" s="203"/>
      <c r="Z83" s="203"/>
      <c r="AA83" s="203"/>
      <c r="AB83" s="203"/>
      <c r="AC83" s="203"/>
    </row>
    <row r="84">
      <c r="A84" s="199" t="s">
        <v>668</v>
      </c>
      <c r="B84" s="199" t="s">
        <v>43</v>
      </c>
      <c r="C84" s="199" t="s">
        <v>43</v>
      </c>
      <c r="D84" s="199" t="s">
        <v>45</v>
      </c>
      <c r="E84" s="199" t="s">
        <v>669</v>
      </c>
      <c r="F84" s="199">
        <v>60.2</v>
      </c>
      <c r="G84" s="199">
        <v>37.9</v>
      </c>
      <c r="H84" s="199">
        <v>55.1</v>
      </c>
      <c r="I84" s="199">
        <v>39.7</v>
      </c>
      <c r="J84" s="199">
        <v>65.6</v>
      </c>
      <c r="K84" s="199">
        <v>6.9</v>
      </c>
      <c r="L84" s="199">
        <v>22.0</v>
      </c>
      <c r="M84" s="199">
        <v>3.7</v>
      </c>
      <c r="N84" s="199">
        <v>1.9</v>
      </c>
      <c r="O84" s="199">
        <v>0.2</v>
      </c>
      <c r="P84" s="199">
        <v>32.8</v>
      </c>
      <c r="Q84" s="199">
        <v>36.9</v>
      </c>
      <c r="R84" s="199">
        <v>45.9</v>
      </c>
      <c r="S84" s="199" t="s">
        <v>75</v>
      </c>
      <c r="T84" s="199"/>
      <c r="U84" s="199" t="s">
        <v>48</v>
      </c>
      <c r="V84" s="199" t="s">
        <v>159</v>
      </c>
      <c r="W84" s="199" t="s">
        <v>670</v>
      </c>
      <c r="X84" s="199" t="s">
        <v>671</v>
      </c>
      <c r="Y84" s="203"/>
      <c r="Z84" s="203"/>
      <c r="AA84" s="203"/>
      <c r="AB84" s="203"/>
      <c r="AC84" s="203"/>
    </row>
    <row r="85">
      <c r="A85" s="199" t="s">
        <v>673</v>
      </c>
      <c r="B85" s="199" t="s">
        <v>43</v>
      </c>
      <c r="C85" s="199" t="s">
        <v>43</v>
      </c>
      <c r="D85" s="199" t="s">
        <v>45</v>
      </c>
      <c r="E85" s="199" t="s">
        <v>674</v>
      </c>
      <c r="F85" s="199">
        <v>75.4</v>
      </c>
      <c r="G85" s="199">
        <v>22.9</v>
      </c>
      <c r="H85" s="199">
        <v>74.6</v>
      </c>
      <c r="I85" s="199">
        <v>22.2</v>
      </c>
      <c r="J85" s="199">
        <v>29.8</v>
      </c>
      <c r="K85" s="199">
        <v>7.8</v>
      </c>
      <c r="L85" s="199">
        <v>58.6</v>
      </c>
      <c r="M85" s="199">
        <v>3.3</v>
      </c>
      <c r="N85" s="199">
        <v>1.5</v>
      </c>
      <c r="O85" s="199">
        <v>0.1</v>
      </c>
      <c r="P85" s="199">
        <v>24.8</v>
      </c>
      <c r="Q85" s="199">
        <v>37.9</v>
      </c>
      <c r="R85" s="199">
        <v>19.5</v>
      </c>
      <c r="S85" s="199" t="s">
        <v>28</v>
      </c>
      <c r="T85" s="199"/>
      <c r="U85" s="199" t="s">
        <v>48</v>
      </c>
      <c r="V85" s="199" t="s">
        <v>49</v>
      </c>
      <c r="W85" s="199" t="s">
        <v>678</v>
      </c>
      <c r="X85" s="199" t="s">
        <v>679</v>
      </c>
      <c r="Y85" s="203"/>
      <c r="Z85" s="203"/>
      <c r="AA85" s="203"/>
      <c r="AB85" s="203"/>
      <c r="AC85" s="203"/>
    </row>
    <row r="86">
      <c r="A86" s="199" t="s">
        <v>728</v>
      </c>
      <c r="B86" s="199" t="s">
        <v>43</v>
      </c>
      <c r="C86" s="199" t="s">
        <v>43</v>
      </c>
      <c r="D86" s="199" t="s">
        <v>45</v>
      </c>
      <c r="E86" s="199" t="s">
        <v>729</v>
      </c>
      <c r="F86" s="199">
        <v>59.8</v>
      </c>
      <c r="G86" s="199">
        <v>38.2</v>
      </c>
      <c r="H86" s="199">
        <v>54.9</v>
      </c>
      <c r="I86" s="199">
        <v>37.4</v>
      </c>
      <c r="J86" s="199">
        <v>73.2</v>
      </c>
      <c r="K86" s="199">
        <v>15.8</v>
      </c>
      <c r="L86" s="199">
        <v>7.3</v>
      </c>
      <c r="M86" s="199">
        <v>2.7</v>
      </c>
      <c r="N86" s="199">
        <v>1.8</v>
      </c>
      <c r="O86" s="199">
        <v>0.2</v>
      </c>
      <c r="P86" s="199">
        <v>30.1</v>
      </c>
      <c r="Q86" s="199">
        <v>33.2</v>
      </c>
      <c r="R86" s="199">
        <v>51.6</v>
      </c>
      <c r="S86" s="199" t="s">
        <v>75</v>
      </c>
      <c r="T86" s="199"/>
      <c r="U86" s="199" t="s">
        <v>48</v>
      </c>
      <c r="V86" s="199" t="s">
        <v>49</v>
      </c>
      <c r="W86" s="199" t="s">
        <v>730</v>
      </c>
      <c r="X86" s="199" t="s">
        <v>731</v>
      </c>
      <c r="Y86" s="203"/>
      <c r="Z86" s="203"/>
      <c r="AA86" s="203"/>
      <c r="AB86" s="203"/>
      <c r="AC86" s="203"/>
    </row>
    <row r="87">
      <c r="A87" s="199" t="s">
        <v>733</v>
      </c>
      <c r="B87" s="199" t="s">
        <v>43</v>
      </c>
      <c r="C87" s="199" t="s">
        <v>43</v>
      </c>
      <c r="D87" s="199" t="s">
        <v>45</v>
      </c>
      <c r="E87" s="199" t="s">
        <v>734</v>
      </c>
      <c r="F87" s="199">
        <v>64.3</v>
      </c>
      <c r="G87" s="199">
        <v>33.5</v>
      </c>
      <c r="H87" s="199">
        <v>57.5</v>
      </c>
      <c r="I87" s="199">
        <v>33.9</v>
      </c>
      <c r="J87" s="199">
        <v>73.9</v>
      </c>
      <c r="K87" s="199">
        <v>9.6</v>
      </c>
      <c r="L87" s="199">
        <v>6.5</v>
      </c>
      <c r="M87" s="199">
        <v>7.8</v>
      </c>
      <c r="N87" s="199">
        <v>1.4</v>
      </c>
      <c r="O87" s="199">
        <v>0.1</v>
      </c>
      <c r="P87" s="199">
        <v>44.0</v>
      </c>
      <c r="Q87" s="199">
        <v>45.1</v>
      </c>
      <c r="R87" s="199">
        <v>45.2</v>
      </c>
      <c r="S87" s="199" t="s">
        <v>75</v>
      </c>
      <c r="T87" s="199"/>
      <c r="U87" s="199" t="s">
        <v>48</v>
      </c>
      <c r="V87" s="199" t="s">
        <v>49</v>
      </c>
      <c r="W87" s="199" t="s">
        <v>426</v>
      </c>
      <c r="X87" s="199" t="s">
        <v>735</v>
      </c>
      <c r="Y87" s="203"/>
      <c r="Z87" s="203"/>
      <c r="AA87" s="203"/>
      <c r="AB87" s="203"/>
      <c r="AC87" s="203"/>
    </row>
    <row r="88">
      <c r="A88" s="199" t="s">
        <v>739</v>
      </c>
      <c r="B88" s="199" t="s">
        <v>43</v>
      </c>
      <c r="C88" s="199" t="s">
        <v>43</v>
      </c>
      <c r="D88" s="199" t="s">
        <v>45</v>
      </c>
      <c r="E88" s="199" t="s">
        <v>740</v>
      </c>
      <c r="F88" s="199">
        <v>62.7</v>
      </c>
      <c r="G88" s="199">
        <v>35.3</v>
      </c>
      <c r="H88" s="199">
        <v>56.7</v>
      </c>
      <c r="I88" s="199">
        <v>35.4</v>
      </c>
      <c r="J88" s="199">
        <v>64.3</v>
      </c>
      <c r="K88" s="199">
        <v>19.5</v>
      </c>
      <c r="L88" s="199">
        <v>6.3</v>
      </c>
      <c r="M88" s="199">
        <v>8.5</v>
      </c>
      <c r="N88" s="199">
        <v>1.4</v>
      </c>
      <c r="O88" s="199">
        <v>0.2</v>
      </c>
      <c r="P88" s="199">
        <v>37.3</v>
      </c>
      <c r="Q88" s="199">
        <v>41.7</v>
      </c>
      <c r="R88" s="199">
        <v>43.4</v>
      </c>
      <c r="S88" s="199" t="s">
        <v>747</v>
      </c>
      <c r="T88" s="199"/>
      <c r="U88" s="199" t="s">
        <v>48</v>
      </c>
      <c r="V88" s="199" t="s">
        <v>49</v>
      </c>
      <c r="W88" s="199" t="s">
        <v>745</v>
      </c>
      <c r="X88" s="199" t="s">
        <v>746</v>
      </c>
      <c r="Y88" s="203"/>
      <c r="Z88" s="203"/>
      <c r="AA88" s="203"/>
      <c r="AB88" s="203"/>
      <c r="AC88" s="203"/>
    </row>
    <row r="89">
      <c r="A89" s="199" t="s">
        <v>749</v>
      </c>
      <c r="B89" s="199" t="s">
        <v>43</v>
      </c>
      <c r="C89" s="199" t="s">
        <v>43</v>
      </c>
      <c r="D89" s="199" t="s">
        <v>45</v>
      </c>
      <c r="E89" s="199" t="s">
        <v>751</v>
      </c>
      <c r="F89" s="199">
        <v>63.3</v>
      </c>
      <c r="G89" s="199">
        <v>34.8</v>
      </c>
      <c r="H89" s="199">
        <v>57.6</v>
      </c>
      <c r="I89" s="199">
        <v>35.0</v>
      </c>
      <c r="J89" s="199">
        <v>80.6</v>
      </c>
      <c r="K89" s="199">
        <v>5.1</v>
      </c>
      <c r="L89" s="199">
        <v>4.6</v>
      </c>
      <c r="M89" s="199">
        <v>7.1</v>
      </c>
      <c r="N89" s="199">
        <v>1.0</v>
      </c>
      <c r="O89" s="199">
        <v>0.1</v>
      </c>
      <c r="P89" s="199">
        <v>47.8</v>
      </c>
      <c r="Q89" s="199">
        <v>47.6</v>
      </c>
      <c r="R89" s="199">
        <v>45.7</v>
      </c>
      <c r="S89" s="199" t="s">
        <v>75</v>
      </c>
      <c r="T89" s="199"/>
      <c r="U89" s="199" t="s">
        <v>48</v>
      </c>
      <c r="V89" s="199" t="s">
        <v>49</v>
      </c>
      <c r="W89" s="199" t="s">
        <v>753</v>
      </c>
      <c r="X89" s="199" t="s">
        <v>754</v>
      </c>
      <c r="Y89" s="203"/>
      <c r="Z89" s="203"/>
      <c r="AA89" s="203"/>
      <c r="AB89" s="203"/>
      <c r="AC89" s="203"/>
    </row>
    <row r="90">
      <c r="A90" s="199" t="s">
        <v>758</v>
      </c>
      <c r="B90" s="199" t="s">
        <v>43</v>
      </c>
      <c r="C90" s="199" t="s">
        <v>43</v>
      </c>
      <c r="D90" s="199" t="s">
        <v>45</v>
      </c>
      <c r="E90" s="199" t="s">
        <v>760</v>
      </c>
      <c r="F90" s="199">
        <v>74.8</v>
      </c>
      <c r="G90" s="199">
        <v>23.6</v>
      </c>
      <c r="H90" s="199">
        <v>68.6</v>
      </c>
      <c r="I90" s="199">
        <v>24.9</v>
      </c>
      <c r="J90" s="199">
        <v>66.9</v>
      </c>
      <c r="K90" s="199">
        <v>9.4</v>
      </c>
      <c r="L90" s="199">
        <v>6.3</v>
      </c>
      <c r="M90" s="199">
        <v>13.8</v>
      </c>
      <c r="N90" s="199">
        <v>0.9</v>
      </c>
      <c r="O90" s="199">
        <v>0.1</v>
      </c>
      <c r="P90" s="199">
        <v>59.1</v>
      </c>
      <c r="Q90" s="199">
        <v>61.2</v>
      </c>
      <c r="R90" s="199">
        <v>30.5</v>
      </c>
      <c r="S90" s="199" t="s">
        <v>75</v>
      </c>
      <c r="T90" s="199"/>
      <c r="U90" s="199" t="s">
        <v>48</v>
      </c>
      <c r="V90" s="199" t="s">
        <v>49</v>
      </c>
      <c r="W90" s="199" t="s">
        <v>761</v>
      </c>
      <c r="X90" s="199" t="s">
        <v>762</v>
      </c>
      <c r="Y90" s="203"/>
      <c r="Z90" s="203"/>
      <c r="AA90" s="203"/>
      <c r="AB90" s="203"/>
      <c r="AC90" s="203"/>
    </row>
    <row r="91">
      <c r="A91" s="199" t="s">
        <v>764</v>
      </c>
      <c r="B91" s="199" t="s">
        <v>43</v>
      </c>
      <c r="C91" s="199" t="s">
        <v>43</v>
      </c>
      <c r="D91" s="199" t="s">
        <v>45</v>
      </c>
      <c r="E91" s="199" t="s">
        <v>765</v>
      </c>
      <c r="F91" s="199">
        <v>62.9</v>
      </c>
      <c r="G91" s="199">
        <v>35.3</v>
      </c>
      <c r="H91" s="199">
        <v>55.4</v>
      </c>
      <c r="I91" s="199">
        <v>37.3</v>
      </c>
      <c r="J91" s="199">
        <v>79.6</v>
      </c>
      <c r="K91" s="199">
        <v>9.2</v>
      </c>
      <c r="L91" s="199">
        <v>4.4</v>
      </c>
      <c r="M91" s="199">
        <v>5.3</v>
      </c>
      <c r="N91" s="199">
        <v>1.1</v>
      </c>
      <c r="O91" s="199">
        <v>0.1</v>
      </c>
      <c r="P91" s="199">
        <v>47.5</v>
      </c>
      <c r="Q91" s="199">
        <v>49.7</v>
      </c>
      <c r="R91" s="199">
        <v>43.4</v>
      </c>
      <c r="S91" s="199" t="s">
        <v>75</v>
      </c>
      <c r="T91" s="199"/>
      <c r="U91" s="199" t="s">
        <v>48</v>
      </c>
      <c r="V91" s="199" t="s">
        <v>49</v>
      </c>
      <c r="W91" s="199" t="s">
        <v>767</v>
      </c>
      <c r="X91" s="199" t="s">
        <v>768</v>
      </c>
      <c r="Y91" s="203"/>
      <c r="Z91" s="203"/>
      <c r="AA91" s="203"/>
      <c r="AB91" s="203"/>
      <c r="AC91" s="203"/>
    </row>
    <row r="92">
      <c r="A92" s="199" t="s">
        <v>773</v>
      </c>
      <c r="B92" s="199" t="s">
        <v>43</v>
      </c>
      <c r="C92" s="199" t="s">
        <v>43</v>
      </c>
      <c r="D92" s="199" t="s">
        <v>45</v>
      </c>
      <c r="E92" s="199" t="s">
        <v>774</v>
      </c>
      <c r="F92" s="199">
        <v>85.5</v>
      </c>
      <c r="G92" s="199">
        <v>13.1</v>
      </c>
      <c r="H92" s="199">
        <v>83.2</v>
      </c>
      <c r="I92" s="199">
        <v>11.6</v>
      </c>
      <c r="J92" s="199">
        <v>42.2</v>
      </c>
      <c r="K92" s="199">
        <v>19.4</v>
      </c>
      <c r="L92" s="199">
        <v>24.3</v>
      </c>
      <c r="M92" s="199">
        <v>13.8</v>
      </c>
      <c r="N92" s="199">
        <v>1.4</v>
      </c>
      <c r="O92" s="199">
        <v>0.2</v>
      </c>
      <c r="P92" s="199">
        <v>46.6</v>
      </c>
      <c r="Q92" s="199">
        <v>66.6</v>
      </c>
      <c r="R92" s="199">
        <v>17.0</v>
      </c>
      <c r="S92" s="199" t="s">
        <v>28</v>
      </c>
      <c r="T92" s="199"/>
      <c r="U92" s="199" t="s">
        <v>48</v>
      </c>
      <c r="V92" s="199" t="s">
        <v>49</v>
      </c>
      <c r="W92" s="199" t="s">
        <v>776</v>
      </c>
      <c r="X92" s="199" t="s">
        <v>777</v>
      </c>
      <c r="Y92" s="203"/>
      <c r="Z92" s="203"/>
      <c r="AA92" s="203"/>
      <c r="AB92" s="203"/>
      <c r="AC92" s="203"/>
    </row>
    <row r="93">
      <c r="A93" s="199" t="s">
        <v>779</v>
      </c>
      <c r="B93" s="199" t="s">
        <v>43</v>
      </c>
      <c r="C93" s="199" t="s">
        <v>43</v>
      </c>
      <c r="D93" s="199" t="s">
        <v>45</v>
      </c>
      <c r="E93" s="199" t="s">
        <v>780</v>
      </c>
      <c r="F93" s="199">
        <v>66.9</v>
      </c>
      <c r="G93" s="199">
        <v>31.4</v>
      </c>
      <c r="H93" s="199">
        <v>60.5</v>
      </c>
      <c r="I93" s="199">
        <v>32.9</v>
      </c>
      <c r="J93" s="199">
        <v>69.1</v>
      </c>
      <c r="K93" s="199">
        <v>6.0</v>
      </c>
      <c r="L93" s="199">
        <v>12.3</v>
      </c>
      <c r="M93" s="199">
        <v>10.2</v>
      </c>
      <c r="N93" s="199">
        <v>0.9</v>
      </c>
      <c r="O93" s="199">
        <v>0.1</v>
      </c>
      <c r="P93" s="199">
        <v>49.3</v>
      </c>
      <c r="Q93" s="199">
        <v>53.0</v>
      </c>
      <c r="R93" s="199">
        <v>36.4</v>
      </c>
      <c r="S93" s="199" t="s">
        <v>75</v>
      </c>
      <c r="T93" s="199"/>
      <c r="U93" s="199" t="s">
        <v>48</v>
      </c>
      <c r="V93" s="199" t="s">
        <v>49</v>
      </c>
      <c r="W93" s="199" t="s">
        <v>781</v>
      </c>
      <c r="X93" s="199" t="s">
        <v>782</v>
      </c>
      <c r="Y93" s="203"/>
      <c r="Z93" s="203"/>
      <c r="AA93" s="203"/>
      <c r="AB93" s="203"/>
      <c r="AC93" s="203"/>
    </row>
    <row r="94">
      <c r="A94" s="199" t="s">
        <v>785</v>
      </c>
      <c r="B94" s="199" t="s">
        <v>43</v>
      </c>
      <c r="C94" s="199" t="s">
        <v>43</v>
      </c>
      <c r="D94" s="199" t="s">
        <v>45</v>
      </c>
      <c r="E94" s="199" t="s">
        <v>786</v>
      </c>
      <c r="F94" s="199">
        <v>58.2</v>
      </c>
      <c r="G94" s="199">
        <v>40.0</v>
      </c>
      <c r="H94" s="199">
        <v>51.4</v>
      </c>
      <c r="I94" s="199">
        <v>41.5</v>
      </c>
      <c r="J94" s="199">
        <v>85.2</v>
      </c>
      <c r="K94" s="199">
        <v>4.8</v>
      </c>
      <c r="L94" s="199">
        <v>4.5</v>
      </c>
      <c r="M94" s="199">
        <v>1.7</v>
      </c>
      <c r="N94" s="199">
        <v>1.3</v>
      </c>
      <c r="O94" s="199">
        <v>0.1</v>
      </c>
      <c r="P94" s="199">
        <v>39.2</v>
      </c>
      <c r="Q94" s="199">
        <v>40.9</v>
      </c>
      <c r="R94" s="199">
        <v>53.9</v>
      </c>
      <c r="S94" s="199" t="s">
        <v>75</v>
      </c>
      <c r="T94" s="199"/>
      <c r="U94" s="199" t="s">
        <v>48</v>
      </c>
      <c r="V94" s="199" t="s">
        <v>49</v>
      </c>
      <c r="W94" s="199" t="s">
        <v>347</v>
      </c>
      <c r="X94" s="199" t="s">
        <v>789</v>
      </c>
      <c r="Y94" s="203"/>
      <c r="Z94" s="203"/>
      <c r="AA94" s="203"/>
      <c r="AB94" s="203"/>
      <c r="AC94" s="203"/>
    </row>
    <row r="95">
      <c r="A95" s="199" t="s">
        <v>687</v>
      </c>
      <c r="B95" s="199" t="s">
        <v>43</v>
      </c>
      <c r="C95" s="199" t="s">
        <v>43</v>
      </c>
      <c r="D95" s="199" t="s">
        <v>45</v>
      </c>
      <c r="E95" s="199" t="s">
        <v>688</v>
      </c>
      <c r="F95" s="199">
        <v>59.4</v>
      </c>
      <c r="G95" s="199">
        <v>38.6</v>
      </c>
      <c r="H95" s="199">
        <v>52.3</v>
      </c>
      <c r="I95" s="199">
        <v>41.2</v>
      </c>
      <c r="J95" s="199">
        <v>62.4</v>
      </c>
      <c r="K95" s="199">
        <v>5.1</v>
      </c>
      <c r="L95" s="199">
        <v>24.3</v>
      </c>
      <c r="M95" s="199">
        <v>6.9</v>
      </c>
      <c r="N95" s="199">
        <v>1.6</v>
      </c>
      <c r="O95" s="199">
        <v>0.1</v>
      </c>
      <c r="P95" s="199">
        <v>30.8</v>
      </c>
      <c r="Q95" s="199">
        <v>32.2</v>
      </c>
      <c r="R95" s="199">
        <v>46.9</v>
      </c>
      <c r="S95" s="199" t="s">
        <v>75</v>
      </c>
      <c r="T95" s="199"/>
      <c r="U95" s="199" t="s">
        <v>48</v>
      </c>
      <c r="V95" s="199" t="s">
        <v>49</v>
      </c>
      <c r="W95" s="199" t="s">
        <v>689</v>
      </c>
      <c r="X95" s="199" t="s">
        <v>690</v>
      </c>
      <c r="Y95" s="203"/>
      <c r="Z95" s="203"/>
      <c r="AA95" s="203"/>
      <c r="AB95" s="203"/>
      <c r="AC95" s="203"/>
    </row>
    <row r="96">
      <c r="A96" s="199" t="s">
        <v>692</v>
      </c>
      <c r="B96" s="199" t="s">
        <v>43</v>
      </c>
      <c r="C96" s="199" t="s">
        <v>43</v>
      </c>
      <c r="D96" s="199" t="s">
        <v>45</v>
      </c>
      <c r="E96" s="199" t="s">
        <v>693</v>
      </c>
      <c r="F96" s="199">
        <v>61.7</v>
      </c>
      <c r="G96" s="199">
        <v>36.2</v>
      </c>
      <c r="H96" s="199">
        <v>53.2</v>
      </c>
      <c r="I96" s="199">
        <v>39.5</v>
      </c>
      <c r="J96" s="199">
        <v>60.6</v>
      </c>
      <c r="K96" s="199">
        <v>7.6</v>
      </c>
      <c r="L96" s="199">
        <v>18.4</v>
      </c>
      <c r="M96" s="199">
        <v>11.9</v>
      </c>
      <c r="N96" s="199">
        <v>1.8</v>
      </c>
      <c r="O96" s="199">
        <v>0.2</v>
      </c>
      <c r="P96" s="199">
        <v>53.4</v>
      </c>
      <c r="Q96" s="199">
        <v>56.3</v>
      </c>
      <c r="R96" s="199">
        <v>29.9</v>
      </c>
      <c r="S96" s="199" t="s">
        <v>75</v>
      </c>
      <c r="T96" s="199"/>
      <c r="U96" s="199" t="s">
        <v>48</v>
      </c>
      <c r="V96" s="199" t="s">
        <v>49</v>
      </c>
      <c r="W96" s="199" t="s">
        <v>120</v>
      </c>
      <c r="X96" s="199" t="s">
        <v>694</v>
      </c>
      <c r="Y96" s="203"/>
      <c r="Z96" s="203"/>
      <c r="AA96" s="203"/>
      <c r="AB96" s="203"/>
      <c r="AC96" s="203"/>
    </row>
    <row r="97">
      <c r="A97" s="199" t="s">
        <v>696</v>
      </c>
      <c r="B97" s="199" t="s">
        <v>43</v>
      </c>
      <c r="C97" s="199" t="s">
        <v>43</v>
      </c>
      <c r="D97" s="199" t="s">
        <v>45</v>
      </c>
      <c r="E97" s="199" t="s">
        <v>698</v>
      </c>
      <c r="F97" s="199">
        <v>89.6</v>
      </c>
      <c r="G97" s="199">
        <v>8.7</v>
      </c>
      <c r="H97" s="199">
        <v>89.2</v>
      </c>
      <c r="I97" s="199">
        <v>7.4</v>
      </c>
      <c r="J97" s="199">
        <v>12.3</v>
      </c>
      <c r="K97" s="199">
        <v>22.0</v>
      </c>
      <c r="L97" s="199">
        <v>59.8</v>
      </c>
      <c r="M97" s="199">
        <v>6.4</v>
      </c>
      <c r="N97" s="199">
        <v>2.5</v>
      </c>
      <c r="O97" s="199">
        <v>0.2</v>
      </c>
      <c r="P97" s="199">
        <v>36.0</v>
      </c>
      <c r="Q97" s="199">
        <v>54.9</v>
      </c>
      <c r="R97" s="199">
        <v>7.0</v>
      </c>
      <c r="S97" s="199" t="s">
        <v>28</v>
      </c>
      <c r="T97" s="199"/>
      <c r="U97" s="199" t="s">
        <v>48</v>
      </c>
      <c r="V97" s="199" t="s">
        <v>159</v>
      </c>
      <c r="W97" s="199" t="s">
        <v>701</v>
      </c>
      <c r="X97" s="199" t="s">
        <v>702</v>
      </c>
      <c r="Y97" s="203"/>
      <c r="Z97" s="203"/>
      <c r="AA97" s="203"/>
      <c r="AB97" s="203"/>
      <c r="AC97" s="203"/>
    </row>
    <row r="98">
      <c r="A98" s="199" t="s">
        <v>705</v>
      </c>
      <c r="B98" s="199" t="s">
        <v>43</v>
      </c>
      <c r="C98" s="199" t="s">
        <v>43</v>
      </c>
      <c r="D98" s="199" t="s">
        <v>45</v>
      </c>
      <c r="E98" s="199" t="s">
        <v>706</v>
      </c>
      <c r="F98" s="199">
        <v>67.4</v>
      </c>
      <c r="G98" s="199">
        <v>30.9</v>
      </c>
      <c r="H98" s="199">
        <v>59.2</v>
      </c>
      <c r="I98" s="199">
        <v>35.3</v>
      </c>
      <c r="J98" s="199">
        <v>45.7</v>
      </c>
      <c r="K98" s="199">
        <v>6.0</v>
      </c>
      <c r="L98" s="199">
        <v>43.0</v>
      </c>
      <c r="M98" s="199">
        <v>4.2</v>
      </c>
      <c r="N98" s="199">
        <v>2.2</v>
      </c>
      <c r="O98" s="199">
        <v>0.2</v>
      </c>
      <c r="P98" s="199">
        <v>35.8</v>
      </c>
      <c r="Q98" s="199">
        <v>37.5</v>
      </c>
      <c r="R98" s="199">
        <v>31.7</v>
      </c>
      <c r="S98" s="199" t="s">
        <v>75</v>
      </c>
      <c r="T98" s="199"/>
      <c r="U98" s="199" t="s">
        <v>48</v>
      </c>
      <c r="V98" s="199" t="s">
        <v>49</v>
      </c>
      <c r="W98" s="199" t="s">
        <v>707</v>
      </c>
      <c r="X98" s="199" t="s">
        <v>708</v>
      </c>
      <c r="Y98" s="203"/>
      <c r="Z98" s="203"/>
      <c r="AA98" s="203"/>
      <c r="AB98" s="203"/>
      <c r="AC98" s="203"/>
    </row>
    <row r="99">
      <c r="A99" s="199" t="s">
        <v>711</v>
      </c>
      <c r="B99" s="199" t="s">
        <v>43</v>
      </c>
      <c r="C99" s="199" t="s">
        <v>43</v>
      </c>
      <c r="D99" s="199" t="s">
        <v>45</v>
      </c>
      <c r="E99" s="199" t="s">
        <v>712</v>
      </c>
      <c r="F99" s="199">
        <v>53.9</v>
      </c>
      <c r="G99" s="199">
        <v>44.1</v>
      </c>
      <c r="H99" s="199">
        <v>47.4</v>
      </c>
      <c r="I99" s="199">
        <v>46.2</v>
      </c>
      <c r="J99" s="199">
        <v>63.6</v>
      </c>
      <c r="K99" s="199">
        <v>11.6</v>
      </c>
      <c r="L99" s="199">
        <v>13.9</v>
      </c>
      <c r="M99" s="199">
        <v>9.4</v>
      </c>
      <c r="N99" s="199">
        <v>2.0</v>
      </c>
      <c r="O99" s="199">
        <v>0.2</v>
      </c>
      <c r="P99" s="199">
        <v>44.3</v>
      </c>
      <c r="Q99" s="199">
        <v>44.0</v>
      </c>
      <c r="R99" s="199">
        <v>40.3</v>
      </c>
      <c r="S99" s="199" t="s">
        <v>75</v>
      </c>
      <c r="T99" s="199"/>
      <c r="U99" s="199" t="s">
        <v>48</v>
      </c>
      <c r="V99" s="199" t="s">
        <v>49</v>
      </c>
      <c r="W99" s="199" t="s">
        <v>541</v>
      </c>
      <c r="X99" s="199" t="s">
        <v>713</v>
      </c>
      <c r="Y99" s="203"/>
      <c r="Z99" s="203"/>
      <c r="AA99" s="203"/>
      <c r="AB99" s="203"/>
      <c r="AC99" s="203"/>
    </row>
    <row r="100">
      <c r="A100" s="199" t="s">
        <v>715</v>
      </c>
      <c r="B100" s="199" t="s">
        <v>43</v>
      </c>
      <c r="C100" s="199" t="s">
        <v>43</v>
      </c>
      <c r="D100" s="199" t="s">
        <v>45</v>
      </c>
      <c r="E100" s="199" t="s">
        <v>716</v>
      </c>
      <c r="F100" s="199">
        <v>81.0</v>
      </c>
      <c r="G100" s="199">
        <v>17.5</v>
      </c>
      <c r="H100" s="199">
        <v>77.7</v>
      </c>
      <c r="I100" s="199">
        <v>17.6</v>
      </c>
      <c r="J100" s="199">
        <v>32.5</v>
      </c>
      <c r="K100" s="199">
        <v>7.2</v>
      </c>
      <c r="L100" s="199">
        <v>54.7</v>
      </c>
      <c r="M100" s="199">
        <v>4.8</v>
      </c>
      <c r="N100" s="199">
        <v>1.8</v>
      </c>
      <c r="O100" s="199">
        <v>0.1</v>
      </c>
      <c r="P100" s="199">
        <v>38.3</v>
      </c>
      <c r="Q100" s="199">
        <v>54.7</v>
      </c>
      <c r="R100" s="199">
        <v>16.1</v>
      </c>
      <c r="S100" s="199" t="s">
        <v>28</v>
      </c>
      <c r="T100" s="199"/>
      <c r="U100" s="199" t="s">
        <v>48</v>
      </c>
      <c r="V100" s="199" t="s">
        <v>49</v>
      </c>
      <c r="W100" s="199" t="s">
        <v>718</v>
      </c>
      <c r="X100" s="199" t="s">
        <v>719</v>
      </c>
      <c r="Y100" s="203"/>
      <c r="Z100" s="203"/>
      <c r="AA100" s="203"/>
      <c r="AB100" s="203"/>
      <c r="AC100" s="203"/>
    </row>
    <row r="101">
      <c r="A101" s="199" t="s">
        <v>722</v>
      </c>
      <c r="B101" s="199" t="s">
        <v>43</v>
      </c>
      <c r="C101" s="199" t="s">
        <v>43</v>
      </c>
      <c r="D101" s="199" t="s">
        <v>45</v>
      </c>
      <c r="E101" s="199" t="s">
        <v>723</v>
      </c>
      <c r="F101" s="199">
        <v>80.5</v>
      </c>
      <c r="G101" s="199">
        <v>17.9</v>
      </c>
      <c r="H101" s="199">
        <v>75.7</v>
      </c>
      <c r="I101" s="199">
        <v>18.4</v>
      </c>
      <c r="J101" s="199">
        <v>46.9</v>
      </c>
      <c r="K101" s="199">
        <v>17.9</v>
      </c>
      <c r="L101" s="199">
        <v>18.2</v>
      </c>
      <c r="M101" s="199">
        <v>16.0</v>
      </c>
      <c r="N101" s="199">
        <v>1.7</v>
      </c>
      <c r="O101" s="199">
        <v>0.2</v>
      </c>
      <c r="P101" s="199">
        <v>53.3</v>
      </c>
      <c r="Q101" s="199">
        <v>57.5</v>
      </c>
      <c r="R101" s="199">
        <v>24.0</v>
      </c>
      <c r="S101" s="199" t="s">
        <v>75</v>
      </c>
      <c r="T101" s="199"/>
      <c r="U101" s="199" t="s">
        <v>48</v>
      </c>
      <c r="V101" s="199" t="s">
        <v>49</v>
      </c>
      <c r="W101" s="199" t="s">
        <v>725</v>
      </c>
      <c r="X101" s="199" t="s">
        <v>726</v>
      </c>
      <c r="Y101" s="203"/>
      <c r="Z101" s="203"/>
      <c r="AA101" s="203"/>
      <c r="AB101" s="203"/>
      <c r="AC101" s="203"/>
    </row>
    <row r="102">
      <c r="A102" s="199" t="s">
        <v>681</v>
      </c>
      <c r="B102" s="199" t="s">
        <v>43</v>
      </c>
      <c r="C102" s="199" t="s">
        <v>43</v>
      </c>
      <c r="D102" s="199" t="s">
        <v>45</v>
      </c>
      <c r="E102" s="199" t="s">
        <v>682</v>
      </c>
      <c r="F102" s="199">
        <v>60.0</v>
      </c>
      <c r="G102" s="199">
        <v>37.2</v>
      </c>
      <c r="H102" s="199">
        <v>53.8</v>
      </c>
      <c r="I102" s="199">
        <v>39.4</v>
      </c>
      <c r="J102" s="199">
        <v>91.0</v>
      </c>
      <c r="K102" s="199">
        <v>1.8</v>
      </c>
      <c r="L102" s="199">
        <v>2.3</v>
      </c>
      <c r="M102" s="199">
        <v>2.1</v>
      </c>
      <c r="N102" s="199">
        <v>1.8</v>
      </c>
      <c r="O102" s="199">
        <v>0.1</v>
      </c>
      <c r="P102" s="199">
        <v>39.2</v>
      </c>
      <c r="Q102" s="199">
        <v>39.5</v>
      </c>
      <c r="R102" s="199">
        <v>57.3</v>
      </c>
      <c r="S102" s="199" t="s">
        <v>75</v>
      </c>
      <c r="T102" s="199"/>
      <c r="U102" s="199" t="s">
        <v>48</v>
      </c>
      <c r="V102" s="199" t="s">
        <v>49</v>
      </c>
      <c r="W102" s="199" t="s">
        <v>684</v>
      </c>
      <c r="X102" s="199" t="s">
        <v>685</v>
      </c>
      <c r="Y102" s="203"/>
      <c r="Z102" s="203"/>
      <c r="AA102" s="203"/>
      <c r="AB102" s="203"/>
      <c r="AC102" s="203"/>
    </row>
    <row r="103">
      <c r="A103" s="199" t="s">
        <v>791</v>
      </c>
      <c r="B103" s="199" t="s">
        <v>632</v>
      </c>
      <c r="C103" s="199" t="s">
        <v>43</v>
      </c>
      <c r="D103" s="199" t="s">
        <v>397</v>
      </c>
      <c r="E103" s="199" t="s">
        <v>792</v>
      </c>
      <c r="F103" s="199">
        <v>53.3</v>
      </c>
      <c r="G103" s="199">
        <v>44.8</v>
      </c>
      <c r="H103" s="199">
        <v>46.7</v>
      </c>
      <c r="I103" s="199">
        <v>46.6</v>
      </c>
      <c r="J103" s="199">
        <v>74.0</v>
      </c>
      <c r="K103" s="199">
        <v>8.8</v>
      </c>
      <c r="L103" s="199">
        <v>11.7</v>
      </c>
      <c r="M103" s="199">
        <v>3.5</v>
      </c>
      <c r="N103" s="199">
        <v>2.1</v>
      </c>
      <c r="O103" s="199">
        <v>0.1</v>
      </c>
      <c r="P103" s="199">
        <v>35.2</v>
      </c>
      <c r="Q103" s="199">
        <v>39.1</v>
      </c>
      <c r="R103" s="199">
        <v>48.5</v>
      </c>
      <c r="S103" s="199" t="s">
        <v>75</v>
      </c>
      <c r="T103" s="199"/>
      <c r="U103" s="199" t="s">
        <v>48</v>
      </c>
      <c r="V103" s="199" t="s">
        <v>159</v>
      </c>
      <c r="W103" s="199" t="s">
        <v>793</v>
      </c>
      <c r="X103" s="199" t="s">
        <v>794</v>
      </c>
      <c r="Y103" s="203"/>
      <c r="Z103" s="203"/>
      <c r="AA103" s="203"/>
      <c r="AB103" s="203"/>
      <c r="AC103" s="203"/>
    </row>
    <row r="104">
      <c r="A104" s="199" t="s">
        <v>797</v>
      </c>
      <c r="B104" s="199" t="s">
        <v>43</v>
      </c>
      <c r="C104" s="199" t="s">
        <v>43</v>
      </c>
      <c r="D104" s="199" t="s">
        <v>45</v>
      </c>
      <c r="E104" s="199" t="s">
        <v>798</v>
      </c>
      <c r="F104" s="199">
        <v>62.7</v>
      </c>
      <c r="G104" s="199">
        <v>36.0</v>
      </c>
      <c r="H104" s="199">
        <v>58.0</v>
      </c>
      <c r="I104" s="199">
        <v>37.2</v>
      </c>
      <c r="J104" s="199">
        <v>71.5</v>
      </c>
      <c r="K104" s="199">
        <v>4.3</v>
      </c>
      <c r="L104" s="199">
        <v>10.8</v>
      </c>
      <c r="M104" s="199">
        <v>11.1</v>
      </c>
      <c r="N104" s="199">
        <v>1.8</v>
      </c>
      <c r="O104" s="199">
        <v>0.1</v>
      </c>
      <c r="P104" s="199">
        <v>49.8</v>
      </c>
      <c r="Q104" s="199">
        <v>49.0</v>
      </c>
      <c r="R104" s="199">
        <v>40.0</v>
      </c>
      <c r="S104" s="199" t="s">
        <v>75</v>
      </c>
      <c r="T104" s="199"/>
      <c r="U104" s="199" t="s">
        <v>48</v>
      </c>
      <c r="V104" s="199" t="s">
        <v>49</v>
      </c>
      <c r="W104" s="199" t="s">
        <v>503</v>
      </c>
      <c r="X104" s="199" t="s">
        <v>800</v>
      </c>
      <c r="Y104" s="203"/>
      <c r="Z104" s="203"/>
      <c r="AA104" s="203"/>
      <c r="AB104" s="203"/>
      <c r="AC104" s="203"/>
    </row>
    <row r="105">
      <c r="A105" s="199" t="s">
        <v>803</v>
      </c>
      <c r="B105" s="199" t="s">
        <v>43</v>
      </c>
      <c r="C105" s="199" t="s">
        <v>43</v>
      </c>
      <c r="D105" s="199" t="s">
        <v>45</v>
      </c>
      <c r="E105" s="199" t="s">
        <v>804</v>
      </c>
      <c r="F105" s="199">
        <v>49.4</v>
      </c>
      <c r="G105" s="199">
        <v>48.9</v>
      </c>
      <c r="H105" s="199">
        <v>45.1</v>
      </c>
      <c r="I105" s="199">
        <v>48.9</v>
      </c>
      <c r="J105" s="199">
        <v>82.0</v>
      </c>
      <c r="K105" s="199">
        <v>4.8</v>
      </c>
      <c r="L105" s="199">
        <v>6.8</v>
      </c>
      <c r="M105" s="199">
        <v>3.8</v>
      </c>
      <c r="N105" s="199">
        <v>2.2</v>
      </c>
      <c r="O105" s="199">
        <v>0.1</v>
      </c>
      <c r="P105" s="199">
        <v>34.9</v>
      </c>
      <c r="Q105" s="199">
        <v>34.9</v>
      </c>
      <c r="R105" s="199">
        <v>56.3</v>
      </c>
      <c r="S105" s="199" t="s">
        <v>75</v>
      </c>
      <c r="T105" s="199"/>
      <c r="U105" s="199" t="s">
        <v>48</v>
      </c>
      <c r="V105" s="199" t="s">
        <v>49</v>
      </c>
      <c r="W105" s="199" t="s">
        <v>805</v>
      </c>
      <c r="X105" s="199" t="s">
        <v>806</v>
      </c>
      <c r="Y105" s="203"/>
      <c r="Z105" s="203"/>
      <c r="AA105" s="203"/>
      <c r="AB105" s="203"/>
      <c r="AC105" s="203"/>
    </row>
    <row r="106">
      <c r="A106" s="199" t="s">
        <v>808</v>
      </c>
      <c r="B106" s="199" t="s">
        <v>43</v>
      </c>
      <c r="C106" s="199" t="s">
        <v>43</v>
      </c>
      <c r="D106" s="199" t="s">
        <v>45</v>
      </c>
      <c r="E106" s="199" t="s">
        <v>809</v>
      </c>
      <c r="F106" s="199">
        <v>50.3</v>
      </c>
      <c r="G106" s="199">
        <v>48.2</v>
      </c>
      <c r="H106" s="199">
        <v>48.0</v>
      </c>
      <c r="I106" s="199">
        <v>46.9</v>
      </c>
      <c r="J106" s="199">
        <v>76.2</v>
      </c>
      <c r="K106" s="199">
        <v>4.4</v>
      </c>
      <c r="L106" s="199">
        <v>15.2</v>
      </c>
      <c r="M106" s="199">
        <v>1.5</v>
      </c>
      <c r="N106" s="199">
        <v>2.3</v>
      </c>
      <c r="O106" s="199">
        <v>0.1</v>
      </c>
      <c r="P106" s="199">
        <v>22.9</v>
      </c>
      <c r="Q106" s="199">
        <v>24.4</v>
      </c>
      <c r="R106" s="199">
        <v>59.5</v>
      </c>
      <c r="S106" s="199" t="s">
        <v>75</v>
      </c>
      <c r="T106" s="199"/>
      <c r="U106" s="199" t="s">
        <v>48</v>
      </c>
      <c r="V106" s="199" t="s">
        <v>49</v>
      </c>
      <c r="W106" s="199" t="s">
        <v>811</v>
      </c>
      <c r="X106" s="199" t="s">
        <v>812</v>
      </c>
      <c r="Y106" s="203"/>
      <c r="Z106" s="203"/>
      <c r="AA106" s="203"/>
      <c r="AB106" s="203"/>
      <c r="AC106" s="203"/>
    </row>
    <row r="107">
      <c r="A107" s="199" t="s">
        <v>814</v>
      </c>
      <c r="B107" s="199" t="s">
        <v>43</v>
      </c>
      <c r="C107" s="199" t="s">
        <v>43</v>
      </c>
      <c r="D107" s="199" t="s">
        <v>45</v>
      </c>
      <c r="E107" s="199" t="s">
        <v>816</v>
      </c>
      <c r="F107" s="199">
        <v>59.3</v>
      </c>
      <c r="G107" s="199">
        <v>39.4</v>
      </c>
      <c r="H107" s="199">
        <v>54.5</v>
      </c>
      <c r="I107" s="199">
        <v>40.6</v>
      </c>
      <c r="J107" s="199">
        <v>70.9</v>
      </c>
      <c r="K107" s="199">
        <v>4.5</v>
      </c>
      <c r="L107" s="199">
        <v>13.6</v>
      </c>
      <c r="M107" s="199">
        <v>9.1</v>
      </c>
      <c r="N107" s="199">
        <v>1.5</v>
      </c>
      <c r="O107" s="199">
        <v>0.1</v>
      </c>
      <c r="P107" s="199">
        <v>47.7</v>
      </c>
      <c r="Q107" s="199">
        <v>48.3</v>
      </c>
      <c r="R107" s="199">
        <v>39.2</v>
      </c>
      <c r="S107" s="199" t="s">
        <v>75</v>
      </c>
      <c r="T107" s="199"/>
      <c r="U107" s="199" t="s">
        <v>48</v>
      </c>
      <c r="V107" s="199" t="s">
        <v>49</v>
      </c>
      <c r="W107" s="199" t="s">
        <v>817</v>
      </c>
      <c r="X107" s="199" t="s">
        <v>818</v>
      </c>
      <c r="Y107" s="203"/>
      <c r="Z107" s="203"/>
      <c r="AA107" s="203"/>
      <c r="AB107" s="203"/>
      <c r="AC107" s="203"/>
    </row>
    <row r="108">
      <c r="A108" s="199" t="s">
        <v>771</v>
      </c>
      <c r="B108" s="199" t="s">
        <v>43</v>
      </c>
      <c r="C108" s="199" t="s">
        <v>43</v>
      </c>
      <c r="D108" s="199" t="s">
        <v>45</v>
      </c>
      <c r="E108" s="199" t="s">
        <v>820</v>
      </c>
      <c r="F108" s="199">
        <v>73.7</v>
      </c>
      <c r="G108" s="199">
        <v>25.2</v>
      </c>
      <c r="H108" s="199">
        <v>71.8</v>
      </c>
      <c r="I108" s="199">
        <v>24.6</v>
      </c>
      <c r="J108" s="199">
        <v>47.5</v>
      </c>
      <c r="K108" s="199">
        <v>2.9</v>
      </c>
      <c r="L108" s="199">
        <v>45.7</v>
      </c>
      <c r="M108" s="199">
        <v>2.6</v>
      </c>
      <c r="N108" s="199">
        <v>1.6</v>
      </c>
      <c r="O108" s="199">
        <v>0.1</v>
      </c>
      <c r="P108" s="199">
        <v>25.5</v>
      </c>
      <c r="Q108" s="199">
        <v>30.7</v>
      </c>
      <c r="R108" s="199">
        <v>33.2</v>
      </c>
      <c r="S108" s="199" t="s">
        <v>823</v>
      </c>
      <c r="T108" s="199"/>
      <c r="U108" s="199" t="s">
        <v>48</v>
      </c>
      <c r="V108" s="199" t="s">
        <v>49</v>
      </c>
      <c r="W108" s="199" t="s">
        <v>769</v>
      </c>
      <c r="X108" s="199" t="s">
        <v>770</v>
      </c>
      <c r="Y108" s="203"/>
      <c r="Z108" s="203"/>
      <c r="AA108" s="203"/>
      <c r="AB108" s="203"/>
      <c r="AC108" s="203"/>
    </row>
    <row r="109">
      <c r="A109" s="199" t="s">
        <v>825</v>
      </c>
      <c r="B109" s="199" t="s">
        <v>43</v>
      </c>
      <c r="C109" s="199" t="s">
        <v>43</v>
      </c>
      <c r="D109" s="199" t="s">
        <v>45</v>
      </c>
      <c r="E109" s="199" t="s">
        <v>826</v>
      </c>
      <c r="F109" s="199">
        <v>74.2</v>
      </c>
      <c r="G109" s="199">
        <v>24.6</v>
      </c>
      <c r="H109" s="199">
        <v>74.1</v>
      </c>
      <c r="I109" s="199">
        <v>22.7</v>
      </c>
      <c r="J109" s="199">
        <v>39.5</v>
      </c>
      <c r="K109" s="199">
        <v>8.8</v>
      </c>
      <c r="L109" s="199">
        <v>46.9</v>
      </c>
      <c r="M109" s="199">
        <v>3.5</v>
      </c>
      <c r="N109" s="199">
        <v>2.1</v>
      </c>
      <c r="O109" s="199">
        <v>0.1</v>
      </c>
      <c r="P109" s="199">
        <v>20.5</v>
      </c>
      <c r="Q109" s="199">
        <v>28.0</v>
      </c>
      <c r="R109" s="199">
        <v>30.4</v>
      </c>
      <c r="S109" s="199" t="s">
        <v>105</v>
      </c>
      <c r="T109" s="199"/>
      <c r="U109" s="199" t="s">
        <v>48</v>
      </c>
      <c r="V109" s="199" t="s">
        <v>159</v>
      </c>
      <c r="W109" s="199" t="s">
        <v>827</v>
      </c>
      <c r="X109" s="199" t="s">
        <v>828</v>
      </c>
      <c r="Y109" s="203"/>
      <c r="Z109" s="203"/>
      <c r="AA109" s="203"/>
      <c r="AB109" s="203"/>
      <c r="AC109" s="203"/>
    </row>
    <row r="110">
      <c r="A110" s="199" t="s">
        <v>830</v>
      </c>
      <c r="B110" s="199" t="s">
        <v>43</v>
      </c>
      <c r="C110" s="199" t="s">
        <v>43</v>
      </c>
      <c r="D110" s="199" t="s">
        <v>45</v>
      </c>
      <c r="E110" s="199" t="s">
        <v>831</v>
      </c>
      <c r="F110" s="199">
        <v>52.5</v>
      </c>
      <c r="G110" s="199">
        <v>45.4</v>
      </c>
      <c r="H110" s="199">
        <v>45.0</v>
      </c>
      <c r="I110" s="199">
        <v>46.0</v>
      </c>
      <c r="J110" s="199">
        <v>79.0</v>
      </c>
      <c r="K110" s="199">
        <v>6.4</v>
      </c>
      <c r="L110" s="199">
        <v>6.1</v>
      </c>
      <c r="M110" s="199">
        <v>6.2</v>
      </c>
      <c r="N110" s="199">
        <v>1.8</v>
      </c>
      <c r="O110" s="199">
        <v>0.1</v>
      </c>
      <c r="P110" s="199">
        <v>40.9</v>
      </c>
      <c r="Q110" s="199">
        <v>42.4</v>
      </c>
      <c r="R110" s="199">
        <v>49.4</v>
      </c>
      <c r="S110" s="199" t="s">
        <v>75</v>
      </c>
      <c r="T110" s="199" t="s">
        <v>666</v>
      </c>
      <c r="U110" s="199" t="s">
        <v>48</v>
      </c>
      <c r="V110" s="199" t="s">
        <v>49</v>
      </c>
      <c r="W110" s="199" t="s">
        <v>833</v>
      </c>
      <c r="X110" s="199" t="s">
        <v>835</v>
      </c>
      <c r="Y110" s="203"/>
      <c r="Z110" s="203"/>
      <c r="AA110" s="203"/>
      <c r="AB110" s="203"/>
      <c r="AC110" s="203"/>
    </row>
    <row r="111">
      <c r="A111" s="199" t="s">
        <v>838</v>
      </c>
      <c r="B111" s="199" t="s">
        <v>43</v>
      </c>
      <c r="C111" s="199" t="s">
        <v>43</v>
      </c>
      <c r="D111" s="199" t="s">
        <v>45</v>
      </c>
      <c r="E111" s="199" t="s">
        <v>839</v>
      </c>
      <c r="F111" s="199">
        <v>59.5</v>
      </c>
      <c r="G111" s="199">
        <v>38.5</v>
      </c>
      <c r="H111" s="199">
        <v>51.1</v>
      </c>
      <c r="I111" s="199">
        <v>40.1</v>
      </c>
      <c r="J111" s="199">
        <v>75.8</v>
      </c>
      <c r="K111" s="199">
        <v>4.3</v>
      </c>
      <c r="L111" s="199">
        <v>9.1</v>
      </c>
      <c r="M111" s="199">
        <v>8.9</v>
      </c>
      <c r="N111" s="199">
        <v>1.5</v>
      </c>
      <c r="O111" s="199">
        <v>0.1</v>
      </c>
      <c r="P111" s="199">
        <v>49.5</v>
      </c>
      <c r="Q111" s="199">
        <v>51.8</v>
      </c>
      <c r="R111" s="199">
        <v>40.3</v>
      </c>
      <c r="S111" s="199" t="s">
        <v>75</v>
      </c>
      <c r="T111" s="199"/>
      <c r="U111" s="199" t="s">
        <v>48</v>
      </c>
      <c r="V111" s="199" t="s">
        <v>49</v>
      </c>
      <c r="W111" s="199" t="s">
        <v>841</v>
      </c>
      <c r="X111" s="199" t="s">
        <v>842</v>
      </c>
      <c r="Y111" s="203"/>
      <c r="Z111" s="203"/>
      <c r="AA111" s="203"/>
      <c r="AB111" s="203"/>
      <c r="AC111" s="203"/>
    </row>
    <row r="112">
      <c r="A112" s="199" t="s">
        <v>847</v>
      </c>
      <c r="B112" s="199" t="s">
        <v>43</v>
      </c>
      <c r="C112" s="199" t="s">
        <v>43</v>
      </c>
      <c r="D112" s="199" t="s">
        <v>45</v>
      </c>
      <c r="E112" s="199" t="s">
        <v>849</v>
      </c>
      <c r="F112" s="199">
        <v>67.8</v>
      </c>
      <c r="G112" s="199">
        <v>30.2</v>
      </c>
      <c r="H112" s="199">
        <v>61.1</v>
      </c>
      <c r="I112" s="199">
        <v>30.0</v>
      </c>
      <c r="J112" s="199">
        <v>67.9</v>
      </c>
      <c r="K112" s="199">
        <v>6.2</v>
      </c>
      <c r="L112" s="199">
        <v>11.0</v>
      </c>
      <c r="M112" s="199">
        <v>12.8</v>
      </c>
      <c r="N112" s="199">
        <v>2.1</v>
      </c>
      <c r="O112" s="199">
        <v>0.2</v>
      </c>
      <c r="P112" s="199">
        <v>44.5</v>
      </c>
      <c r="Q112" s="199">
        <v>50.1</v>
      </c>
      <c r="R112" s="199">
        <v>37.5</v>
      </c>
      <c r="S112" s="199" t="s">
        <v>75</v>
      </c>
      <c r="T112" s="199"/>
      <c r="U112" s="199" t="s">
        <v>48</v>
      </c>
      <c r="V112" s="199" t="s">
        <v>49</v>
      </c>
      <c r="W112" s="199" t="s">
        <v>852</v>
      </c>
      <c r="X112" s="199" t="s">
        <v>853</v>
      </c>
      <c r="Y112" s="203"/>
      <c r="Z112" s="203"/>
      <c r="AA112" s="203"/>
      <c r="AB112" s="203"/>
      <c r="AC112" s="203"/>
    </row>
    <row r="113">
      <c r="A113" s="199" t="s">
        <v>836</v>
      </c>
      <c r="B113" s="199" t="s">
        <v>43</v>
      </c>
      <c r="C113" s="199" t="s">
        <v>43</v>
      </c>
      <c r="D113" s="199" t="s">
        <v>45</v>
      </c>
      <c r="E113" s="199" t="s">
        <v>855</v>
      </c>
      <c r="F113" s="199">
        <v>80.6</v>
      </c>
      <c r="G113" s="199">
        <v>17.4</v>
      </c>
      <c r="H113" s="199">
        <v>73.3</v>
      </c>
      <c r="I113" s="199">
        <v>18.1</v>
      </c>
      <c r="J113" s="199">
        <v>65.4</v>
      </c>
      <c r="K113" s="199">
        <v>8.6</v>
      </c>
      <c r="L113" s="199">
        <v>16.5</v>
      </c>
      <c r="M113" s="199">
        <v>7.1</v>
      </c>
      <c r="N113" s="199">
        <v>2.8</v>
      </c>
      <c r="O113" s="199">
        <v>0.2</v>
      </c>
      <c r="P113" s="199">
        <v>47.7</v>
      </c>
      <c r="Q113" s="199">
        <v>56.7</v>
      </c>
      <c r="R113" s="199">
        <v>31.6</v>
      </c>
      <c r="S113" s="199" t="s">
        <v>856</v>
      </c>
      <c r="T113" s="199"/>
      <c r="U113" s="199" t="s">
        <v>48</v>
      </c>
      <c r="V113" s="199" t="s">
        <v>49</v>
      </c>
      <c r="W113" s="199" t="s">
        <v>832</v>
      </c>
      <c r="X113" s="199" t="s">
        <v>834</v>
      </c>
      <c r="Y113" s="203"/>
      <c r="Z113" s="203"/>
      <c r="AA113" s="203"/>
      <c r="AB113" s="203"/>
      <c r="AC113" s="203"/>
    </row>
    <row r="114">
      <c r="A114" s="199" t="s">
        <v>863</v>
      </c>
      <c r="B114" s="199" t="s">
        <v>43</v>
      </c>
      <c r="C114" s="199" t="s">
        <v>43</v>
      </c>
      <c r="D114" s="199" t="s">
        <v>45</v>
      </c>
      <c r="E114" s="199" t="s">
        <v>864</v>
      </c>
      <c r="F114" s="199">
        <v>78.4</v>
      </c>
      <c r="G114" s="199">
        <v>20.0</v>
      </c>
      <c r="H114" s="199">
        <v>74.9</v>
      </c>
      <c r="I114" s="199">
        <v>20.9</v>
      </c>
      <c r="J114" s="199">
        <v>44.3</v>
      </c>
      <c r="K114" s="199">
        <v>4.0</v>
      </c>
      <c r="L114" s="199">
        <v>45.4</v>
      </c>
      <c r="M114" s="199">
        <v>4.7</v>
      </c>
      <c r="N114" s="199">
        <v>1.8</v>
      </c>
      <c r="O114" s="199">
        <v>0.1</v>
      </c>
      <c r="P114" s="199">
        <v>34.5</v>
      </c>
      <c r="Q114" s="199">
        <v>47.2</v>
      </c>
      <c r="R114" s="199">
        <v>25.5</v>
      </c>
      <c r="S114" s="199" t="s">
        <v>28</v>
      </c>
      <c r="T114" s="199"/>
      <c r="U114" s="199" t="s">
        <v>48</v>
      </c>
      <c r="V114" s="199" t="s">
        <v>49</v>
      </c>
      <c r="W114" s="199" t="s">
        <v>865</v>
      </c>
      <c r="X114" s="199" t="s">
        <v>866</v>
      </c>
      <c r="Y114" s="203"/>
      <c r="Z114" s="203"/>
      <c r="AA114" s="203"/>
      <c r="AB114" s="203"/>
      <c r="AC114" s="203"/>
    </row>
    <row r="115">
      <c r="A115" s="199" t="s">
        <v>869</v>
      </c>
      <c r="B115" s="199" t="s">
        <v>43</v>
      </c>
      <c r="C115" s="199" t="s">
        <v>43</v>
      </c>
      <c r="D115" s="199" t="s">
        <v>45</v>
      </c>
      <c r="E115" s="199" t="s">
        <v>870</v>
      </c>
      <c r="F115" s="199">
        <v>62.2</v>
      </c>
      <c r="G115" s="199">
        <v>35.9</v>
      </c>
      <c r="H115" s="199">
        <v>57.5</v>
      </c>
      <c r="I115" s="199">
        <v>37.1</v>
      </c>
      <c r="J115" s="199">
        <v>61.9</v>
      </c>
      <c r="K115" s="199">
        <v>9.5</v>
      </c>
      <c r="L115" s="199">
        <v>22.4</v>
      </c>
      <c r="M115" s="199">
        <v>3.2</v>
      </c>
      <c r="N115" s="199">
        <v>3.1</v>
      </c>
      <c r="O115" s="199">
        <v>0.4</v>
      </c>
      <c r="P115" s="199">
        <v>32.2</v>
      </c>
      <c r="Q115" s="199">
        <v>37.9</v>
      </c>
      <c r="R115" s="199">
        <v>42.3</v>
      </c>
      <c r="S115" s="199" t="s">
        <v>28</v>
      </c>
      <c r="T115" s="199"/>
      <c r="U115" s="199" t="s">
        <v>48</v>
      </c>
      <c r="V115" s="199" t="s">
        <v>49</v>
      </c>
      <c r="W115" s="199" t="s">
        <v>871</v>
      </c>
      <c r="X115" s="199" t="s">
        <v>872</v>
      </c>
      <c r="Y115" s="203"/>
      <c r="Z115" s="203"/>
      <c r="AA115" s="203"/>
      <c r="AB115" s="203"/>
      <c r="AC115" s="203"/>
    </row>
    <row r="116">
      <c r="A116" s="199" t="s">
        <v>858</v>
      </c>
      <c r="B116" s="199" t="s">
        <v>43</v>
      </c>
      <c r="C116" s="199" t="s">
        <v>43</v>
      </c>
      <c r="D116" s="199" t="s">
        <v>45</v>
      </c>
      <c r="E116" s="199" t="s">
        <v>859</v>
      </c>
      <c r="F116" s="199">
        <v>62.5</v>
      </c>
      <c r="G116" s="199">
        <v>36.4</v>
      </c>
      <c r="H116" s="199">
        <v>62.3</v>
      </c>
      <c r="I116" s="199">
        <v>36.4</v>
      </c>
      <c r="J116" s="199">
        <v>34.3</v>
      </c>
      <c r="K116" s="199">
        <v>2.1</v>
      </c>
      <c r="L116" s="199">
        <v>62.1</v>
      </c>
      <c r="M116" s="199">
        <v>0.8</v>
      </c>
      <c r="N116" s="199">
        <v>1.1</v>
      </c>
      <c r="O116" s="199">
        <v>0.1</v>
      </c>
      <c r="P116" s="199">
        <v>19.8</v>
      </c>
      <c r="Q116" s="199">
        <v>25.5</v>
      </c>
      <c r="R116" s="199">
        <v>25.5</v>
      </c>
      <c r="S116" s="199" t="s">
        <v>28</v>
      </c>
      <c r="T116" s="199"/>
      <c r="U116" s="199" t="s">
        <v>48</v>
      </c>
      <c r="V116" s="199" t="s">
        <v>49</v>
      </c>
      <c r="W116" s="199" t="s">
        <v>860</v>
      </c>
      <c r="X116" s="199" t="s">
        <v>96</v>
      </c>
      <c r="Y116" s="203"/>
      <c r="Z116" s="203"/>
      <c r="AA116" s="203"/>
      <c r="AB116" s="203"/>
      <c r="AC116" s="203"/>
    </row>
    <row r="117">
      <c r="A117" s="199" t="s">
        <v>1070</v>
      </c>
      <c r="B117" s="199" t="s">
        <v>43</v>
      </c>
      <c r="C117" s="199" t="s">
        <v>43</v>
      </c>
      <c r="D117" s="199" t="s">
        <v>45</v>
      </c>
      <c r="E117" s="199" t="s">
        <v>1071</v>
      </c>
      <c r="F117" s="199">
        <v>53.2</v>
      </c>
      <c r="G117" s="199">
        <v>45.9</v>
      </c>
      <c r="H117" s="199">
        <v>53.6</v>
      </c>
      <c r="I117" s="199">
        <v>43.8</v>
      </c>
      <c r="J117" s="199">
        <v>50.1</v>
      </c>
      <c r="K117" s="199">
        <v>5.9</v>
      </c>
      <c r="L117" s="199">
        <v>41.2</v>
      </c>
      <c r="M117" s="199">
        <v>1.3</v>
      </c>
      <c r="N117" s="199">
        <v>2.2</v>
      </c>
      <c r="O117" s="199">
        <v>0.1</v>
      </c>
      <c r="P117" s="199">
        <v>20.8</v>
      </c>
      <c r="Q117" s="199">
        <v>26.9</v>
      </c>
      <c r="R117" s="199">
        <v>38.4</v>
      </c>
      <c r="S117" s="199" t="s">
        <v>28</v>
      </c>
      <c r="T117" s="199"/>
      <c r="U117" s="199" t="s">
        <v>48</v>
      </c>
      <c r="V117" s="199" t="s">
        <v>159</v>
      </c>
      <c r="W117" s="199" t="s">
        <v>1072</v>
      </c>
      <c r="X117" s="199" t="s">
        <v>607</v>
      </c>
      <c r="Y117" s="203"/>
      <c r="Z117" s="203"/>
      <c r="AA117" s="203"/>
      <c r="AB117" s="203"/>
      <c r="AC117" s="203"/>
    </row>
    <row r="118">
      <c r="A118" s="199" t="s">
        <v>1074</v>
      </c>
      <c r="B118" s="199" t="s">
        <v>43</v>
      </c>
      <c r="C118" s="199" t="s">
        <v>43</v>
      </c>
      <c r="D118" s="199" t="s">
        <v>45</v>
      </c>
      <c r="E118" s="199" t="s">
        <v>1075</v>
      </c>
      <c r="F118" s="199">
        <v>63.6</v>
      </c>
      <c r="G118" s="199">
        <v>34.8</v>
      </c>
      <c r="H118" s="199">
        <v>58.2</v>
      </c>
      <c r="I118" s="199">
        <v>36.2</v>
      </c>
      <c r="J118" s="199">
        <v>60.1</v>
      </c>
      <c r="K118" s="199">
        <v>9.3</v>
      </c>
      <c r="L118" s="199">
        <v>18.2</v>
      </c>
      <c r="M118" s="199">
        <v>11.1</v>
      </c>
      <c r="N118" s="199">
        <v>1.7</v>
      </c>
      <c r="O118" s="199">
        <v>0.2</v>
      </c>
      <c r="P118" s="199">
        <v>57.4</v>
      </c>
      <c r="Q118" s="199">
        <v>63.1</v>
      </c>
      <c r="R118" s="199">
        <v>25.3</v>
      </c>
      <c r="S118" s="199" t="s">
        <v>75</v>
      </c>
      <c r="T118" s="199"/>
      <c r="U118" s="199" t="s">
        <v>48</v>
      </c>
      <c r="V118" s="199" t="s">
        <v>49</v>
      </c>
      <c r="W118" s="199" t="s">
        <v>1076</v>
      </c>
      <c r="X118" s="199" t="s">
        <v>1077</v>
      </c>
      <c r="Y118" s="203"/>
      <c r="Z118" s="203"/>
      <c r="AA118" s="203"/>
      <c r="AB118" s="203"/>
      <c r="AC118" s="203"/>
    </row>
    <row r="119">
      <c r="A119" s="199" t="s">
        <v>1079</v>
      </c>
      <c r="B119" s="199" t="s">
        <v>43</v>
      </c>
      <c r="C119" s="199" t="s">
        <v>43</v>
      </c>
      <c r="D119" s="199" t="s">
        <v>45</v>
      </c>
      <c r="E119" s="199" t="s">
        <v>1080</v>
      </c>
      <c r="F119" s="199">
        <v>66.9</v>
      </c>
      <c r="G119" s="199">
        <v>31.9</v>
      </c>
      <c r="H119" s="199">
        <v>65.0</v>
      </c>
      <c r="I119" s="199">
        <v>31.0</v>
      </c>
      <c r="J119" s="199">
        <v>55.6</v>
      </c>
      <c r="K119" s="199">
        <v>10.9</v>
      </c>
      <c r="L119" s="199">
        <v>26.6</v>
      </c>
      <c r="M119" s="199">
        <v>5.4</v>
      </c>
      <c r="N119" s="199">
        <v>2.2</v>
      </c>
      <c r="O119" s="199">
        <v>0.1</v>
      </c>
      <c r="P119" s="199">
        <v>42.0</v>
      </c>
      <c r="Q119" s="199">
        <v>49.3</v>
      </c>
      <c r="R119" s="199">
        <v>31.7</v>
      </c>
      <c r="S119" s="199" t="s">
        <v>28</v>
      </c>
      <c r="T119" s="199"/>
      <c r="U119" s="199" t="s">
        <v>48</v>
      </c>
      <c r="V119" s="199" t="s">
        <v>159</v>
      </c>
      <c r="W119" s="199" t="s">
        <v>1082</v>
      </c>
      <c r="X119" s="199" t="s">
        <v>1084</v>
      </c>
      <c r="Y119" s="203"/>
      <c r="Z119" s="203"/>
      <c r="AA119" s="203"/>
      <c r="AB119" s="203"/>
      <c r="AC119" s="203"/>
    </row>
    <row r="120">
      <c r="A120" s="199" t="s">
        <v>1086</v>
      </c>
      <c r="B120" s="199" t="s">
        <v>43</v>
      </c>
      <c r="C120" s="199" t="s">
        <v>43</v>
      </c>
      <c r="D120" s="199" t="s">
        <v>45</v>
      </c>
      <c r="E120" s="199" t="s">
        <v>1087</v>
      </c>
      <c r="F120" s="199">
        <v>55.6</v>
      </c>
      <c r="G120" s="199">
        <v>43.2</v>
      </c>
      <c r="H120" s="199">
        <v>53.4</v>
      </c>
      <c r="I120" s="199">
        <v>42.9</v>
      </c>
      <c r="J120" s="199">
        <v>54.7</v>
      </c>
      <c r="K120" s="199">
        <v>8.0</v>
      </c>
      <c r="L120" s="199">
        <v>31.7</v>
      </c>
      <c r="M120" s="199">
        <v>4.3</v>
      </c>
      <c r="N120" s="199">
        <v>2.1</v>
      </c>
      <c r="O120" s="199">
        <v>0.1</v>
      </c>
      <c r="P120" s="199">
        <v>31.8</v>
      </c>
      <c r="Q120" s="199">
        <v>36.7</v>
      </c>
      <c r="R120" s="199">
        <v>38.0</v>
      </c>
      <c r="S120" s="199" t="s">
        <v>75</v>
      </c>
      <c r="T120" s="199"/>
      <c r="U120" s="199" t="s">
        <v>48</v>
      </c>
      <c r="V120" s="199" t="s">
        <v>49</v>
      </c>
      <c r="W120" s="199" t="s">
        <v>461</v>
      </c>
      <c r="X120" s="199" t="s">
        <v>1089</v>
      </c>
      <c r="Y120" s="203"/>
      <c r="Z120" s="203"/>
      <c r="AA120" s="203"/>
      <c r="AB120" s="203"/>
      <c r="AC120" s="203"/>
    </row>
    <row r="121">
      <c r="A121" s="199" t="s">
        <v>1091</v>
      </c>
      <c r="B121" s="199" t="s">
        <v>43</v>
      </c>
      <c r="C121" s="199" t="s">
        <v>43</v>
      </c>
      <c r="D121" s="199" t="s">
        <v>45</v>
      </c>
      <c r="E121" s="199" t="s">
        <v>1092</v>
      </c>
      <c r="F121" s="199">
        <v>64.4</v>
      </c>
      <c r="G121" s="199">
        <v>34.2</v>
      </c>
      <c r="H121" s="199">
        <v>60.2</v>
      </c>
      <c r="I121" s="199">
        <v>35.6</v>
      </c>
      <c r="J121" s="199">
        <v>43.7</v>
      </c>
      <c r="K121" s="199">
        <v>13.3</v>
      </c>
      <c r="L121" s="199">
        <v>36.0</v>
      </c>
      <c r="M121" s="199">
        <v>6.1</v>
      </c>
      <c r="N121" s="199">
        <v>2.0</v>
      </c>
      <c r="O121" s="199">
        <v>0.1</v>
      </c>
      <c r="P121" s="199">
        <v>37.1</v>
      </c>
      <c r="Q121" s="199">
        <v>43.7</v>
      </c>
      <c r="R121" s="199">
        <v>28.5</v>
      </c>
      <c r="S121" s="199" t="s">
        <v>28</v>
      </c>
      <c r="T121" s="199"/>
      <c r="U121" s="199" t="s">
        <v>48</v>
      </c>
      <c r="V121" s="199" t="s">
        <v>49</v>
      </c>
      <c r="W121" s="199" t="s">
        <v>1093</v>
      </c>
      <c r="X121" s="199" t="s">
        <v>1094</v>
      </c>
      <c r="Y121" s="203"/>
      <c r="Z121" s="203"/>
      <c r="AA121" s="203"/>
      <c r="AB121" s="203"/>
      <c r="AC121" s="203"/>
    </row>
    <row r="122">
      <c r="A122" s="199" t="s">
        <v>1096</v>
      </c>
      <c r="B122" s="199" t="s">
        <v>632</v>
      </c>
      <c r="C122" s="199" t="s">
        <v>43</v>
      </c>
      <c r="D122" s="199" t="s">
        <v>397</v>
      </c>
      <c r="E122" s="199" t="s">
        <v>1097</v>
      </c>
      <c r="F122" s="199">
        <v>50.1</v>
      </c>
      <c r="G122" s="199">
        <v>48.4</v>
      </c>
      <c r="H122" s="199">
        <v>46.6</v>
      </c>
      <c r="I122" s="199">
        <v>49.0</v>
      </c>
      <c r="J122" s="199">
        <v>61.8</v>
      </c>
      <c r="K122" s="199">
        <v>11.2</v>
      </c>
      <c r="L122" s="199">
        <v>22.0</v>
      </c>
      <c r="M122" s="199">
        <v>3.3</v>
      </c>
      <c r="N122" s="199">
        <v>2.2</v>
      </c>
      <c r="O122" s="199">
        <v>0.2</v>
      </c>
      <c r="P122" s="199">
        <v>34.5</v>
      </c>
      <c r="Q122" s="199">
        <v>40.1</v>
      </c>
      <c r="R122" s="199">
        <v>40.2</v>
      </c>
      <c r="S122" s="199" t="s">
        <v>75</v>
      </c>
      <c r="T122" s="199"/>
      <c r="U122" s="199" t="s">
        <v>48</v>
      </c>
      <c r="V122" s="199" t="s">
        <v>159</v>
      </c>
      <c r="W122" s="199" t="s">
        <v>1098</v>
      </c>
      <c r="X122" s="199" t="s">
        <v>1099</v>
      </c>
      <c r="Y122" s="203"/>
      <c r="Z122" s="203"/>
      <c r="AA122" s="203"/>
      <c r="AB122" s="203"/>
      <c r="AC122" s="203"/>
    </row>
    <row r="123">
      <c r="A123" s="199" t="s">
        <v>1101</v>
      </c>
      <c r="B123" s="199" t="s">
        <v>395</v>
      </c>
      <c r="C123" s="199" t="s">
        <v>43</v>
      </c>
      <c r="D123" s="199" t="s">
        <v>397</v>
      </c>
      <c r="E123" s="199" t="s">
        <v>1102</v>
      </c>
      <c r="F123" s="199">
        <v>57.5</v>
      </c>
      <c r="G123" s="199">
        <v>41.1</v>
      </c>
      <c r="H123" s="199">
        <v>52.4</v>
      </c>
      <c r="I123" s="199">
        <v>42.6</v>
      </c>
      <c r="J123" s="199">
        <v>60.4</v>
      </c>
      <c r="K123" s="199">
        <v>11.2</v>
      </c>
      <c r="L123" s="199">
        <v>20.7</v>
      </c>
      <c r="M123" s="199">
        <v>6.3</v>
      </c>
      <c r="N123" s="199">
        <v>1.9</v>
      </c>
      <c r="O123" s="199">
        <v>0.1</v>
      </c>
      <c r="P123" s="199">
        <v>46.0</v>
      </c>
      <c r="Q123" s="199">
        <v>53.1</v>
      </c>
      <c r="R123" s="199">
        <v>31.5</v>
      </c>
      <c r="S123" s="199" t="s">
        <v>75</v>
      </c>
      <c r="T123" s="199"/>
      <c r="U123" s="199" t="s">
        <v>48</v>
      </c>
      <c r="V123" s="199" t="s">
        <v>159</v>
      </c>
      <c r="W123" s="199" t="s">
        <v>529</v>
      </c>
      <c r="X123" s="199" t="s">
        <v>563</v>
      </c>
      <c r="Y123" s="203"/>
      <c r="Z123" s="203"/>
      <c r="AA123" s="203"/>
      <c r="AB123" s="203"/>
      <c r="AC123" s="203"/>
    </row>
    <row r="124">
      <c r="A124" s="199" t="s">
        <v>894</v>
      </c>
      <c r="B124" s="199" t="s">
        <v>43</v>
      </c>
      <c r="C124" s="199" t="s">
        <v>43</v>
      </c>
      <c r="D124" s="199" t="s">
        <v>45</v>
      </c>
      <c r="E124" s="199" t="s">
        <v>895</v>
      </c>
      <c r="F124" s="199">
        <v>52.2</v>
      </c>
      <c r="G124" s="199">
        <v>46.2</v>
      </c>
      <c r="H124" s="199">
        <v>45.9</v>
      </c>
      <c r="I124" s="199">
        <v>47.5</v>
      </c>
      <c r="J124" s="199">
        <v>89.0</v>
      </c>
      <c r="K124" s="199">
        <v>3.5</v>
      </c>
      <c r="L124" s="199">
        <v>2.1</v>
      </c>
      <c r="M124" s="199">
        <v>3.0</v>
      </c>
      <c r="N124" s="199">
        <v>1.6</v>
      </c>
      <c r="O124" s="199">
        <v>0.1</v>
      </c>
      <c r="P124" s="199">
        <v>38.0</v>
      </c>
      <c r="Q124" s="199">
        <v>38.3</v>
      </c>
      <c r="R124" s="199">
        <v>57.3</v>
      </c>
      <c r="S124" s="199" t="s">
        <v>75</v>
      </c>
      <c r="T124" s="199" t="s">
        <v>304</v>
      </c>
      <c r="U124" s="199" t="s">
        <v>48</v>
      </c>
      <c r="V124" s="199" t="s">
        <v>49</v>
      </c>
      <c r="W124" s="199" t="s">
        <v>643</v>
      </c>
      <c r="X124" s="199" t="s">
        <v>897</v>
      </c>
      <c r="Y124" s="203"/>
      <c r="Z124" s="203"/>
      <c r="AA124" s="203"/>
      <c r="AB124" s="203"/>
      <c r="AC124" s="203"/>
    </row>
    <row r="125">
      <c r="A125" s="199" t="s">
        <v>899</v>
      </c>
      <c r="B125" s="199" t="s">
        <v>43</v>
      </c>
      <c r="C125" s="199" t="s">
        <v>43</v>
      </c>
      <c r="D125" s="199" t="s">
        <v>45</v>
      </c>
      <c r="E125" s="199" t="s">
        <v>900</v>
      </c>
      <c r="F125" s="199">
        <v>53.6</v>
      </c>
      <c r="G125" s="199">
        <v>44.7</v>
      </c>
      <c r="H125" s="199">
        <v>47.8</v>
      </c>
      <c r="I125" s="199">
        <v>45.4</v>
      </c>
      <c r="J125" s="199">
        <v>88.7</v>
      </c>
      <c r="K125" s="199">
        <v>3.6</v>
      </c>
      <c r="L125" s="199">
        <v>1.8</v>
      </c>
      <c r="M125" s="199">
        <v>3.1</v>
      </c>
      <c r="N125" s="199">
        <v>1.8</v>
      </c>
      <c r="O125" s="199">
        <v>0.1</v>
      </c>
      <c r="P125" s="199">
        <v>37.1</v>
      </c>
      <c r="Q125" s="199">
        <v>36.9</v>
      </c>
      <c r="R125" s="199">
        <v>58.6</v>
      </c>
      <c r="S125" s="199" t="s">
        <v>75</v>
      </c>
      <c r="T125" s="199"/>
      <c r="U125" s="199" t="s">
        <v>48</v>
      </c>
      <c r="V125" s="199" t="s">
        <v>49</v>
      </c>
      <c r="W125" s="199" t="s">
        <v>902</v>
      </c>
      <c r="X125" s="199" t="s">
        <v>904</v>
      </c>
      <c r="Y125" s="203"/>
      <c r="Z125" s="203"/>
      <c r="AA125" s="203"/>
      <c r="AB125" s="203"/>
      <c r="AC125" s="203"/>
    </row>
    <row r="126">
      <c r="A126" s="199" t="s">
        <v>906</v>
      </c>
      <c r="B126" s="199" t="s">
        <v>43</v>
      </c>
      <c r="C126" s="199" t="s">
        <v>43</v>
      </c>
      <c r="D126" s="199" t="s">
        <v>45</v>
      </c>
      <c r="E126" s="199" t="s">
        <v>907</v>
      </c>
      <c r="F126" s="199">
        <v>61.5</v>
      </c>
      <c r="G126" s="199">
        <v>37.1</v>
      </c>
      <c r="H126" s="199">
        <v>60.0</v>
      </c>
      <c r="I126" s="199">
        <v>36.7</v>
      </c>
      <c r="J126" s="199">
        <v>63.1</v>
      </c>
      <c r="K126" s="199">
        <v>12.6</v>
      </c>
      <c r="L126" s="199">
        <v>17.8</v>
      </c>
      <c r="M126" s="199">
        <v>6.0</v>
      </c>
      <c r="N126" s="199">
        <v>1.6</v>
      </c>
      <c r="O126" s="199">
        <v>0.2</v>
      </c>
      <c r="P126" s="199">
        <v>32.1</v>
      </c>
      <c r="Q126" s="199">
        <v>35.3</v>
      </c>
      <c r="R126" s="199">
        <v>44.1</v>
      </c>
      <c r="S126" s="199" t="s">
        <v>75</v>
      </c>
      <c r="T126" s="199"/>
      <c r="U126" s="199" t="s">
        <v>48</v>
      </c>
      <c r="V126" s="199" t="s">
        <v>49</v>
      </c>
      <c r="W126" s="199" t="s">
        <v>911</v>
      </c>
      <c r="X126" s="199" t="s">
        <v>912</v>
      </c>
      <c r="Y126" s="203"/>
      <c r="Z126" s="203"/>
      <c r="AA126" s="203"/>
      <c r="AB126" s="203"/>
      <c r="AC126" s="203"/>
    </row>
    <row r="127">
      <c r="A127" s="199" t="s">
        <v>915</v>
      </c>
      <c r="B127" s="199" t="s">
        <v>43</v>
      </c>
      <c r="C127" s="199" t="s">
        <v>43</v>
      </c>
      <c r="D127" s="199" t="s">
        <v>45</v>
      </c>
      <c r="E127" s="199" t="s">
        <v>916</v>
      </c>
      <c r="F127" s="199">
        <v>56.3</v>
      </c>
      <c r="G127" s="199">
        <v>42.3</v>
      </c>
      <c r="H127" s="199">
        <v>53.0</v>
      </c>
      <c r="I127" s="199">
        <v>43.5</v>
      </c>
      <c r="J127" s="199">
        <v>65.9</v>
      </c>
      <c r="K127" s="199">
        <v>9.8</v>
      </c>
      <c r="L127" s="199">
        <v>14.2</v>
      </c>
      <c r="M127" s="199">
        <v>9.2</v>
      </c>
      <c r="N127" s="199">
        <v>1.4</v>
      </c>
      <c r="O127" s="199">
        <v>0.1</v>
      </c>
      <c r="P127" s="199">
        <v>42.8</v>
      </c>
      <c r="Q127" s="199">
        <v>44.6</v>
      </c>
      <c r="R127" s="199">
        <v>39.7</v>
      </c>
      <c r="S127" s="199" t="s">
        <v>917</v>
      </c>
      <c r="T127" s="199"/>
      <c r="U127" s="199" t="s">
        <v>48</v>
      </c>
      <c r="V127" s="199" t="s">
        <v>49</v>
      </c>
      <c r="W127" s="199" t="s">
        <v>584</v>
      </c>
      <c r="X127" s="199" t="s">
        <v>586</v>
      </c>
      <c r="Y127" s="203"/>
      <c r="Z127" s="203"/>
      <c r="AA127" s="203"/>
      <c r="AB127" s="203"/>
      <c r="AC127" s="203"/>
    </row>
    <row r="128">
      <c r="A128" s="199" t="s">
        <v>919</v>
      </c>
      <c r="B128" s="199" t="s">
        <v>43</v>
      </c>
      <c r="C128" s="199" t="s">
        <v>43</v>
      </c>
      <c r="D128" s="199" t="s">
        <v>45</v>
      </c>
      <c r="E128" s="199" t="s">
        <v>920</v>
      </c>
      <c r="F128" s="199">
        <v>55.6</v>
      </c>
      <c r="G128" s="199">
        <v>43.2</v>
      </c>
      <c r="H128" s="199">
        <v>52.2</v>
      </c>
      <c r="I128" s="199">
        <v>44.5</v>
      </c>
      <c r="J128" s="199">
        <v>61.2</v>
      </c>
      <c r="K128" s="199">
        <v>14.9</v>
      </c>
      <c r="L128" s="199">
        <v>7.0</v>
      </c>
      <c r="M128" s="199">
        <v>16.7</v>
      </c>
      <c r="N128" s="199">
        <v>1.1</v>
      </c>
      <c r="O128" s="199">
        <v>0.1</v>
      </c>
      <c r="P128" s="199">
        <v>52.3</v>
      </c>
      <c r="Q128" s="199">
        <v>52.8</v>
      </c>
      <c r="R128" s="199">
        <v>32.3</v>
      </c>
      <c r="S128" s="199" t="s">
        <v>75</v>
      </c>
      <c r="T128" s="199"/>
      <c r="U128" s="199" t="s">
        <v>48</v>
      </c>
      <c r="V128" s="199" t="s">
        <v>49</v>
      </c>
      <c r="W128" s="199" t="s">
        <v>922</v>
      </c>
      <c r="X128" s="199" t="s">
        <v>923</v>
      </c>
      <c r="Y128" s="203"/>
      <c r="Z128" s="203"/>
      <c r="AA128" s="203"/>
      <c r="AB128" s="203"/>
      <c r="AC128" s="203"/>
    </row>
    <row r="129">
      <c r="A129" s="199" t="s">
        <v>925</v>
      </c>
      <c r="B129" s="199" t="s">
        <v>43</v>
      </c>
      <c r="C129" s="199" t="s">
        <v>43</v>
      </c>
      <c r="D129" s="199" t="s">
        <v>45</v>
      </c>
      <c r="E129" s="199" t="s">
        <v>926</v>
      </c>
      <c r="F129" s="199">
        <v>59.0</v>
      </c>
      <c r="G129" s="199">
        <v>39.7</v>
      </c>
      <c r="H129" s="199">
        <v>57.9</v>
      </c>
      <c r="I129" s="199">
        <v>38.9</v>
      </c>
      <c r="J129" s="199">
        <v>45.2</v>
      </c>
      <c r="K129" s="199">
        <v>22.1</v>
      </c>
      <c r="L129" s="199">
        <v>12.7</v>
      </c>
      <c r="M129" s="199">
        <v>19.7</v>
      </c>
      <c r="N129" s="199">
        <v>1.4</v>
      </c>
      <c r="O129" s="199">
        <v>0.1</v>
      </c>
      <c r="P129" s="199">
        <v>40.2</v>
      </c>
      <c r="Q129" s="199">
        <v>41.0</v>
      </c>
      <c r="R129" s="199">
        <v>32.9</v>
      </c>
      <c r="S129" s="199" t="s">
        <v>75</v>
      </c>
      <c r="T129" s="199"/>
      <c r="U129" s="199" t="s">
        <v>48</v>
      </c>
      <c r="V129" s="199" t="s">
        <v>49</v>
      </c>
      <c r="W129" s="199" t="s">
        <v>652</v>
      </c>
      <c r="X129" s="199" t="s">
        <v>927</v>
      </c>
      <c r="Y129" s="203"/>
      <c r="Z129" s="203"/>
      <c r="AA129" s="203"/>
      <c r="AB129" s="203"/>
      <c r="AC129" s="203"/>
    </row>
    <row r="130">
      <c r="A130" s="199" t="s">
        <v>931</v>
      </c>
      <c r="B130" s="199" t="s">
        <v>43</v>
      </c>
      <c r="C130" s="199" t="s">
        <v>43</v>
      </c>
      <c r="D130" s="199" t="s">
        <v>45</v>
      </c>
      <c r="E130" s="199" t="s">
        <v>933</v>
      </c>
      <c r="F130" s="199">
        <v>72.1</v>
      </c>
      <c r="G130" s="199">
        <v>26.8</v>
      </c>
      <c r="H130" s="199">
        <v>75.7</v>
      </c>
      <c r="I130" s="199">
        <v>21.4</v>
      </c>
      <c r="J130" s="199">
        <v>26.8</v>
      </c>
      <c r="K130" s="199">
        <v>48.9</v>
      </c>
      <c r="L130" s="199">
        <v>11.2</v>
      </c>
      <c r="M130" s="199">
        <v>13.3</v>
      </c>
      <c r="N130" s="199">
        <v>2.2</v>
      </c>
      <c r="O130" s="199">
        <v>0.2</v>
      </c>
      <c r="P130" s="199">
        <v>37.0</v>
      </c>
      <c r="Q130" s="199">
        <v>55.2</v>
      </c>
      <c r="R130" s="199">
        <v>15.7</v>
      </c>
      <c r="S130" s="199" t="s">
        <v>936</v>
      </c>
      <c r="T130" s="199"/>
      <c r="U130" s="199" t="s">
        <v>48</v>
      </c>
      <c r="V130" s="199" t="s">
        <v>159</v>
      </c>
      <c r="W130" s="199" t="s">
        <v>934</v>
      </c>
      <c r="X130" s="199" t="s">
        <v>935</v>
      </c>
      <c r="Y130" s="203"/>
      <c r="Z130" s="203"/>
      <c r="AA130" s="203"/>
      <c r="AB130" s="203"/>
      <c r="AC130" s="203"/>
    </row>
    <row r="131">
      <c r="A131" s="199" t="s">
        <v>938</v>
      </c>
      <c r="B131" s="199" t="s">
        <v>43</v>
      </c>
      <c r="C131" s="199" t="s">
        <v>43</v>
      </c>
      <c r="D131" s="199" t="s">
        <v>45</v>
      </c>
      <c r="E131" s="199" t="s">
        <v>939</v>
      </c>
      <c r="F131" s="199">
        <v>58.9</v>
      </c>
      <c r="G131" s="199">
        <v>40.0</v>
      </c>
      <c r="H131" s="199">
        <v>60.7</v>
      </c>
      <c r="I131" s="199">
        <v>36.7</v>
      </c>
      <c r="J131" s="199">
        <v>40.9</v>
      </c>
      <c r="K131" s="199">
        <v>39.1</v>
      </c>
      <c r="L131" s="199">
        <v>10.9</v>
      </c>
      <c r="M131" s="199">
        <v>10.1</v>
      </c>
      <c r="N131" s="199">
        <v>1.9</v>
      </c>
      <c r="O131" s="199">
        <v>0.2</v>
      </c>
      <c r="P131" s="199">
        <v>31.8</v>
      </c>
      <c r="Q131" s="199">
        <v>38.7</v>
      </c>
      <c r="R131" s="199">
        <v>30.0</v>
      </c>
      <c r="S131" s="199" t="s">
        <v>75</v>
      </c>
      <c r="T131" s="199"/>
      <c r="U131" s="199" t="s">
        <v>48</v>
      </c>
      <c r="V131" s="199" t="s">
        <v>49</v>
      </c>
      <c r="W131" s="199" t="s">
        <v>347</v>
      </c>
      <c r="X131" s="199" t="s">
        <v>941</v>
      </c>
      <c r="Y131" s="203"/>
      <c r="Z131" s="203"/>
      <c r="AA131" s="203"/>
      <c r="AB131" s="203"/>
      <c r="AC131" s="203"/>
    </row>
    <row r="132">
      <c r="A132" s="199" t="s">
        <v>943</v>
      </c>
      <c r="B132" s="199" t="s">
        <v>43</v>
      </c>
      <c r="C132" s="199" t="s">
        <v>43</v>
      </c>
      <c r="D132" s="199" t="s">
        <v>45</v>
      </c>
      <c r="E132" s="199" t="s">
        <v>944</v>
      </c>
      <c r="F132" s="199">
        <v>80.6</v>
      </c>
      <c r="G132" s="199">
        <v>18.6</v>
      </c>
      <c r="H132" s="199">
        <v>81.7</v>
      </c>
      <c r="I132" s="199">
        <v>16.3</v>
      </c>
      <c r="J132" s="199">
        <v>20.3</v>
      </c>
      <c r="K132" s="199">
        <v>20.1</v>
      </c>
      <c r="L132" s="199">
        <v>52.7</v>
      </c>
      <c r="M132" s="199">
        <v>7.5</v>
      </c>
      <c r="N132" s="199">
        <v>1.5</v>
      </c>
      <c r="O132" s="199">
        <v>0.2</v>
      </c>
      <c r="P132" s="199">
        <v>30.2</v>
      </c>
      <c r="Q132" s="199">
        <v>47.7</v>
      </c>
      <c r="R132" s="199">
        <v>12.5</v>
      </c>
      <c r="S132" s="199" t="s">
        <v>28</v>
      </c>
      <c r="T132" s="199"/>
      <c r="U132" s="199" t="s">
        <v>48</v>
      </c>
      <c r="V132" s="199" t="s">
        <v>49</v>
      </c>
      <c r="W132" s="199" t="s">
        <v>911</v>
      </c>
      <c r="X132" s="199" t="s">
        <v>947</v>
      </c>
      <c r="Y132" s="203"/>
      <c r="Z132" s="203"/>
      <c r="AA132" s="203"/>
      <c r="AB132" s="203"/>
      <c r="AC132" s="203"/>
    </row>
    <row r="133">
      <c r="A133" s="199" t="s">
        <v>951</v>
      </c>
      <c r="B133" s="199" t="s">
        <v>43</v>
      </c>
      <c r="C133" s="199" t="s">
        <v>43</v>
      </c>
      <c r="D133" s="199" t="s">
        <v>45</v>
      </c>
      <c r="E133" s="199" t="s">
        <v>952</v>
      </c>
      <c r="F133" s="199">
        <v>57.8</v>
      </c>
      <c r="G133" s="199">
        <v>40.9</v>
      </c>
      <c r="H133" s="199">
        <v>53.8</v>
      </c>
      <c r="I133" s="199">
        <v>43.0</v>
      </c>
      <c r="J133" s="199">
        <v>64.0</v>
      </c>
      <c r="K133" s="199">
        <v>15.2</v>
      </c>
      <c r="L133" s="199">
        <v>7.8</v>
      </c>
      <c r="M133" s="199">
        <v>12.4</v>
      </c>
      <c r="N133" s="199">
        <v>1.0</v>
      </c>
      <c r="O133" s="199">
        <v>0.1</v>
      </c>
      <c r="P133" s="199">
        <v>56.2</v>
      </c>
      <c r="Q133" s="199">
        <v>59.1</v>
      </c>
      <c r="R133" s="199">
        <v>29.4</v>
      </c>
      <c r="S133" s="199" t="s">
        <v>75</v>
      </c>
      <c r="T133" s="199"/>
      <c r="U133" s="199" t="s">
        <v>48</v>
      </c>
      <c r="V133" s="199" t="s">
        <v>49</v>
      </c>
      <c r="W133" s="199" t="s">
        <v>953</v>
      </c>
      <c r="X133" s="199" t="s">
        <v>955</v>
      </c>
      <c r="Y133" s="203"/>
      <c r="Z133" s="203"/>
      <c r="AA133" s="203"/>
      <c r="AB133" s="203"/>
      <c r="AC133" s="203"/>
    </row>
    <row r="134">
      <c r="A134" s="199" t="s">
        <v>958</v>
      </c>
      <c r="B134" s="199" t="s">
        <v>43</v>
      </c>
      <c r="C134" s="199" t="s">
        <v>43</v>
      </c>
      <c r="D134" s="199" t="s">
        <v>45</v>
      </c>
      <c r="E134" s="199" t="s">
        <v>959</v>
      </c>
      <c r="F134" s="199">
        <v>66.6</v>
      </c>
      <c r="G134" s="199">
        <v>32.1</v>
      </c>
      <c r="H134" s="199">
        <v>64.1</v>
      </c>
      <c r="I134" s="199">
        <v>32.7</v>
      </c>
      <c r="J134" s="199">
        <v>43.5</v>
      </c>
      <c r="K134" s="199">
        <v>19.2</v>
      </c>
      <c r="L134" s="199">
        <v>17.7</v>
      </c>
      <c r="M134" s="199">
        <v>19.5</v>
      </c>
      <c r="N134" s="199">
        <v>1.4</v>
      </c>
      <c r="O134" s="199">
        <v>0.2</v>
      </c>
      <c r="P134" s="199">
        <v>47.6</v>
      </c>
      <c r="Q134" s="199">
        <v>50.5</v>
      </c>
      <c r="R134" s="199">
        <v>26.9</v>
      </c>
      <c r="S134" s="199" t="s">
        <v>28</v>
      </c>
      <c r="T134" s="199"/>
      <c r="U134" s="199" t="s">
        <v>48</v>
      </c>
      <c r="V134" s="199" t="s">
        <v>49</v>
      </c>
      <c r="W134" s="199" t="s">
        <v>960</v>
      </c>
      <c r="X134" s="199" t="s">
        <v>961</v>
      </c>
      <c r="Y134" s="203"/>
      <c r="Z134" s="203"/>
      <c r="AA134" s="203"/>
      <c r="AB134" s="203"/>
      <c r="AC134" s="203"/>
    </row>
    <row r="135">
      <c r="A135" s="199" t="s">
        <v>963</v>
      </c>
      <c r="B135" s="199" t="s">
        <v>43</v>
      </c>
      <c r="C135" s="199" t="s">
        <v>43</v>
      </c>
      <c r="D135" s="199" t="s">
        <v>45</v>
      </c>
      <c r="E135" s="199" t="s">
        <v>964</v>
      </c>
      <c r="F135" s="199">
        <v>55.9</v>
      </c>
      <c r="G135" s="199">
        <v>41.5</v>
      </c>
      <c r="H135" s="199">
        <v>47.4</v>
      </c>
      <c r="I135" s="199">
        <v>39.5</v>
      </c>
      <c r="J135" s="199">
        <v>49.4</v>
      </c>
      <c r="K135" s="199">
        <v>37.6</v>
      </c>
      <c r="L135" s="199">
        <v>3.7</v>
      </c>
      <c r="M135" s="199">
        <v>3.9</v>
      </c>
      <c r="N135" s="199">
        <v>7.2</v>
      </c>
      <c r="O135" s="199">
        <v>0.3</v>
      </c>
      <c r="P135" s="199">
        <v>37.0</v>
      </c>
      <c r="Q135" s="199">
        <v>45.8</v>
      </c>
      <c r="R135" s="199">
        <v>28.3</v>
      </c>
      <c r="S135" s="199" t="s">
        <v>75</v>
      </c>
      <c r="T135" s="199"/>
      <c r="U135" s="199" t="s">
        <v>48</v>
      </c>
      <c r="V135" s="199" t="s">
        <v>49</v>
      </c>
      <c r="W135" s="199" t="s">
        <v>965</v>
      </c>
      <c r="X135" s="199" t="s">
        <v>966</v>
      </c>
      <c r="Y135" s="203"/>
      <c r="Z135" s="203"/>
      <c r="AA135" s="203"/>
      <c r="AB135" s="203"/>
      <c r="AC135" s="203"/>
    </row>
    <row r="136">
      <c r="A136" s="199" t="s">
        <v>968</v>
      </c>
      <c r="B136" s="199" t="s">
        <v>632</v>
      </c>
      <c r="C136" s="199" t="s">
        <v>43</v>
      </c>
      <c r="D136" s="199" t="s">
        <v>397</v>
      </c>
      <c r="E136" s="199" t="s">
        <v>969</v>
      </c>
      <c r="F136" s="199">
        <v>51.9</v>
      </c>
      <c r="G136" s="199">
        <v>46.1</v>
      </c>
      <c r="H136" s="199">
        <v>47.6</v>
      </c>
      <c r="I136" s="199">
        <v>41.5</v>
      </c>
      <c r="J136" s="199">
        <v>33.3</v>
      </c>
      <c r="K136" s="199">
        <v>56.1</v>
      </c>
      <c r="L136" s="199">
        <v>2.8</v>
      </c>
      <c r="M136" s="199">
        <v>1.8</v>
      </c>
      <c r="N136" s="199">
        <v>7.9</v>
      </c>
      <c r="O136" s="199">
        <v>0.3</v>
      </c>
      <c r="P136" s="199">
        <v>21.8</v>
      </c>
      <c r="Q136" s="199">
        <v>33.9</v>
      </c>
      <c r="R136" s="199">
        <v>23.9</v>
      </c>
      <c r="S136" s="199" t="s">
        <v>83</v>
      </c>
      <c r="T136" s="199"/>
      <c r="U136" s="199" t="s">
        <v>48</v>
      </c>
      <c r="V136" s="199" t="s">
        <v>970</v>
      </c>
      <c r="W136" s="199" t="s">
        <v>971</v>
      </c>
      <c r="X136" s="199" t="s">
        <v>972</v>
      </c>
      <c r="Y136" s="203"/>
      <c r="Z136" s="203"/>
      <c r="AA136" s="203"/>
      <c r="AB136" s="203"/>
      <c r="AC136" s="203"/>
    </row>
    <row r="137">
      <c r="A137" s="199" t="s">
        <v>974</v>
      </c>
      <c r="B137" s="199" t="s">
        <v>43</v>
      </c>
      <c r="C137" s="199" t="s">
        <v>43</v>
      </c>
      <c r="D137" s="199" t="s">
        <v>45</v>
      </c>
      <c r="E137" s="199" t="s">
        <v>975</v>
      </c>
      <c r="F137" s="199">
        <v>54.4</v>
      </c>
      <c r="G137" s="199">
        <v>43.6</v>
      </c>
      <c r="H137" s="199">
        <v>49.9</v>
      </c>
      <c r="I137" s="199">
        <v>39.5</v>
      </c>
      <c r="J137" s="199">
        <v>38.4</v>
      </c>
      <c r="K137" s="199">
        <v>39.7</v>
      </c>
      <c r="L137" s="199">
        <v>2.0</v>
      </c>
      <c r="M137" s="199">
        <v>1.7</v>
      </c>
      <c r="N137" s="199">
        <v>19.5</v>
      </c>
      <c r="O137" s="199">
        <v>0.2</v>
      </c>
      <c r="P137" s="199">
        <v>24.7</v>
      </c>
      <c r="Q137" s="199">
        <v>40.2</v>
      </c>
      <c r="R137" s="199">
        <v>24.5</v>
      </c>
      <c r="S137" s="199" t="s">
        <v>979</v>
      </c>
      <c r="T137" s="199"/>
      <c r="U137" s="199" t="s">
        <v>48</v>
      </c>
      <c r="V137" s="199" t="s">
        <v>49</v>
      </c>
      <c r="W137" s="199" t="s">
        <v>977</v>
      </c>
      <c r="X137" s="199" t="s">
        <v>978</v>
      </c>
      <c r="Y137" s="203"/>
      <c r="Z137" s="203"/>
      <c r="AA137" s="203"/>
      <c r="AB137" s="203"/>
      <c r="AC137" s="203"/>
    </row>
    <row r="138">
      <c r="A138" s="199" t="s">
        <v>874</v>
      </c>
      <c r="B138" s="199" t="s">
        <v>43</v>
      </c>
      <c r="C138" s="199" t="s">
        <v>43</v>
      </c>
      <c r="D138" s="199" t="s">
        <v>45</v>
      </c>
      <c r="E138" s="199" t="s">
        <v>875</v>
      </c>
      <c r="F138" s="199">
        <v>53.2</v>
      </c>
      <c r="G138" s="199">
        <v>44.7</v>
      </c>
      <c r="H138" s="199">
        <v>52.0</v>
      </c>
      <c r="I138" s="199">
        <v>42.0</v>
      </c>
      <c r="J138" s="199">
        <v>43.9</v>
      </c>
      <c r="K138" s="199">
        <v>32.2</v>
      </c>
      <c r="L138" s="199">
        <v>11.7</v>
      </c>
      <c r="M138" s="199">
        <v>10.4</v>
      </c>
      <c r="N138" s="199">
        <v>3.0</v>
      </c>
      <c r="O138" s="199">
        <v>1.4</v>
      </c>
      <c r="P138" s="199">
        <v>23.2</v>
      </c>
      <c r="Q138" s="199">
        <v>29.0</v>
      </c>
      <c r="R138" s="199">
        <v>38.9</v>
      </c>
      <c r="S138" s="199" t="s">
        <v>75</v>
      </c>
      <c r="T138" s="199"/>
      <c r="U138" s="199" t="s">
        <v>48</v>
      </c>
      <c r="V138" s="199" t="s">
        <v>49</v>
      </c>
      <c r="W138" s="199" t="s">
        <v>879</v>
      </c>
      <c r="X138" s="199" t="s">
        <v>880</v>
      </c>
      <c r="Y138" s="203"/>
      <c r="Z138" s="203"/>
      <c r="AA138" s="203"/>
      <c r="AB138" s="203"/>
      <c r="AC138" s="203"/>
    </row>
    <row r="139">
      <c r="A139" s="199" t="s">
        <v>883</v>
      </c>
      <c r="B139" s="199" t="s">
        <v>43</v>
      </c>
      <c r="C139" s="199" t="s">
        <v>43</v>
      </c>
      <c r="D139" s="199" t="s">
        <v>45</v>
      </c>
      <c r="E139" s="199" t="s">
        <v>884</v>
      </c>
      <c r="F139" s="199">
        <v>52.4</v>
      </c>
      <c r="G139" s="199">
        <v>45.7</v>
      </c>
      <c r="H139" s="199">
        <v>50.5</v>
      </c>
      <c r="I139" s="199">
        <v>43.8</v>
      </c>
      <c r="J139" s="199">
        <v>47.1</v>
      </c>
      <c r="K139" s="199">
        <v>18.8</v>
      </c>
      <c r="L139" s="199">
        <v>11.3</v>
      </c>
      <c r="M139" s="199">
        <v>20.8</v>
      </c>
      <c r="N139" s="199">
        <v>2.3</v>
      </c>
      <c r="O139" s="199">
        <v>2.0</v>
      </c>
      <c r="P139" s="199">
        <v>31.3</v>
      </c>
      <c r="Q139" s="199">
        <v>35.2</v>
      </c>
      <c r="R139" s="199">
        <v>35.0</v>
      </c>
      <c r="S139" s="199" t="s">
        <v>75</v>
      </c>
      <c r="T139" s="199"/>
      <c r="U139" s="199" t="s">
        <v>48</v>
      </c>
      <c r="V139" s="199" t="s">
        <v>49</v>
      </c>
      <c r="W139" s="199" t="s">
        <v>885</v>
      </c>
      <c r="X139" s="199" t="s">
        <v>144</v>
      </c>
      <c r="Y139" s="203"/>
      <c r="Z139" s="203"/>
      <c r="AA139" s="203"/>
      <c r="AB139" s="203"/>
      <c r="AC139" s="203"/>
    </row>
    <row r="140">
      <c r="A140" s="199" t="s">
        <v>887</v>
      </c>
      <c r="B140" s="199" t="s">
        <v>43</v>
      </c>
      <c r="C140" s="199" t="s">
        <v>43</v>
      </c>
      <c r="D140" s="199" t="s">
        <v>45</v>
      </c>
      <c r="E140" s="199" t="s">
        <v>888</v>
      </c>
      <c r="F140" s="199">
        <v>53.0</v>
      </c>
      <c r="G140" s="199">
        <v>44.8</v>
      </c>
      <c r="H140" s="199">
        <v>52.3</v>
      </c>
      <c r="I140" s="199">
        <v>41.8</v>
      </c>
      <c r="J140" s="199">
        <v>41.6</v>
      </c>
      <c r="K140" s="199">
        <v>30.6</v>
      </c>
      <c r="L140" s="199">
        <v>18.0</v>
      </c>
      <c r="M140" s="199">
        <v>7.9</v>
      </c>
      <c r="N140" s="199">
        <v>3.2</v>
      </c>
      <c r="O140" s="199">
        <v>1.5</v>
      </c>
      <c r="P140" s="199">
        <v>19.3</v>
      </c>
      <c r="Q140" s="199">
        <v>24.3</v>
      </c>
      <c r="R140" s="199">
        <v>37.3</v>
      </c>
      <c r="S140" s="199" t="s">
        <v>892</v>
      </c>
      <c r="T140" s="199"/>
      <c r="U140" s="199" t="s">
        <v>48</v>
      </c>
      <c r="V140" s="199" t="s">
        <v>49</v>
      </c>
      <c r="W140" s="199" t="s">
        <v>889</v>
      </c>
      <c r="X140" s="199" t="s">
        <v>890</v>
      </c>
      <c r="Y140" s="203"/>
      <c r="Z140" s="203"/>
      <c r="AA140" s="203"/>
      <c r="AB140" s="203"/>
      <c r="AC140" s="203"/>
    </row>
    <row r="141">
      <c r="A141" s="199" t="s">
        <v>981</v>
      </c>
      <c r="B141" s="199" t="s">
        <v>43</v>
      </c>
      <c r="C141" s="199" t="s">
        <v>43</v>
      </c>
      <c r="D141" s="199" t="s">
        <v>45</v>
      </c>
      <c r="E141" s="199" t="s">
        <v>982</v>
      </c>
      <c r="F141" s="199">
        <v>80.9</v>
      </c>
      <c r="G141" s="199">
        <v>18.5</v>
      </c>
      <c r="H141" s="199">
        <v>83.6</v>
      </c>
      <c r="I141" s="199">
        <v>14.4</v>
      </c>
      <c r="J141" s="199">
        <v>13.2</v>
      </c>
      <c r="K141" s="199">
        <v>19.6</v>
      </c>
      <c r="L141" s="199">
        <v>47.2</v>
      </c>
      <c r="M141" s="199">
        <v>17.5</v>
      </c>
      <c r="N141" s="199">
        <v>2.8</v>
      </c>
      <c r="O141" s="199">
        <v>0.5</v>
      </c>
      <c r="P141" s="199">
        <v>27.3</v>
      </c>
      <c r="Q141" s="199">
        <v>40.5</v>
      </c>
      <c r="R141" s="199">
        <v>10.2</v>
      </c>
      <c r="S141" s="199" t="s">
        <v>28</v>
      </c>
      <c r="T141" s="199"/>
      <c r="U141" s="199" t="s">
        <v>48</v>
      </c>
      <c r="V141" s="199" t="s">
        <v>49</v>
      </c>
      <c r="W141" s="199" t="s">
        <v>983</v>
      </c>
      <c r="X141" s="199" t="s">
        <v>984</v>
      </c>
      <c r="Y141" s="203"/>
      <c r="Z141" s="203"/>
      <c r="AA141" s="203"/>
      <c r="AB141" s="203"/>
      <c r="AC141" s="203"/>
    </row>
    <row r="142">
      <c r="A142" s="199" t="s">
        <v>986</v>
      </c>
      <c r="B142" s="199" t="s">
        <v>43</v>
      </c>
      <c r="C142" s="199" t="s">
        <v>43</v>
      </c>
      <c r="D142" s="199" t="s">
        <v>45</v>
      </c>
      <c r="E142" s="199" t="s">
        <v>987</v>
      </c>
      <c r="F142" s="199">
        <v>64.7</v>
      </c>
      <c r="G142" s="199">
        <v>34.4</v>
      </c>
      <c r="H142" s="199">
        <v>68.7</v>
      </c>
      <c r="I142" s="199">
        <v>28.1</v>
      </c>
      <c r="J142" s="199">
        <v>25.0</v>
      </c>
      <c r="K142" s="199">
        <v>22.8</v>
      </c>
      <c r="L142" s="199">
        <v>5.2</v>
      </c>
      <c r="M142" s="199">
        <v>47.2</v>
      </c>
      <c r="N142" s="199">
        <v>1.5</v>
      </c>
      <c r="O142" s="199">
        <v>0.2</v>
      </c>
      <c r="P142" s="199">
        <v>37.0</v>
      </c>
      <c r="Q142" s="199">
        <v>47.1</v>
      </c>
      <c r="R142" s="199">
        <v>19.1</v>
      </c>
      <c r="S142" s="199" t="s">
        <v>287</v>
      </c>
      <c r="T142" s="199"/>
      <c r="U142" s="199" t="s">
        <v>48</v>
      </c>
      <c r="V142" s="199" t="s">
        <v>49</v>
      </c>
      <c r="W142" s="199" t="s">
        <v>248</v>
      </c>
      <c r="X142" s="199" t="s">
        <v>990</v>
      </c>
      <c r="Y142" s="203"/>
      <c r="Z142" s="203"/>
      <c r="AA142" s="203"/>
      <c r="AB142" s="203"/>
      <c r="AC142" s="203"/>
    </row>
    <row r="143">
      <c r="A143" s="199" t="s">
        <v>993</v>
      </c>
      <c r="B143" s="199" t="s">
        <v>43</v>
      </c>
      <c r="C143" s="199" t="s">
        <v>43</v>
      </c>
      <c r="D143" s="199" t="s">
        <v>45</v>
      </c>
      <c r="E143" s="199" t="s">
        <v>994</v>
      </c>
      <c r="F143" s="199">
        <v>80.8</v>
      </c>
      <c r="G143" s="199">
        <v>18.2</v>
      </c>
      <c r="H143" s="199">
        <v>84.6</v>
      </c>
      <c r="I143" s="199">
        <v>11.9</v>
      </c>
      <c r="J143" s="199">
        <v>37.0</v>
      </c>
      <c r="K143" s="199">
        <v>34.1</v>
      </c>
      <c r="L143" s="199">
        <v>14.8</v>
      </c>
      <c r="M143" s="199">
        <v>15.5</v>
      </c>
      <c r="N143" s="199">
        <v>2.4</v>
      </c>
      <c r="O143" s="199">
        <v>0.3</v>
      </c>
      <c r="P143" s="199">
        <v>39.9</v>
      </c>
      <c r="Q143" s="199">
        <v>58.0</v>
      </c>
      <c r="R143" s="199">
        <v>17.3</v>
      </c>
      <c r="S143" s="199" t="s">
        <v>446</v>
      </c>
      <c r="T143" s="199"/>
      <c r="U143" s="199" t="s">
        <v>48</v>
      </c>
      <c r="V143" s="199" t="s">
        <v>49</v>
      </c>
      <c r="W143" s="199" t="s">
        <v>999</v>
      </c>
      <c r="X143" s="199" t="s">
        <v>1000</v>
      </c>
      <c r="Y143" s="203"/>
      <c r="Z143" s="203"/>
      <c r="AA143" s="203"/>
      <c r="AB143" s="203"/>
      <c r="AC143" s="203"/>
    </row>
    <row r="144">
      <c r="A144" s="199" t="s">
        <v>1002</v>
      </c>
      <c r="B144" s="199" t="s">
        <v>43</v>
      </c>
      <c r="C144" s="199" t="s">
        <v>43</v>
      </c>
      <c r="D144" s="199" t="s">
        <v>45</v>
      </c>
      <c r="E144" s="199" t="s">
        <v>1003</v>
      </c>
      <c r="F144" s="199">
        <v>76.3</v>
      </c>
      <c r="G144" s="199">
        <v>23.1</v>
      </c>
      <c r="H144" s="199">
        <v>79.1</v>
      </c>
      <c r="I144" s="199">
        <v>18.6</v>
      </c>
      <c r="J144" s="199">
        <v>28.8</v>
      </c>
      <c r="K144" s="199">
        <v>15.8</v>
      </c>
      <c r="L144" s="199">
        <v>48.2</v>
      </c>
      <c r="M144" s="199">
        <v>10.0</v>
      </c>
      <c r="N144" s="199">
        <v>1.4</v>
      </c>
      <c r="O144" s="199">
        <v>0.2</v>
      </c>
      <c r="P144" s="199">
        <v>32.7</v>
      </c>
      <c r="Q144" s="199">
        <v>51.5</v>
      </c>
      <c r="R144" s="199">
        <v>14.8</v>
      </c>
      <c r="S144" s="199" t="s">
        <v>28</v>
      </c>
      <c r="T144" s="199"/>
      <c r="U144" s="199" t="s">
        <v>48</v>
      </c>
      <c r="V144" s="199" t="s">
        <v>49</v>
      </c>
      <c r="W144" s="199" t="s">
        <v>1004</v>
      </c>
      <c r="X144" s="199" t="s">
        <v>1005</v>
      </c>
      <c r="Y144" s="203"/>
      <c r="Z144" s="203"/>
      <c r="AA144" s="203"/>
      <c r="AB144" s="203"/>
      <c r="AC144" s="203"/>
    </row>
    <row r="145">
      <c r="A145" s="199" t="s">
        <v>1007</v>
      </c>
      <c r="B145" s="199" t="s">
        <v>43</v>
      </c>
      <c r="C145" s="199" t="s">
        <v>43</v>
      </c>
      <c r="D145" s="199" t="s">
        <v>45</v>
      </c>
      <c r="E145" s="199" t="s">
        <v>1008</v>
      </c>
      <c r="F145" s="199">
        <v>75.4</v>
      </c>
      <c r="G145" s="199">
        <v>23.9</v>
      </c>
      <c r="H145" s="199">
        <v>78.3</v>
      </c>
      <c r="I145" s="199">
        <v>19.0</v>
      </c>
      <c r="J145" s="199">
        <v>30.7</v>
      </c>
      <c r="K145" s="199">
        <v>11.2</v>
      </c>
      <c r="L145" s="199">
        <v>48.7</v>
      </c>
      <c r="M145" s="199">
        <v>10.6</v>
      </c>
      <c r="N145" s="199">
        <v>1.3</v>
      </c>
      <c r="O145" s="199">
        <v>0.2</v>
      </c>
      <c r="P145" s="199">
        <v>35.2</v>
      </c>
      <c r="Q145" s="199">
        <v>52.9</v>
      </c>
      <c r="R145" s="199">
        <v>16.2</v>
      </c>
      <c r="S145" s="199" t="s">
        <v>1011</v>
      </c>
      <c r="T145" s="199"/>
      <c r="U145" s="199" t="s">
        <v>48</v>
      </c>
      <c r="V145" s="199" t="s">
        <v>49</v>
      </c>
      <c r="W145" s="199" t="s">
        <v>1009</v>
      </c>
      <c r="X145" s="199" t="s">
        <v>1010</v>
      </c>
      <c r="Y145" s="203"/>
      <c r="Z145" s="203"/>
      <c r="AA145" s="203"/>
      <c r="AB145" s="203"/>
      <c r="AC145" s="203"/>
    </row>
    <row r="146">
      <c r="A146" s="199" t="s">
        <v>1013</v>
      </c>
      <c r="B146" s="199" t="s">
        <v>43</v>
      </c>
      <c r="C146" s="199" t="s">
        <v>43</v>
      </c>
      <c r="D146" s="199" t="s">
        <v>45</v>
      </c>
      <c r="E146" s="199" t="s">
        <v>1014</v>
      </c>
      <c r="F146" s="199">
        <v>85.1</v>
      </c>
      <c r="G146" s="199">
        <v>13.9</v>
      </c>
      <c r="H146" s="199">
        <v>85.3</v>
      </c>
      <c r="I146" s="199">
        <v>10.8</v>
      </c>
      <c r="J146" s="199">
        <v>49.7</v>
      </c>
      <c r="K146" s="199">
        <v>18.4</v>
      </c>
      <c r="L146" s="199">
        <v>8.3</v>
      </c>
      <c r="M146" s="199">
        <v>23.7</v>
      </c>
      <c r="N146" s="199">
        <v>1.6</v>
      </c>
      <c r="O146" s="199">
        <v>0.3</v>
      </c>
      <c r="P146" s="199">
        <v>60.0</v>
      </c>
      <c r="Q146" s="199">
        <v>81.0</v>
      </c>
      <c r="R146" s="199">
        <v>10.8</v>
      </c>
      <c r="S146" s="199" t="s">
        <v>75</v>
      </c>
      <c r="T146" s="199"/>
      <c r="U146" s="199" t="s">
        <v>48</v>
      </c>
      <c r="V146" s="199" t="s">
        <v>159</v>
      </c>
      <c r="W146" s="199" t="s">
        <v>811</v>
      </c>
      <c r="X146" s="199" t="s">
        <v>1015</v>
      </c>
      <c r="Y146" s="203"/>
      <c r="Z146" s="203"/>
      <c r="AA146" s="203"/>
      <c r="AB146" s="203"/>
      <c r="AC146" s="203"/>
    </row>
    <row r="147">
      <c r="A147" s="199" t="s">
        <v>1017</v>
      </c>
      <c r="B147" s="199" t="s">
        <v>43</v>
      </c>
      <c r="C147" s="199" t="s">
        <v>43</v>
      </c>
      <c r="D147" s="199" t="s">
        <v>45</v>
      </c>
      <c r="E147" s="199" t="s">
        <v>1018</v>
      </c>
      <c r="F147" s="199">
        <v>85.2</v>
      </c>
      <c r="G147" s="199">
        <v>13.8</v>
      </c>
      <c r="H147" s="199">
        <v>83.1</v>
      </c>
      <c r="I147" s="199">
        <v>12.8</v>
      </c>
      <c r="J147" s="199">
        <v>66.1</v>
      </c>
      <c r="K147" s="199">
        <v>10.9</v>
      </c>
      <c r="L147" s="199">
        <v>6.6</v>
      </c>
      <c r="M147" s="199">
        <v>15.8</v>
      </c>
      <c r="N147" s="199">
        <v>0.9</v>
      </c>
      <c r="O147" s="199">
        <v>0.3</v>
      </c>
      <c r="P147" s="199">
        <v>79.0</v>
      </c>
      <c r="Q147" s="199">
        <v>85.0</v>
      </c>
      <c r="R147" s="199">
        <v>11.0</v>
      </c>
      <c r="S147" s="199" t="s">
        <v>75</v>
      </c>
      <c r="T147" s="199"/>
      <c r="U147" s="199" t="s">
        <v>48</v>
      </c>
      <c r="V147" s="199" t="s">
        <v>49</v>
      </c>
      <c r="W147" s="199" t="s">
        <v>1019</v>
      </c>
      <c r="X147" s="199" t="s">
        <v>1020</v>
      </c>
      <c r="Y147" s="203"/>
      <c r="Z147" s="203"/>
      <c r="AA147" s="203"/>
      <c r="AB147" s="203"/>
      <c r="AC147" s="203"/>
    </row>
    <row r="148">
      <c r="A148" s="199" t="s">
        <v>1023</v>
      </c>
      <c r="B148" s="199" t="s">
        <v>43</v>
      </c>
      <c r="C148" s="199" t="s">
        <v>43</v>
      </c>
      <c r="D148" s="199" t="s">
        <v>45</v>
      </c>
      <c r="E148" s="199" t="s">
        <v>1024</v>
      </c>
      <c r="F148" s="199">
        <v>88.1</v>
      </c>
      <c r="G148" s="199">
        <v>11.1</v>
      </c>
      <c r="H148" s="199">
        <v>92.0</v>
      </c>
      <c r="I148" s="199">
        <v>5.3</v>
      </c>
      <c r="J148" s="199">
        <v>16.9</v>
      </c>
      <c r="K148" s="199">
        <v>50.4</v>
      </c>
      <c r="L148" s="199">
        <v>33.6</v>
      </c>
      <c r="M148" s="199">
        <v>6.7</v>
      </c>
      <c r="N148" s="199">
        <v>2.9</v>
      </c>
      <c r="O148" s="199">
        <v>0.3</v>
      </c>
      <c r="P148" s="199">
        <v>33.0</v>
      </c>
      <c r="Q148" s="199">
        <v>77.1</v>
      </c>
      <c r="R148" s="199">
        <v>4.4</v>
      </c>
      <c r="S148" s="199" t="s">
        <v>1029</v>
      </c>
      <c r="T148" s="199"/>
      <c r="U148" s="199" t="s">
        <v>48</v>
      </c>
      <c r="V148" s="199" t="s">
        <v>49</v>
      </c>
      <c r="W148" s="199" t="s">
        <v>1026</v>
      </c>
      <c r="X148" s="199" t="s">
        <v>1027</v>
      </c>
      <c r="Y148" s="203"/>
      <c r="Z148" s="203"/>
      <c r="AA148" s="203"/>
      <c r="AB148" s="203"/>
      <c r="AC148" s="203"/>
    </row>
    <row r="149">
      <c r="A149" s="199" t="s">
        <v>997</v>
      </c>
      <c r="B149" s="199" t="s">
        <v>43</v>
      </c>
      <c r="C149" s="199" t="s">
        <v>43</v>
      </c>
      <c r="D149" s="199" t="s">
        <v>45</v>
      </c>
      <c r="E149" s="199" t="s">
        <v>1032</v>
      </c>
      <c r="F149" s="199">
        <v>77.9</v>
      </c>
      <c r="G149" s="199">
        <v>21.3</v>
      </c>
      <c r="H149" s="199">
        <v>81.9</v>
      </c>
      <c r="I149" s="199">
        <v>15.4</v>
      </c>
      <c r="J149" s="199">
        <v>19.6</v>
      </c>
      <c r="K149" s="199">
        <v>49.2</v>
      </c>
      <c r="L149" s="199">
        <v>22.1</v>
      </c>
      <c r="M149" s="199">
        <v>12.7</v>
      </c>
      <c r="N149" s="199">
        <v>3.1</v>
      </c>
      <c r="O149" s="199">
        <v>0.3</v>
      </c>
      <c r="P149" s="199">
        <v>26.6</v>
      </c>
      <c r="Q149" s="199">
        <v>45.9</v>
      </c>
      <c r="R149" s="199">
        <v>12.9</v>
      </c>
      <c r="S149" s="199" t="s">
        <v>446</v>
      </c>
      <c r="T149" s="199"/>
      <c r="U149" s="199" t="s">
        <v>48</v>
      </c>
      <c r="V149" s="199" t="s">
        <v>49</v>
      </c>
      <c r="W149" s="199" t="s">
        <v>995</v>
      </c>
      <c r="X149" s="199" t="s">
        <v>996</v>
      </c>
      <c r="Y149" s="203"/>
      <c r="Z149" s="203"/>
      <c r="AA149" s="203"/>
      <c r="AB149" s="203"/>
      <c r="AC149" s="203"/>
    </row>
    <row r="150">
      <c r="A150" s="199" t="s">
        <v>1034</v>
      </c>
      <c r="B150" s="199" t="s">
        <v>43</v>
      </c>
      <c r="C150" s="199" t="s">
        <v>43</v>
      </c>
      <c r="D150" s="199" t="s">
        <v>45</v>
      </c>
      <c r="E150" s="199" t="s">
        <v>1035</v>
      </c>
      <c r="F150" s="199">
        <v>84.7</v>
      </c>
      <c r="G150" s="199">
        <v>14.7</v>
      </c>
      <c r="H150" s="199">
        <v>89.8</v>
      </c>
      <c r="I150" s="199">
        <v>8.1</v>
      </c>
      <c r="J150" s="199">
        <v>10.3</v>
      </c>
      <c r="K150" s="199">
        <v>53.5</v>
      </c>
      <c r="L150" s="199">
        <v>40.6</v>
      </c>
      <c r="M150" s="199">
        <v>4.2</v>
      </c>
      <c r="N150" s="199">
        <v>2.9</v>
      </c>
      <c r="O150" s="199">
        <v>0.4</v>
      </c>
      <c r="P150" s="199">
        <v>20.4</v>
      </c>
      <c r="Q150" s="199">
        <v>48.6</v>
      </c>
      <c r="R150" s="199">
        <v>6.4</v>
      </c>
      <c r="S150" s="199" t="s">
        <v>1037</v>
      </c>
      <c r="T150" s="199" t="s">
        <v>304</v>
      </c>
      <c r="U150" s="199" t="s">
        <v>48</v>
      </c>
      <c r="V150" s="199" t="s">
        <v>49</v>
      </c>
      <c r="W150" s="199" t="s">
        <v>1036</v>
      </c>
      <c r="X150" s="199" t="s">
        <v>276</v>
      </c>
      <c r="Y150" s="203"/>
      <c r="Z150" s="203"/>
      <c r="AA150" s="203"/>
      <c r="AB150" s="203"/>
      <c r="AC150" s="203"/>
    </row>
    <row r="151">
      <c r="A151" s="199" t="s">
        <v>1039</v>
      </c>
      <c r="B151" s="199" t="s">
        <v>43</v>
      </c>
      <c r="C151" s="199" t="s">
        <v>43</v>
      </c>
      <c r="D151" s="199" t="s">
        <v>45</v>
      </c>
      <c r="E151" s="199" t="s">
        <v>1040</v>
      </c>
      <c r="F151" s="199">
        <v>71.4</v>
      </c>
      <c r="G151" s="199">
        <v>27.7</v>
      </c>
      <c r="H151" s="199">
        <v>69.7</v>
      </c>
      <c r="I151" s="199">
        <v>26.7</v>
      </c>
      <c r="J151" s="199">
        <v>41.7</v>
      </c>
      <c r="K151" s="199">
        <v>26.9</v>
      </c>
      <c r="L151" s="199">
        <v>24.9</v>
      </c>
      <c r="M151" s="199">
        <v>7.6</v>
      </c>
      <c r="N151" s="199">
        <v>1.8</v>
      </c>
      <c r="O151" s="199">
        <v>0.2</v>
      </c>
      <c r="P151" s="199">
        <v>45.4</v>
      </c>
      <c r="Q151" s="199">
        <v>59.9</v>
      </c>
      <c r="R151" s="199">
        <v>19.8</v>
      </c>
      <c r="S151" s="199" t="s">
        <v>28</v>
      </c>
      <c r="T151" s="199"/>
      <c r="U151" s="199" t="s">
        <v>48</v>
      </c>
      <c r="V151" s="199" t="s">
        <v>49</v>
      </c>
      <c r="W151" s="199" t="s">
        <v>1041</v>
      </c>
      <c r="X151" s="199" t="s">
        <v>1042</v>
      </c>
      <c r="Y151" s="203"/>
      <c r="Z151" s="203"/>
      <c r="AA151" s="203"/>
      <c r="AB151" s="203"/>
      <c r="AC151" s="203"/>
    </row>
    <row r="152">
      <c r="A152" s="199" t="s">
        <v>1044</v>
      </c>
      <c r="B152" s="199" t="s">
        <v>43</v>
      </c>
      <c r="C152" s="199" t="s">
        <v>43</v>
      </c>
      <c r="D152" s="199" t="s">
        <v>45</v>
      </c>
      <c r="E152" s="199" t="s">
        <v>1046</v>
      </c>
      <c r="F152" s="199">
        <v>53.4</v>
      </c>
      <c r="G152" s="199">
        <v>45.0</v>
      </c>
      <c r="H152" s="199">
        <v>47.9</v>
      </c>
      <c r="I152" s="199">
        <v>47.0</v>
      </c>
      <c r="J152" s="199">
        <v>66.1</v>
      </c>
      <c r="K152" s="199">
        <v>16.2</v>
      </c>
      <c r="L152" s="199">
        <v>12.6</v>
      </c>
      <c r="M152" s="199">
        <v>3.8</v>
      </c>
      <c r="N152" s="199">
        <v>2.0</v>
      </c>
      <c r="O152" s="199">
        <v>0.1</v>
      </c>
      <c r="P152" s="199">
        <v>33.1</v>
      </c>
      <c r="Q152" s="199">
        <v>35.9</v>
      </c>
      <c r="R152" s="199">
        <v>47.1</v>
      </c>
      <c r="S152" s="199" t="s">
        <v>75</v>
      </c>
      <c r="T152" s="199"/>
      <c r="U152" s="199" t="s">
        <v>48</v>
      </c>
      <c r="V152" s="199" t="s">
        <v>49</v>
      </c>
      <c r="W152" s="199" t="s">
        <v>1048</v>
      </c>
      <c r="X152" s="199" t="s">
        <v>1049</v>
      </c>
      <c r="Y152" s="203"/>
      <c r="Z152" s="203"/>
      <c r="AA152" s="203"/>
      <c r="AB152" s="203"/>
      <c r="AC152" s="203"/>
    </row>
    <row r="153">
      <c r="A153" s="199" t="s">
        <v>1052</v>
      </c>
      <c r="B153" s="199" t="s">
        <v>43</v>
      </c>
      <c r="C153" s="199" t="s">
        <v>43</v>
      </c>
      <c r="D153" s="199" t="s">
        <v>45</v>
      </c>
      <c r="E153" s="199" t="s">
        <v>1053</v>
      </c>
      <c r="F153" s="199">
        <v>58.6</v>
      </c>
      <c r="G153" s="199">
        <v>39.4</v>
      </c>
      <c r="H153" s="199">
        <v>52.4</v>
      </c>
      <c r="I153" s="199">
        <v>40.6</v>
      </c>
      <c r="J153" s="199">
        <v>75.5</v>
      </c>
      <c r="K153" s="199">
        <v>5.4</v>
      </c>
      <c r="L153" s="199">
        <v>10.4</v>
      </c>
      <c r="M153" s="199">
        <v>6.3</v>
      </c>
      <c r="N153" s="199">
        <v>1.9</v>
      </c>
      <c r="O153" s="199">
        <v>0.2</v>
      </c>
      <c r="P153" s="199">
        <v>39.7</v>
      </c>
      <c r="Q153" s="199">
        <v>41.4</v>
      </c>
      <c r="R153" s="199">
        <v>48.4</v>
      </c>
      <c r="S153" s="199" t="s">
        <v>75</v>
      </c>
      <c r="T153" s="199"/>
      <c r="U153" s="199" t="s">
        <v>48</v>
      </c>
      <c r="V153" s="199" t="s">
        <v>49</v>
      </c>
      <c r="W153" s="199" t="s">
        <v>1054</v>
      </c>
      <c r="X153" s="199" t="s">
        <v>1055</v>
      </c>
      <c r="Y153" s="203"/>
      <c r="Z153" s="203"/>
      <c r="AA153" s="203"/>
      <c r="AB153" s="203"/>
      <c r="AC153" s="203"/>
    </row>
    <row r="154">
      <c r="A154" s="199" t="s">
        <v>1059</v>
      </c>
      <c r="B154" s="199" t="s">
        <v>43</v>
      </c>
      <c r="C154" s="199" t="s">
        <v>43</v>
      </c>
      <c r="D154" s="199" t="s">
        <v>45</v>
      </c>
      <c r="E154" s="199" t="s">
        <v>1061</v>
      </c>
      <c r="F154" s="199">
        <v>58.8</v>
      </c>
      <c r="G154" s="199">
        <v>39.1</v>
      </c>
      <c r="H154" s="199">
        <v>53.6</v>
      </c>
      <c r="I154" s="199">
        <v>39.9</v>
      </c>
      <c r="J154" s="199">
        <v>70.7</v>
      </c>
      <c r="K154" s="199">
        <v>7.9</v>
      </c>
      <c r="L154" s="199">
        <v>15.5</v>
      </c>
      <c r="M154" s="199">
        <v>4.9</v>
      </c>
      <c r="N154" s="199">
        <v>1.5</v>
      </c>
      <c r="O154" s="199">
        <v>0.1</v>
      </c>
      <c r="P154" s="199">
        <v>38.9</v>
      </c>
      <c r="Q154" s="199">
        <v>44.2</v>
      </c>
      <c r="R154" s="199">
        <v>42.3</v>
      </c>
      <c r="S154" s="199" t="s">
        <v>75</v>
      </c>
      <c r="T154" s="199"/>
      <c r="U154" s="199" t="s">
        <v>48</v>
      </c>
      <c r="V154" s="199" t="s">
        <v>49</v>
      </c>
      <c r="W154" s="199" t="s">
        <v>377</v>
      </c>
      <c r="X154" s="199" t="s">
        <v>1062</v>
      </c>
      <c r="Y154" s="203"/>
      <c r="Z154" s="203"/>
      <c r="AA154" s="203"/>
      <c r="AB154" s="203"/>
      <c r="AC154" s="203"/>
    </row>
    <row r="155">
      <c r="A155" s="199" t="s">
        <v>1066</v>
      </c>
      <c r="B155" s="199" t="s">
        <v>43</v>
      </c>
      <c r="C155" s="199" t="s">
        <v>43</v>
      </c>
      <c r="D155" s="199" t="s">
        <v>45</v>
      </c>
      <c r="E155" s="199" t="s">
        <v>1067</v>
      </c>
      <c r="F155" s="199">
        <v>60.8</v>
      </c>
      <c r="G155" s="199">
        <v>37.4</v>
      </c>
      <c r="H155" s="199">
        <v>55.5</v>
      </c>
      <c r="I155" s="199">
        <v>39.7</v>
      </c>
      <c r="J155" s="199">
        <v>68.8</v>
      </c>
      <c r="K155" s="199">
        <v>5.9</v>
      </c>
      <c r="L155" s="199">
        <v>18.2</v>
      </c>
      <c r="M155" s="199">
        <v>5.9</v>
      </c>
      <c r="N155" s="199">
        <v>1.7</v>
      </c>
      <c r="O155" s="199">
        <v>0.1</v>
      </c>
      <c r="P155" s="199">
        <v>33.2</v>
      </c>
      <c r="Q155" s="199">
        <v>36.3</v>
      </c>
      <c r="R155" s="199">
        <v>47.8</v>
      </c>
      <c r="S155" s="199" t="s">
        <v>75</v>
      </c>
      <c r="T155" s="199"/>
      <c r="U155" s="199" t="s">
        <v>48</v>
      </c>
      <c r="V155" s="199" t="s">
        <v>49</v>
      </c>
      <c r="W155" s="199" t="s">
        <v>1028</v>
      </c>
      <c r="X155" s="199" t="s">
        <v>1068</v>
      </c>
      <c r="Y155" s="203"/>
      <c r="Z155" s="203"/>
      <c r="AA155" s="203"/>
      <c r="AB155" s="203"/>
      <c r="AC155" s="203"/>
    </row>
    <row r="156">
      <c r="A156" s="199" t="s">
        <v>1104</v>
      </c>
      <c r="B156" s="199" t="s">
        <v>632</v>
      </c>
      <c r="C156" s="199" t="s">
        <v>43</v>
      </c>
      <c r="D156" s="199" t="s">
        <v>397</v>
      </c>
      <c r="E156" s="199" t="s">
        <v>1105</v>
      </c>
      <c r="F156" s="199">
        <v>53.5</v>
      </c>
      <c r="G156" s="199">
        <v>45.0</v>
      </c>
      <c r="H156" s="199">
        <v>49.7</v>
      </c>
      <c r="I156" s="199">
        <v>45.7</v>
      </c>
      <c r="J156" s="199">
        <v>70.2</v>
      </c>
      <c r="K156" s="199">
        <v>3.3</v>
      </c>
      <c r="L156" s="199">
        <v>19.7</v>
      </c>
      <c r="M156" s="199">
        <v>5.0</v>
      </c>
      <c r="N156" s="199">
        <v>1.6</v>
      </c>
      <c r="O156" s="199">
        <v>0.1</v>
      </c>
      <c r="P156" s="199">
        <v>43.6</v>
      </c>
      <c r="Q156" s="199">
        <v>48.3</v>
      </c>
      <c r="R156" s="199">
        <v>38.6</v>
      </c>
      <c r="S156" s="199" t="s">
        <v>75</v>
      </c>
      <c r="T156" s="199"/>
      <c r="U156" s="199" t="s">
        <v>48</v>
      </c>
      <c r="V156" s="199" t="s">
        <v>970</v>
      </c>
      <c r="W156" s="199" t="s">
        <v>73</v>
      </c>
      <c r="X156" s="199" t="s">
        <v>1107</v>
      </c>
      <c r="Y156" s="203"/>
      <c r="Z156" s="203"/>
      <c r="AA156" s="203"/>
      <c r="AB156" s="203"/>
      <c r="AC156" s="203"/>
    </row>
    <row r="157">
      <c r="A157" s="199" t="s">
        <v>1109</v>
      </c>
      <c r="B157" s="199" t="s">
        <v>43</v>
      </c>
      <c r="C157" s="199" t="s">
        <v>43</v>
      </c>
      <c r="D157" s="199" t="s">
        <v>45</v>
      </c>
      <c r="E157" s="199" t="s">
        <v>1110</v>
      </c>
      <c r="F157" s="199">
        <v>71.1</v>
      </c>
      <c r="G157" s="199">
        <v>27.4</v>
      </c>
      <c r="H157" s="199">
        <v>66.9</v>
      </c>
      <c r="I157" s="199">
        <v>28.5</v>
      </c>
      <c r="J157" s="199">
        <v>59.5</v>
      </c>
      <c r="K157" s="199">
        <v>5.3</v>
      </c>
      <c r="L157" s="199">
        <v>27.2</v>
      </c>
      <c r="M157" s="199">
        <v>6.5</v>
      </c>
      <c r="N157" s="199">
        <v>1.7</v>
      </c>
      <c r="O157" s="199">
        <v>0.1</v>
      </c>
      <c r="P157" s="199">
        <v>43.2</v>
      </c>
      <c r="Q157" s="199">
        <v>52.6</v>
      </c>
      <c r="R157" s="199">
        <v>30.7</v>
      </c>
      <c r="S157" s="199" t="s">
        <v>28</v>
      </c>
      <c r="T157" s="199"/>
      <c r="U157" s="199" t="s">
        <v>48</v>
      </c>
      <c r="V157" s="199" t="s">
        <v>49</v>
      </c>
      <c r="W157" s="199" t="s">
        <v>1111</v>
      </c>
      <c r="X157" s="199" t="s">
        <v>1112</v>
      </c>
      <c r="Y157" s="203"/>
      <c r="Z157" s="203"/>
      <c r="AA157" s="203"/>
      <c r="AB157" s="203"/>
      <c r="AC157" s="203"/>
    </row>
    <row r="158">
      <c r="A158" s="199" t="s">
        <v>1114</v>
      </c>
      <c r="B158" s="199" t="s">
        <v>43</v>
      </c>
      <c r="C158" s="199" t="s">
        <v>43</v>
      </c>
      <c r="D158" s="199" t="s">
        <v>45</v>
      </c>
      <c r="E158" s="199" t="s">
        <v>1115</v>
      </c>
      <c r="F158" s="199">
        <v>47.7</v>
      </c>
      <c r="G158" s="199">
        <v>50.6</v>
      </c>
      <c r="H158" s="199">
        <v>46.8</v>
      </c>
      <c r="I158" s="199">
        <v>47.7</v>
      </c>
      <c r="J158" s="199">
        <v>77.7</v>
      </c>
      <c r="K158" s="199">
        <v>5.9</v>
      </c>
      <c r="L158" s="199">
        <v>12.6</v>
      </c>
      <c r="M158" s="199">
        <v>1.7</v>
      </c>
      <c r="N158" s="199">
        <v>2.0</v>
      </c>
      <c r="O158" s="199">
        <v>0.1</v>
      </c>
      <c r="P158" s="199">
        <v>24.9</v>
      </c>
      <c r="Q158" s="199">
        <v>26.5</v>
      </c>
      <c r="R158" s="199">
        <v>59.3</v>
      </c>
      <c r="S158" s="199" t="s">
        <v>75</v>
      </c>
      <c r="T158" s="199"/>
      <c r="U158" s="199" t="s">
        <v>48</v>
      </c>
      <c r="V158" s="199" t="s">
        <v>49</v>
      </c>
      <c r="W158" s="199" t="s">
        <v>1117</v>
      </c>
      <c r="X158" s="199" t="s">
        <v>1118</v>
      </c>
      <c r="Y158" s="203"/>
      <c r="Z158" s="203"/>
      <c r="AA158" s="203"/>
      <c r="AB158" s="203"/>
      <c r="AC158" s="203"/>
    </row>
    <row r="159">
      <c r="A159" s="199" t="s">
        <v>1120</v>
      </c>
      <c r="B159" s="199" t="s">
        <v>43</v>
      </c>
      <c r="C159" s="199" t="s">
        <v>43</v>
      </c>
      <c r="D159" s="199" t="s">
        <v>45</v>
      </c>
      <c r="E159" s="199" t="s">
        <v>1121</v>
      </c>
      <c r="F159" s="199">
        <v>78.3</v>
      </c>
      <c r="G159" s="199">
        <v>20.7</v>
      </c>
      <c r="H159" s="199">
        <v>78.9</v>
      </c>
      <c r="I159" s="199">
        <v>18.3</v>
      </c>
      <c r="J159" s="199">
        <v>44.5</v>
      </c>
      <c r="K159" s="199">
        <v>6.9</v>
      </c>
      <c r="L159" s="199">
        <v>44.3</v>
      </c>
      <c r="M159" s="199">
        <v>3.6</v>
      </c>
      <c r="N159" s="199">
        <v>1.5</v>
      </c>
      <c r="O159" s="199">
        <v>0.1</v>
      </c>
      <c r="P159" s="199">
        <v>29.7</v>
      </c>
      <c r="Q159" s="199">
        <v>42.2</v>
      </c>
      <c r="R159" s="199">
        <v>27.5</v>
      </c>
      <c r="S159" s="199" t="s">
        <v>28</v>
      </c>
      <c r="T159" s="199"/>
      <c r="U159" s="199" t="s">
        <v>48</v>
      </c>
      <c r="V159" s="199" t="s">
        <v>49</v>
      </c>
      <c r="W159" s="199" t="s">
        <v>1122</v>
      </c>
      <c r="X159" s="199" t="s">
        <v>1123</v>
      </c>
      <c r="Y159" s="203"/>
      <c r="Z159" s="203"/>
      <c r="AA159" s="203"/>
      <c r="AB159" s="203"/>
      <c r="AC159" s="203"/>
    </row>
    <row r="160">
      <c r="A160" s="199" t="s">
        <v>1125</v>
      </c>
      <c r="B160" s="199" t="s">
        <v>43</v>
      </c>
      <c r="C160" s="199" t="s">
        <v>43</v>
      </c>
      <c r="D160" s="199" t="s">
        <v>45</v>
      </c>
      <c r="E160" s="199" t="s">
        <v>1126</v>
      </c>
      <c r="F160" s="199">
        <v>50.7</v>
      </c>
      <c r="G160" s="199">
        <v>47.9</v>
      </c>
      <c r="H160" s="199">
        <v>48.9</v>
      </c>
      <c r="I160" s="199">
        <v>46.8</v>
      </c>
      <c r="J160" s="199">
        <v>78.7</v>
      </c>
      <c r="K160" s="199">
        <v>2.2</v>
      </c>
      <c r="L160" s="199">
        <v>13.4</v>
      </c>
      <c r="M160" s="199">
        <v>3.4</v>
      </c>
      <c r="N160" s="199">
        <v>1.9</v>
      </c>
      <c r="O160" s="199">
        <v>0.1</v>
      </c>
      <c r="P160" s="199">
        <v>30.9</v>
      </c>
      <c r="Q160" s="199">
        <v>33.2</v>
      </c>
      <c r="R160" s="199">
        <v>55.3</v>
      </c>
      <c r="S160" s="199" t="s">
        <v>28</v>
      </c>
      <c r="T160" s="199"/>
      <c r="U160" s="199" t="s">
        <v>48</v>
      </c>
      <c r="V160" s="199" t="s">
        <v>159</v>
      </c>
      <c r="W160" s="199" t="s">
        <v>1127</v>
      </c>
      <c r="X160" s="199" t="s">
        <v>1128</v>
      </c>
      <c r="Y160" s="203"/>
      <c r="Z160" s="203"/>
      <c r="AA160" s="203"/>
      <c r="AB160" s="203"/>
      <c r="AC160" s="203"/>
    </row>
    <row r="161">
      <c r="A161" s="199" t="s">
        <v>1131</v>
      </c>
      <c r="B161" s="199" t="s">
        <v>43</v>
      </c>
      <c r="C161" s="199" t="s">
        <v>43</v>
      </c>
      <c r="D161" s="199" t="s">
        <v>45</v>
      </c>
      <c r="E161" s="199" t="s">
        <v>1133</v>
      </c>
      <c r="F161" s="199">
        <v>68.4</v>
      </c>
      <c r="G161" s="199">
        <v>29.1</v>
      </c>
      <c r="H161" s="199">
        <v>60.7</v>
      </c>
      <c r="I161" s="199">
        <v>28.1</v>
      </c>
      <c r="J161" s="199">
        <v>69.0</v>
      </c>
      <c r="K161" s="199">
        <v>12.7</v>
      </c>
      <c r="L161" s="199">
        <v>3.0</v>
      </c>
      <c r="M161" s="199">
        <v>11.5</v>
      </c>
      <c r="N161" s="199">
        <v>3.2</v>
      </c>
      <c r="O161" s="199">
        <v>0.8</v>
      </c>
      <c r="P161" s="199">
        <v>46.9</v>
      </c>
      <c r="Q161" s="199">
        <v>48.2</v>
      </c>
      <c r="R161" s="199">
        <v>40.6</v>
      </c>
      <c r="S161" s="199" t="s">
        <v>75</v>
      </c>
      <c r="T161" s="199"/>
      <c r="U161" s="199" t="s">
        <v>48</v>
      </c>
      <c r="V161" s="199" t="s">
        <v>49</v>
      </c>
      <c r="W161" s="199" t="s">
        <v>1134</v>
      </c>
      <c r="X161" s="199" t="s">
        <v>1135</v>
      </c>
      <c r="Y161" s="203"/>
      <c r="Z161" s="203"/>
      <c r="AA161" s="203"/>
      <c r="AB161" s="203"/>
      <c r="AC161" s="203"/>
    </row>
    <row r="162">
      <c r="A162" s="199" t="s">
        <v>1137</v>
      </c>
      <c r="B162" s="199" t="s">
        <v>43</v>
      </c>
      <c r="C162" s="199" t="s">
        <v>43</v>
      </c>
      <c r="D162" s="199" t="s">
        <v>45</v>
      </c>
      <c r="E162" s="199" t="s">
        <v>1138</v>
      </c>
      <c r="F162" s="199">
        <v>72.5</v>
      </c>
      <c r="G162" s="199">
        <v>25.2</v>
      </c>
      <c r="H162" s="199">
        <v>66.6</v>
      </c>
      <c r="I162" s="199">
        <v>23.4</v>
      </c>
      <c r="J162" s="199">
        <v>67.9</v>
      </c>
      <c r="K162" s="199">
        <v>12.0</v>
      </c>
      <c r="L162" s="199">
        <v>6.7</v>
      </c>
      <c r="M162" s="199">
        <v>9.4</v>
      </c>
      <c r="N162" s="199">
        <v>3.6</v>
      </c>
      <c r="O162" s="199">
        <v>1.1</v>
      </c>
      <c r="P162" s="199">
        <v>38.1</v>
      </c>
      <c r="Q162" s="199">
        <v>42.4</v>
      </c>
      <c r="R162" s="199">
        <v>44.2</v>
      </c>
      <c r="S162" s="199" t="s">
        <v>75</v>
      </c>
      <c r="T162" s="199"/>
      <c r="U162" s="199" t="s">
        <v>48</v>
      </c>
      <c r="V162" s="199" t="s">
        <v>49</v>
      </c>
      <c r="W162" s="199" t="s">
        <v>1139</v>
      </c>
      <c r="X162" s="199" t="s">
        <v>1140</v>
      </c>
      <c r="Y162" s="203"/>
      <c r="Z162" s="203"/>
      <c r="AA162" s="203"/>
      <c r="AB162" s="203"/>
      <c r="AC162" s="203"/>
    </row>
    <row r="163">
      <c r="A163" s="199" t="s">
        <v>1143</v>
      </c>
      <c r="B163" s="199" t="s">
        <v>43</v>
      </c>
      <c r="C163" s="199" t="s">
        <v>43</v>
      </c>
      <c r="D163" s="199" t="s">
        <v>45</v>
      </c>
      <c r="E163" s="199" t="s">
        <v>1144</v>
      </c>
      <c r="F163" s="199">
        <v>55.1</v>
      </c>
      <c r="G163" s="199">
        <v>42.3</v>
      </c>
      <c r="H163" s="199">
        <v>48.5</v>
      </c>
      <c r="I163" s="199">
        <v>40.5</v>
      </c>
      <c r="J163" s="199">
        <v>81.4</v>
      </c>
      <c r="K163" s="199">
        <v>7.3</v>
      </c>
      <c r="L163" s="199">
        <v>1.6</v>
      </c>
      <c r="M163" s="199">
        <v>4.1</v>
      </c>
      <c r="N163" s="199">
        <v>4.6</v>
      </c>
      <c r="O163" s="199">
        <v>0.6</v>
      </c>
      <c r="P163" s="199">
        <v>30.9</v>
      </c>
      <c r="Q163" s="199">
        <v>31.2</v>
      </c>
      <c r="R163" s="199">
        <v>59.9</v>
      </c>
      <c r="S163" s="199" t="s">
        <v>75</v>
      </c>
      <c r="T163" s="199"/>
      <c r="U163" s="199" t="s">
        <v>48</v>
      </c>
      <c r="V163" s="199" t="s">
        <v>159</v>
      </c>
      <c r="W163" s="199" t="s">
        <v>1145</v>
      </c>
      <c r="X163" s="199" t="s">
        <v>1146</v>
      </c>
      <c r="Y163" s="203"/>
      <c r="Z163" s="203"/>
      <c r="AA163" s="203"/>
      <c r="AB163" s="203"/>
      <c r="AC163" s="203"/>
    </row>
    <row r="164">
      <c r="A164" s="199" t="s">
        <v>1148</v>
      </c>
      <c r="B164" s="199" t="s">
        <v>43</v>
      </c>
      <c r="C164" s="199" t="s">
        <v>43</v>
      </c>
      <c r="D164" s="199" t="s">
        <v>45</v>
      </c>
      <c r="E164" s="199" t="s">
        <v>1149</v>
      </c>
      <c r="F164" s="199">
        <v>71.0</v>
      </c>
      <c r="G164" s="199">
        <v>28.3</v>
      </c>
      <c r="H164" s="199">
        <v>73.5</v>
      </c>
      <c r="I164" s="199">
        <v>24.3</v>
      </c>
      <c r="J164" s="199">
        <v>41.3</v>
      </c>
      <c r="K164" s="199">
        <v>22.2</v>
      </c>
      <c r="L164" s="199">
        <v>26.2</v>
      </c>
      <c r="M164" s="199">
        <v>10.6</v>
      </c>
      <c r="N164" s="199">
        <v>1.4</v>
      </c>
      <c r="O164" s="199">
        <v>0.2</v>
      </c>
      <c r="P164" s="199">
        <v>24.9</v>
      </c>
      <c r="Q164" s="199">
        <v>33.5</v>
      </c>
      <c r="R164" s="199">
        <v>30.0</v>
      </c>
      <c r="S164" s="199" t="s">
        <v>75</v>
      </c>
      <c r="T164" s="199"/>
      <c r="U164" s="199" t="s">
        <v>48</v>
      </c>
      <c r="V164" s="199" t="s">
        <v>49</v>
      </c>
      <c r="W164" s="199" t="s">
        <v>1152</v>
      </c>
      <c r="X164" s="199" t="s">
        <v>1153</v>
      </c>
      <c r="Y164" s="203"/>
      <c r="Z164" s="203"/>
      <c r="AA164" s="203"/>
      <c r="AB164" s="203"/>
      <c r="AC164" s="203"/>
    </row>
    <row r="165">
      <c r="A165" s="199" t="s">
        <v>1155</v>
      </c>
      <c r="B165" s="199" t="s">
        <v>43</v>
      </c>
      <c r="C165" s="199" t="s">
        <v>43</v>
      </c>
      <c r="D165" s="199" t="s">
        <v>45</v>
      </c>
      <c r="E165" s="199" t="s">
        <v>1157</v>
      </c>
      <c r="F165" s="199">
        <v>90.2</v>
      </c>
      <c r="G165" s="199">
        <v>9.3</v>
      </c>
      <c r="H165" s="199">
        <v>89.9</v>
      </c>
      <c r="I165" s="199">
        <v>8.0</v>
      </c>
      <c r="J165" s="199">
        <v>35.3</v>
      </c>
      <c r="K165" s="199">
        <v>5.3</v>
      </c>
      <c r="L165" s="199">
        <v>51.0</v>
      </c>
      <c r="M165" s="199">
        <v>8.2</v>
      </c>
      <c r="N165" s="199">
        <v>1.4</v>
      </c>
      <c r="O165" s="199">
        <v>0.2</v>
      </c>
      <c r="P165" s="199">
        <v>39.0</v>
      </c>
      <c r="Q165" s="199">
        <v>65.8</v>
      </c>
      <c r="R165" s="199">
        <v>12.1</v>
      </c>
      <c r="S165" s="199" t="s">
        <v>28</v>
      </c>
      <c r="T165" s="199"/>
      <c r="U165" s="199" t="s">
        <v>48</v>
      </c>
      <c r="V165" s="199" t="s">
        <v>49</v>
      </c>
      <c r="W165" s="199" t="s">
        <v>1161</v>
      </c>
      <c r="X165" s="199" t="s">
        <v>1162</v>
      </c>
      <c r="Y165" s="203"/>
      <c r="Z165" s="203"/>
      <c r="AA165" s="203"/>
      <c r="AB165" s="203"/>
      <c r="AC165" s="203"/>
    </row>
    <row r="166">
      <c r="A166" s="199" t="s">
        <v>1164</v>
      </c>
      <c r="B166" s="199" t="s">
        <v>43</v>
      </c>
      <c r="C166" s="199" t="s">
        <v>43</v>
      </c>
      <c r="D166" s="199" t="s">
        <v>45</v>
      </c>
      <c r="E166" s="199" t="s">
        <v>1165</v>
      </c>
      <c r="F166" s="199">
        <v>58.9</v>
      </c>
      <c r="G166" s="199">
        <v>40.0</v>
      </c>
      <c r="H166" s="199">
        <v>55.0</v>
      </c>
      <c r="I166" s="199">
        <v>41.1</v>
      </c>
      <c r="J166" s="199">
        <v>78.6</v>
      </c>
      <c r="K166" s="199">
        <v>4.8</v>
      </c>
      <c r="L166" s="199">
        <v>9.0</v>
      </c>
      <c r="M166" s="199">
        <v>6.4</v>
      </c>
      <c r="N166" s="199">
        <v>1.0</v>
      </c>
      <c r="O166" s="199">
        <v>0.1</v>
      </c>
      <c r="P166" s="199">
        <v>46.0</v>
      </c>
      <c r="Q166" s="199">
        <v>46.4</v>
      </c>
      <c r="R166" s="199">
        <v>44.8</v>
      </c>
      <c r="S166" s="199" t="s">
        <v>75</v>
      </c>
      <c r="T166" s="199"/>
      <c r="U166" s="199" t="s">
        <v>48</v>
      </c>
      <c r="V166" s="199" t="s">
        <v>49</v>
      </c>
      <c r="W166" s="199" t="s">
        <v>1166</v>
      </c>
      <c r="X166" s="199" t="s">
        <v>841</v>
      </c>
      <c r="Y166" s="203"/>
      <c r="Z166" s="203"/>
      <c r="AA166" s="203"/>
      <c r="AB166" s="203"/>
      <c r="AC166" s="203"/>
    </row>
    <row r="167">
      <c r="A167" s="199" t="s">
        <v>1168</v>
      </c>
      <c r="B167" s="199" t="s">
        <v>43</v>
      </c>
      <c r="C167" s="199" t="s">
        <v>43</v>
      </c>
      <c r="D167" s="199" t="s">
        <v>45</v>
      </c>
      <c r="E167" s="199" t="s">
        <v>1169</v>
      </c>
      <c r="F167" s="199">
        <v>65.7</v>
      </c>
      <c r="G167" s="199">
        <v>33.4</v>
      </c>
      <c r="H167" s="199">
        <v>63.0</v>
      </c>
      <c r="I167" s="199">
        <v>34.0</v>
      </c>
      <c r="J167" s="199">
        <v>61.6</v>
      </c>
      <c r="K167" s="199">
        <v>5.3</v>
      </c>
      <c r="L167" s="199">
        <v>24.7</v>
      </c>
      <c r="M167" s="199">
        <v>7.6</v>
      </c>
      <c r="N167" s="199">
        <v>1.2</v>
      </c>
      <c r="O167" s="199">
        <v>0.1</v>
      </c>
      <c r="P167" s="199">
        <v>39.6</v>
      </c>
      <c r="Q167" s="199">
        <v>45.0</v>
      </c>
      <c r="R167" s="199">
        <v>37.2</v>
      </c>
      <c r="S167" s="199" t="s">
        <v>75</v>
      </c>
      <c r="T167" s="199"/>
      <c r="U167" s="199" t="s">
        <v>48</v>
      </c>
      <c r="V167" s="199" t="s">
        <v>49</v>
      </c>
      <c r="W167" s="199" t="s">
        <v>1170</v>
      </c>
      <c r="X167" s="199" t="s">
        <v>1171</v>
      </c>
      <c r="Y167" s="203"/>
      <c r="Z167" s="203"/>
      <c r="AA167" s="203"/>
      <c r="AB167" s="203"/>
      <c r="AC167" s="203"/>
    </row>
    <row r="168">
      <c r="A168" s="199" t="s">
        <v>1173</v>
      </c>
      <c r="B168" s="199" t="s">
        <v>43</v>
      </c>
      <c r="C168" s="199" t="s">
        <v>43</v>
      </c>
      <c r="D168" s="199" t="s">
        <v>45</v>
      </c>
      <c r="E168" s="199" t="s">
        <v>1174</v>
      </c>
      <c r="F168" s="199">
        <v>56.8</v>
      </c>
      <c r="G168" s="199">
        <v>42.0</v>
      </c>
      <c r="H168" s="199">
        <v>52.4</v>
      </c>
      <c r="I168" s="199">
        <v>43.5</v>
      </c>
      <c r="J168" s="199">
        <v>72.7</v>
      </c>
      <c r="K168" s="199">
        <v>14.0</v>
      </c>
      <c r="L168" s="199">
        <v>7.4</v>
      </c>
      <c r="M168" s="199">
        <v>5.3</v>
      </c>
      <c r="N168" s="199">
        <v>1.5</v>
      </c>
      <c r="O168" s="199">
        <v>0.1</v>
      </c>
      <c r="P168" s="199">
        <v>46.1</v>
      </c>
      <c r="Q168" s="199">
        <v>50.2</v>
      </c>
      <c r="R168" s="199">
        <v>39.7</v>
      </c>
      <c r="S168" s="199" t="s">
        <v>75</v>
      </c>
      <c r="T168" s="199"/>
      <c r="U168" s="199" t="s">
        <v>48</v>
      </c>
      <c r="V168" s="199" t="s">
        <v>49</v>
      </c>
      <c r="W168" s="199" t="s">
        <v>1175</v>
      </c>
      <c r="X168" s="199" t="s">
        <v>1176</v>
      </c>
      <c r="Y168" s="203"/>
      <c r="Z168" s="203"/>
      <c r="AA168" s="203"/>
      <c r="AB168" s="203"/>
      <c r="AC168" s="203"/>
    </row>
    <row r="169">
      <c r="A169" s="199" t="s">
        <v>1178</v>
      </c>
      <c r="B169" s="199" t="s">
        <v>43</v>
      </c>
      <c r="C169" s="199" t="s">
        <v>43</v>
      </c>
      <c r="D169" s="199" t="s">
        <v>45</v>
      </c>
      <c r="E169" s="199" t="s">
        <v>1179</v>
      </c>
      <c r="F169" s="199">
        <v>49.7</v>
      </c>
      <c r="G169" s="199">
        <v>49.1</v>
      </c>
      <c r="H169" s="199">
        <v>46.7</v>
      </c>
      <c r="I169" s="199">
        <v>49.5</v>
      </c>
      <c r="J169" s="199">
        <v>72.7</v>
      </c>
      <c r="K169" s="199">
        <v>16.2</v>
      </c>
      <c r="L169" s="199">
        <v>7.3</v>
      </c>
      <c r="M169" s="199">
        <v>3.6</v>
      </c>
      <c r="N169" s="199">
        <v>1.4</v>
      </c>
      <c r="O169" s="199">
        <v>0.1</v>
      </c>
      <c r="P169" s="199">
        <v>29.8</v>
      </c>
      <c r="Q169" s="199">
        <v>32.1</v>
      </c>
      <c r="R169" s="199">
        <v>53.0</v>
      </c>
      <c r="S169" s="199" t="s">
        <v>75</v>
      </c>
      <c r="T169" s="199"/>
      <c r="U169" s="199" t="s">
        <v>48</v>
      </c>
      <c r="V169" s="199" t="s">
        <v>49</v>
      </c>
      <c r="W169" s="199" t="s">
        <v>1183</v>
      </c>
      <c r="X169" s="199" t="s">
        <v>1184</v>
      </c>
      <c r="Y169" s="203"/>
      <c r="Z169" s="203"/>
      <c r="AA169" s="203"/>
      <c r="AB169" s="203"/>
      <c r="AC169" s="203"/>
    </row>
    <row r="170">
      <c r="A170" s="199" t="s">
        <v>1186</v>
      </c>
      <c r="B170" s="199" t="s">
        <v>43</v>
      </c>
      <c r="C170" s="199" t="s">
        <v>43</v>
      </c>
      <c r="D170" s="199" t="s">
        <v>45</v>
      </c>
      <c r="E170" s="199" t="s">
        <v>1187</v>
      </c>
      <c r="F170" s="199">
        <v>48.0</v>
      </c>
      <c r="G170" s="199">
        <v>50.9</v>
      </c>
      <c r="H170" s="199">
        <v>44.4</v>
      </c>
      <c r="I170" s="199">
        <v>52.5</v>
      </c>
      <c r="J170" s="199">
        <v>78.2</v>
      </c>
      <c r="K170" s="199">
        <v>10.9</v>
      </c>
      <c r="L170" s="199">
        <v>7.7</v>
      </c>
      <c r="M170" s="199">
        <v>2.4</v>
      </c>
      <c r="N170" s="199">
        <v>1.4</v>
      </c>
      <c r="O170" s="199">
        <v>0.1</v>
      </c>
      <c r="P170" s="199">
        <v>25.5</v>
      </c>
      <c r="Q170" s="199">
        <v>26.5</v>
      </c>
      <c r="R170" s="199">
        <v>61.3</v>
      </c>
      <c r="S170" s="199" t="s">
        <v>75</v>
      </c>
      <c r="T170" s="199"/>
      <c r="U170" s="199" t="s">
        <v>48</v>
      </c>
      <c r="V170" s="199" t="s">
        <v>49</v>
      </c>
      <c r="W170" s="199" t="s">
        <v>1188</v>
      </c>
      <c r="X170" s="199" t="s">
        <v>1189</v>
      </c>
      <c r="Y170" s="203"/>
      <c r="Z170" s="203"/>
      <c r="AA170" s="203"/>
      <c r="AB170" s="203"/>
      <c r="AC170" s="203"/>
    </row>
    <row r="171">
      <c r="A171" s="199" t="s">
        <v>946</v>
      </c>
      <c r="B171" s="199" t="s">
        <v>43</v>
      </c>
      <c r="C171" s="199" t="s">
        <v>43</v>
      </c>
      <c r="D171" s="199" t="s">
        <v>45</v>
      </c>
      <c r="E171" s="199" t="s">
        <v>1191</v>
      </c>
      <c r="F171" s="199">
        <v>59.4</v>
      </c>
      <c r="G171" s="199">
        <v>39.5</v>
      </c>
      <c r="H171" s="199">
        <v>57.1</v>
      </c>
      <c r="I171" s="199">
        <v>39.6</v>
      </c>
      <c r="J171" s="199">
        <v>75.8</v>
      </c>
      <c r="K171" s="199">
        <v>2.4</v>
      </c>
      <c r="L171" s="199">
        <v>15.1</v>
      </c>
      <c r="M171" s="199">
        <v>5.2</v>
      </c>
      <c r="N171" s="199">
        <v>1.2</v>
      </c>
      <c r="O171" s="199">
        <v>0.1</v>
      </c>
      <c r="P171" s="199">
        <v>38.4</v>
      </c>
      <c r="Q171" s="199">
        <v>40.1</v>
      </c>
      <c r="R171" s="199">
        <v>48.2</v>
      </c>
      <c r="S171" s="199" t="s">
        <v>28</v>
      </c>
      <c r="T171" s="199"/>
      <c r="U171" s="199" t="s">
        <v>48</v>
      </c>
      <c r="V171" s="199" t="s">
        <v>159</v>
      </c>
      <c r="W171" s="199" t="s">
        <v>945</v>
      </c>
      <c r="X171" s="199" t="s">
        <v>144</v>
      </c>
      <c r="Y171" s="203"/>
      <c r="Z171" s="203"/>
      <c r="AA171" s="203"/>
      <c r="AB171" s="203"/>
      <c r="AC171" s="203"/>
    </row>
    <row r="172">
      <c r="A172" s="199" t="s">
        <v>1194</v>
      </c>
      <c r="B172" s="199" t="s">
        <v>43</v>
      </c>
      <c r="C172" s="199" t="s">
        <v>43</v>
      </c>
      <c r="D172" s="199" t="s">
        <v>45</v>
      </c>
      <c r="E172" s="199" t="s">
        <v>1195</v>
      </c>
      <c r="F172" s="199">
        <v>52.3</v>
      </c>
      <c r="G172" s="199">
        <v>46.5</v>
      </c>
      <c r="H172" s="199">
        <v>48.7</v>
      </c>
      <c r="I172" s="199">
        <v>47.6</v>
      </c>
      <c r="J172" s="199">
        <v>84.2</v>
      </c>
      <c r="K172" s="199">
        <v>2.0</v>
      </c>
      <c r="L172" s="199">
        <v>8.3</v>
      </c>
      <c r="M172" s="199">
        <v>3.6</v>
      </c>
      <c r="N172" s="199">
        <v>1.2</v>
      </c>
      <c r="O172" s="199">
        <v>0.1</v>
      </c>
      <c r="P172" s="199">
        <v>42.1</v>
      </c>
      <c r="Q172" s="199">
        <v>42.3</v>
      </c>
      <c r="R172" s="199">
        <v>51.3</v>
      </c>
      <c r="S172" s="199" t="s">
        <v>75</v>
      </c>
      <c r="T172" s="199"/>
      <c r="U172" s="199" t="s">
        <v>48</v>
      </c>
      <c r="V172" s="199" t="s">
        <v>159</v>
      </c>
      <c r="W172" s="199" t="s">
        <v>643</v>
      </c>
      <c r="X172" s="199" t="s">
        <v>1196</v>
      </c>
      <c r="Y172" s="203"/>
      <c r="Z172" s="203"/>
      <c r="AA172" s="203"/>
      <c r="AB172" s="203"/>
      <c r="AC172" s="203"/>
    </row>
    <row r="173">
      <c r="A173" s="199" t="s">
        <v>1220</v>
      </c>
      <c r="B173" s="199" t="s">
        <v>43</v>
      </c>
      <c r="C173" s="199" t="s">
        <v>43</v>
      </c>
      <c r="D173" s="199" t="s">
        <v>45</v>
      </c>
      <c r="E173" s="199" t="s">
        <v>1221</v>
      </c>
      <c r="F173" s="199">
        <v>63.8</v>
      </c>
      <c r="G173" s="199">
        <v>34.7</v>
      </c>
      <c r="H173" s="199">
        <v>59.1</v>
      </c>
      <c r="I173" s="199">
        <v>34.4</v>
      </c>
      <c r="J173" s="199">
        <v>67.9</v>
      </c>
      <c r="K173" s="199">
        <v>15.9</v>
      </c>
      <c r="L173" s="199">
        <v>10.2</v>
      </c>
      <c r="M173" s="199">
        <v>4.5</v>
      </c>
      <c r="N173" s="199">
        <v>1.8</v>
      </c>
      <c r="O173" s="199">
        <v>0.2</v>
      </c>
      <c r="P173" s="199">
        <v>35.5</v>
      </c>
      <c r="Q173" s="199">
        <v>39.9</v>
      </c>
      <c r="R173" s="199">
        <v>45.5</v>
      </c>
      <c r="S173" s="199" t="s">
        <v>75</v>
      </c>
      <c r="T173" s="199" t="s">
        <v>304</v>
      </c>
      <c r="U173" s="199" t="s">
        <v>48</v>
      </c>
      <c r="V173" s="199" t="s">
        <v>49</v>
      </c>
      <c r="W173" s="199" t="s">
        <v>541</v>
      </c>
      <c r="X173" s="199" t="s">
        <v>1222</v>
      </c>
      <c r="Y173" s="203"/>
      <c r="Z173" s="203"/>
      <c r="AA173" s="203"/>
      <c r="AB173" s="203"/>
      <c r="AC173" s="203"/>
    </row>
    <row r="174">
      <c r="A174" s="199" t="s">
        <v>1224</v>
      </c>
      <c r="B174" s="199" t="s">
        <v>43</v>
      </c>
      <c r="C174" s="199" t="s">
        <v>43</v>
      </c>
      <c r="D174" s="199" t="s">
        <v>45</v>
      </c>
      <c r="E174" s="199" t="s">
        <v>1225</v>
      </c>
      <c r="F174" s="199">
        <v>56.1</v>
      </c>
      <c r="G174" s="199">
        <v>42.4</v>
      </c>
      <c r="H174" s="199">
        <v>50.2</v>
      </c>
      <c r="I174" s="199">
        <v>42.9</v>
      </c>
      <c r="J174" s="199">
        <v>76.8</v>
      </c>
      <c r="K174" s="199">
        <v>12.5</v>
      </c>
      <c r="L174" s="199">
        <v>5.7</v>
      </c>
      <c r="M174" s="199">
        <v>3.8</v>
      </c>
      <c r="N174" s="199">
        <v>1.9</v>
      </c>
      <c r="O174" s="199">
        <v>0.2</v>
      </c>
      <c r="P174" s="199">
        <v>34.5</v>
      </c>
      <c r="Q174" s="199">
        <v>36.9</v>
      </c>
      <c r="R174" s="199">
        <v>52.3</v>
      </c>
      <c r="S174" s="199" t="s">
        <v>1227</v>
      </c>
      <c r="T174" s="199"/>
      <c r="U174" s="199" t="s">
        <v>48</v>
      </c>
      <c r="V174" s="199" t="s">
        <v>159</v>
      </c>
      <c r="W174" s="199" t="s">
        <v>767</v>
      </c>
      <c r="X174" s="199" t="s">
        <v>1226</v>
      </c>
      <c r="Y174" s="203"/>
      <c r="Z174" s="203"/>
      <c r="AA174" s="203"/>
      <c r="AB174" s="203"/>
      <c r="AC174" s="203"/>
    </row>
    <row r="175">
      <c r="A175" s="199" t="s">
        <v>1229</v>
      </c>
      <c r="B175" s="199" t="s">
        <v>43</v>
      </c>
      <c r="C175" s="199" t="s">
        <v>43</v>
      </c>
      <c r="D175" s="199" t="s">
        <v>45</v>
      </c>
      <c r="E175" s="199" t="s">
        <v>1230</v>
      </c>
      <c r="F175" s="199">
        <v>65.3</v>
      </c>
      <c r="G175" s="199">
        <v>33.2</v>
      </c>
      <c r="H175" s="199">
        <v>63.9</v>
      </c>
      <c r="I175" s="199">
        <v>32.3</v>
      </c>
      <c r="J175" s="199">
        <v>44.6</v>
      </c>
      <c r="K175" s="199">
        <v>5.3</v>
      </c>
      <c r="L175" s="199">
        <v>46.9</v>
      </c>
      <c r="M175" s="199">
        <v>2.1</v>
      </c>
      <c r="N175" s="199">
        <v>1.6</v>
      </c>
      <c r="O175" s="199">
        <v>0.2</v>
      </c>
      <c r="P175" s="199">
        <v>25.8</v>
      </c>
      <c r="Q175" s="199">
        <v>36.4</v>
      </c>
      <c r="R175" s="199">
        <v>28.9</v>
      </c>
      <c r="S175" s="199" t="s">
        <v>28</v>
      </c>
      <c r="T175" s="199"/>
      <c r="U175" s="199" t="s">
        <v>48</v>
      </c>
      <c r="V175" s="199" t="s">
        <v>49</v>
      </c>
      <c r="W175" s="199" t="s">
        <v>426</v>
      </c>
      <c r="X175" s="199" t="s">
        <v>1233</v>
      </c>
      <c r="Y175" s="203"/>
      <c r="Z175" s="203"/>
      <c r="AA175" s="203"/>
      <c r="AB175" s="203"/>
      <c r="AC175" s="203"/>
    </row>
    <row r="176">
      <c r="A176" s="199" t="s">
        <v>1236</v>
      </c>
      <c r="B176" s="199" t="s">
        <v>43</v>
      </c>
      <c r="C176" s="199" t="s">
        <v>43</v>
      </c>
      <c r="D176" s="199" t="s">
        <v>45</v>
      </c>
      <c r="E176" s="199" t="s">
        <v>1237</v>
      </c>
      <c r="F176" s="199">
        <v>73.3</v>
      </c>
      <c r="G176" s="199">
        <v>25.1</v>
      </c>
      <c r="H176" s="199">
        <v>71.8</v>
      </c>
      <c r="I176" s="199">
        <v>25.0</v>
      </c>
      <c r="J176" s="199">
        <v>28.5</v>
      </c>
      <c r="K176" s="199">
        <v>7.7</v>
      </c>
      <c r="L176" s="199">
        <v>60.3</v>
      </c>
      <c r="M176" s="199">
        <v>2.6</v>
      </c>
      <c r="N176" s="199">
        <v>1.5</v>
      </c>
      <c r="O176" s="199">
        <v>0.1</v>
      </c>
      <c r="P176" s="199">
        <v>26.0</v>
      </c>
      <c r="Q176" s="199">
        <v>38.9</v>
      </c>
      <c r="R176" s="199">
        <v>19.1</v>
      </c>
      <c r="S176" s="199" t="s">
        <v>75</v>
      </c>
      <c r="T176" s="199"/>
      <c r="U176" s="199" t="s">
        <v>48</v>
      </c>
      <c r="V176" s="199" t="s">
        <v>49</v>
      </c>
      <c r="W176" s="199" t="s">
        <v>1238</v>
      </c>
      <c r="X176" s="199" t="s">
        <v>1239</v>
      </c>
      <c r="Y176" s="203"/>
      <c r="Z176" s="203"/>
      <c r="AA176" s="203"/>
      <c r="AB176" s="203"/>
      <c r="AC176" s="203"/>
    </row>
    <row r="177">
      <c r="A177" s="199" t="s">
        <v>1242</v>
      </c>
      <c r="B177" s="199" t="s">
        <v>43</v>
      </c>
      <c r="C177" s="199" t="s">
        <v>43</v>
      </c>
      <c r="D177" s="199" t="s">
        <v>45</v>
      </c>
      <c r="E177" s="199" t="s">
        <v>1243</v>
      </c>
      <c r="F177" s="199">
        <v>64.2</v>
      </c>
      <c r="G177" s="199">
        <v>34.5</v>
      </c>
      <c r="H177" s="199">
        <v>62.5</v>
      </c>
      <c r="I177" s="199">
        <v>32.6</v>
      </c>
      <c r="J177" s="199">
        <v>30.2</v>
      </c>
      <c r="K177" s="199">
        <v>28.3</v>
      </c>
      <c r="L177" s="199">
        <v>19.6</v>
      </c>
      <c r="M177" s="199">
        <v>21.4</v>
      </c>
      <c r="N177" s="199">
        <v>2.0</v>
      </c>
      <c r="O177" s="199">
        <v>0.2</v>
      </c>
      <c r="P177" s="199">
        <v>48.3</v>
      </c>
      <c r="Q177" s="199">
        <v>68.1</v>
      </c>
      <c r="R177" s="199">
        <v>12.5</v>
      </c>
      <c r="S177" s="199" t="s">
        <v>75</v>
      </c>
      <c r="T177" s="199"/>
      <c r="U177" s="199" t="s">
        <v>48</v>
      </c>
      <c r="V177" s="199" t="s">
        <v>49</v>
      </c>
      <c r="W177" s="199" t="s">
        <v>1244</v>
      </c>
      <c r="X177" s="199" t="s">
        <v>1245</v>
      </c>
      <c r="Y177" s="203"/>
      <c r="Z177" s="203"/>
      <c r="AA177" s="203"/>
      <c r="AB177" s="203"/>
      <c r="AC177" s="203"/>
    </row>
    <row r="178">
      <c r="A178" s="199" t="s">
        <v>1247</v>
      </c>
      <c r="B178" s="199" t="s">
        <v>43</v>
      </c>
      <c r="C178" s="199" t="s">
        <v>43</v>
      </c>
      <c r="D178" s="199" t="s">
        <v>45</v>
      </c>
      <c r="E178" s="199" t="s">
        <v>1248</v>
      </c>
      <c r="F178" s="199">
        <v>76.2</v>
      </c>
      <c r="G178" s="199">
        <v>22.7</v>
      </c>
      <c r="H178" s="199">
        <v>77.0</v>
      </c>
      <c r="I178" s="199">
        <v>19.7</v>
      </c>
      <c r="J178" s="199">
        <v>13.9</v>
      </c>
      <c r="K178" s="199">
        <v>36.4</v>
      </c>
      <c r="L178" s="199">
        <v>38.6</v>
      </c>
      <c r="M178" s="199">
        <v>11.2</v>
      </c>
      <c r="N178" s="199">
        <v>2.2</v>
      </c>
      <c r="O178" s="199">
        <v>0.2</v>
      </c>
      <c r="P178" s="199">
        <v>30.8</v>
      </c>
      <c r="Q178" s="199">
        <v>54.7</v>
      </c>
      <c r="R178" s="199">
        <v>8.6</v>
      </c>
      <c r="S178" s="199" t="s">
        <v>28</v>
      </c>
      <c r="T178" s="199"/>
      <c r="U178" s="199" t="s">
        <v>48</v>
      </c>
      <c r="V178" s="199" t="s">
        <v>49</v>
      </c>
      <c r="W178" s="199" t="s">
        <v>1251</v>
      </c>
      <c r="X178" s="199" t="s">
        <v>1252</v>
      </c>
      <c r="Y178" s="203"/>
      <c r="Z178" s="203"/>
      <c r="AA178" s="203"/>
      <c r="AB178" s="203"/>
      <c r="AC178" s="203"/>
    </row>
    <row r="179">
      <c r="A179" s="199" t="s">
        <v>1254</v>
      </c>
      <c r="B179" s="199" t="s">
        <v>43</v>
      </c>
      <c r="C179" s="199" t="s">
        <v>43</v>
      </c>
      <c r="D179" s="199" t="s">
        <v>45</v>
      </c>
      <c r="E179" s="199" t="s">
        <v>1255</v>
      </c>
      <c r="F179" s="199">
        <v>67.0</v>
      </c>
      <c r="G179" s="199">
        <v>31.5</v>
      </c>
      <c r="H179" s="199">
        <v>68.0</v>
      </c>
      <c r="I179" s="199">
        <v>26.1</v>
      </c>
      <c r="J179" s="199">
        <v>13.0</v>
      </c>
      <c r="K179" s="199">
        <v>80.8</v>
      </c>
      <c r="L179" s="199">
        <v>4.1</v>
      </c>
      <c r="M179" s="199">
        <v>2.1</v>
      </c>
      <c r="N179" s="199">
        <v>2.4</v>
      </c>
      <c r="O179" s="199">
        <v>0.3</v>
      </c>
      <c r="P179" s="199">
        <v>25.2</v>
      </c>
      <c r="Q179" s="199">
        <v>41.9</v>
      </c>
      <c r="R179" s="199">
        <v>9.1</v>
      </c>
      <c r="S179" s="199" t="s">
        <v>83</v>
      </c>
      <c r="T179" s="199"/>
      <c r="U179" s="199" t="s">
        <v>48</v>
      </c>
      <c r="V179" s="199" t="s">
        <v>49</v>
      </c>
      <c r="W179" s="199" t="s">
        <v>1257</v>
      </c>
      <c r="X179" s="199" t="s">
        <v>1258</v>
      </c>
      <c r="Y179" s="203"/>
      <c r="Z179" s="203"/>
      <c r="AA179" s="203"/>
      <c r="AB179" s="203"/>
      <c r="AC179" s="203"/>
    </row>
    <row r="180">
      <c r="A180" s="199" t="s">
        <v>1260</v>
      </c>
      <c r="B180" s="199" t="s">
        <v>43</v>
      </c>
      <c r="C180" s="199" t="s">
        <v>43</v>
      </c>
      <c r="D180" s="199" t="s">
        <v>45</v>
      </c>
      <c r="E180" s="199" t="s">
        <v>1261</v>
      </c>
      <c r="F180" s="199">
        <v>73.6</v>
      </c>
      <c r="G180" s="199">
        <v>25.1</v>
      </c>
      <c r="H180" s="199">
        <v>73.8</v>
      </c>
      <c r="I180" s="199">
        <v>22.2</v>
      </c>
      <c r="J180" s="199">
        <v>19.4</v>
      </c>
      <c r="K180" s="199">
        <v>39.8</v>
      </c>
      <c r="L180" s="199">
        <v>34.4</v>
      </c>
      <c r="M180" s="199">
        <v>6.2</v>
      </c>
      <c r="N180" s="199">
        <v>2.6</v>
      </c>
      <c r="O180" s="199">
        <v>0.3</v>
      </c>
      <c r="P180" s="199">
        <v>26.0</v>
      </c>
      <c r="Q180" s="199">
        <v>53.2</v>
      </c>
      <c r="R180" s="199">
        <v>11.4</v>
      </c>
      <c r="S180" s="199" t="s">
        <v>1011</v>
      </c>
      <c r="T180" s="199"/>
      <c r="U180" s="199" t="s">
        <v>48</v>
      </c>
      <c r="V180" s="199" t="s">
        <v>49</v>
      </c>
      <c r="W180" s="199" t="s">
        <v>467</v>
      </c>
      <c r="X180" s="199" t="s">
        <v>1263</v>
      </c>
      <c r="Y180" s="203"/>
      <c r="Z180" s="203"/>
      <c r="AA180" s="203"/>
      <c r="AB180" s="203"/>
      <c r="AC180" s="203"/>
    </row>
    <row r="181">
      <c r="A181" s="199" t="s">
        <v>1265</v>
      </c>
      <c r="B181" s="199" t="s">
        <v>43</v>
      </c>
      <c r="C181" s="199" t="s">
        <v>43</v>
      </c>
      <c r="D181" s="199" t="s">
        <v>45</v>
      </c>
      <c r="E181" s="199" t="s">
        <v>1266</v>
      </c>
      <c r="F181" s="199">
        <v>65.8</v>
      </c>
      <c r="G181" s="199">
        <v>32.7</v>
      </c>
      <c r="H181" s="199">
        <v>63.0</v>
      </c>
      <c r="I181" s="199">
        <v>31.1</v>
      </c>
      <c r="J181" s="199">
        <v>19.7</v>
      </c>
      <c r="K181" s="199">
        <v>68.2</v>
      </c>
      <c r="L181" s="199">
        <v>7.2</v>
      </c>
      <c r="M181" s="199">
        <v>4.7</v>
      </c>
      <c r="N181" s="199">
        <v>3.0</v>
      </c>
      <c r="O181" s="199">
        <v>0.3</v>
      </c>
      <c r="P181" s="199">
        <v>23.3</v>
      </c>
      <c r="Q181" s="199">
        <v>37.6</v>
      </c>
      <c r="R181" s="199">
        <v>13.8</v>
      </c>
      <c r="S181" s="199" t="s">
        <v>83</v>
      </c>
      <c r="T181" s="199"/>
      <c r="U181" s="199" t="s">
        <v>48</v>
      </c>
      <c r="V181" s="199" t="s">
        <v>49</v>
      </c>
      <c r="W181" s="199" t="s">
        <v>1267</v>
      </c>
      <c r="X181" s="199" t="s">
        <v>1268</v>
      </c>
      <c r="Y181" s="203"/>
      <c r="Z181" s="203"/>
      <c r="AA181" s="203"/>
      <c r="AB181" s="203"/>
      <c r="AC181" s="203"/>
    </row>
    <row r="182">
      <c r="A182" s="199" t="s">
        <v>1270</v>
      </c>
      <c r="B182" s="199" t="s">
        <v>43</v>
      </c>
      <c r="C182" s="199" t="s">
        <v>43</v>
      </c>
      <c r="D182" s="199" t="s">
        <v>45</v>
      </c>
      <c r="E182" s="199" t="s">
        <v>1271</v>
      </c>
      <c r="F182" s="199">
        <v>52.9</v>
      </c>
      <c r="G182" s="199">
        <v>45.9</v>
      </c>
      <c r="H182" s="199">
        <v>57.4</v>
      </c>
      <c r="I182" s="199">
        <v>38.3</v>
      </c>
      <c r="J182" s="199">
        <v>19.3</v>
      </c>
      <c r="K182" s="199">
        <v>72.9</v>
      </c>
      <c r="L182" s="199">
        <v>5.7</v>
      </c>
      <c r="M182" s="199">
        <v>1.6</v>
      </c>
      <c r="N182" s="199">
        <v>2.2</v>
      </c>
      <c r="O182" s="199">
        <v>0.2</v>
      </c>
      <c r="P182" s="199">
        <v>18.5</v>
      </c>
      <c r="Q182" s="199">
        <v>30.5</v>
      </c>
      <c r="R182" s="199">
        <v>16.0</v>
      </c>
      <c r="S182" s="199" t="s">
        <v>83</v>
      </c>
      <c r="T182" s="199"/>
      <c r="U182" s="199" t="s">
        <v>48</v>
      </c>
      <c r="V182" s="199" t="s">
        <v>49</v>
      </c>
      <c r="W182" s="199" t="s">
        <v>1272</v>
      </c>
      <c r="X182" s="199" t="s">
        <v>1273</v>
      </c>
      <c r="Y182" s="203"/>
      <c r="Z182" s="203"/>
      <c r="AA182" s="203"/>
      <c r="AB182" s="203"/>
      <c r="AC182" s="203"/>
    </row>
    <row r="183">
      <c r="A183" s="199" t="s">
        <v>1275</v>
      </c>
      <c r="B183" s="199" t="s">
        <v>43</v>
      </c>
      <c r="C183" s="199" t="s">
        <v>43</v>
      </c>
      <c r="D183" s="199" t="s">
        <v>45</v>
      </c>
      <c r="E183" s="199" t="s">
        <v>1276</v>
      </c>
      <c r="F183" s="199">
        <v>67.8</v>
      </c>
      <c r="G183" s="199">
        <v>31.0</v>
      </c>
      <c r="H183" s="199">
        <v>73.0</v>
      </c>
      <c r="I183" s="199">
        <v>23.4</v>
      </c>
      <c r="J183" s="199">
        <v>10.0</v>
      </c>
      <c r="K183" s="199">
        <v>72.4</v>
      </c>
      <c r="L183" s="199">
        <v>14.6</v>
      </c>
      <c r="M183" s="199">
        <v>3.0</v>
      </c>
      <c r="N183" s="199">
        <v>3.0</v>
      </c>
      <c r="O183" s="199">
        <v>0.2</v>
      </c>
      <c r="P183" s="199">
        <v>10.9</v>
      </c>
      <c r="Q183" s="199">
        <v>24.7</v>
      </c>
      <c r="R183" s="199">
        <v>10.5</v>
      </c>
      <c r="S183" s="199" t="s">
        <v>83</v>
      </c>
      <c r="T183" s="199"/>
      <c r="U183" s="199" t="s">
        <v>48</v>
      </c>
      <c r="V183" s="199" t="s">
        <v>49</v>
      </c>
      <c r="W183" s="199" t="s">
        <v>1277</v>
      </c>
      <c r="X183" s="199" t="s">
        <v>313</v>
      </c>
      <c r="Y183" s="203"/>
      <c r="Z183" s="203"/>
      <c r="AA183" s="203"/>
      <c r="AB183" s="203"/>
      <c r="AC183" s="203"/>
    </row>
    <row r="184">
      <c r="A184" s="199" t="s">
        <v>1279</v>
      </c>
      <c r="B184" s="199" t="s">
        <v>43</v>
      </c>
      <c r="C184" s="199" t="s">
        <v>43</v>
      </c>
      <c r="D184" s="199" t="s">
        <v>45</v>
      </c>
      <c r="E184" s="199" t="s">
        <v>1282</v>
      </c>
      <c r="F184" s="199">
        <v>77.8</v>
      </c>
      <c r="G184" s="199">
        <v>21.0</v>
      </c>
      <c r="H184" s="199">
        <v>76.7</v>
      </c>
      <c r="I184" s="199">
        <v>20.4</v>
      </c>
      <c r="J184" s="199">
        <v>21.4</v>
      </c>
      <c r="K184" s="199">
        <v>32.0</v>
      </c>
      <c r="L184" s="199">
        <v>41.9</v>
      </c>
      <c r="M184" s="199">
        <v>4.1</v>
      </c>
      <c r="N184" s="199">
        <v>2.6</v>
      </c>
      <c r="O184" s="199">
        <v>0.2</v>
      </c>
      <c r="P184" s="199">
        <v>27.2</v>
      </c>
      <c r="Q184" s="199">
        <v>49.2</v>
      </c>
      <c r="R184" s="199">
        <v>13.0</v>
      </c>
      <c r="S184" s="199" t="s">
        <v>28</v>
      </c>
      <c r="T184" s="199"/>
      <c r="U184" s="199" t="s">
        <v>48</v>
      </c>
      <c r="V184" s="199" t="s">
        <v>159</v>
      </c>
      <c r="W184" s="199" t="s">
        <v>1284</v>
      </c>
      <c r="X184" s="199" t="s">
        <v>1285</v>
      </c>
      <c r="Y184" s="203"/>
      <c r="Z184" s="203"/>
      <c r="AA184" s="203"/>
      <c r="AB184" s="203"/>
      <c r="AC184" s="203"/>
    </row>
    <row r="185">
      <c r="A185" s="199" t="s">
        <v>1287</v>
      </c>
      <c r="B185" s="199" t="s">
        <v>43</v>
      </c>
      <c r="C185" s="199" t="s">
        <v>43</v>
      </c>
      <c r="D185" s="199" t="s">
        <v>45</v>
      </c>
      <c r="E185" s="199" t="s">
        <v>1288</v>
      </c>
      <c r="F185" s="199">
        <v>65.7</v>
      </c>
      <c r="G185" s="199">
        <v>32.7</v>
      </c>
      <c r="H185" s="199">
        <v>60.5</v>
      </c>
      <c r="I185" s="199">
        <v>34.4</v>
      </c>
      <c r="J185" s="199">
        <v>36.2</v>
      </c>
      <c r="K185" s="199">
        <v>32.6</v>
      </c>
      <c r="L185" s="199">
        <v>20.3</v>
      </c>
      <c r="M185" s="199">
        <v>9.7</v>
      </c>
      <c r="N185" s="199">
        <v>2.7</v>
      </c>
      <c r="O185" s="199">
        <v>0.2</v>
      </c>
      <c r="P185" s="199">
        <v>37.1</v>
      </c>
      <c r="Q185" s="199">
        <v>54.7</v>
      </c>
      <c r="R185" s="199">
        <v>21.2</v>
      </c>
      <c r="S185" s="199" t="s">
        <v>28</v>
      </c>
      <c r="T185" s="199"/>
      <c r="U185" s="199" t="s">
        <v>48</v>
      </c>
      <c r="V185" s="199" t="s">
        <v>49</v>
      </c>
      <c r="W185" s="199" t="s">
        <v>1292</v>
      </c>
      <c r="X185" s="199" t="s">
        <v>1293</v>
      </c>
      <c r="Y185" s="203"/>
      <c r="Z185" s="203"/>
      <c r="AA185" s="203"/>
      <c r="AB185" s="203"/>
      <c r="AC185" s="203"/>
    </row>
    <row r="186">
      <c r="A186" s="199" t="s">
        <v>1295</v>
      </c>
      <c r="B186" s="199" t="s">
        <v>43</v>
      </c>
      <c r="C186" s="199" t="s">
        <v>43</v>
      </c>
      <c r="D186" s="199" t="s">
        <v>45</v>
      </c>
      <c r="E186" s="199" t="s">
        <v>1296</v>
      </c>
      <c r="F186" s="199">
        <v>74.2</v>
      </c>
      <c r="G186" s="199">
        <v>24.4</v>
      </c>
      <c r="H186" s="199">
        <v>73.9</v>
      </c>
      <c r="I186" s="199">
        <v>22.4</v>
      </c>
      <c r="J186" s="199">
        <v>15.8</v>
      </c>
      <c r="K186" s="199">
        <v>54.5</v>
      </c>
      <c r="L186" s="199">
        <v>20.4</v>
      </c>
      <c r="M186" s="199">
        <v>8.7</v>
      </c>
      <c r="N186" s="199">
        <v>2.7</v>
      </c>
      <c r="O186" s="199">
        <v>0.2</v>
      </c>
      <c r="P186" s="199">
        <v>20.4</v>
      </c>
      <c r="Q186" s="199">
        <v>34.7</v>
      </c>
      <c r="R186" s="199">
        <v>15.7</v>
      </c>
      <c r="S186" s="199" t="s">
        <v>28</v>
      </c>
      <c r="T186" s="199"/>
      <c r="U186" s="199" t="s">
        <v>48</v>
      </c>
      <c r="V186" s="199" t="s">
        <v>49</v>
      </c>
      <c r="W186" s="199" t="s">
        <v>1297</v>
      </c>
      <c r="X186" s="199" t="s">
        <v>1298</v>
      </c>
      <c r="Y186" s="203"/>
      <c r="Z186" s="203"/>
      <c r="AA186" s="203"/>
      <c r="AB186" s="203"/>
      <c r="AC186" s="203"/>
    </row>
    <row r="187">
      <c r="A187" s="199" t="s">
        <v>1300</v>
      </c>
      <c r="B187" s="199" t="s">
        <v>1301</v>
      </c>
      <c r="C187" s="199" t="s">
        <v>43</v>
      </c>
      <c r="D187" s="199" t="s">
        <v>45</v>
      </c>
      <c r="E187" s="199" t="s">
        <v>1302</v>
      </c>
      <c r="F187" s="199">
        <v>57.3</v>
      </c>
      <c r="G187" s="199">
        <v>41.8</v>
      </c>
      <c r="H187" s="199">
        <v>66.1</v>
      </c>
      <c r="I187" s="199">
        <v>29.9</v>
      </c>
      <c r="J187" s="199">
        <v>9.5</v>
      </c>
      <c r="K187" s="199">
        <v>88.5</v>
      </c>
      <c r="L187" s="199">
        <v>0.8</v>
      </c>
      <c r="M187" s="199">
        <v>0.9</v>
      </c>
      <c r="N187" s="199">
        <v>1.5</v>
      </c>
      <c r="O187" s="199">
        <v>0.1</v>
      </c>
      <c r="P187" s="199">
        <v>17.0</v>
      </c>
      <c r="Q187" s="199">
        <v>32.8</v>
      </c>
      <c r="R187" s="199">
        <v>7.9</v>
      </c>
      <c r="S187" s="199" t="s">
        <v>979</v>
      </c>
      <c r="T187" s="199"/>
      <c r="U187" s="199" t="s">
        <v>48</v>
      </c>
      <c r="V187" s="199" t="s">
        <v>49</v>
      </c>
      <c r="W187" s="199" t="s">
        <v>1303</v>
      </c>
      <c r="X187" s="199" t="s">
        <v>1304</v>
      </c>
      <c r="Y187" s="203"/>
      <c r="Z187" s="203"/>
      <c r="AA187" s="203"/>
      <c r="AB187" s="203"/>
      <c r="AC187" s="203"/>
    </row>
    <row r="188">
      <c r="A188" s="199" t="s">
        <v>1210</v>
      </c>
      <c r="B188" s="199" t="s">
        <v>395</v>
      </c>
      <c r="C188" s="199" t="s">
        <v>43</v>
      </c>
      <c r="D188" s="199" t="s">
        <v>397</v>
      </c>
      <c r="E188" s="199" t="s">
        <v>1306</v>
      </c>
      <c r="F188" s="199">
        <v>71.7</v>
      </c>
      <c r="G188" s="199">
        <v>26.5</v>
      </c>
      <c r="H188" s="199">
        <v>68.1</v>
      </c>
      <c r="I188" s="199">
        <v>25.7</v>
      </c>
      <c r="J188" s="199">
        <v>29.8</v>
      </c>
      <c r="K188" s="199">
        <v>51.3</v>
      </c>
      <c r="L188" s="199">
        <v>13.9</v>
      </c>
      <c r="M188" s="199">
        <v>4.6</v>
      </c>
      <c r="N188" s="199">
        <v>3.1</v>
      </c>
      <c r="O188" s="199">
        <v>0.7</v>
      </c>
      <c r="P188" s="199">
        <v>26.9</v>
      </c>
      <c r="Q188" s="199">
        <v>44.0</v>
      </c>
      <c r="R188" s="199">
        <v>18.9</v>
      </c>
      <c r="S188" s="199" t="s">
        <v>83</v>
      </c>
      <c r="T188" s="199"/>
      <c r="U188" s="199" t="s">
        <v>48</v>
      </c>
      <c r="V188" s="199" t="s">
        <v>159</v>
      </c>
      <c r="W188" s="199" t="s">
        <v>73</v>
      </c>
      <c r="X188" s="199" t="s">
        <v>1209</v>
      </c>
      <c r="Y188" s="203"/>
      <c r="Z188" s="203"/>
      <c r="AA188" s="203"/>
      <c r="AB188" s="203"/>
      <c r="AC188" s="203"/>
    </row>
    <row r="189">
      <c r="A189" s="199" t="s">
        <v>1309</v>
      </c>
      <c r="B189" s="199" t="s">
        <v>43</v>
      </c>
      <c r="C189" s="199" t="s">
        <v>43</v>
      </c>
      <c r="D189" s="199" t="s">
        <v>45</v>
      </c>
      <c r="E189" s="199" t="s">
        <v>1310</v>
      </c>
      <c r="F189" s="199">
        <v>75.5</v>
      </c>
      <c r="G189" s="199">
        <v>22.7</v>
      </c>
      <c r="H189" s="199">
        <v>68.8</v>
      </c>
      <c r="I189" s="199">
        <v>23.7</v>
      </c>
      <c r="J189" s="199">
        <v>55.3</v>
      </c>
      <c r="K189" s="199">
        <v>25.1</v>
      </c>
      <c r="L189" s="199">
        <v>6.8</v>
      </c>
      <c r="M189" s="199">
        <v>11.2</v>
      </c>
      <c r="N189" s="199">
        <v>2.6</v>
      </c>
      <c r="O189" s="199">
        <v>0.2</v>
      </c>
      <c r="P189" s="199">
        <v>57.8</v>
      </c>
      <c r="Q189" s="199">
        <v>66.8</v>
      </c>
      <c r="R189" s="199">
        <v>20.9</v>
      </c>
      <c r="S189" s="199" t="s">
        <v>75</v>
      </c>
      <c r="T189" s="199"/>
      <c r="U189" s="199" t="s">
        <v>48</v>
      </c>
      <c r="V189" s="199" t="s">
        <v>49</v>
      </c>
      <c r="W189" s="199" t="s">
        <v>1312</v>
      </c>
      <c r="X189" s="199" t="s">
        <v>1313</v>
      </c>
      <c r="Y189" s="203"/>
      <c r="Z189" s="203"/>
      <c r="AA189" s="203"/>
      <c r="AB189" s="203"/>
      <c r="AC189" s="203"/>
    </row>
    <row r="190">
      <c r="A190" s="199" t="s">
        <v>1321</v>
      </c>
      <c r="B190" s="199" t="s">
        <v>43</v>
      </c>
      <c r="C190" s="199" t="s">
        <v>43</v>
      </c>
      <c r="D190" s="199" t="s">
        <v>45</v>
      </c>
      <c r="E190" s="199" t="s">
        <v>1324</v>
      </c>
      <c r="F190" s="199">
        <v>68.3</v>
      </c>
      <c r="G190" s="199">
        <v>30.0</v>
      </c>
      <c r="H190" s="199">
        <v>63.9</v>
      </c>
      <c r="I190" s="199">
        <v>30.7</v>
      </c>
      <c r="J190" s="199">
        <v>42.0</v>
      </c>
      <c r="K190" s="199">
        <v>7.4</v>
      </c>
      <c r="L190" s="199">
        <v>45.4</v>
      </c>
      <c r="M190" s="199">
        <v>4.4</v>
      </c>
      <c r="N190" s="199">
        <v>2.4</v>
      </c>
      <c r="O190" s="199">
        <v>0.4</v>
      </c>
      <c r="P190" s="199">
        <v>27.2</v>
      </c>
      <c r="Q190" s="199">
        <v>32.9</v>
      </c>
      <c r="R190" s="199">
        <v>30.5</v>
      </c>
      <c r="S190" s="199" t="s">
        <v>1326</v>
      </c>
      <c r="T190" s="199"/>
      <c r="U190" s="199" t="s">
        <v>48</v>
      </c>
      <c r="V190" s="199" t="s">
        <v>49</v>
      </c>
      <c r="W190" s="199" t="s">
        <v>1325</v>
      </c>
      <c r="X190" s="199" t="s">
        <v>348</v>
      </c>
      <c r="Y190" s="203"/>
      <c r="Z190" s="203"/>
      <c r="AA190" s="203"/>
      <c r="AB190" s="203"/>
      <c r="AC190" s="203"/>
    </row>
    <row r="191">
      <c r="A191" s="199" t="s">
        <v>1328</v>
      </c>
      <c r="B191" s="199" t="s">
        <v>43</v>
      </c>
      <c r="C191" s="199" t="s">
        <v>43</v>
      </c>
      <c r="D191" s="199" t="s">
        <v>45</v>
      </c>
      <c r="E191" s="199" t="s">
        <v>1329</v>
      </c>
      <c r="F191" s="199">
        <v>67.2</v>
      </c>
      <c r="G191" s="199">
        <v>31.5</v>
      </c>
      <c r="H191" s="199">
        <v>63.3</v>
      </c>
      <c r="I191" s="199">
        <v>32.0</v>
      </c>
      <c r="J191" s="199">
        <v>45.2</v>
      </c>
      <c r="K191" s="199">
        <v>8.3</v>
      </c>
      <c r="L191" s="199">
        <v>42.1</v>
      </c>
      <c r="M191" s="199">
        <v>3.3</v>
      </c>
      <c r="N191" s="199">
        <v>2.0</v>
      </c>
      <c r="O191" s="199">
        <v>0.2</v>
      </c>
      <c r="P191" s="199">
        <v>29.2</v>
      </c>
      <c r="Q191" s="199">
        <v>38.8</v>
      </c>
      <c r="R191" s="199">
        <v>29.2</v>
      </c>
      <c r="S191" s="199" t="s">
        <v>28</v>
      </c>
      <c r="T191" s="199"/>
      <c r="U191" s="199" t="s">
        <v>48</v>
      </c>
      <c r="V191" s="199" t="s">
        <v>49</v>
      </c>
      <c r="W191" s="199" t="s">
        <v>911</v>
      </c>
      <c r="X191" s="199" t="s">
        <v>1330</v>
      </c>
      <c r="Y191" s="203"/>
      <c r="Z191" s="203"/>
      <c r="AA191" s="203"/>
      <c r="AB191" s="203"/>
      <c r="AC191" s="203"/>
    </row>
    <row r="192">
      <c r="A192" s="199" t="s">
        <v>1332</v>
      </c>
      <c r="B192" s="199" t="s">
        <v>43</v>
      </c>
      <c r="C192" s="199" t="s">
        <v>43</v>
      </c>
      <c r="D192" s="199" t="s">
        <v>45</v>
      </c>
      <c r="E192" s="199" t="s">
        <v>1333</v>
      </c>
      <c r="F192" s="199">
        <v>52.6</v>
      </c>
      <c r="G192" s="199">
        <v>45.8</v>
      </c>
      <c r="H192" s="199">
        <v>48.1</v>
      </c>
      <c r="I192" s="199">
        <v>45.9</v>
      </c>
      <c r="J192" s="199">
        <v>54.2</v>
      </c>
      <c r="K192" s="199">
        <v>15.3</v>
      </c>
      <c r="L192" s="199">
        <v>22.4</v>
      </c>
      <c r="M192" s="199">
        <v>6.7</v>
      </c>
      <c r="N192" s="199">
        <v>2.6</v>
      </c>
      <c r="O192" s="199">
        <v>0.3</v>
      </c>
      <c r="P192" s="199">
        <v>35.4</v>
      </c>
      <c r="Q192" s="199">
        <v>38.2</v>
      </c>
      <c r="R192" s="199">
        <v>38.3</v>
      </c>
      <c r="S192" s="199" t="s">
        <v>75</v>
      </c>
      <c r="T192" s="199"/>
      <c r="U192" s="199" t="s">
        <v>48</v>
      </c>
      <c r="V192" s="199" t="s">
        <v>49</v>
      </c>
      <c r="W192" s="199" t="s">
        <v>1334</v>
      </c>
      <c r="X192" s="199" t="s">
        <v>1335</v>
      </c>
      <c r="Y192" s="203"/>
      <c r="Z192" s="203"/>
      <c r="AA192" s="203"/>
      <c r="AB192" s="203"/>
      <c r="AC192" s="203"/>
    </row>
    <row r="193">
      <c r="A193" s="199" t="s">
        <v>1337</v>
      </c>
      <c r="B193" s="199" t="s">
        <v>43</v>
      </c>
      <c r="C193" s="199" t="s">
        <v>43</v>
      </c>
      <c r="D193" s="199" t="s">
        <v>45</v>
      </c>
      <c r="E193" s="199" t="s">
        <v>1338</v>
      </c>
      <c r="F193" s="199">
        <v>77.4</v>
      </c>
      <c r="G193" s="199">
        <v>21.3</v>
      </c>
      <c r="H193" s="199">
        <v>72.3</v>
      </c>
      <c r="I193" s="199">
        <v>20.7</v>
      </c>
      <c r="J193" s="199">
        <v>52.2</v>
      </c>
      <c r="K193" s="199">
        <v>18.4</v>
      </c>
      <c r="L193" s="199">
        <v>14.0</v>
      </c>
      <c r="M193" s="199">
        <v>14.5</v>
      </c>
      <c r="N193" s="199">
        <v>1.9</v>
      </c>
      <c r="O193" s="199">
        <v>0.2</v>
      </c>
      <c r="P193" s="199">
        <v>63.9</v>
      </c>
      <c r="Q193" s="199">
        <v>78.6</v>
      </c>
      <c r="R193" s="199">
        <v>13.4</v>
      </c>
      <c r="S193" s="199" t="s">
        <v>75</v>
      </c>
      <c r="T193" s="199"/>
      <c r="U193" s="199" t="s">
        <v>48</v>
      </c>
      <c r="V193" s="199" t="s">
        <v>49</v>
      </c>
      <c r="W193" s="199" t="s">
        <v>1072</v>
      </c>
      <c r="X193" s="199" t="s">
        <v>1340</v>
      </c>
      <c r="Y193" s="203"/>
      <c r="Z193" s="203"/>
      <c r="AA193" s="203"/>
      <c r="AB193" s="203"/>
      <c r="AC193" s="203"/>
    </row>
    <row r="194">
      <c r="A194" s="199" t="s">
        <v>1342</v>
      </c>
      <c r="B194" s="199" t="s">
        <v>43</v>
      </c>
      <c r="C194" s="199" t="s">
        <v>43</v>
      </c>
      <c r="D194" s="199" t="s">
        <v>45</v>
      </c>
      <c r="E194" s="199" t="s">
        <v>1343</v>
      </c>
      <c r="F194" s="199">
        <v>58.3</v>
      </c>
      <c r="G194" s="199">
        <v>40.2</v>
      </c>
      <c r="H194" s="199">
        <v>50.5</v>
      </c>
      <c r="I194" s="199">
        <v>42.9</v>
      </c>
      <c r="J194" s="199">
        <v>55.8</v>
      </c>
      <c r="K194" s="199">
        <v>16.0</v>
      </c>
      <c r="L194" s="199">
        <v>9.9</v>
      </c>
      <c r="M194" s="199">
        <v>16.9</v>
      </c>
      <c r="N194" s="199">
        <v>1.9</v>
      </c>
      <c r="O194" s="199">
        <v>0.2</v>
      </c>
      <c r="P194" s="199">
        <v>52.6</v>
      </c>
      <c r="Q194" s="199">
        <v>56.5</v>
      </c>
      <c r="R194" s="199">
        <v>28.5</v>
      </c>
      <c r="S194" s="199" t="s">
        <v>75</v>
      </c>
      <c r="T194" s="199"/>
      <c r="U194" s="199" t="s">
        <v>48</v>
      </c>
      <c r="V194" s="199" t="s">
        <v>49</v>
      </c>
      <c r="W194" s="199" t="s">
        <v>1345</v>
      </c>
      <c r="X194" s="199" t="s">
        <v>1346</v>
      </c>
      <c r="Y194" s="203"/>
      <c r="Z194" s="203"/>
      <c r="AA194" s="203"/>
      <c r="AB194" s="203"/>
      <c r="AC194" s="203"/>
    </row>
    <row r="195">
      <c r="A195" s="199" t="s">
        <v>1348</v>
      </c>
      <c r="B195" s="199" t="s">
        <v>43</v>
      </c>
      <c r="C195" s="199" t="s">
        <v>43</v>
      </c>
      <c r="D195" s="199" t="s">
        <v>45</v>
      </c>
      <c r="E195" s="199" t="s">
        <v>1349</v>
      </c>
      <c r="F195" s="199">
        <v>70.0</v>
      </c>
      <c r="G195" s="199">
        <v>28.7</v>
      </c>
      <c r="H195" s="199">
        <v>63.4</v>
      </c>
      <c r="I195" s="199">
        <v>29.5</v>
      </c>
      <c r="J195" s="199">
        <v>51.2</v>
      </c>
      <c r="K195" s="199">
        <v>12.8</v>
      </c>
      <c r="L195" s="199">
        <v>9.4</v>
      </c>
      <c r="M195" s="199">
        <v>25.4</v>
      </c>
      <c r="N195" s="199">
        <v>1.4</v>
      </c>
      <c r="O195" s="199">
        <v>0.2</v>
      </c>
      <c r="P195" s="199">
        <v>65.4</v>
      </c>
      <c r="Q195" s="199">
        <v>73.4</v>
      </c>
      <c r="R195" s="199">
        <v>16.1</v>
      </c>
      <c r="S195" s="199" t="s">
        <v>75</v>
      </c>
      <c r="T195" s="199"/>
      <c r="U195" s="199" t="s">
        <v>48</v>
      </c>
      <c r="V195" s="199" t="s">
        <v>49</v>
      </c>
      <c r="W195" s="199" t="s">
        <v>1352</v>
      </c>
      <c r="X195" s="199" t="s">
        <v>1353</v>
      </c>
      <c r="Y195" s="203"/>
      <c r="Z195" s="203"/>
      <c r="AA195" s="203"/>
      <c r="AB195" s="203"/>
      <c r="AC195" s="203"/>
    </row>
    <row r="196">
      <c r="A196" s="199" t="s">
        <v>1315</v>
      </c>
      <c r="B196" s="199" t="s">
        <v>43</v>
      </c>
      <c r="C196" s="199" t="s">
        <v>43</v>
      </c>
      <c r="D196" s="199" t="s">
        <v>45</v>
      </c>
      <c r="E196" s="199" t="s">
        <v>1316</v>
      </c>
      <c r="F196" s="199">
        <v>66.4</v>
      </c>
      <c r="G196" s="199">
        <v>30.8</v>
      </c>
      <c r="H196" s="199">
        <v>56.7</v>
      </c>
      <c r="I196" s="199">
        <v>30.3</v>
      </c>
      <c r="J196" s="199">
        <v>90.4</v>
      </c>
      <c r="K196" s="199">
        <v>2.1</v>
      </c>
      <c r="L196" s="199">
        <v>1.7</v>
      </c>
      <c r="M196" s="199">
        <v>2.2</v>
      </c>
      <c r="N196" s="199">
        <v>2.4</v>
      </c>
      <c r="O196" s="199">
        <v>0.1</v>
      </c>
      <c r="P196" s="199">
        <v>39.7</v>
      </c>
      <c r="Q196" s="199">
        <v>39.6</v>
      </c>
      <c r="R196" s="199">
        <v>57.2</v>
      </c>
      <c r="S196" s="199" t="s">
        <v>75</v>
      </c>
      <c r="T196" s="199" t="s">
        <v>666</v>
      </c>
      <c r="U196" s="199" t="s">
        <v>48</v>
      </c>
      <c r="V196" s="199" t="s">
        <v>159</v>
      </c>
      <c r="W196" s="199" t="s">
        <v>1317</v>
      </c>
      <c r="X196" s="199" t="s">
        <v>1318</v>
      </c>
      <c r="Y196" s="203"/>
      <c r="Z196" s="203"/>
      <c r="AA196" s="203"/>
      <c r="AB196" s="203"/>
      <c r="AC196" s="203"/>
    </row>
    <row r="197">
      <c r="A197" s="199" t="s">
        <v>1355</v>
      </c>
      <c r="B197" s="199" t="s">
        <v>43</v>
      </c>
      <c r="C197" s="199" t="s">
        <v>43</v>
      </c>
      <c r="D197" s="199" t="s">
        <v>45</v>
      </c>
      <c r="E197" s="199" t="s">
        <v>1356</v>
      </c>
      <c r="F197" s="199">
        <v>64.0</v>
      </c>
      <c r="G197" s="199">
        <v>33.3</v>
      </c>
      <c r="H197" s="199">
        <v>58.9</v>
      </c>
      <c r="I197" s="199">
        <v>33.1</v>
      </c>
      <c r="J197" s="199">
        <v>62.9</v>
      </c>
      <c r="K197" s="199">
        <v>8.5</v>
      </c>
      <c r="L197" s="199">
        <v>3.5</v>
      </c>
      <c r="M197" s="199">
        <v>21.7</v>
      </c>
      <c r="N197" s="199">
        <v>2.4</v>
      </c>
      <c r="O197" s="199">
        <v>0.8</v>
      </c>
      <c r="P197" s="199">
        <v>48.0</v>
      </c>
      <c r="Q197" s="199">
        <v>44.2</v>
      </c>
      <c r="R197" s="199">
        <v>42.5</v>
      </c>
      <c r="S197" s="199" t="s">
        <v>75</v>
      </c>
      <c r="T197" s="199"/>
      <c r="U197" s="199" t="s">
        <v>48</v>
      </c>
      <c r="V197" s="199" t="s">
        <v>49</v>
      </c>
      <c r="W197" s="199" t="s">
        <v>1359</v>
      </c>
      <c r="X197" s="199" t="s">
        <v>1360</v>
      </c>
      <c r="Y197" s="203"/>
      <c r="Z197" s="203"/>
      <c r="AA197" s="203"/>
      <c r="AB197" s="203"/>
      <c r="AC197" s="203"/>
    </row>
    <row r="198">
      <c r="A198" s="199" t="s">
        <v>1362</v>
      </c>
      <c r="B198" s="199" t="s">
        <v>43</v>
      </c>
      <c r="C198" s="199" t="s">
        <v>43</v>
      </c>
      <c r="D198" s="199" t="s">
        <v>45</v>
      </c>
      <c r="E198" s="199" t="s">
        <v>1363</v>
      </c>
      <c r="F198" s="199">
        <v>60.1</v>
      </c>
      <c r="G198" s="199">
        <v>37.2</v>
      </c>
      <c r="H198" s="199">
        <v>55.0</v>
      </c>
      <c r="I198" s="199">
        <v>37.0</v>
      </c>
      <c r="J198" s="199">
        <v>72.5</v>
      </c>
      <c r="K198" s="199">
        <v>10.1</v>
      </c>
      <c r="L198" s="199">
        <v>3.5</v>
      </c>
      <c r="M198" s="199">
        <v>9.0</v>
      </c>
      <c r="N198" s="199">
        <v>4.1</v>
      </c>
      <c r="O198" s="199">
        <v>0.9</v>
      </c>
      <c r="P198" s="199">
        <v>32.8</v>
      </c>
      <c r="Q198" s="199">
        <v>34.7</v>
      </c>
      <c r="R198" s="199">
        <v>52.4</v>
      </c>
      <c r="S198" s="199" t="s">
        <v>75</v>
      </c>
      <c r="T198" s="199"/>
      <c r="U198" s="199" t="s">
        <v>48</v>
      </c>
      <c r="V198" s="199" t="s">
        <v>49</v>
      </c>
      <c r="W198" s="199" t="s">
        <v>1364</v>
      </c>
      <c r="X198" s="199" t="s">
        <v>1365</v>
      </c>
      <c r="Y198" s="203"/>
      <c r="Z198" s="203"/>
      <c r="AA198" s="203"/>
      <c r="AB198" s="203"/>
      <c r="AC198" s="203"/>
    </row>
    <row r="199">
      <c r="A199" s="199" t="s">
        <v>1367</v>
      </c>
      <c r="B199" s="199" t="s">
        <v>632</v>
      </c>
      <c r="C199" s="199" t="s">
        <v>43</v>
      </c>
      <c r="D199" s="199" t="s">
        <v>397</v>
      </c>
      <c r="E199" s="199" t="s">
        <v>1368</v>
      </c>
      <c r="F199" s="199">
        <v>46.6</v>
      </c>
      <c r="G199" s="199">
        <v>50.8</v>
      </c>
      <c r="H199" s="199">
        <v>42.4</v>
      </c>
      <c r="I199" s="199">
        <v>50.0</v>
      </c>
      <c r="J199" s="199">
        <v>78.4</v>
      </c>
      <c r="K199" s="199">
        <v>8.9</v>
      </c>
      <c r="L199" s="199">
        <v>2.5</v>
      </c>
      <c r="M199" s="199">
        <v>5.1</v>
      </c>
      <c r="N199" s="199">
        <v>3.9</v>
      </c>
      <c r="O199" s="199">
        <v>1.2</v>
      </c>
      <c r="P199" s="199">
        <v>26.8</v>
      </c>
      <c r="Q199" s="199">
        <v>26.9</v>
      </c>
      <c r="R199" s="199">
        <v>62.6</v>
      </c>
      <c r="S199" s="199" t="s">
        <v>1371</v>
      </c>
      <c r="T199" s="199"/>
      <c r="U199" s="199" t="s">
        <v>48</v>
      </c>
      <c r="V199" s="199" t="s">
        <v>159</v>
      </c>
      <c r="W199" s="199" t="s">
        <v>1369</v>
      </c>
      <c r="X199" s="199" t="s">
        <v>1370</v>
      </c>
      <c r="Y199" s="203"/>
      <c r="Z199" s="203"/>
      <c r="AA199" s="203"/>
      <c r="AB199" s="203"/>
      <c r="AC199" s="203"/>
    </row>
    <row r="200">
      <c r="A200" s="199" t="s">
        <v>1373</v>
      </c>
      <c r="B200" s="199" t="s">
        <v>43</v>
      </c>
      <c r="C200" s="199" t="s">
        <v>43</v>
      </c>
      <c r="D200" s="199" t="s">
        <v>45</v>
      </c>
      <c r="E200" s="199" t="s">
        <v>1374</v>
      </c>
      <c r="F200" s="199">
        <v>57.1</v>
      </c>
      <c r="G200" s="199">
        <v>39.9</v>
      </c>
      <c r="H200" s="199">
        <v>51.6</v>
      </c>
      <c r="I200" s="199">
        <v>39.7</v>
      </c>
      <c r="J200" s="199">
        <v>75.2</v>
      </c>
      <c r="K200" s="199">
        <v>7.4</v>
      </c>
      <c r="L200" s="199">
        <v>4.8</v>
      </c>
      <c r="M200" s="199">
        <v>6.6</v>
      </c>
      <c r="N200" s="199">
        <v>4.9</v>
      </c>
      <c r="O200" s="199">
        <v>1.4</v>
      </c>
      <c r="P200" s="199">
        <v>31.5</v>
      </c>
      <c r="Q200" s="199">
        <v>33.4</v>
      </c>
      <c r="R200" s="199">
        <v>53.9</v>
      </c>
      <c r="S200" s="199" t="s">
        <v>75</v>
      </c>
      <c r="T200" s="199"/>
      <c r="U200" s="199" t="s">
        <v>48</v>
      </c>
      <c r="V200" s="199" t="s">
        <v>49</v>
      </c>
      <c r="W200" s="199" t="s">
        <v>1376</v>
      </c>
      <c r="X200" s="199" t="s">
        <v>1377</v>
      </c>
      <c r="Y200" s="203"/>
      <c r="Z200" s="203"/>
      <c r="AA200" s="203"/>
      <c r="AB200" s="203"/>
      <c r="AC200" s="203"/>
    </row>
    <row r="201">
      <c r="A201" s="199" t="s">
        <v>1202</v>
      </c>
      <c r="B201" s="199" t="s">
        <v>43</v>
      </c>
      <c r="C201" s="199" t="s">
        <v>43</v>
      </c>
      <c r="D201" s="199" t="s">
        <v>45</v>
      </c>
      <c r="E201" s="199" t="s">
        <v>1381</v>
      </c>
      <c r="F201" s="199">
        <v>86.8</v>
      </c>
      <c r="G201" s="199">
        <v>11.3</v>
      </c>
      <c r="H201" s="199">
        <v>83.4</v>
      </c>
      <c r="I201" s="199">
        <v>11.0</v>
      </c>
      <c r="J201" s="199">
        <v>64.5</v>
      </c>
      <c r="K201" s="199">
        <v>8.5</v>
      </c>
      <c r="L201" s="199">
        <v>6.0</v>
      </c>
      <c r="M201" s="199">
        <v>18.2</v>
      </c>
      <c r="N201" s="199">
        <v>2.4</v>
      </c>
      <c r="O201" s="199">
        <v>0.8</v>
      </c>
      <c r="P201" s="199">
        <v>63.2</v>
      </c>
      <c r="Q201" s="199">
        <v>66.9</v>
      </c>
      <c r="R201" s="199">
        <v>24.6</v>
      </c>
      <c r="S201" s="199" t="s">
        <v>105</v>
      </c>
      <c r="T201" s="199"/>
      <c r="U201" s="199" t="s">
        <v>48</v>
      </c>
      <c r="V201" s="199" t="s">
        <v>49</v>
      </c>
      <c r="W201" s="199" t="s">
        <v>1200</v>
      </c>
      <c r="X201" s="199" t="s">
        <v>1201</v>
      </c>
      <c r="Y201" s="203"/>
      <c r="Z201" s="203"/>
      <c r="AA201" s="203"/>
      <c r="AB201" s="203"/>
      <c r="AC201" s="203"/>
    </row>
    <row r="202">
      <c r="A202" s="199" t="s">
        <v>1383</v>
      </c>
      <c r="B202" s="199" t="s">
        <v>43</v>
      </c>
      <c r="C202" s="199" t="s">
        <v>43</v>
      </c>
      <c r="D202" s="199" t="s">
        <v>45</v>
      </c>
      <c r="E202" s="199" t="s">
        <v>1384</v>
      </c>
      <c r="F202" s="199">
        <v>52.0</v>
      </c>
      <c r="G202" s="199">
        <v>45.3</v>
      </c>
      <c r="H202" s="199">
        <v>47.7</v>
      </c>
      <c r="I202" s="199">
        <v>44.5</v>
      </c>
      <c r="J202" s="199">
        <v>72.8</v>
      </c>
      <c r="K202" s="199">
        <v>8.8</v>
      </c>
      <c r="L202" s="199">
        <v>2.9</v>
      </c>
      <c r="M202" s="199">
        <v>11.2</v>
      </c>
      <c r="N202" s="199">
        <v>3.2</v>
      </c>
      <c r="O202" s="199">
        <v>1.0</v>
      </c>
      <c r="P202" s="199">
        <v>38.5</v>
      </c>
      <c r="Q202" s="199">
        <v>37.3</v>
      </c>
      <c r="R202" s="199">
        <v>51.6</v>
      </c>
      <c r="S202" s="199" t="s">
        <v>75</v>
      </c>
      <c r="T202" s="199"/>
      <c r="U202" s="199" t="s">
        <v>48</v>
      </c>
      <c r="V202" s="199" t="s">
        <v>49</v>
      </c>
      <c r="W202" s="199" t="s">
        <v>586</v>
      </c>
      <c r="X202" s="199" t="s">
        <v>1386</v>
      </c>
      <c r="Y202" s="203"/>
      <c r="Z202" s="203"/>
      <c r="AA202" s="203"/>
      <c r="AB202" s="203"/>
      <c r="AC202" s="203"/>
    </row>
    <row r="203">
      <c r="A203" s="199" t="s">
        <v>1388</v>
      </c>
      <c r="B203" s="199" t="s">
        <v>43</v>
      </c>
      <c r="C203" s="199" t="s">
        <v>43</v>
      </c>
      <c r="D203" s="199" t="s">
        <v>45</v>
      </c>
      <c r="E203" s="199" t="s">
        <v>1389</v>
      </c>
      <c r="F203" s="199">
        <v>71.5</v>
      </c>
      <c r="G203" s="199">
        <v>26.3</v>
      </c>
      <c r="H203" s="199">
        <v>68.7</v>
      </c>
      <c r="I203" s="199">
        <v>24.9</v>
      </c>
      <c r="J203" s="199">
        <v>44.4</v>
      </c>
      <c r="K203" s="199">
        <v>12.3</v>
      </c>
      <c r="L203" s="199">
        <v>13.3</v>
      </c>
      <c r="M203" s="199">
        <v>26.7</v>
      </c>
      <c r="N203" s="199">
        <v>2.8</v>
      </c>
      <c r="O203" s="199">
        <v>2.2</v>
      </c>
      <c r="P203" s="199">
        <v>38.6</v>
      </c>
      <c r="Q203" s="199">
        <v>44.3</v>
      </c>
      <c r="R203" s="199">
        <v>30.6</v>
      </c>
      <c r="S203" s="199" t="s">
        <v>75</v>
      </c>
      <c r="T203" s="199"/>
      <c r="U203" s="199" t="s">
        <v>48</v>
      </c>
      <c r="V203" s="199" t="s">
        <v>49</v>
      </c>
      <c r="W203" s="199" t="s">
        <v>240</v>
      </c>
      <c r="X203" s="199" t="s">
        <v>877</v>
      </c>
      <c r="Y203" s="203"/>
      <c r="Z203" s="203"/>
      <c r="AA203" s="203"/>
      <c r="AB203" s="203"/>
      <c r="AC203" s="203"/>
    </row>
    <row r="204">
      <c r="A204" s="199" t="s">
        <v>1391</v>
      </c>
      <c r="B204" s="199" t="s">
        <v>43</v>
      </c>
      <c r="C204" s="199" t="s">
        <v>43</v>
      </c>
      <c r="D204" s="199" t="s">
        <v>45</v>
      </c>
      <c r="E204" s="199" t="s">
        <v>1392</v>
      </c>
      <c r="F204" s="199">
        <v>57.3</v>
      </c>
      <c r="G204" s="199">
        <v>39.6</v>
      </c>
      <c r="H204" s="199">
        <v>52.2</v>
      </c>
      <c r="I204" s="199">
        <v>39.1</v>
      </c>
      <c r="J204" s="199">
        <v>64.1</v>
      </c>
      <c r="K204" s="199">
        <v>10.7</v>
      </c>
      <c r="L204" s="199">
        <v>9.1</v>
      </c>
      <c r="M204" s="199">
        <v>10.8</v>
      </c>
      <c r="N204" s="199">
        <v>4.0</v>
      </c>
      <c r="O204" s="199">
        <v>2.7</v>
      </c>
      <c r="P204" s="199">
        <v>29.7</v>
      </c>
      <c r="Q204" s="199">
        <v>32.4</v>
      </c>
      <c r="R204" s="199">
        <v>48.2</v>
      </c>
      <c r="S204" s="199" t="s">
        <v>1395</v>
      </c>
      <c r="T204" s="199"/>
      <c r="U204" s="199" t="s">
        <v>48</v>
      </c>
      <c r="V204" s="199" t="s">
        <v>49</v>
      </c>
      <c r="W204" s="199" t="s">
        <v>1393</v>
      </c>
      <c r="X204" s="199" t="s">
        <v>1394</v>
      </c>
      <c r="Y204" s="203"/>
      <c r="Z204" s="203"/>
      <c r="AA204" s="203"/>
      <c r="AB204" s="203"/>
      <c r="AC204" s="203"/>
    </row>
    <row r="205">
      <c r="A205" s="199" t="s">
        <v>1281</v>
      </c>
      <c r="B205" s="199" t="s">
        <v>43</v>
      </c>
      <c r="C205" s="199" t="s">
        <v>43</v>
      </c>
      <c r="D205" s="199" t="s">
        <v>45</v>
      </c>
      <c r="E205" s="199" t="s">
        <v>1397</v>
      </c>
      <c r="F205" s="199">
        <v>70.2</v>
      </c>
      <c r="G205" s="199">
        <v>28.4</v>
      </c>
      <c r="H205" s="199">
        <v>65.6</v>
      </c>
      <c r="I205" s="199">
        <v>27.9</v>
      </c>
      <c r="J205" s="199">
        <v>82.0</v>
      </c>
      <c r="K205" s="199">
        <v>5.7</v>
      </c>
      <c r="L205" s="199">
        <v>4.7</v>
      </c>
      <c r="M205" s="199">
        <v>5.8</v>
      </c>
      <c r="N205" s="199">
        <v>1.6</v>
      </c>
      <c r="O205" s="199">
        <v>0.1</v>
      </c>
      <c r="P205" s="199">
        <v>45.2</v>
      </c>
      <c r="Q205" s="199">
        <v>45.7</v>
      </c>
      <c r="R205" s="199">
        <v>48.1</v>
      </c>
      <c r="S205" s="199" t="s">
        <v>75</v>
      </c>
      <c r="T205" s="199" t="s">
        <v>304</v>
      </c>
      <c r="U205" s="199" t="s">
        <v>48</v>
      </c>
      <c r="V205" s="199" t="s">
        <v>49</v>
      </c>
      <c r="W205" s="199" t="s">
        <v>127</v>
      </c>
      <c r="X205" s="199" t="s">
        <v>1280</v>
      </c>
      <c r="Y205" s="203"/>
      <c r="Z205" s="203"/>
      <c r="AA205" s="203"/>
      <c r="AB205" s="203"/>
      <c r="AC205" s="203"/>
    </row>
    <row r="206">
      <c r="A206" s="199" t="s">
        <v>1402</v>
      </c>
      <c r="B206" s="199" t="s">
        <v>43</v>
      </c>
      <c r="C206" s="199" t="s">
        <v>43</v>
      </c>
      <c r="D206" s="199" t="s">
        <v>45</v>
      </c>
      <c r="E206" s="199" t="s">
        <v>1403</v>
      </c>
      <c r="F206" s="199">
        <v>75.9</v>
      </c>
      <c r="G206" s="199">
        <v>22.8</v>
      </c>
      <c r="H206" s="199">
        <v>72.0</v>
      </c>
      <c r="I206" s="199">
        <v>22.3</v>
      </c>
      <c r="J206" s="199">
        <v>47.1</v>
      </c>
      <c r="K206" s="199">
        <v>15.3</v>
      </c>
      <c r="L206" s="199">
        <v>31.5</v>
      </c>
      <c r="M206" s="199">
        <v>5.2</v>
      </c>
      <c r="N206" s="199">
        <v>2.1</v>
      </c>
      <c r="O206" s="199">
        <v>0.1</v>
      </c>
      <c r="P206" s="199">
        <v>30.8</v>
      </c>
      <c r="Q206" s="199">
        <v>45.1</v>
      </c>
      <c r="R206" s="199">
        <v>28.7</v>
      </c>
      <c r="S206" s="199" t="s">
        <v>28</v>
      </c>
      <c r="T206" s="199"/>
      <c r="U206" s="199" t="s">
        <v>48</v>
      </c>
      <c r="V206" s="199" t="s">
        <v>49</v>
      </c>
      <c r="W206" s="199" t="s">
        <v>1404</v>
      </c>
      <c r="X206" s="199" t="s">
        <v>1405</v>
      </c>
      <c r="Y206" s="203"/>
      <c r="Z206" s="203"/>
      <c r="AA206" s="203"/>
      <c r="AB206" s="203"/>
      <c r="AC206" s="203"/>
    </row>
    <row r="207">
      <c r="A207" s="199" t="s">
        <v>1407</v>
      </c>
      <c r="B207" s="199" t="s">
        <v>632</v>
      </c>
      <c r="C207" s="199" t="s">
        <v>632</v>
      </c>
      <c r="D207" s="199" t="s">
        <v>45</v>
      </c>
      <c r="E207" s="199" t="s">
        <v>1408</v>
      </c>
      <c r="F207" s="199">
        <v>35.3</v>
      </c>
      <c r="G207" s="199">
        <v>63.6</v>
      </c>
      <c r="H207" s="199">
        <v>33.8</v>
      </c>
      <c r="I207" s="199">
        <v>62.9</v>
      </c>
      <c r="J207" s="199">
        <v>66.0</v>
      </c>
      <c r="K207" s="199">
        <v>3.2</v>
      </c>
      <c r="L207" s="199">
        <v>25.6</v>
      </c>
      <c r="M207" s="199">
        <v>1.8</v>
      </c>
      <c r="N207" s="199">
        <v>3.1</v>
      </c>
      <c r="O207" s="199">
        <v>0.1</v>
      </c>
      <c r="P207" s="199">
        <v>25.6</v>
      </c>
      <c r="Q207" s="199">
        <v>29.0</v>
      </c>
      <c r="R207" s="199">
        <v>48.4</v>
      </c>
      <c r="S207" s="199" t="s">
        <v>75</v>
      </c>
      <c r="T207" s="203"/>
      <c r="U207" s="199" t="s">
        <v>1409</v>
      </c>
      <c r="V207" s="199" t="s">
        <v>49</v>
      </c>
      <c r="W207" s="199" t="s">
        <v>1019</v>
      </c>
      <c r="X207" s="199" t="s">
        <v>1410</v>
      </c>
      <c r="Y207" s="203"/>
      <c r="Z207" s="203"/>
      <c r="AA207" s="203"/>
      <c r="AB207" s="203"/>
      <c r="AC207" s="203"/>
    </row>
    <row r="208">
      <c r="A208" s="199" t="s">
        <v>1412</v>
      </c>
      <c r="B208" s="199" t="s">
        <v>632</v>
      </c>
      <c r="C208" s="199" t="s">
        <v>632</v>
      </c>
      <c r="D208" s="199" t="s">
        <v>45</v>
      </c>
      <c r="E208" s="199" t="s">
        <v>1414</v>
      </c>
      <c r="F208" s="199">
        <v>34.8</v>
      </c>
      <c r="G208" s="199">
        <v>64.2</v>
      </c>
      <c r="H208" s="199">
        <v>32.3</v>
      </c>
      <c r="I208" s="199">
        <v>64.8</v>
      </c>
      <c r="J208" s="199">
        <v>62.0</v>
      </c>
      <c r="K208" s="199">
        <v>3.6</v>
      </c>
      <c r="L208" s="199">
        <v>30.1</v>
      </c>
      <c r="M208" s="199">
        <v>2.3</v>
      </c>
      <c r="N208" s="199">
        <v>2.1</v>
      </c>
      <c r="O208" s="199">
        <v>0.1</v>
      </c>
      <c r="P208" s="199">
        <v>25.3</v>
      </c>
      <c r="Q208" s="199">
        <v>27.5</v>
      </c>
      <c r="R208" s="199">
        <v>47.1</v>
      </c>
      <c r="S208" s="199" t="s">
        <v>75</v>
      </c>
      <c r="T208" s="203"/>
      <c r="U208" s="199" t="s">
        <v>1409</v>
      </c>
      <c r="V208" s="199" t="s">
        <v>49</v>
      </c>
      <c r="W208" s="199" t="s">
        <v>1415</v>
      </c>
      <c r="X208" s="199" t="s">
        <v>1405</v>
      </c>
      <c r="Y208" s="203"/>
      <c r="Z208" s="203"/>
      <c r="AA208" s="203"/>
      <c r="AB208" s="203"/>
      <c r="AC208" s="203"/>
    </row>
    <row r="209">
      <c r="A209" s="199" t="s">
        <v>1417</v>
      </c>
      <c r="B209" s="199" t="s">
        <v>632</v>
      </c>
      <c r="C209" s="199" t="s">
        <v>632</v>
      </c>
      <c r="D209" s="199" t="s">
        <v>45</v>
      </c>
      <c r="E209" s="199" t="s">
        <v>1418</v>
      </c>
      <c r="F209" s="199">
        <v>32.5</v>
      </c>
      <c r="G209" s="199">
        <v>66.6</v>
      </c>
      <c r="H209" s="199">
        <v>31.1</v>
      </c>
      <c r="I209" s="199">
        <v>65.7</v>
      </c>
      <c r="J209" s="199">
        <v>67.7</v>
      </c>
      <c r="K209" s="199">
        <v>3.1</v>
      </c>
      <c r="L209" s="199">
        <v>25.0</v>
      </c>
      <c r="M209" s="199">
        <v>2.1</v>
      </c>
      <c r="N209" s="199">
        <v>2.1</v>
      </c>
      <c r="O209" s="199">
        <v>0.1</v>
      </c>
      <c r="P209" s="199">
        <v>21.1</v>
      </c>
      <c r="Q209" s="199">
        <v>22.9</v>
      </c>
      <c r="R209" s="199">
        <v>55.0</v>
      </c>
      <c r="S209" s="199" t="s">
        <v>75</v>
      </c>
      <c r="T209" s="203"/>
      <c r="U209" s="199" t="s">
        <v>1409</v>
      </c>
      <c r="V209" s="199" t="s">
        <v>49</v>
      </c>
      <c r="W209" s="199" t="s">
        <v>95</v>
      </c>
      <c r="X209" s="199" t="s">
        <v>1419</v>
      </c>
      <c r="Y209" s="203"/>
      <c r="Z209" s="203"/>
      <c r="AA209" s="203"/>
      <c r="AB209" s="203"/>
      <c r="AC209" s="203"/>
    </row>
    <row r="210">
      <c r="A210" s="199" t="s">
        <v>1421</v>
      </c>
      <c r="B210" s="199" t="s">
        <v>632</v>
      </c>
      <c r="C210" s="199" t="s">
        <v>632</v>
      </c>
      <c r="D210" s="199" t="s">
        <v>45</v>
      </c>
      <c r="E210" s="199" t="s">
        <v>1422</v>
      </c>
      <c r="F210" s="199">
        <v>18.6</v>
      </c>
      <c r="G210" s="199">
        <v>80.4</v>
      </c>
      <c r="H210" s="199">
        <v>18.0</v>
      </c>
      <c r="I210" s="199">
        <v>79.0</v>
      </c>
      <c r="J210" s="199">
        <v>82.4</v>
      </c>
      <c r="K210" s="199">
        <v>5.7</v>
      </c>
      <c r="L210" s="199">
        <v>7.7</v>
      </c>
      <c r="M210" s="199">
        <v>0.8</v>
      </c>
      <c r="N210" s="199">
        <v>3.5</v>
      </c>
      <c r="O210" s="199">
        <v>0.1</v>
      </c>
      <c r="P210" s="199">
        <v>17.7</v>
      </c>
      <c r="Q210" s="199">
        <v>18.3</v>
      </c>
      <c r="R210" s="199">
        <v>71.6</v>
      </c>
      <c r="S210" s="199" t="s">
        <v>75</v>
      </c>
      <c r="T210" s="203"/>
      <c r="U210" s="199" t="s">
        <v>1409</v>
      </c>
      <c r="V210" s="199" t="s">
        <v>49</v>
      </c>
      <c r="W210" s="199" t="s">
        <v>312</v>
      </c>
      <c r="X210" s="199" t="s">
        <v>1424</v>
      </c>
      <c r="Y210" s="203"/>
      <c r="Z210" s="203"/>
      <c r="AA210" s="203"/>
      <c r="AB210" s="203"/>
      <c r="AC210" s="203"/>
    </row>
    <row r="211">
      <c r="A211" s="199" t="s">
        <v>1426</v>
      </c>
      <c r="B211" s="199" t="s">
        <v>632</v>
      </c>
      <c r="C211" s="199" t="s">
        <v>632</v>
      </c>
      <c r="D211" s="199" t="s">
        <v>45</v>
      </c>
      <c r="E211" s="199" t="s">
        <v>1427</v>
      </c>
      <c r="F211" s="199">
        <v>35.6</v>
      </c>
      <c r="G211" s="199">
        <v>62.7</v>
      </c>
      <c r="H211" s="199">
        <v>30.8</v>
      </c>
      <c r="I211" s="199">
        <v>63.8</v>
      </c>
      <c r="J211" s="199">
        <v>70.9</v>
      </c>
      <c r="K211" s="199">
        <v>5.3</v>
      </c>
      <c r="L211" s="199">
        <v>18.1</v>
      </c>
      <c r="M211" s="199">
        <v>2.5</v>
      </c>
      <c r="N211" s="199">
        <v>3.3</v>
      </c>
      <c r="O211" s="199">
        <v>0.2</v>
      </c>
      <c r="P211" s="199">
        <v>33.8</v>
      </c>
      <c r="Q211" s="199">
        <v>35.1</v>
      </c>
      <c r="R211" s="199">
        <v>49.2</v>
      </c>
      <c r="S211" s="199" t="s">
        <v>75</v>
      </c>
      <c r="T211" s="203"/>
      <c r="U211" s="199" t="s">
        <v>1409</v>
      </c>
      <c r="V211" s="199" t="s">
        <v>159</v>
      </c>
      <c r="W211" s="199" t="s">
        <v>1428</v>
      </c>
      <c r="X211" s="199" t="s">
        <v>1429</v>
      </c>
      <c r="Y211" s="203"/>
      <c r="Z211" s="203"/>
      <c r="AA211" s="203"/>
      <c r="AB211" s="203"/>
      <c r="AC211" s="203"/>
    </row>
    <row r="212">
      <c r="A212" s="199" t="s">
        <v>1431</v>
      </c>
      <c r="B212" s="199" t="s">
        <v>632</v>
      </c>
      <c r="C212" s="199" t="s">
        <v>632</v>
      </c>
      <c r="D212" s="199" t="s">
        <v>45</v>
      </c>
      <c r="E212" s="199" t="s">
        <v>1433</v>
      </c>
      <c r="F212" s="199">
        <v>34.4</v>
      </c>
      <c r="G212" s="199">
        <v>64.4</v>
      </c>
      <c r="H212" s="199">
        <v>28.5</v>
      </c>
      <c r="I212" s="199">
        <v>66.8</v>
      </c>
      <c r="J212" s="199">
        <v>71.2</v>
      </c>
      <c r="K212" s="199">
        <v>5.4</v>
      </c>
      <c r="L212" s="199">
        <v>18.9</v>
      </c>
      <c r="M212" s="199">
        <v>2.3</v>
      </c>
      <c r="N212" s="199">
        <v>2.2</v>
      </c>
      <c r="O212" s="199">
        <v>0.1</v>
      </c>
      <c r="P212" s="199">
        <v>37.4</v>
      </c>
      <c r="Q212" s="199">
        <v>40.8</v>
      </c>
      <c r="R212" s="199">
        <v>45.1</v>
      </c>
      <c r="S212" s="199" t="s">
        <v>75</v>
      </c>
      <c r="T212" s="203"/>
      <c r="U212" s="199" t="s">
        <v>1409</v>
      </c>
      <c r="V212" s="199" t="s">
        <v>49</v>
      </c>
      <c r="W212" s="199" t="s">
        <v>1434</v>
      </c>
      <c r="X212" s="199" t="s">
        <v>1435</v>
      </c>
      <c r="Y212" s="203"/>
      <c r="Z212" s="203"/>
      <c r="AA212" s="203"/>
      <c r="AB212" s="203"/>
      <c r="AC212" s="203"/>
    </row>
    <row r="213">
      <c r="A213" s="199" t="s">
        <v>1455</v>
      </c>
      <c r="B213" s="199" t="s">
        <v>632</v>
      </c>
      <c r="C213" s="199" t="s">
        <v>632</v>
      </c>
      <c r="D213" s="199" t="s">
        <v>45</v>
      </c>
      <c r="E213" s="199" t="s">
        <v>1456</v>
      </c>
      <c r="F213" s="199">
        <v>28.1</v>
      </c>
      <c r="G213" s="199">
        <v>69.0</v>
      </c>
      <c r="H213" s="199">
        <v>30.1</v>
      </c>
      <c r="I213" s="199">
        <v>65.0</v>
      </c>
      <c r="J213" s="199">
        <v>75.8</v>
      </c>
      <c r="K213" s="199">
        <v>3.1</v>
      </c>
      <c r="L213" s="199">
        <v>16.9</v>
      </c>
      <c r="M213" s="199">
        <v>1.0</v>
      </c>
      <c r="N213" s="199">
        <v>2.8</v>
      </c>
      <c r="O213" s="199">
        <v>0.2</v>
      </c>
      <c r="P213" s="199">
        <v>17.2</v>
      </c>
      <c r="Q213" s="199">
        <v>18.6</v>
      </c>
      <c r="R213" s="199">
        <v>64.4</v>
      </c>
      <c r="S213" s="199" t="s">
        <v>75</v>
      </c>
      <c r="T213" s="203"/>
      <c r="U213" s="199" t="s">
        <v>1409</v>
      </c>
      <c r="V213" s="199" t="s">
        <v>49</v>
      </c>
      <c r="W213" s="199" t="s">
        <v>1364</v>
      </c>
      <c r="X213" s="199" t="s">
        <v>1458</v>
      </c>
      <c r="Y213" s="203"/>
      <c r="Z213" s="203"/>
      <c r="AA213" s="203"/>
      <c r="AB213" s="203"/>
      <c r="AC213" s="203"/>
    </row>
    <row r="214">
      <c r="A214" s="199" t="s">
        <v>1460</v>
      </c>
      <c r="B214" s="199" t="s">
        <v>632</v>
      </c>
      <c r="C214" s="199" t="s">
        <v>632</v>
      </c>
      <c r="D214" s="199" t="s">
        <v>45</v>
      </c>
      <c r="E214" s="199" t="s">
        <v>1461</v>
      </c>
      <c r="F214" s="199">
        <v>42.1</v>
      </c>
      <c r="G214" s="199">
        <v>55.2</v>
      </c>
      <c r="H214" s="199">
        <v>39.5</v>
      </c>
      <c r="I214" s="199">
        <v>54.5</v>
      </c>
      <c r="J214" s="199">
        <v>69.1</v>
      </c>
      <c r="K214" s="199">
        <v>5.1</v>
      </c>
      <c r="L214" s="199">
        <v>20.3</v>
      </c>
      <c r="M214" s="199">
        <v>2.3</v>
      </c>
      <c r="N214" s="199">
        <v>3.0</v>
      </c>
      <c r="O214" s="199">
        <v>0.1</v>
      </c>
      <c r="P214" s="199">
        <v>31.3</v>
      </c>
      <c r="Q214" s="199">
        <v>33.0</v>
      </c>
      <c r="R214" s="199">
        <v>50.4</v>
      </c>
      <c r="S214" s="199" t="s">
        <v>75</v>
      </c>
      <c r="T214" s="203"/>
      <c r="U214" s="199" t="s">
        <v>1409</v>
      </c>
      <c r="V214" s="199" t="s">
        <v>49</v>
      </c>
      <c r="W214" s="199" t="s">
        <v>1464</v>
      </c>
      <c r="X214" s="199" t="s">
        <v>1465</v>
      </c>
      <c r="Y214" s="203"/>
      <c r="Z214" s="203"/>
      <c r="AA214" s="203"/>
      <c r="AB214" s="203"/>
      <c r="AC214" s="203"/>
    </row>
    <row r="215">
      <c r="A215" s="199" t="s">
        <v>1467</v>
      </c>
      <c r="B215" s="199" t="s">
        <v>632</v>
      </c>
      <c r="C215" s="199" t="s">
        <v>632</v>
      </c>
      <c r="D215" s="199" t="s">
        <v>45</v>
      </c>
      <c r="E215" s="199" t="s">
        <v>1468</v>
      </c>
      <c r="F215" s="199">
        <v>36.8</v>
      </c>
      <c r="G215" s="199">
        <v>60.2</v>
      </c>
      <c r="H215" s="199">
        <v>31.8</v>
      </c>
      <c r="I215" s="199">
        <v>60.4</v>
      </c>
      <c r="J215" s="199">
        <v>71.6</v>
      </c>
      <c r="K215" s="199">
        <v>13.9</v>
      </c>
      <c r="L215" s="199">
        <v>3.6</v>
      </c>
      <c r="M215" s="199">
        <v>4.2</v>
      </c>
      <c r="N215" s="199">
        <v>5.6</v>
      </c>
      <c r="O215" s="199">
        <v>1.4</v>
      </c>
      <c r="P215" s="199">
        <v>29.8</v>
      </c>
      <c r="Q215" s="199">
        <v>31.8</v>
      </c>
      <c r="R215" s="199">
        <v>56.4</v>
      </c>
      <c r="S215" s="199" t="s">
        <v>75</v>
      </c>
      <c r="T215" s="203"/>
      <c r="U215" s="199" t="s">
        <v>1409</v>
      </c>
      <c r="V215" s="199" t="s">
        <v>49</v>
      </c>
      <c r="W215" s="199" t="s">
        <v>1238</v>
      </c>
      <c r="X215" s="199" t="s">
        <v>1470</v>
      </c>
      <c r="Y215" s="203"/>
      <c r="Z215" s="203"/>
      <c r="AA215" s="203"/>
      <c r="AB215" s="203"/>
      <c r="AC215" s="203"/>
    </row>
    <row r="216">
      <c r="A216" s="199" t="s">
        <v>1472</v>
      </c>
      <c r="B216" s="199" t="s">
        <v>632</v>
      </c>
      <c r="C216" s="199" t="s">
        <v>632</v>
      </c>
      <c r="D216" s="199" t="s">
        <v>45</v>
      </c>
      <c r="E216" s="199" t="s">
        <v>1473</v>
      </c>
      <c r="F216" s="199">
        <v>31.0</v>
      </c>
      <c r="G216" s="199">
        <v>66.2</v>
      </c>
      <c r="H216" s="199">
        <v>32.5</v>
      </c>
      <c r="I216" s="199">
        <v>62.9</v>
      </c>
      <c r="J216" s="199">
        <v>69.6</v>
      </c>
      <c r="K216" s="199">
        <v>6.0</v>
      </c>
      <c r="L216" s="199">
        <v>19.8</v>
      </c>
      <c r="M216" s="199">
        <v>1.1</v>
      </c>
      <c r="N216" s="199">
        <v>3.3</v>
      </c>
      <c r="O216" s="199">
        <v>0.1</v>
      </c>
      <c r="P216" s="199">
        <v>17.7</v>
      </c>
      <c r="Q216" s="199">
        <v>19.6</v>
      </c>
      <c r="R216" s="199">
        <v>59.8</v>
      </c>
      <c r="S216" s="199" t="s">
        <v>75</v>
      </c>
      <c r="T216" s="203"/>
      <c r="U216" s="199" t="s">
        <v>1409</v>
      </c>
      <c r="V216" s="199" t="s">
        <v>49</v>
      </c>
      <c r="W216" s="199" t="s">
        <v>1474</v>
      </c>
      <c r="X216" s="199" t="s">
        <v>1475</v>
      </c>
      <c r="Y216" s="203"/>
      <c r="Z216" s="203"/>
      <c r="AA216" s="203"/>
      <c r="AB216" s="203"/>
      <c r="AC216" s="203"/>
    </row>
    <row r="217">
      <c r="A217" s="199" t="s">
        <v>1437</v>
      </c>
      <c r="B217" s="199" t="s">
        <v>43</v>
      </c>
      <c r="C217" s="199" t="s">
        <v>632</v>
      </c>
      <c r="D217" s="199" t="s">
        <v>397</v>
      </c>
      <c r="E217" s="199" t="s">
        <v>1438</v>
      </c>
      <c r="F217" s="199">
        <v>45.3</v>
      </c>
      <c r="G217" s="199">
        <v>53.2</v>
      </c>
      <c r="H217" s="199">
        <v>41.1</v>
      </c>
      <c r="I217" s="199">
        <v>51.2</v>
      </c>
      <c r="J217" s="199">
        <v>60.0</v>
      </c>
      <c r="K217" s="199">
        <v>14.6</v>
      </c>
      <c r="L217" s="199">
        <v>2.7</v>
      </c>
      <c r="M217" s="199">
        <v>2.0</v>
      </c>
      <c r="N217" s="199">
        <v>20.8</v>
      </c>
      <c r="O217" s="199">
        <v>0.3</v>
      </c>
      <c r="P217" s="199">
        <v>23.3</v>
      </c>
      <c r="Q217" s="199">
        <v>30.1</v>
      </c>
      <c r="R217" s="199">
        <v>42.9</v>
      </c>
      <c r="S217" s="199" t="s">
        <v>75</v>
      </c>
      <c r="T217" s="203"/>
      <c r="U217" s="199" t="s">
        <v>1409</v>
      </c>
      <c r="V217" s="199" t="s">
        <v>970</v>
      </c>
      <c r="W217" s="199" t="s">
        <v>1439</v>
      </c>
      <c r="X217" s="199" t="s">
        <v>1440</v>
      </c>
      <c r="Y217" s="203"/>
      <c r="Z217" s="203"/>
      <c r="AA217" s="203"/>
      <c r="AB217" s="203"/>
      <c r="AC217" s="203"/>
    </row>
    <row r="218">
      <c r="A218" s="199" t="s">
        <v>1443</v>
      </c>
      <c r="B218" s="199" t="s">
        <v>632</v>
      </c>
      <c r="C218" s="199" t="s">
        <v>632</v>
      </c>
      <c r="D218" s="199" t="s">
        <v>45</v>
      </c>
      <c r="E218" s="199" t="s">
        <v>1444</v>
      </c>
      <c r="F218" s="199">
        <v>41.0</v>
      </c>
      <c r="G218" s="199">
        <v>57.4</v>
      </c>
      <c r="H218" s="199">
        <v>35.3</v>
      </c>
      <c r="I218" s="199">
        <v>56.6</v>
      </c>
      <c r="J218" s="199">
        <v>70.4</v>
      </c>
      <c r="K218" s="199">
        <v>15.4</v>
      </c>
      <c r="L218" s="199">
        <v>4.5</v>
      </c>
      <c r="M218" s="199">
        <v>7.2</v>
      </c>
      <c r="N218" s="199">
        <v>2.6</v>
      </c>
      <c r="O218" s="199">
        <v>0.5</v>
      </c>
      <c r="P218" s="199">
        <v>37.2</v>
      </c>
      <c r="Q218" s="199">
        <v>37.7</v>
      </c>
      <c r="R218" s="199">
        <v>46.9</v>
      </c>
      <c r="S218" s="199" t="s">
        <v>75</v>
      </c>
      <c r="T218" s="203"/>
      <c r="U218" s="199" t="s">
        <v>1409</v>
      </c>
      <c r="V218" s="199" t="s">
        <v>49</v>
      </c>
      <c r="W218" s="199" t="s">
        <v>584</v>
      </c>
      <c r="X218" s="199" t="s">
        <v>1445</v>
      </c>
      <c r="Y218" s="203"/>
      <c r="Z218" s="203"/>
      <c r="AA218" s="203"/>
      <c r="AB218" s="203"/>
      <c r="AC218" s="203"/>
    </row>
    <row r="219">
      <c r="A219" s="199" t="s">
        <v>1447</v>
      </c>
      <c r="B219" s="199" t="s">
        <v>632</v>
      </c>
      <c r="C219" s="199" t="s">
        <v>632</v>
      </c>
      <c r="D219" s="199" t="s">
        <v>45</v>
      </c>
      <c r="E219" s="199" t="s">
        <v>1448</v>
      </c>
      <c r="F219" s="199">
        <v>42.5</v>
      </c>
      <c r="G219" s="199">
        <v>56.1</v>
      </c>
      <c r="H219" s="199">
        <v>37.2</v>
      </c>
      <c r="I219" s="199">
        <v>56.1</v>
      </c>
      <c r="J219" s="199">
        <v>68.6</v>
      </c>
      <c r="K219" s="199">
        <v>18.1</v>
      </c>
      <c r="L219" s="199">
        <v>5.4</v>
      </c>
      <c r="M219" s="199">
        <v>5.3</v>
      </c>
      <c r="N219" s="199">
        <v>3.0</v>
      </c>
      <c r="O219" s="199">
        <v>0.4</v>
      </c>
      <c r="P219" s="199">
        <v>31.3</v>
      </c>
      <c r="Q219" s="199">
        <v>32.5</v>
      </c>
      <c r="R219" s="199">
        <v>50.5</v>
      </c>
      <c r="S219" s="199" t="s">
        <v>75</v>
      </c>
      <c r="T219" s="203"/>
      <c r="U219" s="199" t="s">
        <v>1409</v>
      </c>
      <c r="V219" s="199" t="s">
        <v>49</v>
      </c>
      <c r="W219" s="199" t="s">
        <v>503</v>
      </c>
      <c r="X219" s="199" t="s">
        <v>1449</v>
      </c>
      <c r="Y219" s="203"/>
      <c r="Z219" s="203"/>
      <c r="AA219" s="203"/>
      <c r="AB219" s="203"/>
      <c r="AC219" s="203"/>
    </row>
    <row r="220">
      <c r="A220" s="199" t="s">
        <v>1451</v>
      </c>
      <c r="B220" s="199" t="s">
        <v>632</v>
      </c>
      <c r="C220" s="199" t="s">
        <v>632</v>
      </c>
      <c r="D220" s="199" t="s">
        <v>45</v>
      </c>
      <c r="E220" s="199" t="s">
        <v>1452</v>
      </c>
      <c r="F220" s="199">
        <v>36.4</v>
      </c>
      <c r="G220" s="199">
        <v>62.2</v>
      </c>
      <c r="H220" s="199">
        <v>32.3</v>
      </c>
      <c r="I220" s="199">
        <v>61.4</v>
      </c>
      <c r="J220" s="199">
        <v>62.3</v>
      </c>
      <c r="K220" s="199">
        <v>25.8</v>
      </c>
      <c r="L220" s="199">
        <v>5.2</v>
      </c>
      <c r="M220" s="199">
        <v>3.5</v>
      </c>
      <c r="N220" s="199">
        <v>3.7</v>
      </c>
      <c r="O220" s="199">
        <v>0.5</v>
      </c>
      <c r="P220" s="199">
        <v>19.8</v>
      </c>
      <c r="Q220" s="199">
        <v>21.4</v>
      </c>
      <c r="R220" s="199">
        <v>52.7</v>
      </c>
      <c r="S220" s="199" t="s">
        <v>75</v>
      </c>
      <c r="T220" s="203"/>
      <c r="U220" s="199" t="s">
        <v>1409</v>
      </c>
      <c r="V220" s="199" t="s">
        <v>49</v>
      </c>
      <c r="W220" s="199" t="s">
        <v>1054</v>
      </c>
      <c r="X220" s="199" t="s">
        <v>1453</v>
      </c>
      <c r="Y220" s="203"/>
      <c r="Z220" s="203"/>
      <c r="AA220" s="203"/>
      <c r="AB220" s="203"/>
      <c r="AC220" s="203"/>
    </row>
    <row r="221">
      <c r="A221" s="199" t="s">
        <v>1477</v>
      </c>
      <c r="B221" s="199" t="s">
        <v>632</v>
      </c>
      <c r="C221" s="199" t="s">
        <v>632</v>
      </c>
      <c r="D221" s="199" t="s">
        <v>45</v>
      </c>
      <c r="E221" s="199" t="s">
        <v>1478</v>
      </c>
      <c r="F221" s="199">
        <v>39.2</v>
      </c>
      <c r="G221" s="199">
        <v>58.3</v>
      </c>
      <c r="H221" s="199">
        <v>35.6</v>
      </c>
      <c r="I221" s="199">
        <v>57.4</v>
      </c>
      <c r="J221" s="199">
        <v>65.3</v>
      </c>
      <c r="K221" s="199">
        <v>19.5</v>
      </c>
      <c r="L221" s="199">
        <v>2.7</v>
      </c>
      <c r="M221" s="199">
        <v>6.7</v>
      </c>
      <c r="N221" s="199">
        <v>6.0</v>
      </c>
      <c r="O221" s="199">
        <v>0.7</v>
      </c>
      <c r="P221" s="199">
        <v>21.8</v>
      </c>
      <c r="Q221" s="199">
        <v>24.2</v>
      </c>
      <c r="R221" s="199">
        <v>55.8</v>
      </c>
      <c r="S221" s="199" t="s">
        <v>75</v>
      </c>
      <c r="T221" s="203"/>
      <c r="U221" s="199" t="s">
        <v>1409</v>
      </c>
      <c r="V221" s="199" t="s">
        <v>49</v>
      </c>
      <c r="W221" s="199" t="s">
        <v>1481</v>
      </c>
      <c r="X221" s="199" t="s">
        <v>1482</v>
      </c>
      <c r="Y221" s="203"/>
      <c r="Z221" s="203"/>
      <c r="AA221" s="203"/>
      <c r="AB221" s="203"/>
      <c r="AC221" s="203"/>
    </row>
    <row r="222">
      <c r="A222" s="199" t="s">
        <v>1484</v>
      </c>
      <c r="B222" s="199" t="s">
        <v>632</v>
      </c>
      <c r="C222" s="199" t="s">
        <v>632</v>
      </c>
      <c r="D222" s="199" t="s">
        <v>45</v>
      </c>
      <c r="E222" s="199" t="s">
        <v>1485</v>
      </c>
      <c r="F222" s="199">
        <v>42.7</v>
      </c>
      <c r="G222" s="199">
        <v>55.0</v>
      </c>
      <c r="H222" s="199">
        <v>39.3</v>
      </c>
      <c r="I222" s="199">
        <v>54.6</v>
      </c>
      <c r="J222" s="199">
        <v>63.0</v>
      </c>
      <c r="K222" s="199">
        <v>22.3</v>
      </c>
      <c r="L222" s="199">
        <v>3.1</v>
      </c>
      <c r="M222" s="199">
        <v>7.6</v>
      </c>
      <c r="N222" s="199">
        <v>4.4</v>
      </c>
      <c r="O222" s="199">
        <v>0.9</v>
      </c>
      <c r="P222" s="199">
        <v>28.6</v>
      </c>
      <c r="Q222" s="199">
        <v>30.4</v>
      </c>
      <c r="R222" s="199">
        <v>48.7</v>
      </c>
      <c r="S222" s="199" t="s">
        <v>75</v>
      </c>
      <c r="T222" s="203"/>
      <c r="U222" s="199" t="s">
        <v>1409</v>
      </c>
      <c r="V222" s="199" t="s">
        <v>49</v>
      </c>
      <c r="W222" s="199" t="s">
        <v>1486</v>
      </c>
      <c r="X222" s="199" t="s">
        <v>1487</v>
      </c>
      <c r="Y222" s="203"/>
      <c r="Z222" s="203"/>
      <c r="AA222" s="203"/>
      <c r="AB222" s="203"/>
      <c r="AC222" s="203"/>
    </row>
    <row r="223">
      <c r="A223" s="199" t="s">
        <v>1489</v>
      </c>
      <c r="B223" s="199" t="s">
        <v>632</v>
      </c>
      <c r="C223" s="199" t="s">
        <v>632</v>
      </c>
      <c r="D223" s="199" t="s">
        <v>45</v>
      </c>
      <c r="E223" s="199" t="s">
        <v>1490</v>
      </c>
      <c r="F223" s="199">
        <v>36.4</v>
      </c>
      <c r="G223" s="199">
        <v>61.3</v>
      </c>
      <c r="H223" s="199">
        <v>31.8</v>
      </c>
      <c r="I223" s="199">
        <v>62.6</v>
      </c>
      <c r="J223" s="199">
        <v>53.4</v>
      </c>
      <c r="K223" s="199">
        <v>30.1</v>
      </c>
      <c r="L223" s="199">
        <v>4.4</v>
      </c>
      <c r="M223" s="199">
        <v>9.0</v>
      </c>
      <c r="N223" s="199">
        <v>4.5</v>
      </c>
      <c r="O223" s="199">
        <v>0.5</v>
      </c>
      <c r="P223" s="199">
        <v>27.2</v>
      </c>
      <c r="Q223" s="199">
        <v>29.3</v>
      </c>
      <c r="R223" s="199">
        <v>43.2</v>
      </c>
      <c r="S223" s="199" t="s">
        <v>75</v>
      </c>
      <c r="T223" s="203"/>
      <c r="U223" s="199" t="s">
        <v>1409</v>
      </c>
      <c r="V223" s="199" t="s">
        <v>49</v>
      </c>
      <c r="W223" s="199" t="s">
        <v>160</v>
      </c>
      <c r="X223" s="199" t="s">
        <v>1491</v>
      </c>
      <c r="Y223" s="203"/>
      <c r="Z223" s="203"/>
      <c r="AA223" s="203"/>
      <c r="AB223" s="203"/>
      <c r="AC223" s="203"/>
    </row>
    <row r="224">
      <c r="A224" s="199" t="s">
        <v>1493</v>
      </c>
      <c r="B224" s="199" t="s">
        <v>632</v>
      </c>
      <c r="C224" s="199" t="s">
        <v>632</v>
      </c>
      <c r="D224" s="199" t="s">
        <v>45</v>
      </c>
      <c r="E224" s="199" t="s">
        <v>1494</v>
      </c>
      <c r="F224" s="199">
        <v>43.9</v>
      </c>
      <c r="G224" s="199">
        <v>53.7</v>
      </c>
      <c r="H224" s="199">
        <v>39.7</v>
      </c>
      <c r="I224" s="199">
        <v>54.6</v>
      </c>
      <c r="J224" s="199">
        <v>44.1</v>
      </c>
      <c r="K224" s="199">
        <v>37.4</v>
      </c>
      <c r="L224" s="199">
        <v>10.0</v>
      </c>
      <c r="M224" s="199">
        <v>6.2</v>
      </c>
      <c r="N224" s="199">
        <v>4.3</v>
      </c>
      <c r="O224" s="199">
        <v>0.8</v>
      </c>
      <c r="P224" s="199">
        <v>19.1</v>
      </c>
      <c r="Q224" s="199">
        <v>23.1</v>
      </c>
      <c r="R224" s="199">
        <v>38.7</v>
      </c>
      <c r="S224" s="199" t="s">
        <v>75</v>
      </c>
      <c r="T224" s="203"/>
      <c r="U224" s="199" t="s">
        <v>1409</v>
      </c>
      <c r="V224" s="199" t="s">
        <v>49</v>
      </c>
      <c r="W224" s="199" t="s">
        <v>1496</v>
      </c>
      <c r="X224" s="199" t="s">
        <v>1497</v>
      </c>
      <c r="Y224" s="203"/>
      <c r="Z224" s="203"/>
      <c r="AA224" s="203"/>
      <c r="AB224" s="203"/>
      <c r="AC224" s="203"/>
    </row>
    <row r="225">
      <c r="A225" s="199" t="s">
        <v>1499</v>
      </c>
      <c r="B225" s="199" t="s">
        <v>632</v>
      </c>
      <c r="C225" s="199" t="s">
        <v>632</v>
      </c>
      <c r="D225" s="199" t="s">
        <v>45</v>
      </c>
      <c r="E225" s="199" t="s">
        <v>1500</v>
      </c>
      <c r="F225" s="199">
        <v>49.9</v>
      </c>
      <c r="G225" s="199">
        <v>48.0</v>
      </c>
      <c r="H225" s="199">
        <v>45.0</v>
      </c>
      <c r="I225" s="199">
        <v>49.3</v>
      </c>
      <c r="J225" s="199">
        <v>51.6</v>
      </c>
      <c r="K225" s="199">
        <v>22.8</v>
      </c>
      <c r="L225" s="199">
        <v>2.5</v>
      </c>
      <c r="M225" s="199">
        <v>21.7</v>
      </c>
      <c r="N225" s="199">
        <v>2.2</v>
      </c>
      <c r="O225" s="199">
        <v>0.6</v>
      </c>
      <c r="P225" s="199">
        <v>49.1</v>
      </c>
      <c r="Q225" s="199">
        <v>51.2</v>
      </c>
      <c r="R225" s="199">
        <v>28.8</v>
      </c>
      <c r="S225" s="199" t="s">
        <v>917</v>
      </c>
      <c r="T225" s="203"/>
      <c r="U225" s="199" t="s">
        <v>1409</v>
      </c>
      <c r="V225" s="199" t="s">
        <v>49</v>
      </c>
      <c r="W225" s="199" t="s">
        <v>1502</v>
      </c>
      <c r="X225" s="199" t="s">
        <v>586</v>
      </c>
      <c r="Y225" s="203"/>
      <c r="Z225" s="203"/>
      <c r="AA225" s="203"/>
      <c r="AB225" s="203"/>
      <c r="AC225" s="203"/>
    </row>
    <row r="226">
      <c r="A226" s="199" t="s">
        <v>1504</v>
      </c>
      <c r="B226" s="199" t="s">
        <v>632</v>
      </c>
      <c r="C226" s="199" t="s">
        <v>632</v>
      </c>
      <c r="D226" s="199" t="s">
        <v>45</v>
      </c>
      <c r="E226" s="199" t="s">
        <v>1505</v>
      </c>
      <c r="F226" s="199">
        <v>42.7</v>
      </c>
      <c r="G226" s="199">
        <v>55.0</v>
      </c>
      <c r="H226" s="199">
        <v>37.2</v>
      </c>
      <c r="I226" s="199">
        <v>57.1</v>
      </c>
      <c r="J226" s="199">
        <v>57.1</v>
      </c>
      <c r="K226" s="199">
        <v>26.2</v>
      </c>
      <c r="L226" s="199">
        <v>4.4</v>
      </c>
      <c r="M226" s="199">
        <v>9.6</v>
      </c>
      <c r="N226" s="199">
        <v>3.9</v>
      </c>
      <c r="O226" s="199">
        <v>0.9</v>
      </c>
      <c r="P226" s="199">
        <v>31.0</v>
      </c>
      <c r="Q226" s="199">
        <v>35.3</v>
      </c>
      <c r="R226" s="199">
        <v>41.2</v>
      </c>
      <c r="S226" s="199" t="s">
        <v>1510</v>
      </c>
      <c r="T226" s="203"/>
      <c r="U226" s="199" t="s">
        <v>1409</v>
      </c>
      <c r="V226" s="199" t="s">
        <v>49</v>
      </c>
      <c r="W226" s="199" t="s">
        <v>1507</v>
      </c>
      <c r="X226" s="199" t="s">
        <v>1508</v>
      </c>
      <c r="Y226" s="203"/>
      <c r="Z226" s="203"/>
      <c r="AA226" s="203"/>
      <c r="AB226" s="203"/>
      <c r="AC226" s="203"/>
    </row>
    <row r="227">
      <c r="A227" s="199" t="s">
        <v>1512</v>
      </c>
      <c r="B227" s="199" t="s">
        <v>632</v>
      </c>
      <c r="C227" s="199" t="s">
        <v>632</v>
      </c>
      <c r="D227" s="199" t="s">
        <v>45</v>
      </c>
      <c r="E227" s="199" t="s">
        <v>1513</v>
      </c>
      <c r="F227" s="199">
        <v>39.5</v>
      </c>
      <c r="G227" s="199">
        <v>58.0</v>
      </c>
      <c r="H227" s="199">
        <v>32.1</v>
      </c>
      <c r="I227" s="199">
        <v>59.6</v>
      </c>
      <c r="J227" s="199">
        <v>78.5</v>
      </c>
      <c r="K227" s="199">
        <v>11.8</v>
      </c>
      <c r="L227" s="199">
        <v>2.5</v>
      </c>
      <c r="M227" s="199">
        <v>4.5</v>
      </c>
      <c r="N227" s="199">
        <v>2.7</v>
      </c>
      <c r="O227" s="199">
        <v>0.3</v>
      </c>
      <c r="P227" s="199">
        <v>43.7</v>
      </c>
      <c r="Q227" s="199">
        <v>46.1</v>
      </c>
      <c r="R227" s="199">
        <v>45.4</v>
      </c>
      <c r="S227" s="199" t="s">
        <v>75</v>
      </c>
      <c r="T227" s="203"/>
      <c r="U227" s="199" t="s">
        <v>1409</v>
      </c>
      <c r="V227" s="199" t="s">
        <v>49</v>
      </c>
      <c r="W227" s="199" t="s">
        <v>1514</v>
      </c>
      <c r="X227" s="199" t="s">
        <v>1515</v>
      </c>
      <c r="Y227" s="203"/>
      <c r="Z227" s="203"/>
      <c r="AA227" s="203"/>
      <c r="AB227" s="203"/>
      <c r="AC227" s="203"/>
    </row>
    <row r="228">
      <c r="A228" s="199" t="s">
        <v>1517</v>
      </c>
      <c r="B228" s="199" t="s">
        <v>632</v>
      </c>
      <c r="C228" s="199" t="s">
        <v>632</v>
      </c>
      <c r="D228" s="199" t="s">
        <v>45</v>
      </c>
      <c r="E228" s="199" t="s">
        <v>1518</v>
      </c>
      <c r="F228" s="199">
        <v>43.1</v>
      </c>
      <c r="G228" s="199">
        <v>53.2</v>
      </c>
      <c r="H228" s="199">
        <v>34.1</v>
      </c>
      <c r="I228" s="199">
        <v>55.9</v>
      </c>
      <c r="J228" s="199">
        <v>69.1</v>
      </c>
      <c r="K228" s="199">
        <v>15.5</v>
      </c>
      <c r="L228" s="199">
        <v>7.7</v>
      </c>
      <c r="M228" s="199">
        <v>4.9</v>
      </c>
      <c r="N228" s="199">
        <v>3.5</v>
      </c>
      <c r="O228" s="199">
        <v>0.8</v>
      </c>
      <c r="P228" s="199">
        <v>38.9</v>
      </c>
      <c r="Q228" s="199">
        <v>43.3</v>
      </c>
      <c r="R228" s="199">
        <v>41.9</v>
      </c>
      <c r="S228" s="199" t="s">
        <v>75</v>
      </c>
      <c r="T228" s="203"/>
      <c r="U228" s="199" t="s">
        <v>1409</v>
      </c>
      <c r="V228" s="199" t="s">
        <v>49</v>
      </c>
      <c r="W228" s="199" t="s">
        <v>1481</v>
      </c>
      <c r="X228" s="199" t="s">
        <v>1520</v>
      </c>
      <c r="Y228" s="203"/>
      <c r="Z228" s="203"/>
      <c r="AA228" s="203"/>
      <c r="AB228" s="203"/>
      <c r="AC228" s="203"/>
    </row>
    <row r="229">
      <c r="A229" s="199" t="s">
        <v>1522</v>
      </c>
      <c r="B229" s="199" t="s">
        <v>632</v>
      </c>
      <c r="C229" s="199" t="s">
        <v>632</v>
      </c>
      <c r="D229" s="199" t="s">
        <v>45</v>
      </c>
      <c r="E229" s="199" t="s">
        <v>1523</v>
      </c>
      <c r="F229" s="199">
        <v>33.0</v>
      </c>
      <c r="G229" s="199">
        <v>65.3</v>
      </c>
      <c r="H229" s="199">
        <v>28.3</v>
      </c>
      <c r="I229" s="199">
        <v>66.2</v>
      </c>
      <c r="J229" s="199">
        <v>72.2</v>
      </c>
      <c r="K229" s="199">
        <v>6.7</v>
      </c>
      <c r="L229" s="199">
        <v>13.5</v>
      </c>
      <c r="M229" s="199">
        <v>4.2</v>
      </c>
      <c r="N229" s="199">
        <v>3.2</v>
      </c>
      <c r="O229" s="199">
        <v>0.4</v>
      </c>
      <c r="P229" s="199">
        <v>29.0</v>
      </c>
      <c r="Q229" s="199">
        <v>31.4</v>
      </c>
      <c r="R229" s="199">
        <v>52.1</v>
      </c>
      <c r="S229" s="199" t="s">
        <v>75</v>
      </c>
      <c r="T229" s="203"/>
      <c r="U229" s="199" t="s">
        <v>1409</v>
      </c>
      <c r="V229" s="199" t="s">
        <v>49</v>
      </c>
      <c r="W229" s="199" t="s">
        <v>1188</v>
      </c>
      <c r="X229" s="199" t="s">
        <v>1524</v>
      </c>
      <c r="Y229" s="203"/>
      <c r="Z229" s="203"/>
      <c r="AA229" s="203"/>
      <c r="AB229" s="203"/>
      <c r="AC229" s="203"/>
    </row>
    <row r="230">
      <c r="A230" s="199" t="s">
        <v>1526</v>
      </c>
      <c r="B230" s="199" t="s">
        <v>1301</v>
      </c>
      <c r="C230" s="199" t="s">
        <v>632</v>
      </c>
      <c r="D230" s="199" t="s">
        <v>45</v>
      </c>
      <c r="E230" s="199" t="s">
        <v>1528</v>
      </c>
      <c r="F230" s="199">
        <v>44.0</v>
      </c>
      <c r="G230" s="199">
        <v>55.0</v>
      </c>
      <c r="H230" s="199">
        <v>41.9</v>
      </c>
      <c r="I230" s="199">
        <v>53.8</v>
      </c>
      <c r="J230" s="199">
        <v>65.5</v>
      </c>
      <c r="K230" s="199">
        <v>6.4</v>
      </c>
      <c r="L230" s="199">
        <v>23.1</v>
      </c>
      <c r="M230" s="199">
        <v>2.8</v>
      </c>
      <c r="N230" s="199">
        <v>2.3</v>
      </c>
      <c r="O230" s="199">
        <v>0.2</v>
      </c>
      <c r="P230" s="199">
        <v>28.2</v>
      </c>
      <c r="Q230" s="199">
        <v>30.7</v>
      </c>
      <c r="R230" s="199">
        <v>47.4</v>
      </c>
      <c r="S230" s="199" t="s">
        <v>75</v>
      </c>
      <c r="T230" s="203"/>
      <c r="U230" s="199" t="s">
        <v>1409</v>
      </c>
      <c r="V230" s="199" t="s">
        <v>49</v>
      </c>
      <c r="W230" s="199" t="s">
        <v>731</v>
      </c>
      <c r="X230" s="199" t="s">
        <v>1532</v>
      </c>
      <c r="Y230" s="203"/>
      <c r="Z230" s="203"/>
      <c r="AA230" s="203"/>
      <c r="AB230" s="203"/>
      <c r="AC230" s="203"/>
    </row>
    <row r="231">
      <c r="A231" s="199" t="s">
        <v>1534</v>
      </c>
      <c r="B231" s="199" t="s">
        <v>632</v>
      </c>
      <c r="C231" s="199" t="s">
        <v>632</v>
      </c>
      <c r="D231" s="199" t="s">
        <v>45</v>
      </c>
      <c r="E231" s="199" t="s">
        <v>1535</v>
      </c>
      <c r="F231" s="199">
        <v>42.4</v>
      </c>
      <c r="G231" s="199">
        <v>56.5</v>
      </c>
      <c r="H231" s="199">
        <v>40.6</v>
      </c>
      <c r="I231" s="199">
        <v>55.3</v>
      </c>
      <c r="J231" s="199">
        <v>67.7</v>
      </c>
      <c r="K231" s="199">
        <v>10.6</v>
      </c>
      <c r="L231" s="199">
        <v>15.9</v>
      </c>
      <c r="M231" s="199">
        <v>3.9</v>
      </c>
      <c r="N231" s="199">
        <v>1.9</v>
      </c>
      <c r="O231" s="199">
        <v>0.2</v>
      </c>
      <c r="P231" s="199">
        <v>25.9</v>
      </c>
      <c r="Q231" s="199">
        <v>26.9</v>
      </c>
      <c r="R231" s="199">
        <v>52.5</v>
      </c>
      <c r="S231" s="199" t="s">
        <v>75</v>
      </c>
      <c r="T231" s="203"/>
      <c r="U231" s="199" t="s">
        <v>1409</v>
      </c>
      <c r="V231" s="199" t="s">
        <v>49</v>
      </c>
      <c r="W231" s="199" t="s">
        <v>1536</v>
      </c>
      <c r="X231" s="199" t="s">
        <v>1537</v>
      </c>
      <c r="Y231" s="203"/>
      <c r="Z231" s="203"/>
      <c r="AA231" s="203"/>
      <c r="AB231" s="203"/>
      <c r="AC231" s="203"/>
    </row>
    <row r="232">
      <c r="A232" s="199" t="s">
        <v>1539</v>
      </c>
      <c r="B232" s="199" t="s">
        <v>1540</v>
      </c>
      <c r="C232" s="199" t="s">
        <v>632</v>
      </c>
      <c r="D232" s="199" t="s">
        <v>397</v>
      </c>
      <c r="E232" s="199" t="s">
        <v>1541</v>
      </c>
      <c r="F232" s="199">
        <v>46.0</v>
      </c>
      <c r="G232" s="199">
        <v>52.7</v>
      </c>
      <c r="H232" s="199">
        <v>42.9</v>
      </c>
      <c r="I232" s="199">
        <v>53.3</v>
      </c>
      <c r="J232" s="199">
        <v>55.3</v>
      </c>
      <c r="K232" s="199">
        <v>7.8</v>
      </c>
      <c r="L232" s="199">
        <v>31.7</v>
      </c>
      <c r="M232" s="199">
        <v>3.6</v>
      </c>
      <c r="N232" s="199">
        <v>2.2</v>
      </c>
      <c r="O232" s="199">
        <v>0.3</v>
      </c>
      <c r="P232" s="199">
        <v>23.6</v>
      </c>
      <c r="Q232" s="199">
        <v>26.1</v>
      </c>
      <c r="R232" s="199">
        <v>43.9</v>
      </c>
      <c r="S232" s="199" t="s">
        <v>75</v>
      </c>
      <c r="T232" s="203"/>
      <c r="U232" s="199" t="s">
        <v>1409</v>
      </c>
      <c r="V232" s="199" t="s">
        <v>159</v>
      </c>
      <c r="W232" s="199" t="s">
        <v>1542</v>
      </c>
      <c r="X232" s="199" t="s">
        <v>1543</v>
      </c>
      <c r="Y232" s="203"/>
      <c r="Z232" s="203"/>
      <c r="AA232" s="203"/>
      <c r="AB232" s="203"/>
      <c r="AC232" s="203"/>
    </row>
    <row r="233">
      <c r="A233" s="199" t="s">
        <v>1545</v>
      </c>
      <c r="B233" s="199" t="s">
        <v>632</v>
      </c>
      <c r="C233" s="199" t="s">
        <v>632</v>
      </c>
      <c r="D233" s="199" t="s">
        <v>45</v>
      </c>
      <c r="E233" s="199" t="s">
        <v>1547</v>
      </c>
      <c r="F233" s="199">
        <v>41.5</v>
      </c>
      <c r="G233" s="199">
        <v>57.3</v>
      </c>
      <c r="H233" s="199">
        <v>36.6</v>
      </c>
      <c r="I233" s="199">
        <v>58.5</v>
      </c>
      <c r="J233" s="199">
        <v>67.5</v>
      </c>
      <c r="K233" s="199">
        <v>10.9</v>
      </c>
      <c r="L233" s="199">
        <v>12.8</v>
      </c>
      <c r="M233" s="199">
        <v>7.0</v>
      </c>
      <c r="N233" s="199">
        <v>1.8</v>
      </c>
      <c r="O233" s="199">
        <v>0.3</v>
      </c>
      <c r="P233" s="199">
        <v>41.6</v>
      </c>
      <c r="Q233" s="199">
        <v>43.4</v>
      </c>
      <c r="R233" s="199">
        <v>41.6</v>
      </c>
      <c r="S233" s="199" t="s">
        <v>75</v>
      </c>
      <c r="T233" s="203"/>
      <c r="U233" s="199" t="s">
        <v>1409</v>
      </c>
      <c r="V233" s="199" t="s">
        <v>49</v>
      </c>
      <c r="W233" s="199" t="s">
        <v>120</v>
      </c>
      <c r="X233" s="199" t="s">
        <v>1548</v>
      </c>
      <c r="Y233" s="203"/>
      <c r="Z233" s="203"/>
      <c r="AA233" s="203"/>
      <c r="AB233" s="203"/>
      <c r="AC233" s="203"/>
    </row>
    <row r="234">
      <c r="A234" s="199" t="s">
        <v>1550</v>
      </c>
      <c r="B234" s="199" t="s">
        <v>632</v>
      </c>
      <c r="C234" s="199" t="s">
        <v>632</v>
      </c>
      <c r="D234" s="199" t="s">
        <v>45</v>
      </c>
      <c r="E234" s="199" t="s">
        <v>1551</v>
      </c>
      <c r="F234" s="199">
        <v>37.7</v>
      </c>
      <c r="G234" s="199">
        <v>61.4</v>
      </c>
      <c r="H234" s="199">
        <v>36.5</v>
      </c>
      <c r="I234" s="199">
        <v>59.9</v>
      </c>
      <c r="J234" s="199">
        <v>74.8</v>
      </c>
      <c r="K234" s="199">
        <v>9.8</v>
      </c>
      <c r="L234" s="199">
        <v>11.2</v>
      </c>
      <c r="M234" s="199">
        <v>2.1</v>
      </c>
      <c r="N234" s="199">
        <v>2.1</v>
      </c>
      <c r="O234" s="199">
        <v>0.2</v>
      </c>
      <c r="P234" s="199">
        <v>22.3</v>
      </c>
      <c r="Q234" s="199">
        <v>23.3</v>
      </c>
      <c r="R234" s="199">
        <v>60.1</v>
      </c>
      <c r="S234" s="199" t="s">
        <v>75</v>
      </c>
      <c r="T234" s="203"/>
      <c r="U234" s="199" t="s">
        <v>1409</v>
      </c>
      <c r="V234" s="199" t="s">
        <v>49</v>
      </c>
      <c r="W234" s="199" t="s">
        <v>95</v>
      </c>
      <c r="X234" s="199" t="s">
        <v>1552</v>
      </c>
      <c r="Y234" s="203"/>
      <c r="Z234" s="203"/>
      <c r="AA234" s="203"/>
      <c r="AB234" s="203"/>
      <c r="AC234" s="203"/>
    </row>
    <row r="235">
      <c r="A235" s="199" t="s">
        <v>1554</v>
      </c>
      <c r="B235" s="199" t="s">
        <v>43</v>
      </c>
      <c r="C235" s="199" t="s">
        <v>632</v>
      </c>
      <c r="D235" s="199" t="s">
        <v>397</v>
      </c>
      <c r="E235" s="199" t="s">
        <v>1555</v>
      </c>
      <c r="F235" s="199">
        <v>46.7</v>
      </c>
      <c r="G235" s="199">
        <v>52.2</v>
      </c>
      <c r="H235" s="199">
        <v>43.7</v>
      </c>
      <c r="I235" s="199">
        <v>51.4</v>
      </c>
      <c r="J235" s="199">
        <v>64.6</v>
      </c>
      <c r="K235" s="199">
        <v>19.0</v>
      </c>
      <c r="L235" s="199">
        <v>10.5</v>
      </c>
      <c r="M235" s="199">
        <v>4.7</v>
      </c>
      <c r="N235" s="199">
        <v>2.0</v>
      </c>
      <c r="O235" s="199">
        <v>0.2</v>
      </c>
      <c r="P235" s="199">
        <v>34.0</v>
      </c>
      <c r="Q235" s="199">
        <v>35.4</v>
      </c>
      <c r="R235" s="199">
        <v>44.9</v>
      </c>
      <c r="S235" s="199" t="s">
        <v>75</v>
      </c>
      <c r="T235" s="203"/>
      <c r="U235" s="199" t="s">
        <v>1409</v>
      </c>
      <c r="V235" s="199" t="s">
        <v>159</v>
      </c>
      <c r="W235" s="199" t="s">
        <v>1462</v>
      </c>
      <c r="X235" s="199" t="s">
        <v>1556</v>
      </c>
      <c r="Y235" s="203"/>
      <c r="Z235" s="203"/>
      <c r="AA235" s="203"/>
      <c r="AB235" s="203"/>
      <c r="AC235" s="203"/>
    </row>
    <row r="236">
      <c r="A236" s="199" t="s">
        <v>1558</v>
      </c>
      <c r="B236" s="199" t="s">
        <v>632</v>
      </c>
      <c r="C236" s="199" t="s">
        <v>632</v>
      </c>
      <c r="D236" s="199" t="s">
        <v>45</v>
      </c>
      <c r="E236" s="199" t="s">
        <v>1559</v>
      </c>
      <c r="F236" s="199">
        <v>40.6</v>
      </c>
      <c r="G236" s="199">
        <v>58.3</v>
      </c>
      <c r="H236" s="199">
        <v>37.3</v>
      </c>
      <c r="I236" s="199">
        <v>57.9</v>
      </c>
      <c r="J236" s="199">
        <v>74.9</v>
      </c>
      <c r="K236" s="199">
        <v>10.1</v>
      </c>
      <c r="L236" s="199">
        <v>9.7</v>
      </c>
      <c r="M236" s="199">
        <v>3.2</v>
      </c>
      <c r="N236" s="199">
        <v>2.0</v>
      </c>
      <c r="O236" s="199">
        <v>0.2</v>
      </c>
      <c r="P236" s="199">
        <v>30.8</v>
      </c>
      <c r="Q236" s="199">
        <v>32.2</v>
      </c>
      <c r="R236" s="199">
        <v>53.6</v>
      </c>
      <c r="S236" s="199" t="s">
        <v>75</v>
      </c>
      <c r="T236" s="203"/>
      <c r="U236" s="199" t="s">
        <v>1409</v>
      </c>
      <c r="V236" s="199" t="s">
        <v>49</v>
      </c>
      <c r="W236" s="199" t="s">
        <v>347</v>
      </c>
      <c r="X236" s="199" t="s">
        <v>1560</v>
      </c>
      <c r="Y236" s="203"/>
      <c r="Z236" s="203"/>
      <c r="AA236" s="203"/>
      <c r="AB236" s="203"/>
      <c r="AC236" s="203"/>
    </row>
    <row r="237">
      <c r="A237" s="199" t="s">
        <v>1562</v>
      </c>
      <c r="B237" s="199" t="s">
        <v>632</v>
      </c>
      <c r="C237" s="199" t="s">
        <v>632</v>
      </c>
      <c r="D237" s="199" t="s">
        <v>45</v>
      </c>
      <c r="E237" s="199" t="s">
        <v>1563</v>
      </c>
      <c r="F237" s="199">
        <v>44.1</v>
      </c>
      <c r="G237" s="199">
        <v>55.0</v>
      </c>
      <c r="H237" s="199">
        <v>40.7</v>
      </c>
      <c r="I237" s="199">
        <v>55.7</v>
      </c>
      <c r="J237" s="199">
        <v>63.3</v>
      </c>
      <c r="K237" s="199">
        <v>17.1</v>
      </c>
      <c r="L237" s="199">
        <v>12.8</v>
      </c>
      <c r="M237" s="199">
        <v>4.6</v>
      </c>
      <c r="N237" s="199">
        <v>1.8</v>
      </c>
      <c r="O237" s="199">
        <v>0.2</v>
      </c>
      <c r="P237" s="199">
        <v>31.9</v>
      </c>
      <c r="Q237" s="199">
        <v>33.3</v>
      </c>
      <c r="R237" s="199">
        <v>46.2</v>
      </c>
      <c r="S237" s="199" t="s">
        <v>75</v>
      </c>
      <c r="T237" s="203"/>
      <c r="U237" s="199" t="s">
        <v>1409</v>
      </c>
      <c r="V237" s="199" t="s">
        <v>49</v>
      </c>
      <c r="W237" s="199" t="s">
        <v>1564</v>
      </c>
      <c r="X237" s="199" t="s">
        <v>1565</v>
      </c>
      <c r="Y237" s="203"/>
      <c r="Z237" s="203"/>
      <c r="AA237" s="203"/>
      <c r="AB237" s="203"/>
      <c r="AC237" s="203"/>
    </row>
    <row r="238">
      <c r="A238" s="199" t="s">
        <v>1567</v>
      </c>
      <c r="B238" s="199" t="s">
        <v>632</v>
      </c>
      <c r="C238" s="199" t="s">
        <v>632</v>
      </c>
      <c r="D238" s="199" t="s">
        <v>45</v>
      </c>
      <c r="E238" s="199" t="s">
        <v>1568</v>
      </c>
      <c r="F238" s="199">
        <v>35.1</v>
      </c>
      <c r="G238" s="199">
        <v>63.9</v>
      </c>
      <c r="H238" s="199">
        <v>33.7</v>
      </c>
      <c r="I238" s="199">
        <v>62.0</v>
      </c>
      <c r="J238" s="199">
        <v>78.3</v>
      </c>
      <c r="K238" s="199">
        <v>11.7</v>
      </c>
      <c r="L238" s="199">
        <v>5.3</v>
      </c>
      <c r="M238" s="199">
        <v>2.5</v>
      </c>
      <c r="N238" s="199">
        <v>2.1</v>
      </c>
      <c r="O238" s="199">
        <v>0.2</v>
      </c>
      <c r="P238" s="199">
        <v>21.4</v>
      </c>
      <c r="Q238" s="199">
        <v>20.8</v>
      </c>
      <c r="R238" s="199">
        <v>65.3</v>
      </c>
      <c r="S238" s="199" t="s">
        <v>75</v>
      </c>
      <c r="T238" s="203"/>
      <c r="U238" s="199" t="s">
        <v>1409</v>
      </c>
      <c r="V238" s="199" t="s">
        <v>49</v>
      </c>
      <c r="W238" s="199" t="s">
        <v>1570</v>
      </c>
      <c r="X238" s="199" t="s">
        <v>1571</v>
      </c>
      <c r="Y238" s="203"/>
      <c r="Z238" s="203"/>
      <c r="AA238" s="203"/>
      <c r="AB238" s="203"/>
      <c r="AC238" s="203"/>
    </row>
    <row r="239">
      <c r="A239" s="199" t="s">
        <v>1573</v>
      </c>
      <c r="B239" s="199" t="s">
        <v>43</v>
      </c>
      <c r="C239" s="199" t="s">
        <v>632</v>
      </c>
      <c r="D239" s="199" t="s">
        <v>397</v>
      </c>
      <c r="E239" s="199" t="s">
        <v>1574</v>
      </c>
      <c r="F239" s="199">
        <v>46.1</v>
      </c>
      <c r="G239" s="199">
        <v>52.9</v>
      </c>
      <c r="H239" s="199">
        <v>43.7</v>
      </c>
      <c r="I239" s="199">
        <v>51.5</v>
      </c>
      <c r="J239" s="199">
        <v>77.2</v>
      </c>
      <c r="K239" s="199">
        <v>9.6</v>
      </c>
      <c r="L239" s="199">
        <v>7.1</v>
      </c>
      <c r="M239" s="199">
        <v>4.1</v>
      </c>
      <c r="N239" s="199">
        <v>1.8</v>
      </c>
      <c r="O239" s="199">
        <v>0.2</v>
      </c>
      <c r="P239" s="199">
        <v>31.1</v>
      </c>
      <c r="Q239" s="199">
        <v>32.2</v>
      </c>
      <c r="R239" s="199">
        <v>55.5</v>
      </c>
      <c r="S239" s="199" t="s">
        <v>1577</v>
      </c>
      <c r="T239" s="203"/>
      <c r="U239" s="199" t="s">
        <v>1409</v>
      </c>
      <c r="V239" s="199" t="s">
        <v>482</v>
      </c>
      <c r="W239" s="199" t="s">
        <v>1575</v>
      </c>
      <c r="X239" s="199" t="s">
        <v>1576</v>
      </c>
      <c r="Y239" s="203"/>
      <c r="Z239" s="203"/>
      <c r="AA239" s="203"/>
      <c r="AB239" s="203"/>
      <c r="AC239" s="203"/>
    </row>
    <row r="240">
      <c r="A240" s="199" t="s">
        <v>1579</v>
      </c>
      <c r="B240" s="199" t="s">
        <v>395</v>
      </c>
      <c r="C240" s="199" t="s">
        <v>632</v>
      </c>
      <c r="D240" s="199" t="s">
        <v>397</v>
      </c>
      <c r="E240" s="199" t="s">
        <v>1580</v>
      </c>
      <c r="F240" s="199">
        <v>47.9</v>
      </c>
      <c r="G240" s="199">
        <v>51.0</v>
      </c>
      <c r="H240" s="199">
        <v>45.7</v>
      </c>
      <c r="I240" s="199">
        <v>49.6</v>
      </c>
      <c r="J240" s="199">
        <v>54.9</v>
      </c>
      <c r="K240" s="199">
        <v>22.7</v>
      </c>
      <c r="L240" s="199">
        <v>15.4</v>
      </c>
      <c r="M240" s="199">
        <v>6.0</v>
      </c>
      <c r="N240" s="199">
        <v>2.1</v>
      </c>
      <c r="O240" s="199">
        <v>0.2</v>
      </c>
      <c r="P240" s="199">
        <v>30.6</v>
      </c>
      <c r="Q240" s="199">
        <v>31.4</v>
      </c>
      <c r="R240" s="199">
        <v>42.5</v>
      </c>
      <c r="S240" s="199" t="s">
        <v>75</v>
      </c>
      <c r="T240" s="203"/>
      <c r="U240" s="199" t="s">
        <v>1409</v>
      </c>
      <c r="V240" s="199" t="s">
        <v>159</v>
      </c>
      <c r="W240" s="199" t="s">
        <v>1581</v>
      </c>
      <c r="X240" s="199" t="s">
        <v>144</v>
      </c>
      <c r="Y240" s="203"/>
      <c r="Z240" s="203"/>
      <c r="AA240" s="203"/>
      <c r="AB240" s="203"/>
      <c r="AC240" s="203"/>
    </row>
    <row r="241">
      <c r="A241" s="199" t="s">
        <v>1583</v>
      </c>
      <c r="B241" s="199" t="s">
        <v>632</v>
      </c>
      <c r="C241" s="199" t="s">
        <v>632</v>
      </c>
      <c r="D241" s="199" t="s">
        <v>45</v>
      </c>
      <c r="E241" s="199" t="s">
        <v>1584</v>
      </c>
      <c r="F241" s="199">
        <v>45.1</v>
      </c>
      <c r="G241" s="199">
        <v>54.0</v>
      </c>
      <c r="H241" s="199">
        <v>41.5</v>
      </c>
      <c r="I241" s="199">
        <v>54.0</v>
      </c>
      <c r="J241" s="199">
        <v>64.5</v>
      </c>
      <c r="K241" s="199">
        <v>18.7</v>
      </c>
      <c r="L241" s="199">
        <v>12.0</v>
      </c>
      <c r="M241" s="199">
        <v>3.6</v>
      </c>
      <c r="N241" s="199">
        <v>1.9</v>
      </c>
      <c r="O241" s="199">
        <v>0.2</v>
      </c>
      <c r="P241" s="199">
        <v>31.4</v>
      </c>
      <c r="Q241" s="199">
        <v>33.9</v>
      </c>
      <c r="R241" s="199">
        <v>47.1</v>
      </c>
      <c r="S241" s="199" t="s">
        <v>75</v>
      </c>
      <c r="T241" s="203"/>
      <c r="U241" s="199" t="s">
        <v>1409</v>
      </c>
      <c r="V241" s="199" t="s">
        <v>49</v>
      </c>
      <c r="W241" s="199" t="s">
        <v>1586</v>
      </c>
      <c r="X241" s="199" t="s">
        <v>1587</v>
      </c>
      <c r="Y241" s="203"/>
      <c r="Z241" s="203"/>
      <c r="AA241" s="203"/>
      <c r="AB241" s="203"/>
      <c r="AC241" s="203"/>
    </row>
    <row r="242">
      <c r="A242" s="199" t="s">
        <v>1589</v>
      </c>
      <c r="B242" s="199" t="s">
        <v>632</v>
      </c>
      <c r="C242" s="199" t="s">
        <v>632</v>
      </c>
      <c r="D242" s="199" t="s">
        <v>45</v>
      </c>
      <c r="E242" s="199" t="s">
        <v>1590</v>
      </c>
      <c r="F242" s="199">
        <v>41.6</v>
      </c>
      <c r="G242" s="199">
        <v>57.6</v>
      </c>
      <c r="H242" s="199">
        <v>39.9</v>
      </c>
      <c r="I242" s="199">
        <v>56.4</v>
      </c>
      <c r="J242" s="199">
        <v>79.1</v>
      </c>
      <c r="K242" s="199">
        <v>11.5</v>
      </c>
      <c r="L242" s="199">
        <v>5.6</v>
      </c>
      <c r="M242" s="199">
        <v>2.0</v>
      </c>
      <c r="N242" s="199">
        <v>1.5</v>
      </c>
      <c r="O242" s="199">
        <v>0.1</v>
      </c>
      <c r="P242" s="199">
        <v>29.7</v>
      </c>
      <c r="Q242" s="199">
        <v>31.9</v>
      </c>
      <c r="R242" s="199">
        <v>57.1</v>
      </c>
      <c r="S242" s="199" t="s">
        <v>75</v>
      </c>
      <c r="T242" s="203"/>
      <c r="U242" s="199" t="s">
        <v>1409</v>
      </c>
      <c r="V242" s="199" t="s">
        <v>49</v>
      </c>
      <c r="W242" s="199" t="s">
        <v>73</v>
      </c>
      <c r="X242" s="199" t="s">
        <v>1591</v>
      </c>
      <c r="Y242" s="203"/>
      <c r="Z242" s="203"/>
      <c r="AA242" s="203"/>
      <c r="AB242" s="203"/>
      <c r="AC242" s="203"/>
    </row>
    <row r="243">
      <c r="A243" s="199" t="s">
        <v>1593</v>
      </c>
      <c r="B243" s="199" t="s">
        <v>632</v>
      </c>
      <c r="C243" s="199" t="s">
        <v>632</v>
      </c>
      <c r="D243" s="199" t="s">
        <v>45</v>
      </c>
      <c r="E243" s="199" t="s">
        <v>1594</v>
      </c>
      <c r="F243" s="199">
        <v>38.1</v>
      </c>
      <c r="G243" s="199">
        <v>60.9</v>
      </c>
      <c r="H243" s="199">
        <v>37.4</v>
      </c>
      <c r="I243" s="199">
        <v>58.7</v>
      </c>
      <c r="J243" s="199">
        <v>59.8</v>
      </c>
      <c r="K243" s="199">
        <v>23.7</v>
      </c>
      <c r="L243" s="199">
        <v>13.2</v>
      </c>
      <c r="M243" s="199">
        <v>2.0</v>
      </c>
      <c r="N243" s="199">
        <v>2.1</v>
      </c>
      <c r="O243" s="199">
        <v>0.2</v>
      </c>
      <c r="P243" s="199">
        <v>17.8</v>
      </c>
      <c r="Q243" s="199">
        <v>20.1</v>
      </c>
      <c r="R243" s="199">
        <v>53.1</v>
      </c>
      <c r="S243" s="199" t="s">
        <v>75</v>
      </c>
      <c r="T243" s="203"/>
      <c r="U243" s="199" t="s">
        <v>1409</v>
      </c>
      <c r="V243" s="199" t="s">
        <v>49</v>
      </c>
      <c r="W243" s="199" t="s">
        <v>348</v>
      </c>
      <c r="X243" s="199" t="s">
        <v>1595</v>
      </c>
      <c r="Y243" s="203"/>
      <c r="Z243" s="203"/>
      <c r="AA243" s="203"/>
      <c r="AB243" s="203"/>
      <c r="AC243" s="203"/>
    </row>
    <row r="244">
      <c r="A244" s="199" t="s">
        <v>1597</v>
      </c>
      <c r="B244" s="199" t="s">
        <v>632</v>
      </c>
      <c r="C244" s="199" t="s">
        <v>632</v>
      </c>
      <c r="D244" s="199" t="s">
        <v>45</v>
      </c>
      <c r="E244" s="199" t="s">
        <v>1598</v>
      </c>
      <c r="F244" s="199">
        <v>39.1</v>
      </c>
      <c r="G244" s="199">
        <v>60.2</v>
      </c>
      <c r="H244" s="199">
        <v>36.8</v>
      </c>
      <c r="I244" s="199">
        <v>60.0</v>
      </c>
      <c r="J244" s="199">
        <v>74.1</v>
      </c>
      <c r="K244" s="199">
        <v>16.2</v>
      </c>
      <c r="L244" s="199">
        <v>6.1</v>
      </c>
      <c r="M244" s="199">
        <v>2.2</v>
      </c>
      <c r="N244" s="199">
        <v>1.3</v>
      </c>
      <c r="O244" s="199">
        <v>0.1</v>
      </c>
      <c r="P244" s="199">
        <v>34.5</v>
      </c>
      <c r="Q244" s="199">
        <v>38.6</v>
      </c>
      <c r="R244" s="199">
        <v>49.5</v>
      </c>
      <c r="S244" s="199" t="s">
        <v>28</v>
      </c>
      <c r="T244" s="203"/>
      <c r="U244" s="199" t="s">
        <v>1409</v>
      </c>
      <c r="V244" s="199" t="s">
        <v>49</v>
      </c>
      <c r="W244" s="199" t="s">
        <v>1599</v>
      </c>
      <c r="X244" s="199" t="s">
        <v>1600</v>
      </c>
      <c r="Y244" s="203"/>
      <c r="Z244" s="203"/>
      <c r="AA244" s="203"/>
      <c r="AB244" s="203"/>
      <c r="AC244" s="203"/>
    </row>
    <row r="245">
      <c r="A245" s="199" t="s">
        <v>1603</v>
      </c>
      <c r="B245" s="199" t="s">
        <v>632</v>
      </c>
      <c r="C245" s="199" t="s">
        <v>632</v>
      </c>
      <c r="D245" s="199" t="s">
        <v>45</v>
      </c>
      <c r="E245" s="199" t="s">
        <v>1604</v>
      </c>
      <c r="F245" s="199">
        <v>45.0</v>
      </c>
      <c r="G245" s="199">
        <v>54.4</v>
      </c>
      <c r="H245" s="199">
        <v>43.2</v>
      </c>
      <c r="I245" s="199">
        <v>53.4</v>
      </c>
      <c r="J245" s="199">
        <v>68.1</v>
      </c>
      <c r="K245" s="199">
        <v>15.1</v>
      </c>
      <c r="L245" s="199">
        <v>12.5</v>
      </c>
      <c r="M245" s="199">
        <v>2.8</v>
      </c>
      <c r="N245" s="199">
        <v>1.6</v>
      </c>
      <c r="O245" s="199">
        <v>0.2</v>
      </c>
      <c r="P245" s="199">
        <v>32.7</v>
      </c>
      <c r="Q245" s="199">
        <v>36.1</v>
      </c>
      <c r="R245" s="199">
        <v>47.7</v>
      </c>
      <c r="S245" s="199" t="s">
        <v>83</v>
      </c>
      <c r="T245" s="203"/>
      <c r="U245" s="199" t="s">
        <v>1409</v>
      </c>
      <c r="V245" s="199" t="s">
        <v>49</v>
      </c>
      <c r="W245" s="199" t="s">
        <v>1028</v>
      </c>
      <c r="X245" s="199" t="s">
        <v>1605</v>
      </c>
      <c r="Y245" s="203"/>
      <c r="Z245" s="203"/>
      <c r="AA245" s="203"/>
      <c r="AB245" s="203"/>
      <c r="AC245" s="203"/>
    </row>
    <row r="246">
      <c r="A246" s="199" t="s">
        <v>1607</v>
      </c>
      <c r="B246" s="199" t="s">
        <v>632</v>
      </c>
      <c r="C246" s="199" t="s">
        <v>632</v>
      </c>
      <c r="D246" s="199" t="s">
        <v>45</v>
      </c>
      <c r="E246" s="199" t="s">
        <v>1608</v>
      </c>
      <c r="F246" s="199">
        <v>40.6</v>
      </c>
      <c r="G246" s="199">
        <v>58.9</v>
      </c>
      <c r="H246" s="199">
        <v>50.3</v>
      </c>
      <c r="I246" s="199">
        <v>46.8</v>
      </c>
      <c r="J246" s="199">
        <v>19.7</v>
      </c>
      <c r="K246" s="199">
        <v>73.2</v>
      </c>
      <c r="L246" s="199">
        <v>6.9</v>
      </c>
      <c r="M246" s="199">
        <v>1.5</v>
      </c>
      <c r="N246" s="199">
        <v>0.9</v>
      </c>
      <c r="O246" s="199">
        <v>0.1</v>
      </c>
      <c r="P246" s="199">
        <v>25.3</v>
      </c>
      <c r="Q246" s="199">
        <v>37.8</v>
      </c>
      <c r="R246" s="199">
        <v>15.3</v>
      </c>
      <c r="S246" s="199" t="s">
        <v>936</v>
      </c>
      <c r="T246" s="203"/>
      <c r="U246" s="199" t="s">
        <v>1409</v>
      </c>
      <c r="V246" s="199" t="s">
        <v>49</v>
      </c>
      <c r="W246" s="199" t="s">
        <v>1609</v>
      </c>
      <c r="X246" s="199" t="s">
        <v>1610</v>
      </c>
      <c r="Y246" s="203"/>
      <c r="Z246" s="203"/>
      <c r="AA246" s="203"/>
      <c r="AB246" s="203"/>
      <c r="AC246" s="203"/>
    </row>
    <row r="247">
      <c r="A247" s="199" t="s">
        <v>1612</v>
      </c>
      <c r="B247" s="199" t="s">
        <v>632</v>
      </c>
      <c r="C247" s="199" t="s">
        <v>632</v>
      </c>
      <c r="D247" s="199" t="s">
        <v>45</v>
      </c>
      <c r="E247" s="199" t="s">
        <v>1613</v>
      </c>
      <c r="F247" s="199">
        <v>49.6</v>
      </c>
      <c r="G247" s="199">
        <v>49.9</v>
      </c>
      <c r="H247" s="199">
        <v>56.9</v>
      </c>
      <c r="I247" s="199">
        <v>39.7</v>
      </c>
      <c r="J247" s="199">
        <v>16.9</v>
      </c>
      <c r="K247" s="199">
        <v>74.2</v>
      </c>
      <c r="L247" s="199">
        <v>7.1</v>
      </c>
      <c r="M247" s="199">
        <v>2.6</v>
      </c>
      <c r="N247" s="199">
        <v>0.9</v>
      </c>
      <c r="O247" s="199">
        <v>0.1</v>
      </c>
      <c r="P247" s="199">
        <v>38.6</v>
      </c>
      <c r="Q247" s="199">
        <v>62.7</v>
      </c>
      <c r="R247" s="199">
        <v>7.5</v>
      </c>
      <c r="S247" s="199" t="s">
        <v>936</v>
      </c>
      <c r="T247" s="203"/>
      <c r="U247" s="199" t="s">
        <v>1409</v>
      </c>
      <c r="V247" s="199" t="s">
        <v>49</v>
      </c>
      <c r="W247" s="199" t="s">
        <v>1614</v>
      </c>
      <c r="X247" s="199" t="s">
        <v>1615</v>
      </c>
      <c r="Y247" s="203"/>
      <c r="Z247" s="203"/>
      <c r="AA247" s="203"/>
      <c r="AB247" s="203"/>
      <c r="AC247" s="203"/>
    </row>
    <row r="248">
      <c r="A248" s="199" t="s">
        <v>1617</v>
      </c>
      <c r="B248" s="199" t="s">
        <v>632</v>
      </c>
      <c r="C248" s="199" t="s">
        <v>632</v>
      </c>
      <c r="D248" s="199" t="s">
        <v>45</v>
      </c>
      <c r="E248" s="199" t="s">
        <v>1618</v>
      </c>
      <c r="F248" s="199">
        <v>46.5</v>
      </c>
      <c r="G248" s="199">
        <v>52.9</v>
      </c>
      <c r="H248" s="199">
        <v>56.0</v>
      </c>
      <c r="I248" s="199">
        <v>40.5</v>
      </c>
      <c r="J248" s="199">
        <v>15.2</v>
      </c>
      <c r="K248" s="199">
        <v>73.4</v>
      </c>
      <c r="L248" s="199">
        <v>10.3</v>
      </c>
      <c r="M248" s="199">
        <v>2.2</v>
      </c>
      <c r="N248" s="199">
        <v>1.1</v>
      </c>
      <c r="O248" s="199">
        <v>0.1</v>
      </c>
      <c r="P248" s="199">
        <v>28.7</v>
      </c>
      <c r="Q248" s="199">
        <v>36.6</v>
      </c>
      <c r="R248" s="199">
        <v>12.9</v>
      </c>
      <c r="S248" s="199" t="s">
        <v>936</v>
      </c>
      <c r="T248" s="203"/>
      <c r="U248" s="199" t="s">
        <v>1409</v>
      </c>
      <c r="V248" s="199" t="s">
        <v>49</v>
      </c>
      <c r="W248" s="199" t="s">
        <v>1619</v>
      </c>
      <c r="X248" s="199" t="s">
        <v>1620</v>
      </c>
      <c r="Y248" s="203"/>
      <c r="Z248" s="203"/>
      <c r="AA248" s="203"/>
      <c r="AB248" s="203"/>
      <c r="AC248" s="203"/>
    </row>
    <row r="249">
      <c r="A249" s="199" t="s">
        <v>1623</v>
      </c>
      <c r="B249" s="199" t="s">
        <v>632</v>
      </c>
      <c r="C249" s="199" t="s">
        <v>632</v>
      </c>
      <c r="D249" s="199" t="s">
        <v>45</v>
      </c>
      <c r="E249" s="199" t="s">
        <v>1624</v>
      </c>
      <c r="F249" s="199">
        <v>42.6</v>
      </c>
      <c r="G249" s="199">
        <v>56.0</v>
      </c>
      <c r="H249" s="199">
        <v>40.4</v>
      </c>
      <c r="I249" s="199">
        <v>56.9</v>
      </c>
      <c r="J249" s="199">
        <v>60.4</v>
      </c>
      <c r="K249" s="199">
        <v>6.8</v>
      </c>
      <c r="L249" s="199">
        <v>28.2</v>
      </c>
      <c r="M249" s="199">
        <v>3.0</v>
      </c>
      <c r="N249" s="199">
        <v>2.0</v>
      </c>
      <c r="O249" s="199">
        <v>0.3</v>
      </c>
      <c r="P249" s="199">
        <v>26.0</v>
      </c>
      <c r="Q249" s="199">
        <v>29.7</v>
      </c>
      <c r="R249" s="199">
        <v>44.3</v>
      </c>
      <c r="S249" s="199" t="s">
        <v>75</v>
      </c>
      <c r="T249" s="203"/>
      <c r="U249" s="199" t="s">
        <v>1409</v>
      </c>
      <c r="V249" s="199" t="s">
        <v>49</v>
      </c>
      <c r="W249" s="199" t="s">
        <v>1625</v>
      </c>
      <c r="X249" s="199" t="s">
        <v>679</v>
      </c>
      <c r="Y249" s="203"/>
      <c r="Z249" s="203"/>
      <c r="AA249" s="203"/>
      <c r="AB249" s="203"/>
      <c r="AC249" s="203"/>
    </row>
    <row r="250">
      <c r="A250" s="199" t="s">
        <v>1627</v>
      </c>
      <c r="B250" s="199" t="s">
        <v>632</v>
      </c>
      <c r="C250" s="199" t="s">
        <v>632</v>
      </c>
      <c r="D250" s="199" t="s">
        <v>45</v>
      </c>
      <c r="E250" s="199" t="s">
        <v>1628</v>
      </c>
      <c r="F250" s="199">
        <v>34.4</v>
      </c>
      <c r="G250" s="199">
        <v>64.4</v>
      </c>
      <c r="H250" s="199">
        <v>30.8</v>
      </c>
      <c r="I250" s="199">
        <v>66.3</v>
      </c>
      <c r="J250" s="199">
        <v>66.8</v>
      </c>
      <c r="K250" s="199">
        <v>5.3</v>
      </c>
      <c r="L250" s="199">
        <v>23.3</v>
      </c>
      <c r="M250" s="199">
        <v>2.5</v>
      </c>
      <c r="N250" s="199">
        <v>2.1</v>
      </c>
      <c r="O250" s="199">
        <v>0.1</v>
      </c>
      <c r="P250" s="199">
        <v>27.4</v>
      </c>
      <c r="Q250" s="199">
        <v>28.8</v>
      </c>
      <c r="R250" s="199">
        <v>50.6</v>
      </c>
      <c r="S250" s="199" t="s">
        <v>75</v>
      </c>
      <c r="T250" s="203"/>
      <c r="U250" s="199" t="s">
        <v>1409</v>
      </c>
      <c r="V250" s="199" t="s">
        <v>49</v>
      </c>
      <c r="W250" s="199" t="s">
        <v>1629</v>
      </c>
      <c r="X250" s="199" t="s">
        <v>1630</v>
      </c>
      <c r="Y250" s="203"/>
      <c r="Z250" s="203"/>
      <c r="AA250" s="203"/>
      <c r="AB250" s="203"/>
      <c r="AC250" s="203"/>
    </row>
    <row r="251">
      <c r="A251" s="199" t="s">
        <v>1632</v>
      </c>
      <c r="B251" s="199" t="s">
        <v>43</v>
      </c>
      <c r="C251" s="199" t="s">
        <v>632</v>
      </c>
      <c r="D251" s="199" t="s">
        <v>397</v>
      </c>
      <c r="E251" s="199" t="s">
        <v>1633</v>
      </c>
      <c r="F251" s="199">
        <v>41.8</v>
      </c>
      <c r="G251" s="199">
        <v>56.7</v>
      </c>
      <c r="H251" s="199">
        <v>34.4</v>
      </c>
      <c r="I251" s="199">
        <v>61.0</v>
      </c>
      <c r="J251" s="199">
        <v>66.6</v>
      </c>
      <c r="K251" s="199">
        <v>9.1</v>
      </c>
      <c r="L251" s="199">
        <v>9.9</v>
      </c>
      <c r="M251" s="199">
        <v>12.3</v>
      </c>
      <c r="N251" s="199">
        <v>1.8</v>
      </c>
      <c r="O251" s="199">
        <v>0.1</v>
      </c>
      <c r="P251" s="199">
        <v>57.3</v>
      </c>
      <c r="Q251" s="199">
        <v>57.1</v>
      </c>
      <c r="R251" s="199">
        <v>32.9</v>
      </c>
      <c r="S251" s="199" t="s">
        <v>75</v>
      </c>
      <c r="T251" s="203"/>
      <c r="U251" s="199" t="s">
        <v>1409</v>
      </c>
      <c r="V251" s="199" t="s">
        <v>159</v>
      </c>
      <c r="W251" s="199" t="s">
        <v>1636</v>
      </c>
      <c r="X251" s="199" t="s">
        <v>1638</v>
      </c>
      <c r="Y251" s="203"/>
      <c r="Z251" s="203"/>
      <c r="AA251" s="203"/>
      <c r="AB251" s="203"/>
      <c r="AC251" s="203"/>
    </row>
    <row r="252">
      <c r="A252" s="199" t="s">
        <v>1640</v>
      </c>
      <c r="B252" s="199" t="s">
        <v>632</v>
      </c>
      <c r="C252" s="199" t="s">
        <v>632</v>
      </c>
      <c r="D252" s="199" t="s">
        <v>45</v>
      </c>
      <c r="E252" s="199" t="s">
        <v>1641</v>
      </c>
      <c r="F252" s="199">
        <v>35.7</v>
      </c>
      <c r="G252" s="199">
        <v>63.3</v>
      </c>
      <c r="H252" s="199">
        <v>33.6</v>
      </c>
      <c r="I252" s="199">
        <v>64.3</v>
      </c>
      <c r="J252" s="199">
        <v>60.5</v>
      </c>
      <c r="K252" s="199">
        <v>6.1</v>
      </c>
      <c r="L252" s="199">
        <v>30.0</v>
      </c>
      <c r="M252" s="199">
        <v>2.0</v>
      </c>
      <c r="N252" s="199">
        <v>1.6</v>
      </c>
      <c r="O252" s="199">
        <v>0.1</v>
      </c>
      <c r="P252" s="199">
        <v>21.7</v>
      </c>
      <c r="Q252" s="199">
        <v>25.2</v>
      </c>
      <c r="R252" s="199">
        <v>47.4</v>
      </c>
      <c r="S252" s="199" t="s">
        <v>75</v>
      </c>
      <c r="T252" s="203"/>
      <c r="U252" s="199" t="s">
        <v>1409</v>
      </c>
      <c r="V252" s="199" t="s">
        <v>49</v>
      </c>
      <c r="W252" s="199" t="s">
        <v>1642</v>
      </c>
      <c r="X252" s="199" t="s">
        <v>348</v>
      </c>
      <c r="Y252" s="203"/>
      <c r="Z252" s="203"/>
      <c r="AA252" s="203"/>
      <c r="AB252" s="203"/>
      <c r="AC252" s="203"/>
    </row>
    <row r="253">
      <c r="A253" s="199" t="s">
        <v>1644</v>
      </c>
      <c r="B253" s="199" t="s">
        <v>632</v>
      </c>
      <c r="C253" s="199" t="s">
        <v>632</v>
      </c>
      <c r="D253" s="199" t="s">
        <v>45</v>
      </c>
      <c r="E253" s="199" t="s">
        <v>1645</v>
      </c>
      <c r="F253" s="199">
        <v>30.4</v>
      </c>
      <c r="G253" s="199">
        <v>68.3</v>
      </c>
      <c r="H253" s="199">
        <v>25.6</v>
      </c>
      <c r="I253" s="199">
        <v>71.1</v>
      </c>
      <c r="J253" s="199">
        <v>68.3</v>
      </c>
      <c r="K253" s="199">
        <v>12.9</v>
      </c>
      <c r="L253" s="199">
        <v>10.4</v>
      </c>
      <c r="M253" s="199">
        <v>6.5</v>
      </c>
      <c r="N253" s="199">
        <v>2.4</v>
      </c>
      <c r="O253" s="199">
        <v>0.1</v>
      </c>
      <c r="P253" s="199">
        <v>28.6</v>
      </c>
      <c r="Q253" s="199">
        <v>29.8</v>
      </c>
      <c r="R253" s="199">
        <v>54.3</v>
      </c>
      <c r="S253" s="199" t="s">
        <v>75</v>
      </c>
      <c r="T253" s="203"/>
      <c r="U253" s="199" t="s">
        <v>1409</v>
      </c>
      <c r="V253" s="199" t="s">
        <v>49</v>
      </c>
      <c r="W253" s="199" t="s">
        <v>1646</v>
      </c>
      <c r="X253" s="199" t="s">
        <v>1647</v>
      </c>
      <c r="Y253" s="203"/>
      <c r="Z253" s="203"/>
      <c r="AA253" s="203"/>
      <c r="AB253" s="203"/>
      <c r="AC253" s="203"/>
    </row>
    <row r="254">
      <c r="A254" s="199" t="s">
        <v>1649</v>
      </c>
      <c r="B254" s="199" t="s">
        <v>632</v>
      </c>
      <c r="C254" s="199" t="s">
        <v>632</v>
      </c>
      <c r="D254" s="199" t="s">
        <v>45</v>
      </c>
      <c r="E254" s="199" t="s">
        <v>1650</v>
      </c>
      <c r="F254" s="199">
        <v>37.7</v>
      </c>
      <c r="G254" s="199">
        <v>61.1</v>
      </c>
      <c r="H254" s="199">
        <v>34.0</v>
      </c>
      <c r="I254" s="199">
        <v>62.9</v>
      </c>
      <c r="J254" s="199">
        <v>66.2</v>
      </c>
      <c r="K254" s="199">
        <v>6.5</v>
      </c>
      <c r="L254" s="199">
        <v>22.6</v>
      </c>
      <c r="M254" s="199">
        <v>2.8</v>
      </c>
      <c r="N254" s="199">
        <v>2.0</v>
      </c>
      <c r="O254" s="199">
        <v>0.1</v>
      </c>
      <c r="P254" s="199">
        <v>27.0</v>
      </c>
      <c r="Q254" s="199">
        <v>29.6</v>
      </c>
      <c r="R254" s="199">
        <v>49.9</v>
      </c>
      <c r="S254" s="199" t="s">
        <v>75</v>
      </c>
      <c r="T254" s="203"/>
      <c r="U254" s="199" t="s">
        <v>1409</v>
      </c>
      <c r="V254" s="199" t="s">
        <v>159</v>
      </c>
      <c r="W254" s="199" t="s">
        <v>95</v>
      </c>
      <c r="X254" s="199" t="s">
        <v>1651</v>
      </c>
      <c r="Y254" s="203"/>
      <c r="Z254" s="203"/>
      <c r="AA254" s="203"/>
      <c r="AB254" s="203"/>
      <c r="AC254" s="203"/>
    </row>
    <row r="255">
      <c r="A255" s="199" t="s">
        <v>1653</v>
      </c>
      <c r="B255" s="199" t="s">
        <v>632</v>
      </c>
      <c r="C255" s="199" t="s">
        <v>632</v>
      </c>
      <c r="D255" s="199" t="s">
        <v>45</v>
      </c>
      <c r="E255" s="199" t="s">
        <v>1654</v>
      </c>
      <c r="F255" s="199">
        <v>41.5</v>
      </c>
      <c r="G255" s="199">
        <v>56.8</v>
      </c>
      <c r="H255" s="199">
        <v>35.5</v>
      </c>
      <c r="I255" s="199">
        <v>60.2</v>
      </c>
      <c r="J255" s="199">
        <v>64.0</v>
      </c>
      <c r="K255" s="199">
        <v>11.2</v>
      </c>
      <c r="L255" s="199">
        <v>17.9</v>
      </c>
      <c r="M255" s="199">
        <v>4.5</v>
      </c>
      <c r="N255" s="199">
        <v>2.3</v>
      </c>
      <c r="O255" s="199">
        <v>0.1</v>
      </c>
      <c r="P255" s="199">
        <v>40.4</v>
      </c>
      <c r="Q255" s="199">
        <v>41.6</v>
      </c>
      <c r="R255" s="199">
        <v>41.5</v>
      </c>
      <c r="S255" s="199" t="s">
        <v>75</v>
      </c>
      <c r="T255" s="203"/>
      <c r="U255" s="199" t="s">
        <v>1409</v>
      </c>
      <c r="V255" s="199" t="s">
        <v>49</v>
      </c>
      <c r="W255" s="199" t="s">
        <v>1415</v>
      </c>
      <c r="X255" s="199" t="s">
        <v>1656</v>
      </c>
      <c r="Y255" s="203"/>
      <c r="Z255" s="203"/>
      <c r="AA255" s="203"/>
      <c r="AB255" s="203"/>
      <c r="AC255" s="203"/>
    </row>
    <row r="256">
      <c r="A256" s="199" t="s">
        <v>1658</v>
      </c>
      <c r="B256" s="199" t="s">
        <v>632</v>
      </c>
      <c r="C256" s="199" t="s">
        <v>632</v>
      </c>
      <c r="D256" s="199" t="s">
        <v>45</v>
      </c>
      <c r="E256" s="199" t="s">
        <v>1659</v>
      </c>
      <c r="F256" s="199">
        <v>44.3</v>
      </c>
      <c r="G256" s="199">
        <v>54.5</v>
      </c>
      <c r="H256" s="199">
        <v>42.2</v>
      </c>
      <c r="I256" s="199">
        <v>55.4</v>
      </c>
      <c r="J256" s="199">
        <v>54.6</v>
      </c>
      <c r="K256" s="199">
        <v>4.9</v>
      </c>
      <c r="L256" s="199">
        <v>36.7</v>
      </c>
      <c r="M256" s="199">
        <v>2.6</v>
      </c>
      <c r="N256" s="199">
        <v>1.7</v>
      </c>
      <c r="O256" s="199">
        <v>0.2</v>
      </c>
      <c r="P256" s="199">
        <v>22.3</v>
      </c>
      <c r="Q256" s="199">
        <v>26.4</v>
      </c>
      <c r="R256" s="199">
        <v>41.9</v>
      </c>
      <c r="S256" s="199" t="s">
        <v>75</v>
      </c>
      <c r="T256" s="203"/>
      <c r="U256" s="199" t="s">
        <v>1409</v>
      </c>
      <c r="V256" s="199" t="s">
        <v>49</v>
      </c>
      <c r="W256" s="199" t="s">
        <v>1364</v>
      </c>
      <c r="X256" s="199" t="s">
        <v>1662</v>
      </c>
      <c r="Y256" s="203"/>
      <c r="Z256" s="203"/>
      <c r="AA256" s="203"/>
      <c r="AB256" s="203"/>
      <c r="AC256" s="203"/>
    </row>
    <row r="257">
      <c r="A257" s="199" t="s">
        <v>1664</v>
      </c>
      <c r="B257" s="199" t="s">
        <v>632</v>
      </c>
      <c r="C257" s="199" t="s">
        <v>632</v>
      </c>
      <c r="D257" s="199" t="s">
        <v>45</v>
      </c>
      <c r="E257" s="199" t="s">
        <v>1665</v>
      </c>
      <c r="F257" s="199">
        <v>30.7</v>
      </c>
      <c r="G257" s="199">
        <v>68.1</v>
      </c>
      <c r="H257" s="199">
        <v>26.9</v>
      </c>
      <c r="I257" s="199">
        <v>70.2</v>
      </c>
      <c r="J257" s="199">
        <v>71.3</v>
      </c>
      <c r="K257" s="199">
        <v>10.6</v>
      </c>
      <c r="L257" s="199">
        <v>14.3</v>
      </c>
      <c r="M257" s="199">
        <v>1.5</v>
      </c>
      <c r="N257" s="199">
        <v>2.8</v>
      </c>
      <c r="O257" s="199">
        <v>0.1</v>
      </c>
      <c r="P257" s="199">
        <v>20.5</v>
      </c>
      <c r="Q257" s="199">
        <v>20.2</v>
      </c>
      <c r="R257" s="199">
        <v>62.4</v>
      </c>
      <c r="S257" s="199" t="s">
        <v>75</v>
      </c>
      <c r="T257" s="203"/>
      <c r="U257" s="199" t="s">
        <v>1409</v>
      </c>
      <c r="V257" s="199" t="s">
        <v>49</v>
      </c>
      <c r="W257" s="199" t="s">
        <v>1666</v>
      </c>
      <c r="X257" s="199" t="s">
        <v>1667</v>
      </c>
      <c r="Y257" s="203"/>
      <c r="Z257" s="203"/>
      <c r="AA257" s="203"/>
      <c r="AB257" s="203"/>
      <c r="AC257" s="203"/>
    </row>
    <row r="258">
      <c r="A258" s="199" t="s">
        <v>1737</v>
      </c>
      <c r="B258" s="199" t="s">
        <v>632</v>
      </c>
      <c r="C258" s="199" t="s">
        <v>632</v>
      </c>
      <c r="D258" s="199" t="s">
        <v>45</v>
      </c>
      <c r="E258" s="199" t="s">
        <v>1738</v>
      </c>
      <c r="F258" s="199">
        <v>47.6</v>
      </c>
      <c r="G258" s="199">
        <v>50.5</v>
      </c>
      <c r="H258" s="199">
        <v>44.8</v>
      </c>
      <c r="I258" s="199">
        <v>47.9</v>
      </c>
      <c r="J258" s="199">
        <v>85.8</v>
      </c>
      <c r="K258" s="199">
        <v>4.7</v>
      </c>
      <c r="L258" s="199">
        <v>4.7</v>
      </c>
      <c r="M258" s="199">
        <v>2.7</v>
      </c>
      <c r="N258" s="199">
        <v>1.6</v>
      </c>
      <c r="O258" s="199">
        <v>0.1</v>
      </c>
      <c r="P258" s="199">
        <v>30.2</v>
      </c>
      <c r="Q258" s="199">
        <v>30.5</v>
      </c>
      <c r="R258" s="199">
        <v>62.7</v>
      </c>
      <c r="S258" s="199" t="s">
        <v>75</v>
      </c>
      <c r="T258" s="203"/>
      <c r="U258" s="199" t="s">
        <v>1409</v>
      </c>
      <c r="V258" s="199" t="s">
        <v>49</v>
      </c>
      <c r="W258" s="199" t="s">
        <v>1739</v>
      </c>
      <c r="X258" s="199" t="s">
        <v>1740</v>
      </c>
      <c r="Y258" s="203"/>
      <c r="Z258" s="203"/>
      <c r="AA258" s="203"/>
      <c r="AB258" s="203"/>
      <c r="AC258" s="203"/>
    </row>
    <row r="259">
      <c r="A259" s="199" t="s">
        <v>1742</v>
      </c>
      <c r="B259" s="199" t="s">
        <v>632</v>
      </c>
      <c r="C259" s="199" t="s">
        <v>632</v>
      </c>
      <c r="D259" s="199" t="s">
        <v>45</v>
      </c>
      <c r="E259" s="199" t="s">
        <v>1743</v>
      </c>
      <c r="F259" s="199">
        <v>46.9</v>
      </c>
      <c r="G259" s="199">
        <v>51.3</v>
      </c>
      <c r="H259" s="199">
        <v>44.1</v>
      </c>
      <c r="I259" s="199">
        <v>48.7</v>
      </c>
      <c r="J259" s="199">
        <v>88.4</v>
      </c>
      <c r="K259" s="199">
        <v>3.0</v>
      </c>
      <c r="L259" s="199">
        <v>4.8</v>
      </c>
      <c r="M259" s="199">
        <v>1.8</v>
      </c>
      <c r="N259" s="199">
        <v>1.5</v>
      </c>
      <c r="O259" s="199">
        <v>0.3</v>
      </c>
      <c r="P259" s="199">
        <v>27.7</v>
      </c>
      <c r="Q259" s="199">
        <v>28.0</v>
      </c>
      <c r="R259" s="199">
        <v>66.6</v>
      </c>
      <c r="S259" s="199" t="s">
        <v>75</v>
      </c>
      <c r="T259" s="203"/>
      <c r="U259" s="199" t="s">
        <v>1409</v>
      </c>
      <c r="V259" s="199" t="s">
        <v>49</v>
      </c>
      <c r="W259" s="199" t="s">
        <v>1744</v>
      </c>
      <c r="X259" s="199" t="s">
        <v>1745</v>
      </c>
      <c r="Y259" s="203"/>
      <c r="Z259" s="203"/>
      <c r="AA259" s="203"/>
      <c r="AB259" s="203"/>
      <c r="AC259" s="203"/>
    </row>
    <row r="260">
      <c r="A260" s="199" t="s">
        <v>1747</v>
      </c>
      <c r="B260" s="199" t="s">
        <v>43</v>
      </c>
      <c r="C260" s="199" t="s">
        <v>632</v>
      </c>
      <c r="D260" s="199" t="s">
        <v>397</v>
      </c>
      <c r="E260" s="199" t="s">
        <v>1748</v>
      </c>
      <c r="F260" s="199">
        <v>48.9</v>
      </c>
      <c r="G260" s="199">
        <v>49.3</v>
      </c>
      <c r="H260" s="199">
        <v>44.8</v>
      </c>
      <c r="I260" s="199">
        <v>47.8</v>
      </c>
      <c r="J260" s="199">
        <v>82.1</v>
      </c>
      <c r="K260" s="199">
        <v>6.6</v>
      </c>
      <c r="L260" s="199">
        <v>5.2</v>
      </c>
      <c r="M260" s="199">
        <v>4.2</v>
      </c>
      <c r="N260" s="199">
        <v>1.6</v>
      </c>
      <c r="O260" s="199">
        <v>0.2</v>
      </c>
      <c r="P260" s="199">
        <v>34.3</v>
      </c>
      <c r="Q260" s="199">
        <v>35.9</v>
      </c>
      <c r="R260" s="199">
        <v>56.7</v>
      </c>
      <c r="S260" s="199" t="s">
        <v>75</v>
      </c>
      <c r="T260" s="203"/>
      <c r="U260" s="199" t="s">
        <v>1409</v>
      </c>
      <c r="V260" s="199" t="s">
        <v>970</v>
      </c>
      <c r="W260" s="199" t="s">
        <v>1749</v>
      </c>
      <c r="X260" s="199" t="s">
        <v>1750</v>
      </c>
      <c r="Y260" s="203"/>
      <c r="Z260" s="203"/>
      <c r="AA260" s="203"/>
      <c r="AB260" s="203"/>
      <c r="AC260" s="203"/>
    </row>
    <row r="261">
      <c r="A261" s="199" t="s">
        <v>1752</v>
      </c>
      <c r="B261" s="199" t="s">
        <v>632</v>
      </c>
      <c r="C261" s="199" t="s">
        <v>632</v>
      </c>
      <c r="D261" s="199" t="s">
        <v>45</v>
      </c>
      <c r="E261" s="199" t="s">
        <v>1753</v>
      </c>
      <c r="F261" s="199">
        <v>36.2</v>
      </c>
      <c r="G261" s="199">
        <v>62.2</v>
      </c>
      <c r="H261" s="199">
        <v>33.2</v>
      </c>
      <c r="I261" s="199">
        <v>60.2</v>
      </c>
      <c r="J261" s="199">
        <v>85.5</v>
      </c>
      <c r="K261" s="199">
        <v>7.6</v>
      </c>
      <c r="L261" s="199">
        <v>2.4</v>
      </c>
      <c r="M261" s="199">
        <v>2.5</v>
      </c>
      <c r="N261" s="199">
        <v>1.7</v>
      </c>
      <c r="O261" s="199">
        <v>0.5</v>
      </c>
      <c r="P261" s="199">
        <v>25.1</v>
      </c>
      <c r="Q261" s="199">
        <v>26.0</v>
      </c>
      <c r="R261" s="199">
        <v>67.5</v>
      </c>
      <c r="S261" s="199" t="s">
        <v>75</v>
      </c>
      <c r="T261" s="203"/>
      <c r="U261" s="199" t="s">
        <v>1409</v>
      </c>
      <c r="V261" s="199" t="s">
        <v>49</v>
      </c>
      <c r="W261" s="199" t="s">
        <v>1755</v>
      </c>
      <c r="X261" s="199" t="s">
        <v>1756</v>
      </c>
      <c r="Y261" s="203"/>
      <c r="Z261" s="203"/>
      <c r="AA261" s="203"/>
      <c r="AB261" s="203"/>
      <c r="AC261" s="203"/>
    </row>
    <row r="262">
      <c r="A262" s="199" t="s">
        <v>1669</v>
      </c>
      <c r="B262" s="199" t="s">
        <v>632</v>
      </c>
      <c r="C262" s="199" t="s">
        <v>632</v>
      </c>
      <c r="D262" s="199" t="s">
        <v>45</v>
      </c>
      <c r="E262" s="199" t="s">
        <v>1670</v>
      </c>
      <c r="F262" s="199">
        <v>29.5</v>
      </c>
      <c r="G262" s="199">
        <v>67.7</v>
      </c>
      <c r="H262" s="199">
        <v>25.0</v>
      </c>
      <c r="I262" s="199">
        <v>64.1</v>
      </c>
      <c r="J262" s="199">
        <v>82.7</v>
      </c>
      <c r="K262" s="199">
        <v>9.9</v>
      </c>
      <c r="L262" s="199">
        <v>0.9</v>
      </c>
      <c r="M262" s="199">
        <v>2.1</v>
      </c>
      <c r="N262" s="199">
        <v>3.6</v>
      </c>
      <c r="O262" s="199">
        <v>0.4</v>
      </c>
      <c r="P262" s="199">
        <v>27.0</v>
      </c>
      <c r="Q262" s="199">
        <v>28.3</v>
      </c>
      <c r="R262" s="199">
        <v>62.9</v>
      </c>
      <c r="S262" s="199" t="s">
        <v>75</v>
      </c>
      <c r="T262" s="203"/>
      <c r="U262" s="199" t="s">
        <v>1409</v>
      </c>
      <c r="V262" s="199" t="s">
        <v>49</v>
      </c>
      <c r="W262" s="199" t="s">
        <v>1671</v>
      </c>
      <c r="X262" s="199" t="s">
        <v>1672</v>
      </c>
      <c r="Y262" s="203"/>
      <c r="Z262" s="203"/>
      <c r="AA262" s="203"/>
      <c r="AB262" s="203"/>
      <c r="AC262" s="203"/>
    </row>
    <row r="263">
      <c r="A263" s="199" t="s">
        <v>1675</v>
      </c>
      <c r="B263" s="199" t="s">
        <v>632</v>
      </c>
      <c r="C263" s="199" t="s">
        <v>632</v>
      </c>
      <c r="D263" s="199" t="s">
        <v>45</v>
      </c>
      <c r="E263" s="199" t="s">
        <v>1677</v>
      </c>
      <c r="F263" s="199">
        <v>36.9</v>
      </c>
      <c r="G263" s="199">
        <v>59.8</v>
      </c>
      <c r="H263" s="199">
        <v>29.9</v>
      </c>
      <c r="I263" s="199">
        <v>54.4</v>
      </c>
      <c r="J263" s="199">
        <v>80.3</v>
      </c>
      <c r="K263" s="199">
        <v>12.2</v>
      </c>
      <c r="L263" s="199">
        <v>1.4</v>
      </c>
      <c r="M263" s="199">
        <v>2.6</v>
      </c>
      <c r="N263" s="199">
        <v>3.0</v>
      </c>
      <c r="O263" s="199">
        <v>0.4</v>
      </c>
      <c r="P263" s="199">
        <v>30.5</v>
      </c>
      <c r="Q263" s="199">
        <v>32.8</v>
      </c>
      <c r="R263" s="199">
        <v>58.1</v>
      </c>
      <c r="S263" s="199" t="s">
        <v>75</v>
      </c>
      <c r="T263" s="203"/>
      <c r="U263" s="199" t="s">
        <v>1409</v>
      </c>
      <c r="V263" s="199" t="s">
        <v>49</v>
      </c>
      <c r="W263" s="199" t="s">
        <v>95</v>
      </c>
      <c r="X263" s="199" t="s">
        <v>1679</v>
      </c>
      <c r="Y263" s="203"/>
      <c r="Z263" s="203"/>
      <c r="AA263" s="203"/>
      <c r="AB263" s="203"/>
      <c r="AC263" s="203"/>
    </row>
    <row r="264">
      <c r="A264" s="199" t="s">
        <v>1681</v>
      </c>
      <c r="B264" s="199" t="s">
        <v>632</v>
      </c>
      <c r="C264" s="199" t="s">
        <v>632</v>
      </c>
      <c r="D264" s="199" t="s">
        <v>45</v>
      </c>
      <c r="E264" s="199" t="s">
        <v>1682</v>
      </c>
      <c r="F264" s="199">
        <v>27.7</v>
      </c>
      <c r="G264" s="199">
        <v>70.5</v>
      </c>
      <c r="H264" s="199">
        <v>26.0</v>
      </c>
      <c r="I264" s="199">
        <v>68.5</v>
      </c>
      <c r="J264" s="199">
        <v>88.0</v>
      </c>
      <c r="K264" s="199">
        <v>2.4</v>
      </c>
      <c r="L264" s="199">
        <v>5.6</v>
      </c>
      <c r="M264" s="199">
        <v>1.4</v>
      </c>
      <c r="N264" s="199">
        <v>2.0</v>
      </c>
      <c r="O264" s="199">
        <v>0.1</v>
      </c>
      <c r="P264" s="199">
        <v>22.8</v>
      </c>
      <c r="Q264" s="199">
        <v>23.0</v>
      </c>
      <c r="R264" s="199">
        <v>69.7</v>
      </c>
      <c r="S264" s="199" t="s">
        <v>75</v>
      </c>
      <c r="T264" s="203"/>
      <c r="U264" s="199" t="s">
        <v>1409</v>
      </c>
      <c r="V264" s="199" t="s">
        <v>49</v>
      </c>
      <c r="W264" s="199" t="s">
        <v>95</v>
      </c>
      <c r="X264" s="199" t="s">
        <v>1683</v>
      </c>
      <c r="Y264" s="203"/>
      <c r="Z264" s="203"/>
      <c r="AA264" s="203"/>
      <c r="AB264" s="203"/>
      <c r="AC264" s="203"/>
    </row>
    <row r="265">
      <c r="A265" s="199" t="s">
        <v>1685</v>
      </c>
      <c r="B265" s="199" t="s">
        <v>632</v>
      </c>
      <c r="C265" s="199" t="s">
        <v>632</v>
      </c>
      <c r="D265" s="199" t="s">
        <v>45</v>
      </c>
      <c r="E265" s="199" t="s">
        <v>1686</v>
      </c>
      <c r="F265" s="199">
        <v>29.6</v>
      </c>
      <c r="G265" s="199">
        <v>68.3</v>
      </c>
      <c r="H265" s="199">
        <v>27.7</v>
      </c>
      <c r="I265" s="199">
        <v>66.0</v>
      </c>
      <c r="J265" s="199">
        <v>90.8</v>
      </c>
      <c r="K265" s="199">
        <v>2.4</v>
      </c>
      <c r="L265" s="199">
        <v>3.4</v>
      </c>
      <c r="M265" s="199">
        <v>1.0</v>
      </c>
      <c r="N265" s="199">
        <v>1.8</v>
      </c>
      <c r="O265" s="199">
        <v>0.1</v>
      </c>
      <c r="P265" s="199">
        <v>24.2</v>
      </c>
      <c r="Q265" s="199">
        <v>24.3</v>
      </c>
      <c r="R265" s="199">
        <v>70.8</v>
      </c>
      <c r="S265" s="199" t="s">
        <v>75</v>
      </c>
      <c r="T265" s="203"/>
      <c r="U265" s="199" t="s">
        <v>1409</v>
      </c>
      <c r="V265" s="199" t="s">
        <v>49</v>
      </c>
      <c r="W265" s="199" t="s">
        <v>1689</v>
      </c>
      <c r="X265" s="199" t="s">
        <v>1691</v>
      </c>
      <c r="Y265" s="203"/>
      <c r="Z265" s="203"/>
      <c r="AA265" s="203"/>
      <c r="AB265" s="203"/>
      <c r="AC265" s="203"/>
    </row>
    <row r="266">
      <c r="A266" s="199" t="s">
        <v>1693</v>
      </c>
      <c r="B266" s="199" t="s">
        <v>632</v>
      </c>
      <c r="C266" s="199" t="s">
        <v>632</v>
      </c>
      <c r="D266" s="199" t="s">
        <v>45</v>
      </c>
      <c r="E266" s="199" t="s">
        <v>1694</v>
      </c>
      <c r="F266" s="199">
        <v>38.1</v>
      </c>
      <c r="G266" s="199">
        <v>59.6</v>
      </c>
      <c r="H266" s="199">
        <v>34.3</v>
      </c>
      <c r="I266" s="199">
        <v>58.0</v>
      </c>
      <c r="J266" s="199">
        <v>87.3</v>
      </c>
      <c r="K266" s="199">
        <v>5.3</v>
      </c>
      <c r="L266" s="199">
        <v>2.7</v>
      </c>
      <c r="M266" s="199">
        <v>2.5</v>
      </c>
      <c r="N266" s="199">
        <v>1.8</v>
      </c>
      <c r="O266" s="199">
        <v>0.1</v>
      </c>
      <c r="P266" s="199">
        <v>29.2</v>
      </c>
      <c r="Q266" s="199">
        <v>29.0</v>
      </c>
      <c r="R266" s="199">
        <v>65.3</v>
      </c>
      <c r="S266" s="199" t="s">
        <v>1510</v>
      </c>
      <c r="T266" s="203"/>
      <c r="U266" s="199" t="s">
        <v>1409</v>
      </c>
      <c r="V266" s="199" t="s">
        <v>49</v>
      </c>
      <c r="W266" s="199" t="s">
        <v>1695</v>
      </c>
      <c r="X266" s="199" t="s">
        <v>1696</v>
      </c>
      <c r="Y266" s="203"/>
      <c r="Z266" s="203"/>
      <c r="AA266" s="203"/>
      <c r="AB266" s="203"/>
      <c r="AC266" s="203"/>
    </row>
    <row r="267">
      <c r="A267" s="199" t="s">
        <v>1699</v>
      </c>
      <c r="B267" s="199" t="s">
        <v>632</v>
      </c>
      <c r="C267" s="199" t="s">
        <v>632</v>
      </c>
      <c r="D267" s="199" t="s">
        <v>45</v>
      </c>
      <c r="E267" s="199" t="s">
        <v>1700</v>
      </c>
      <c r="F267" s="199">
        <v>37.8</v>
      </c>
      <c r="G267" s="199">
        <v>60.4</v>
      </c>
      <c r="H267" s="199">
        <v>34.3</v>
      </c>
      <c r="I267" s="199">
        <v>59.4</v>
      </c>
      <c r="J267" s="199">
        <v>79.3</v>
      </c>
      <c r="K267" s="199">
        <v>9.2</v>
      </c>
      <c r="L267" s="199">
        <v>7.2</v>
      </c>
      <c r="M267" s="199">
        <v>1.9</v>
      </c>
      <c r="N267" s="199">
        <v>2.2</v>
      </c>
      <c r="O267" s="199">
        <v>0.1</v>
      </c>
      <c r="P267" s="199">
        <v>23.0</v>
      </c>
      <c r="Q267" s="199">
        <v>24.0</v>
      </c>
      <c r="R267" s="199">
        <v>65.2</v>
      </c>
      <c r="S267" s="199" t="s">
        <v>75</v>
      </c>
      <c r="T267" s="203"/>
      <c r="U267" s="199" t="s">
        <v>1409</v>
      </c>
      <c r="V267" s="199" t="s">
        <v>482</v>
      </c>
      <c r="W267" s="199" t="s">
        <v>1701</v>
      </c>
      <c r="X267" s="199" t="s">
        <v>1702</v>
      </c>
      <c r="Y267" s="203"/>
      <c r="Z267" s="203"/>
      <c r="AA267" s="203"/>
      <c r="AB267" s="203"/>
      <c r="AC267" s="203"/>
    </row>
    <row r="268">
      <c r="A268" s="199" t="s">
        <v>1704</v>
      </c>
      <c r="B268" s="199" t="s">
        <v>632</v>
      </c>
      <c r="C268" s="199" t="s">
        <v>632</v>
      </c>
      <c r="D268" s="199" t="s">
        <v>45</v>
      </c>
      <c r="E268" s="199" t="s">
        <v>1705</v>
      </c>
      <c r="F268" s="199">
        <v>34.0</v>
      </c>
      <c r="G268" s="199">
        <v>63.9</v>
      </c>
      <c r="H268" s="199">
        <v>29.9</v>
      </c>
      <c r="I268" s="199">
        <v>64.0</v>
      </c>
      <c r="J268" s="199">
        <v>83.1</v>
      </c>
      <c r="K268" s="199">
        <v>5.5</v>
      </c>
      <c r="L268" s="199">
        <v>6.6</v>
      </c>
      <c r="M268" s="199">
        <v>2.7</v>
      </c>
      <c r="N268" s="199">
        <v>1.9</v>
      </c>
      <c r="O268" s="199">
        <v>0.1</v>
      </c>
      <c r="P268" s="199">
        <v>23.5</v>
      </c>
      <c r="Q268" s="199">
        <v>24.4</v>
      </c>
      <c r="R268" s="199">
        <v>66.5</v>
      </c>
      <c r="S268" s="199" t="s">
        <v>75</v>
      </c>
      <c r="T268" s="203"/>
      <c r="U268" s="199" t="s">
        <v>1409</v>
      </c>
      <c r="V268" s="199" t="s">
        <v>49</v>
      </c>
      <c r="W268" s="199" t="s">
        <v>426</v>
      </c>
      <c r="X268" s="199" t="s">
        <v>1706</v>
      </c>
      <c r="Y268" s="203"/>
      <c r="Z268" s="203"/>
      <c r="AA268" s="203"/>
      <c r="AB268" s="203"/>
      <c r="AC268" s="203"/>
    </row>
    <row r="269">
      <c r="A269" s="199" t="s">
        <v>1709</v>
      </c>
      <c r="B269" s="199" t="s">
        <v>632</v>
      </c>
      <c r="C269" s="199" t="s">
        <v>632</v>
      </c>
      <c r="D269" s="199" t="s">
        <v>45</v>
      </c>
      <c r="E269" s="199" t="s">
        <v>1710</v>
      </c>
      <c r="F269" s="199">
        <v>34.3</v>
      </c>
      <c r="G269" s="199">
        <v>63.4</v>
      </c>
      <c r="H269" s="199">
        <v>29.6</v>
      </c>
      <c r="I269" s="199">
        <v>63.6</v>
      </c>
      <c r="J269" s="199">
        <v>83.4</v>
      </c>
      <c r="K269" s="199">
        <v>5.9</v>
      </c>
      <c r="L269" s="199">
        <v>4.0</v>
      </c>
      <c r="M269" s="199">
        <v>4.3</v>
      </c>
      <c r="N269" s="199">
        <v>1.9</v>
      </c>
      <c r="O269" s="199">
        <v>0.6</v>
      </c>
      <c r="P269" s="199">
        <v>30.1</v>
      </c>
      <c r="Q269" s="199">
        <v>30.0</v>
      </c>
      <c r="R269" s="199">
        <v>63.3</v>
      </c>
      <c r="S269" s="199" t="s">
        <v>75</v>
      </c>
      <c r="T269" s="203"/>
      <c r="U269" s="199" t="s">
        <v>1409</v>
      </c>
      <c r="V269" s="199" t="s">
        <v>49</v>
      </c>
      <c r="W269" s="199" t="s">
        <v>426</v>
      </c>
      <c r="X269" s="199" t="s">
        <v>1712</v>
      </c>
      <c r="Y269" s="203"/>
      <c r="Z269" s="203"/>
      <c r="AA269" s="203"/>
      <c r="AB269" s="203"/>
      <c r="AC269" s="203"/>
    </row>
    <row r="270">
      <c r="A270" s="199" t="s">
        <v>1714</v>
      </c>
      <c r="B270" s="199" t="s">
        <v>632</v>
      </c>
      <c r="C270" s="199" t="s">
        <v>632</v>
      </c>
      <c r="D270" s="199" t="s">
        <v>45</v>
      </c>
      <c r="E270" s="199" t="s">
        <v>1715</v>
      </c>
      <c r="F270" s="199">
        <v>41.0</v>
      </c>
      <c r="G270" s="199">
        <v>57.0</v>
      </c>
      <c r="H270" s="199">
        <v>34.9</v>
      </c>
      <c r="I270" s="199">
        <v>58.3</v>
      </c>
      <c r="J270" s="199">
        <v>83.4</v>
      </c>
      <c r="K270" s="199">
        <v>3.8</v>
      </c>
      <c r="L270" s="199">
        <v>6.6</v>
      </c>
      <c r="M270" s="199">
        <v>3.9</v>
      </c>
      <c r="N270" s="199">
        <v>1.8</v>
      </c>
      <c r="O270" s="199">
        <v>0.1</v>
      </c>
      <c r="P270" s="199">
        <v>37.9</v>
      </c>
      <c r="Q270" s="199">
        <v>37.8</v>
      </c>
      <c r="R270" s="199">
        <v>54.9</v>
      </c>
      <c r="S270" s="199" t="s">
        <v>1720</v>
      </c>
      <c r="T270" s="203"/>
      <c r="U270" s="199" t="s">
        <v>1409</v>
      </c>
      <c r="V270" s="199" t="s">
        <v>49</v>
      </c>
      <c r="W270" s="199" t="s">
        <v>1718</v>
      </c>
      <c r="X270" s="199" t="s">
        <v>1719</v>
      </c>
      <c r="Y270" s="203"/>
      <c r="Z270" s="203"/>
      <c r="AA270" s="203"/>
      <c r="AB270" s="203"/>
      <c r="AC270" s="203"/>
    </row>
    <row r="271">
      <c r="A271" s="199" t="s">
        <v>1722</v>
      </c>
      <c r="B271" s="199" t="s">
        <v>632</v>
      </c>
      <c r="C271" s="199" t="s">
        <v>632</v>
      </c>
      <c r="D271" s="199" t="s">
        <v>45</v>
      </c>
      <c r="E271" s="199" t="s">
        <v>1723</v>
      </c>
      <c r="F271" s="199">
        <v>33.0</v>
      </c>
      <c r="G271" s="199">
        <v>64.9</v>
      </c>
      <c r="H271" s="199">
        <v>28.2</v>
      </c>
      <c r="I271" s="199">
        <v>65.3</v>
      </c>
      <c r="J271" s="199">
        <v>84.0</v>
      </c>
      <c r="K271" s="199">
        <v>4.2</v>
      </c>
      <c r="L271" s="199">
        <v>4.5</v>
      </c>
      <c r="M271" s="199">
        <v>5.1</v>
      </c>
      <c r="N271" s="199">
        <v>1.9</v>
      </c>
      <c r="O271" s="199">
        <v>0.1</v>
      </c>
      <c r="P271" s="199">
        <v>27.0</v>
      </c>
      <c r="Q271" s="199">
        <v>26.4</v>
      </c>
      <c r="R271" s="199">
        <v>66.9</v>
      </c>
      <c r="S271" s="199" t="s">
        <v>75</v>
      </c>
      <c r="T271" s="203"/>
      <c r="U271" s="199" t="s">
        <v>1409</v>
      </c>
      <c r="V271" s="199" t="s">
        <v>49</v>
      </c>
      <c r="W271" s="199" t="s">
        <v>73</v>
      </c>
      <c r="X271" s="199" t="s">
        <v>1725</v>
      </c>
      <c r="Y271" s="203"/>
      <c r="Z271" s="203"/>
      <c r="AA271" s="203"/>
      <c r="AB271" s="203"/>
      <c r="AC271" s="203"/>
    </row>
    <row r="272">
      <c r="A272" s="199" t="s">
        <v>1727</v>
      </c>
      <c r="B272" s="199" t="s">
        <v>632</v>
      </c>
      <c r="C272" s="199" t="s">
        <v>632</v>
      </c>
      <c r="D272" s="199" t="s">
        <v>45</v>
      </c>
      <c r="E272" s="199" t="s">
        <v>1728</v>
      </c>
      <c r="F272" s="199">
        <v>32.7</v>
      </c>
      <c r="G272" s="199">
        <v>65.5</v>
      </c>
      <c r="H272" s="199">
        <v>30.2</v>
      </c>
      <c r="I272" s="199">
        <v>64.3</v>
      </c>
      <c r="J272" s="199">
        <v>89.2</v>
      </c>
      <c r="K272" s="199">
        <v>2.5</v>
      </c>
      <c r="L272" s="199">
        <v>4.6</v>
      </c>
      <c r="M272" s="199">
        <v>1.3</v>
      </c>
      <c r="N272" s="199">
        <v>1.8</v>
      </c>
      <c r="O272" s="199">
        <v>0.2</v>
      </c>
      <c r="P272" s="199">
        <v>21.5</v>
      </c>
      <c r="Q272" s="199">
        <v>21.6</v>
      </c>
      <c r="R272" s="199">
        <v>72.6</v>
      </c>
      <c r="S272" s="199" t="s">
        <v>75</v>
      </c>
      <c r="T272" s="203"/>
      <c r="U272" s="199" t="s">
        <v>1409</v>
      </c>
      <c r="V272" s="199" t="s">
        <v>49</v>
      </c>
      <c r="W272" s="199" t="s">
        <v>1729</v>
      </c>
      <c r="X272" s="199" t="s">
        <v>1730</v>
      </c>
      <c r="Y272" s="203"/>
      <c r="Z272" s="203"/>
      <c r="AA272" s="203"/>
      <c r="AB272" s="203"/>
      <c r="AC272" s="203"/>
    </row>
    <row r="273">
      <c r="A273" s="199" t="s">
        <v>1732</v>
      </c>
      <c r="B273" s="199" t="s">
        <v>632</v>
      </c>
      <c r="C273" s="199" t="s">
        <v>632</v>
      </c>
      <c r="D273" s="199" t="s">
        <v>45</v>
      </c>
      <c r="E273" s="199" t="s">
        <v>1733</v>
      </c>
      <c r="F273" s="199">
        <v>35.4</v>
      </c>
      <c r="G273" s="199">
        <v>62.7</v>
      </c>
      <c r="H273" s="199">
        <v>33.1</v>
      </c>
      <c r="I273" s="199">
        <v>61.4</v>
      </c>
      <c r="J273" s="199">
        <v>88.5</v>
      </c>
      <c r="K273" s="199">
        <v>3.3</v>
      </c>
      <c r="L273" s="199">
        <v>3.4</v>
      </c>
      <c r="M273" s="199">
        <v>2.3</v>
      </c>
      <c r="N273" s="199">
        <v>2.1</v>
      </c>
      <c r="O273" s="199">
        <v>0.1</v>
      </c>
      <c r="P273" s="199">
        <v>24.8</v>
      </c>
      <c r="Q273" s="199">
        <v>24.3</v>
      </c>
      <c r="R273" s="199">
        <v>70.4</v>
      </c>
      <c r="S273" s="199" t="s">
        <v>75</v>
      </c>
      <c r="T273" s="203"/>
      <c r="U273" s="199" t="s">
        <v>1409</v>
      </c>
      <c r="V273" s="199" t="s">
        <v>159</v>
      </c>
      <c r="W273" s="199" t="s">
        <v>1734</v>
      </c>
      <c r="X273" s="199" t="s">
        <v>1735</v>
      </c>
      <c r="Y273" s="203"/>
      <c r="Z273" s="203"/>
      <c r="AA273" s="203"/>
      <c r="AB273" s="203"/>
      <c r="AC273" s="203"/>
    </row>
    <row r="274">
      <c r="A274" s="199" t="s">
        <v>1758</v>
      </c>
      <c r="B274" s="199" t="s">
        <v>632</v>
      </c>
      <c r="C274" s="199" t="s">
        <v>632</v>
      </c>
      <c r="D274" s="199" t="s">
        <v>45</v>
      </c>
      <c r="E274" s="199" t="s">
        <v>1759</v>
      </c>
      <c r="F274" s="199">
        <v>34.1</v>
      </c>
      <c r="G274" s="199">
        <v>63.7</v>
      </c>
      <c r="H274" s="199">
        <v>29.6</v>
      </c>
      <c r="I274" s="199">
        <v>63.5</v>
      </c>
      <c r="J274" s="199">
        <v>77.7</v>
      </c>
      <c r="K274" s="199">
        <v>13.1</v>
      </c>
      <c r="L274" s="199">
        <v>3.7</v>
      </c>
      <c r="M274" s="199">
        <v>2.5</v>
      </c>
      <c r="N274" s="199">
        <v>3.2</v>
      </c>
      <c r="O274" s="199">
        <v>0.2</v>
      </c>
      <c r="P274" s="199">
        <v>28.9</v>
      </c>
      <c r="Q274" s="199">
        <v>31.1</v>
      </c>
      <c r="R274" s="199">
        <v>58.2</v>
      </c>
      <c r="S274" s="199" t="s">
        <v>75</v>
      </c>
      <c r="T274" s="203"/>
      <c r="U274" s="199" t="s">
        <v>1409</v>
      </c>
      <c r="V274" s="199" t="s">
        <v>49</v>
      </c>
      <c r="W274" s="199" t="s">
        <v>1760</v>
      </c>
      <c r="X274" s="199" t="s">
        <v>1761</v>
      </c>
      <c r="Y274" s="203"/>
      <c r="Z274" s="203"/>
      <c r="AA274" s="203"/>
      <c r="AB274" s="203"/>
      <c r="AC274" s="203"/>
    </row>
    <row r="275">
      <c r="A275" s="199" t="s">
        <v>1763</v>
      </c>
      <c r="B275" s="199" t="s">
        <v>632</v>
      </c>
      <c r="C275" s="199" t="s">
        <v>632</v>
      </c>
      <c r="D275" s="199" t="s">
        <v>45</v>
      </c>
      <c r="E275" s="199" t="s">
        <v>1764</v>
      </c>
      <c r="F275" s="199">
        <v>40.7</v>
      </c>
      <c r="G275" s="199">
        <v>57.0</v>
      </c>
      <c r="H275" s="199">
        <v>36.9</v>
      </c>
      <c r="I275" s="199">
        <v>55.6</v>
      </c>
      <c r="J275" s="199">
        <v>73.3</v>
      </c>
      <c r="K275" s="199">
        <v>10.6</v>
      </c>
      <c r="L275" s="199">
        <v>9.9</v>
      </c>
      <c r="M275" s="199">
        <v>2.2</v>
      </c>
      <c r="N275" s="199">
        <v>4.1</v>
      </c>
      <c r="O275" s="199">
        <v>0.3</v>
      </c>
      <c r="P275" s="199">
        <v>25.9</v>
      </c>
      <c r="Q275" s="199">
        <v>28.9</v>
      </c>
      <c r="R275" s="199">
        <v>56.3</v>
      </c>
      <c r="S275" s="199" t="s">
        <v>75</v>
      </c>
      <c r="T275" s="203"/>
      <c r="U275" s="199" t="s">
        <v>1409</v>
      </c>
      <c r="V275" s="199" t="s">
        <v>49</v>
      </c>
      <c r="W275" s="199" t="s">
        <v>753</v>
      </c>
      <c r="X275" s="199" t="s">
        <v>1765</v>
      </c>
      <c r="Y275" s="203"/>
      <c r="Z275" s="203"/>
      <c r="AA275" s="203"/>
      <c r="AB275" s="203"/>
      <c r="AC275" s="203"/>
    </row>
    <row r="276">
      <c r="A276" s="199" t="s">
        <v>1767</v>
      </c>
      <c r="B276" s="199" t="s">
        <v>632</v>
      </c>
      <c r="C276" s="199" t="s">
        <v>632</v>
      </c>
      <c r="D276" s="199" t="s">
        <v>45</v>
      </c>
      <c r="E276" s="199" t="s">
        <v>1768</v>
      </c>
      <c r="F276" s="199">
        <v>38.0</v>
      </c>
      <c r="G276" s="199">
        <v>59.7</v>
      </c>
      <c r="H276" s="199">
        <v>32.3</v>
      </c>
      <c r="I276" s="199">
        <v>59.2</v>
      </c>
      <c r="J276" s="199">
        <v>73.3</v>
      </c>
      <c r="K276" s="199">
        <v>11.1</v>
      </c>
      <c r="L276" s="199">
        <v>7.7</v>
      </c>
      <c r="M276" s="199">
        <v>4.1</v>
      </c>
      <c r="N276" s="199">
        <v>4.1</v>
      </c>
      <c r="O276" s="199">
        <v>0.2</v>
      </c>
      <c r="P276" s="199">
        <v>30.0</v>
      </c>
      <c r="Q276" s="199">
        <v>32.4</v>
      </c>
      <c r="R276" s="199">
        <v>53.9</v>
      </c>
      <c r="S276" s="199" t="s">
        <v>75</v>
      </c>
      <c r="T276" s="203"/>
      <c r="U276" s="199" t="s">
        <v>1409</v>
      </c>
      <c r="V276" s="199" t="s">
        <v>49</v>
      </c>
      <c r="W276" s="199" t="s">
        <v>1231</v>
      </c>
      <c r="X276" s="199" t="s">
        <v>1771</v>
      </c>
      <c r="Y276" s="203"/>
      <c r="Z276" s="203"/>
      <c r="AA276" s="203"/>
      <c r="AB276" s="203"/>
      <c r="AC276" s="203"/>
    </row>
    <row r="277">
      <c r="A277" s="199" t="s">
        <v>1774</v>
      </c>
      <c r="B277" s="199" t="s">
        <v>632</v>
      </c>
      <c r="C277" s="199" t="s">
        <v>632</v>
      </c>
      <c r="D277" s="199" t="s">
        <v>45</v>
      </c>
      <c r="E277" s="199" t="s">
        <v>1775</v>
      </c>
      <c r="F277" s="199">
        <v>27.9</v>
      </c>
      <c r="G277" s="199">
        <v>70.6</v>
      </c>
      <c r="H277" s="199">
        <v>25.9</v>
      </c>
      <c r="I277" s="199">
        <v>70.2</v>
      </c>
      <c r="J277" s="199">
        <v>85.8</v>
      </c>
      <c r="K277" s="199">
        <v>3.0</v>
      </c>
      <c r="L277" s="199">
        <v>7.9</v>
      </c>
      <c r="M277" s="199">
        <v>1.0</v>
      </c>
      <c r="N277" s="199">
        <v>2.0</v>
      </c>
      <c r="O277" s="199">
        <v>0.1</v>
      </c>
      <c r="P277" s="199">
        <v>19.6</v>
      </c>
      <c r="Q277" s="199">
        <v>19.8</v>
      </c>
      <c r="R277" s="199">
        <v>71.3</v>
      </c>
      <c r="S277" s="199" t="s">
        <v>75</v>
      </c>
      <c r="T277" s="203"/>
      <c r="U277" s="199" t="s">
        <v>1409</v>
      </c>
      <c r="V277" s="199" t="s">
        <v>49</v>
      </c>
      <c r="W277" s="199" t="s">
        <v>1776</v>
      </c>
      <c r="X277" s="199" t="s">
        <v>1777</v>
      </c>
      <c r="Y277" s="203"/>
      <c r="Z277" s="203"/>
      <c r="AA277" s="203"/>
      <c r="AB277" s="203"/>
      <c r="AC277" s="203"/>
    </row>
    <row r="278">
      <c r="A278" s="199" t="s">
        <v>1779</v>
      </c>
      <c r="B278" s="199" t="s">
        <v>632</v>
      </c>
      <c r="C278" s="199" t="s">
        <v>632</v>
      </c>
      <c r="D278" s="199" t="s">
        <v>45</v>
      </c>
      <c r="E278" s="199" t="s">
        <v>1780</v>
      </c>
      <c r="F278" s="199">
        <v>30.8</v>
      </c>
      <c r="G278" s="199">
        <v>67.5</v>
      </c>
      <c r="H278" s="199">
        <v>27.7</v>
      </c>
      <c r="I278" s="199">
        <v>67.6</v>
      </c>
      <c r="J278" s="199">
        <v>85.7</v>
      </c>
      <c r="K278" s="199">
        <v>3.3</v>
      </c>
      <c r="L278" s="199">
        <v>6.3</v>
      </c>
      <c r="M278" s="199">
        <v>2.3</v>
      </c>
      <c r="N278" s="199">
        <v>2.1</v>
      </c>
      <c r="O278" s="199">
        <v>0.2</v>
      </c>
      <c r="P278" s="199">
        <v>22.0</v>
      </c>
      <c r="Q278" s="199">
        <v>21.7</v>
      </c>
      <c r="R278" s="199">
        <v>70.5</v>
      </c>
      <c r="S278" s="199" t="s">
        <v>75</v>
      </c>
      <c r="T278" s="203"/>
      <c r="U278" s="199" t="s">
        <v>1409</v>
      </c>
      <c r="V278" s="199" t="s">
        <v>49</v>
      </c>
      <c r="W278" s="199" t="s">
        <v>1781</v>
      </c>
      <c r="X278" s="199" t="s">
        <v>1782</v>
      </c>
      <c r="Y278" s="203"/>
      <c r="Z278" s="203"/>
      <c r="AA278" s="203"/>
      <c r="AB278" s="203"/>
      <c r="AC278" s="203"/>
    </row>
    <row r="279">
      <c r="A279" s="199" t="s">
        <v>1784</v>
      </c>
      <c r="B279" s="199" t="s">
        <v>632</v>
      </c>
      <c r="C279" s="199" t="s">
        <v>632</v>
      </c>
      <c r="D279" s="199" t="s">
        <v>45</v>
      </c>
      <c r="E279" s="199" t="s">
        <v>1785</v>
      </c>
      <c r="F279" s="199">
        <v>32.8</v>
      </c>
      <c r="G279" s="199">
        <v>65.4</v>
      </c>
      <c r="H279" s="199">
        <v>28.9</v>
      </c>
      <c r="I279" s="199">
        <v>65.6</v>
      </c>
      <c r="J279" s="199">
        <v>88.6</v>
      </c>
      <c r="K279" s="199">
        <v>3.4</v>
      </c>
      <c r="L279" s="199">
        <v>4.0</v>
      </c>
      <c r="M279" s="199">
        <v>1.5</v>
      </c>
      <c r="N279" s="199">
        <v>2.1</v>
      </c>
      <c r="O279" s="199">
        <v>0.2</v>
      </c>
      <c r="P279" s="199">
        <v>28.5</v>
      </c>
      <c r="Q279" s="199">
        <v>28.8</v>
      </c>
      <c r="R279" s="199">
        <v>66.2</v>
      </c>
      <c r="S279" s="199" t="s">
        <v>75</v>
      </c>
      <c r="T279" s="203"/>
      <c r="U279" s="199" t="s">
        <v>1409</v>
      </c>
      <c r="V279" s="199" t="s">
        <v>49</v>
      </c>
      <c r="W279" s="199" t="s">
        <v>1786</v>
      </c>
      <c r="X279" s="199" t="s">
        <v>1787</v>
      </c>
      <c r="Y279" s="203"/>
      <c r="Z279" s="203"/>
      <c r="AA279" s="203"/>
      <c r="AB279" s="203"/>
      <c r="AC279" s="203"/>
    </row>
    <row r="280">
      <c r="A280" s="199" t="s">
        <v>1789</v>
      </c>
      <c r="B280" s="199" t="s">
        <v>632</v>
      </c>
      <c r="C280" s="199" t="s">
        <v>632</v>
      </c>
      <c r="D280" s="199" t="s">
        <v>45</v>
      </c>
      <c r="E280" s="199" t="s">
        <v>1790</v>
      </c>
      <c r="F280" s="199">
        <v>19.7</v>
      </c>
      <c r="G280" s="199">
        <v>79.1</v>
      </c>
      <c r="H280" s="199">
        <v>18.5</v>
      </c>
      <c r="I280" s="199">
        <v>78.5</v>
      </c>
      <c r="J280" s="199">
        <v>94.1</v>
      </c>
      <c r="K280" s="199">
        <v>1.3</v>
      </c>
      <c r="L280" s="199">
        <v>2.0</v>
      </c>
      <c r="M280" s="199">
        <v>0.5</v>
      </c>
      <c r="N280" s="199">
        <v>1.8</v>
      </c>
      <c r="O280" s="199">
        <v>0.1</v>
      </c>
      <c r="P280" s="199">
        <v>14.2</v>
      </c>
      <c r="Q280" s="199">
        <v>14.1</v>
      </c>
      <c r="R280" s="199">
        <v>82.7</v>
      </c>
      <c r="S280" s="199" t="s">
        <v>75</v>
      </c>
      <c r="T280" s="203"/>
      <c r="U280" s="199" t="s">
        <v>1409</v>
      </c>
      <c r="V280" s="199" t="s">
        <v>49</v>
      </c>
      <c r="W280" s="199" t="s">
        <v>1792</v>
      </c>
      <c r="X280" s="199" t="s">
        <v>1419</v>
      </c>
      <c r="Y280" s="203"/>
      <c r="Z280" s="203"/>
      <c r="AA280" s="203"/>
      <c r="AB280" s="203"/>
      <c r="AC280" s="203"/>
    </row>
    <row r="281">
      <c r="A281" s="199" t="s">
        <v>1794</v>
      </c>
      <c r="B281" s="199" t="s">
        <v>632</v>
      </c>
      <c r="C281" s="199" t="s">
        <v>632</v>
      </c>
      <c r="D281" s="199" t="s">
        <v>45</v>
      </c>
      <c r="E281" s="199" t="s">
        <v>1795</v>
      </c>
      <c r="F281" s="199">
        <v>43.5</v>
      </c>
      <c r="G281" s="199">
        <v>54.5</v>
      </c>
      <c r="H281" s="199">
        <v>38.2</v>
      </c>
      <c r="I281" s="199">
        <v>55.8</v>
      </c>
      <c r="J281" s="199">
        <v>81.0</v>
      </c>
      <c r="K281" s="199">
        <v>5.0</v>
      </c>
      <c r="L281" s="199">
        <v>9.1</v>
      </c>
      <c r="M281" s="199">
        <v>2.8</v>
      </c>
      <c r="N281" s="199">
        <v>2.0</v>
      </c>
      <c r="O281" s="199">
        <v>0.2</v>
      </c>
      <c r="P281" s="199">
        <v>33.6</v>
      </c>
      <c r="Q281" s="199">
        <v>34.6</v>
      </c>
      <c r="R281" s="199">
        <v>56.9</v>
      </c>
      <c r="S281" s="199" t="s">
        <v>75</v>
      </c>
      <c r="T281" s="203"/>
      <c r="U281" s="199" t="s">
        <v>1409</v>
      </c>
      <c r="V281" s="199" t="s">
        <v>49</v>
      </c>
      <c r="W281" s="199" t="s">
        <v>584</v>
      </c>
      <c r="X281" s="199" t="s">
        <v>1796</v>
      </c>
      <c r="Y281" s="203"/>
      <c r="Z281" s="203"/>
      <c r="AA281" s="203"/>
      <c r="AB281" s="203"/>
      <c r="AC281" s="203"/>
    </row>
    <row r="282">
      <c r="A282" s="199" t="s">
        <v>1798</v>
      </c>
      <c r="B282" s="199" t="s">
        <v>632</v>
      </c>
      <c r="C282" s="199" t="s">
        <v>632</v>
      </c>
      <c r="D282" s="199" t="s">
        <v>45</v>
      </c>
      <c r="E282" s="199" t="s">
        <v>1799</v>
      </c>
      <c r="F282" s="199">
        <v>29.6</v>
      </c>
      <c r="G282" s="199">
        <v>68.5</v>
      </c>
      <c r="H282" s="199">
        <v>26.1</v>
      </c>
      <c r="I282" s="199">
        <v>69.3</v>
      </c>
      <c r="J282" s="199">
        <v>69.9</v>
      </c>
      <c r="K282" s="199">
        <v>10.9</v>
      </c>
      <c r="L282" s="199">
        <v>13.5</v>
      </c>
      <c r="M282" s="199">
        <v>3.0</v>
      </c>
      <c r="N282" s="199">
        <v>3.0</v>
      </c>
      <c r="O282" s="199">
        <v>0.1</v>
      </c>
      <c r="P282" s="199">
        <v>31.6</v>
      </c>
      <c r="Q282" s="199">
        <v>34.0</v>
      </c>
      <c r="R282" s="199">
        <v>51.5</v>
      </c>
      <c r="S282" s="199" t="s">
        <v>75</v>
      </c>
      <c r="T282" s="203"/>
      <c r="U282" s="199" t="s">
        <v>1409</v>
      </c>
      <c r="V282" s="199" t="s">
        <v>49</v>
      </c>
      <c r="W282" s="199" t="s">
        <v>1238</v>
      </c>
      <c r="X282" s="199" t="s">
        <v>1800</v>
      </c>
      <c r="Y282" s="203"/>
      <c r="Z282" s="203"/>
      <c r="AA282" s="203"/>
      <c r="AB282" s="203"/>
      <c r="AC282" s="203"/>
    </row>
    <row r="283">
      <c r="A283" s="199" t="s">
        <v>1802</v>
      </c>
      <c r="B283" s="199" t="s">
        <v>632</v>
      </c>
      <c r="C283" s="199" t="s">
        <v>632</v>
      </c>
      <c r="D283" s="199" t="s">
        <v>45</v>
      </c>
      <c r="E283" s="199" t="s">
        <v>1803</v>
      </c>
      <c r="F283" s="199">
        <v>30.3</v>
      </c>
      <c r="G283" s="199">
        <v>68.0</v>
      </c>
      <c r="H283" s="199">
        <v>29.3</v>
      </c>
      <c r="I283" s="199">
        <v>67.2</v>
      </c>
      <c r="J283" s="199">
        <v>67.0</v>
      </c>
      <c r="K283" s="199">
        <v>4.7</v>
      </c>
      <c r="L283" s="199">
        <v>24.6</v>
      </c>
      <c r="M283" s="199">
        <v>2.0</v>
      </c>
      <c r="N283" s="199">
        <v>1.7</v>
      </c>
      <c r="O283" s="199">
        <v>0.1</v>
      </c>
      <c r="P283" s="199">
        <v>22.5</v>
      </c>
      <c r="Q283" s="199">
        <v>25.5</v>
      </c>
      <c r="R283" s="199">
        <v>52.9</v>
      </c>
      <c r="S283" s="199" t="s">
        <v>75</v>
      </c>
      <c r="T283" s="203"/>
      <c r="U283" s="199" t="s">
        <v>1409</v>
      </c>
      <c r="V283" s="199" t="s">
        <v>49</v>
      </c>
      <c r="W283" s="199" t="s">
        <v>1804</v>
      </c>
      <c r="X283" s="199" t="s">
        <v>1068</v>
      </c>
      <c r="Y283" s="203"/>
      <c r="Z283" s="203"/>
      <c r="AA283" s="203"/>
      <c r="AB283" s="203"/>
      <c r="AC283" s="203"/>
    </row>
    <row r="284">
      <c r="A284" s="199" t="s">
        <v>1806</v>
      </c>
      <c r="B284" s="199" t="s">
        <v>632</v>
      </c>
      <c r="C284" s="199" t="s">
        <v>632</v>
      </c>
      <c r="D284" s="199" t="s">
        <v>45</v>
      </c>
      <c r="E284" s="199" t="s">
        <v>1807</v>
      </c>
      <c r="F284" s="199">
        <v>37.2</v>
      </c>
      <c r="G284" s="199">
        <v>61.3</v>
      </c>
      <c r="H284" s="199">
        <v>37.0</v>
      </c>
      <c r="I284" s="199">
        <v>60.3</v>
      </c>
      <c r="J284" s="199">
        <v>58.1</v>
      </c>
      <c r="K284" s="199">
        <v>4.1</v>
      </c>
      <c r="L284" s="199">
        <v>33.8</v>
      </c>
      <c r="M284" s="199">
        <v>1.5</v>
      </c>
      <c r="N284" s="199">
        <v>2.5</v>
      </c>
      <c r="O284" s="199">
        <v>0.2</v>
      </c>
      <c r="P284" s="199">
        <v>19.8</v>
      </c>
      <c r="Q284" s="199">
        <v>22.8</v>
      </c>
      <c r="R284" s="199">
        <v>46.9</v>
      </c>
      <c r="S284" s="199" t="s">
        <v>75</v>
      </c>
      <c r="T284" s="203"/>
      <c r="U284" s="199" t="s">
        <v>1409</v>
      </c>
      <c r="V284" s="199" t="s">
        <v>49</v>
      </c>
      <c r="W284" s="199" t="s">
        <v>95</v>
      </c>
      <c r="X284" s="199" t="s">
        <v>517</v>
      </c>
      <c r="Y284" s="203"/>
      <c r="Z284" s="203"/>
      <c r="AA284" s="203"/>
      <c r="AB284" s="203"/>
      <c r="AC284" s="203"/>
    </row>
    <row r="285">
      <c r="A285" s="199" t="s">
        <v>1810</v>
      </c>
      <c r="B285" s="199" t="s">
        <v>632</v>
      </c>
      <c r="C285" s="199" t="s">
        <v>632</v>
      </c>
      <c r="D285" s="199" t="s">
        <v>45</v>
      </c>
      <c r="E285" s="199" t="s">
        <v>1811</v>
      </c>
      <c r="F285" s="199">
        <v>34.4</v>
      </c>
      <c r="G285" s="199">
        <v>64.1</v>
      </c>
      <c r="H285" s="199">
        <v>34.4</v>
      </c>
      <c r="I285" s="199">
        <v>63.2</v>
      </c>
      <c r="J285" s="199">
        <v>60.3</v>
      </c>
      <c r="K285" s="199">
        <v>3.6</v>
      </c>
      <c r="L285" s="199">
        <v>32.9</v>
      </c>
      <c r="M285" s="199">
        <v>1.3</v>
      </c>
      <c r="N285" s="199">
        <v>1.9</v>
      </c>
      <c r="O285" s="199">
        <v>0.1</v>
      </c>
      <c r="P285" s="199">
        <v>19.4</v>
      </c>
      <c r="Q285" s="199">
        <v>22.2</v>
      </c>
      <c r="R285" s="199">
        <v>48.7</v>
      </c>
      <c r="S285" s="199" t="s">
        <v>75</v>
      </c>
      <c r="T285" s="203"/>
      <c r="U285" s="199" t="s">
        <v>1409</v>
      </c>
      <c r="V285" s="199" t="s">
        <v>49</v>
      </c>
      <c r="W285" s="199" t="s">
        <v>215</v>
      </c>
      <c r="X285" s="199" t="s">
        <v>1812</v>
      </c>
      <c r="Y285" s="203"/>
      <c r="Z285" s="203"/>
      <c r="AA285" s="203"/>
      <c r="AB285" s="203"/>
      <c r="AC285" s="203"/>
    </row>
    <row r="286">
      <c r="A286" s="199" t="s">
        <v>1814</v>
      </c>
      <c r="B286" s="199" t="s">
        <v>632</v>
      </c>
      <c r="C286" s="199" t="s">
        <v>632</v>
      </c>
      <c r="D286" s="199" t="s">
        <v>45</v>
      </c>
      <c r="E286" s="199" t="s">
        <v>1815</v>
      </c>
      <c r="F286" s="199">
        <v>33.9</v>
      </c>
      <c r="G286" s="199">
        <v>64.3</v>
      </c>
      <c r="H286" s="199">
        <v>30.2</v>
      </c>
      <c r="I286" s="199">
        <v>65.5</v>
      </c>
      <c r="J286" s="199">
        <v>65.0</v>
      </c>
      <c r="K286" s="199">
        <v>6.4</v>
      </c>
      <c r="L286" s="199">
        <v>23.9</v>
      </c>
      <c r="M286" s="199">
        <v>2.8</v>
      </c>
      <c r="N286" s="199">
        <v>1.9</v>
      </c>
      <c r="O286" s="199">
        <v>0.1</v>
      </c>
      <c r="P286" s="199">
        <v>31.5</v>
      </c>
      <c r="Q286" s="199">
        <v>33.2</v>
      </c>
      <c r="R286" s="199">
        <v>47.5</v>
      </c>
      <c r="S286" s="199" t="s">
        <v>1510</v>
      </c>
      <c r="T286" s="203"/>
      <c r="U286" s="199" t="s">
        <v>1409</v>
      </c>
      <c r="V286" s="199" t="s">
        <v>49</v>
      </c>
      <c r="W286" s="199" t="s">
        <v>1817</v>
      </c>
      <c r="X286" s="199" t="s">
        <v>1818</v>
      </c>
      <c r="Y286" s="203"/>
      <c r="Z286" s="203"/>
      <c r="AA286" s="203"/>
      <c r="AB286" s="203"/>
      <c r="AC286" s="203"/>
    </row>
    <row r="287">
      <c r="A287" s="199" t="s">
        <v>1820</v>
      </c>
      <c r="B287" s="199" t="s">
        <v>632</v>
      </c>
      <c r="C287" s="199" t="s">
        <v>632</v>
      </c>
      <c r="D287" s="199" t="s">
        <v>45</v>
      </c>
      <c r="E287" s="199" t="s">
        <v>1821</v>
      </c>
      <c r="F287" s="199">
        <v>41.7</v>
      </c>
      <c r="G287" s="199">
        <v>56.3</v>
      </c>
      <c r="H287" s="199">
        <v>35.6</v>
      </c>
      <c r="I287" s="199">
        <v>58.6</v>
      </c>
      <c r="J287" s="199">
        <v>75.0</v>
      </c>
      <c r="K287" s="199">
        <v>4.5</v>
      </c>
      <c r="L287" s="199">
        <v>15.5</v>
      </c>
      <c r="M287" s="199">
        <v>3.1</v>
      </c>
      <c r="N287" s="199">
        <v>1.9</v>
      </c>
      <c r="O287" s="199">
        <v>0.2</v>
      </c>
      <c r="P287" s="199">
        <v>35.2</v>
      </c>
      <c r="Q287" s="199">
        <v>36.8</v>
      </c>
      <c r="R287" s="199">
        <v>50.2</v>
      </c>
      <c r="S287" s="199" t="s">
        <v>75</v>
      </c>
      <c r="T287" s="203"/>
      <c r="U287" s="199" t="s">
        <v>1409</v>
      </c>
      <c r="V287" s="199" t="s">
        <v>49</v>
      </c>
      <c r="W287" s="199" t="s">
        <v>584</v>
      </c>
      <c r="X287" s="199" t="s">
        <v>1822</v>
      </c>
      <c r="Y287" s="203"/>
      <c r="Z287" s="203"/>
      <c r="AA287" s="203"/>
      <c r="AB287" s="203"/>
      <c r="AC287" s="203"/>
    </row>
    <row r="288">
      <c r="A288" s="199" t="s">
        <v>1824</v>
      </c>
      <c r="B288" s="199" t="s">
        <v>632</v>
      </c>
      <c r="C288" s="199" t="s">
        <v>632</v>
      </c>
      <c r="D288" s="199" t="s">
        <v>45</v>
      </c>
      <c r="E288" s="199" t="s">
        <v>1825</v>
      </c>
      <c r="F288" s="199">
        <v>39.3</v>
      </c>
      <c r="G288" s="199">
        <v>59.1</v>
      </c>
      <c r="H288" s="199">
        <v>35.6</v>
      </c>
      <c r="I288" s="199">
        <v>58.9</v>
      </c>
      <c r="J288" s="199">
        <v>90.9</v>
      </c>
      <c r="K288" s="199">
        <v>1.6</v>
      </c>
      <c r="L288" s="199">
        <v>1.3</v>
      </c>
      <c r="M288" s="199">
        <v>0.9</v>
      </c>
      <c r="N288" s="199">
        <v>4.5</v>
      </c>
      <c r="O288" s="199">
        <v>0.1</v>
      </c>
      <c r="P288" s="199">
        <v>25.4</v>
      </c>
      <c r="Q288" s="199">
        <v>25.9</v>
      </c>
      <c r="R288" s="199">
        <v>68.8</v>
      </c>
      <c r="S288" s="199" t="s">
        <v>75</v>
      </c>
      <c r="T288" s="203"/>
      <c r="U288" s="199" t="s">
        <v>1409</v>
      </c>
      <c r="V288" s="199" t="s">
        <v>49</v>
      </c>
      <c r="W288" s="199" t="s">
        <v>1204</v>
      </c>
      <c r="X288" s="199" t="s">
        <v>1826</v>
      </c>
      <c r="Y288" s="203"/>
      <c r="Z288" s="203"/>
      <c r="AA288" s="203"/>
      <c r="AB288" s="203"/>
      <c r="AC288" s="203"/>
    </row>
    <row r="289">
      <c r="A289" s="199" t="s">
        <v>1828</v>
      </c>
      <c r="B289" s="199" t="s">
        <v>632</v>
      </c>
      <c r="C289" s="199" t="s">
        <v>632</v>
      </c>
      <c r="D289" s="199" t="s">
        <v>45</v>
      </c>
      <c r="E289" s="199" t="s">
        <v>1829</v>
      </c>
      <c r="F289" s="199">
        <v>35.0</v>
      </c>
      <c r="G289" s="199">
        <v>63.2</v>
      </c>
      <c r="H289" s="199">
        <v>32.9</v>
      </c>
      <c r="I289" s="199">
        <v>60.9</v>
      </c>
      <c r="J289" s="199">
        <v>89.2</v>
      </c>
      <c r="K289" s="199">
        <v>3.8</v>
      </c>
      <c r="L289" s="199">
        <v>2.7</v>
      </c>
      <c r="M289" s="199">
        <v>0.9</v>
      </c>
      <c r="N289" s="199">
        <v>2.6</v>
      </c>
      <c r="O289" s="199">
        <v>0.1</v>
      </c>
      <c r="P289" s="199">
        <v>20.8</v>
      </c>
      <c r="Q289" s="199">
        <v>21.0</v>
      </c>
      <c r="R289" s="199">
        <v>73.0</v>
      </c>
      <c r="S289" s="199" t="s">
        <v>75</v>
      </c>
      <c r="T289" s="203"/>
      <c r="U289" s="199" t="s">
        <v>1409</v>
      </c>
      <c r="V289" s="199" t="s">
        <v>49</v>
      </c>
      <c r="W289" s="199" t="s">
        <v>120</v>
      </c>
      <c r="X289" s="199" t="s">
        <v>1830</v>
      </c>
      <c r="Y289" s="203"/>
      <c r="Z289" s="203"/>
      <c r="AA289" s="203"/>
      <c r="AB289" s="203"/>
      <c r="AC289" s="203"/>
    </row>
    <row r="290">
      <c r="A290" s="199" t="s">
        <v>1833</v>
      </c>
      <c r="B290" s="199" t="s">
        <v>632</v>
      </c>
      <c r="C290" s="199" t="s">
        <v>632</v>
      </c>
      <c r="D290" s="199" t="s">
        <v>45</v>
      </c>
      <c r="E290" s="199" t="s">
        <v>1834</v>
      </c>
      <c r="F290" s="199">
        <v>47.1</v>
      </c>
      <c r="G290" s="199">
        <v>51.1</v>
      </c>
      <c r="H290" s="199">
        <v>42.2</v>
      </c>
      <c r="I290" s="199">
        <v>51.6</v>
      </c>
      <c r="J290" s="199">
        <v>78.4</v>
      </c>
      <c r="K290" s="199">
        <v>7.0</v>
      </c>
      <c r="L290" s="199">
        <v>9.0</v>
      </c>
      <c r="M290" s="199">
        <v>2.9</v>
      </c>
      <c r="N290" s="199">
        <v>2.3</v>
      </c>
      <c r="O290" s="199">
        <v>0.1</v>
      </c>
      <c r="P290" s="199">
        <v>30.5</v>
      </c>
      <c r="Q290" s="199">
        <v>32.7</v>
      </c>
      <c r="R290" s="199">
        <v>55.7</v>
      </c>
      <c r="S290" s="199" t="s">
        <v>75</v>
      </c>
      <c r="T290" s="203"/>
      <c r="U290" s="199" t="s">
        <v>1409</v>
      </c>
      <c r="V290" s="199" t="s">
        <v>49</v>
      </c>
      <c r="W290" s="199" t="s">
        <v>347</v>
      </c>
      <c r="X290" s="199" t="s">
        <v>1835</v>
      </c>
      <c r="Y290" s="203"/>
      <c r="Z290" s="203"/>
      <c r="AA290" s="203"/>
      <c r="AB290" s="203"/>
      <c r="AC290" s="203"/>
    </row>
    <row r="291">
      <c r="A291" s="199" t="s">
        <v>1837</v>
      </c>
      <c r="B291" s="199" t="s">
        <v>632</v>
      </c>
      <c r="C291" s="199" t="s">
        <v>632</v>
      </c>
      <c r="D291" s="199" t="s">
        <v>45</v>
      </c>
      <c r="E291" s="199" t="s">
        <v>1838</v>
      </c>
      <c r="F291" s="199">
        <v>37.1</v>
      </c>
      <c r="G291" s="199">
        <v>61.2</v>
      </c>
      <c r="H291" s="199">
        <v>34.5</v>
      </c>
      <c r="I291" s="199">
        <v>59.9</v>
      </c>
      <c r="J291" s="199">
        <v>86.6</v>
      </c>
      <c r="K291" s="199">
        <v>4.1</v>
      </c>
      <c r="L291" s="199">
        <v>4.9</v>
      </c>
      <c r="M291" s="199">
        <v>1.2</v>
      </c>
      <c r="N291" s="199">
        <v>2.5</v>
      </c>
      <c r="O291" s="199">
        <v>0.1</v>
      </c>
      <c r="P291" s="199">
        <v>22.0</v>
      </c>
      <c r="Q291" s="199">
        <v>22.2</v>
      </c>
      <c r="R291" s="199">
        <v>70.3</v>
      </c>
      <c r="S291" s="199" t="s">
        <v>75</v>
      </c>
      <c r="T291" s="203"/>
      <c r="U291" s="199" t="s">
        <v>1409</v>
      </c>
      <c r="V291" s="199" t="s">
        <v>49</v>
      </c>
      <c r="W291" s="199" t="s">
        <v>1056</v>
      </c>
      <c r="X291" s="199" t="s">
        <v>1839</v>
      </c>
      <c r="Y291" s="203"/>
      <c r="Z291" s="203"/>
      <c r="AA291" s="203"/>
      <c r="AB291" s="203"/>
      <c r="AC291" s="203"/>
    </row>
    <row r="292">
      <c r="A292" s="199" t="s">
        <v>1842</v>
      </c>
      <c r="B292" s="199" t="s">
        <v>632</v>
      </c>
      <c r="C292" s="199" t="s">
        <v>632</v>
      </c>
      <c r="D292" s="199" t="s">
        <v>45</v>
      </c>
      <c r="E292" s="199" t="s">
        <v>1843</v>
      </c>
      <c r="F292" s="199">
        <v>34.6</v>
      </c>
      <c r="G292" s="199">
        <v>64.0</v>
      </c>
      <c r="H292" s="199">
        <v>30.9</v>
      </c>
      <c r="I292" s="199">
        <v>64.0</v>
      </c>
      <c r="J292" s="199">
        <v>89.6</v>
      </c>
      <c r="K292" s="199">
        <v>3.1</v>
      </c>
      <c r="L292" s="199">
        <v>2.7</v>
      </c>
      <c r="M292" s="199">
        <v>1.7</v>
      </c>
      <c r="N292" s="199">
        <v>2.0</v>
      </c>
      <c r="O292" s="199">
        <v>0.1</v>
      </c>
      <c r="P292" s="199">
        <v>27.1</v>
      </c>
      <c r="Q292" s="199">
        <v>27.2</v>
      </c>
      <c r="R292" s="199">
        <v>67.4</v>
      </c>
      <c r="S292" s="199" t="s">
        <v>75</v>
      </c>
      <c r="T292" s="203"/>
      <c r="U292" s="199" t="s">
        <v>1409</v>
      </c>
      <c r="V292" s="199" t="s">
        <v>49</v>
      </c>
      <c r="W292" s="199" t="s">
        <v>438</v>
      </c>
      <c r="X292" s="199" t="s">
        <v>1844</v>
      </c>
      <c r="Y292" s="203"/>
      <c r="Z292" s="203"/>
      <c r="AA292" s="203"/>
      <c r="AB292" s="203"/>
      <c r="AC292" s="203"/>
    </row>
    <row r="293">
      <c r="A293" s="199" t="s">
        <v>1846</v>
      </c>
      <c r="B293" s="199" t="s">
        <v>43</v>
      </c>
      <c r="C293" s="199" t="s">
        <v>632</v>
      </c>
      <c r="D293" s="199" t="s">
        <v>397</v>
      </c>
      <c r="E293" s="199" t="s">
        <v>1848</v>
      </c>
      <c r="F293" s="199">
        <v>48.8</v>
      </c>
      <c r="G293" s="199">
        <v>49.8</v>
      </c>
      <c r="H293" s="199">
        <v>45.1</v>
      </c>
      <c r="I293" s="199">
        <v>50.4</v>
      </c>
      <c r="J293" s="199">
        <v>75.7</v>
      </c>
      <c r="K293" s="199">
        <v>2.6</v>
      </c>
      <c r="L293" s="199">
        <v>13.1</v>
      </c>
      <c r="M293" s="199">
        <v>6.5</v>
      </c>
      <c r="N293" s="199">
        <v>1.7</v>
      </c>
      <c r="O293" s="199">
        <v>0.1</v>
      </c>
      <c r="P293" s="199">
        <v>28.4</v>
      </c>
      <c r="Q293" s="199">
        <v>27.8</v>
      </c>
      <c r="R293" s="199">
        <v>57.8</v>
      </c>
      <c r="S293" s="199" t="s">
        <v>28</v>
      </c>
      <c r="T293" s="203"/>
      <c r="U293" s="199" t="s">
        <v>1409</v>
      </c>
      <c r="V293" s="199" t="s">
        <v>159</v>
      </c>
      <c r="W293" s="199" t="s">
        <v>120</v>
      </c>
      <c r="X293" s="199" t="s">
        <v>1776</v>
      </c>
      <c r="Y293" s="203"/>
      <c r="Z293" s="203"/>
      <c r="AA293" s="203"/>
      <c r="AB293" s="203"/>
      <c r="AC293" s="203"/>
    </row>
    <row r="294">
      <c r="A294" s="199" t="s">
        <v>1850</v>
      </c>
      <c r="B294" s="199" t="s">
        <v>632</v>
      </c>
      <c r="C294" s="199" t="s">
        <v>632</v>
      </c>
      <c r="D294" s="199" t="s">
        <v>45</v>
      </c>
      <c r="E294" s="199" t="s">
        <v>1851</v>
      </c>
      <c r="F294" s="199">
        <v>44.3</v>
      </c>
      <c r="G294" s="199">
        <v>53.5</v>
      </c>
      <c r="H294" s="199">
        <v>38.5</v>
      </c>
      <c r="I294" s="199">
        <v>52.4</v>
      </c>
      <c r="J294" s="199">
        <v>85.6</v>
      </c>
      <c r="K294" s="199">
        <v>5.7</v>
      </c>
      <c r="L294" s="199">
        <v>3.7</v>
      </c>
      <c r="M294" s="199">
        <v>3.2</v>
      </c>
      <c r="N294" s="199">
        <v>1.4</v>
      </c>
      <c r="O294" s="199">
        <v>0.1</v>
      </c>
      <c r="P294" s="199">
        <v>30.2</v>
      </c>
      <c r="Q294" s="199">
        <v>31.1</v>
      </c>
      <c r="R294" s="199">
        <v>63.0</v>
      </c>
      <c r="S294" s="199" t="s">
        <v>75</v>
      </c>
      <c r="T294" s="203"/>
      <c r="U294" s="199" t="s">
        <v>1409</v>
      </c>
      <c r="V294" s="199" t="s">
        <v>49</v>
      </c>
      <c r="W294" s="199" t="s">
        <v>258</v>
      </c>
      <c r="X294" s="199" t="s">
        <v>1853</v>
      </c>
      <c r="Y294" s="203"/>
      <c r="Z294" s="203"/>
      <c r="AA294" s="203"/>
      <c r="AB294" s="203"/>
      <c r="AC294" s="203"/>
    </row>
    <row r="295">
      <c r="A295" s="199" t="s">
        <v>1855</v>
      </c>
      <c r="B295" s="199" t="s">
        <v>632</v>
      </c>
      <c r="C295" s="199" t="s">
        <v>632</v>
      </c>
      <c r="D295" s="199" t="s">
        <v>45</v>
      </c>
      <c r="E295" s="199" t="s">
        <v>1856</v>
      </c>
      <c r="F295" s="199">
        <v>40.1</v>
      </c>
      <c r="G295" s="199">
        <v>57.7</v>
      </c>
      <c r="H295" s="199">
        <v>33.8</v>
      </c>
      <c r="I295" s="199">
        <v>57.5</v>
      </c>
      <c r="J295" s="199">
        <v>86.8</v>
      </c>
      <c r="K295" s="199">
        <v>3.0</v>
      </c>
      <c r="L295" s="199">
        <v>4.3</v>
      </c>
      <c r="M295" s="199">
        <v>3.5</v>
      </c>
      <c r="N295" s="199">
        <v>1.6</v>
      </c>
      <c r="O295" s="199">
        <v>0.1</v>
      </c>
      <c r="P295" s="199">
        <v>33.3</v>
      </c>
      <c r="Q295" s="199">
        <v>33.9</v>
      </c>
      <c r="R295" s="199">
        <v>60.5</v>
      </c>
      <c r="S295" s="199" t="s">
        <v>75</v>
      </c>
      <c r="T295" s="203"/>
      <c r="U295" s="199" t="s">
        <v>1409</v>
      </c>
      <c r="V295" s="199" t="s">
        <v>49</v>
      </c>
      <c r="W295" s="199" t="s">
        <v>1486</v>
      </c>
      <c r="X295" s="199" t="s">
        <v>1857</v>
      </c>
      <c r="Y295" s="203"/>
      <c r="Z295" s="203"/>
      <c r="AA295" s="203"/>
      <c r="AB295" s="203"/>
      <c r="AC295" s="203"/>
    </row>
    <row r="296">
      <c r="A296" s="199" t="s">
        <v>1859</v>
      </c>
      <c r="B296" s="199" t="s">
        <v>632</v>
      </c>
      <c r="C296" s="199" t="s">
        <v>632</v>
      </c>
      <c r="D296" s="199" t="s">
        <v>45</v>
      </c>
      <c r="E296" s="199" t="s">
        <v>1860</v>
      </c>
      <c r="F296" s="199">
        <v>32.5</v>
      </c>
      <c r="G296" s="199">
        <v>65.7</v>
      </c>
      <c r="H296" s="199">
        <v>29.3</v>
      </c>
      <c r="I296" s="199">
        <v>63.2</v>
      </c>
      <c r="J296" s="199">
        <v>90.6</v>
      </c>
      <c r="K296" s="199">
        <v>4.1</v>
      </c>
      <c r="L296" s="199">
        <v>1.6</v>
      </c>
      <c r="M296" s="199">
        <v>1.1</v>
      </c>
      <c r="N296" s="199">
        <v>2.1</v>
      </c>
      <c r="O296" s="199">
        <v>0.2</v>
      </c>
      <c r="P296" s="199">
        <v>22.6</v>
      </c>
      <c r="Q296" s="199">
        <v>23.1</v>
      </c>
      <c r="R296" s="199">
        <v>72.2</v>
      </c>
      <c r="S296" s="199" t="s">
        <v>75</v>
      </c>
      <c r="T296" s="203"/>
      <c r="U296" s="199" t="s">
        <v>1409</v>
      </c>
      <c r="V296" s="199" t="s">
        <v>49</v>
      </c>
      <c r="W296" s="199" t="s">
        <v>1861</v>
      </c>
      <c r="X296" s="199" t="s">
        <v>1862</v>
      </c>
      <c r="Y296" s="203"/>
      <c r="Z296" s="203"/>
      <c r="AA296" s="203"/>
      <c r="AB296" s="203"/>
      <c r="AC296" s="203"/>
    </row>
    <row r="297">
      <c r="A297" s="199" t="s">
        <v>1864</v>
      </c>
      <c r="B297" s="199" t="s">
        <v>632</v>
      </c>
      <c r="C297" s="199" t="s">
        <v>632</v>
      </c>
      <c r="D297" s="199" t="s">
        <v>45</v>
      </c>
      <c r="E297" s="199" t="s">
        <v>1865</v>
      </c>
      <c r="F297" s="199">
        <v>43.4</v>
      </c>
      <c r="G297" s="199">
        <v>54.7</v>
      </c>
      <c r="H297" s="199">
        <v>39.5</v>
      </c>
      <c r="I297" s="199">
        <v>52.3</v>
      </c>
      <c r="J297" s="199">
        <v>89.3</v>
      </c>
      <c r="K297" s="199">
        <v>1.5</v>
      </c>
      <c r="L297" s="199">
        <v>1.6</v>
      </c>
      <c r="M297" s="199">
        <v>1.2</v>
      </c>
      <c r="N297" s="199">
        <v>5.6</v>
      </c>
      <c r="O297" s="199">
        <v>0.1</v>
      </c>
      <c r="P297" s="199">
        <v>25.6</v>
      </c>
      <c r="Q297" s="199">
        <v>26.3</v>
      </c>
      <c r="R297" s="199">
        <v>67.6</v>
      </c>
      <c r="S297" s="199" t="s">
        <v>75</v>
      </c>
      <c r="T297" s="203"/>
      <c r="U297" s="199" t="s">
        <v>1409</v>
      </c>
      <c r="V297" s="199" t="s">
        <v>49</v>
      </c>
      <c r="W297" s="199" t="s">
        <v>266</v>
      </c>
      <c r="X297" s="199" t="s">
        <v>1868</v>
      </c>
      <c r="Y297" s="203"/>
      <c r="Z297" s="203"/>
      <c r="AA297" s="203"/>
      <c r="AB297" s="203"/>
      <c r="AC297" s="203"/>
    </row>
    <row r="298">
      <c r="A298" s="199" t="s">
        <v>1885</v>
      </c>
      <c r="B298" s="199" t="s">
        <v>632</v>
      </c>
      <c r="C298" s="199" t="s">
        <v>632</v>
      </c>
      <c r="D298" s="199" t="s">
        <v>45</v>
      </c>
      <c r="E298" s="199" t="s">
        <v>1886</v>
      </c>
      <c r="F298" s="199">
        <v>45.3</v>
      </c>
      <c r="G298" s="199">
        <v>53.0</v>
      </c>
      <c r="H298" s="199">
        <v>39.3</v>
      </c>
      <c r="I298" s="199">
        <v>55.8</v>
      </c>
      <c r="J298" s="199">
        <v>86.0</v>
      </c>
      <c r="K298" s="199">
        <v>2.7</v>
      </c>
      <c r="L298" s="199">
        <v>3.7</v>
      </c>
      <c r="M298" s="199">
        <v>5.1</v>
      </c>
      <c r="N298" s="199">
        <v>1.8</v>
      </c>
      <c r="O298" s="199">
        <v>0.1</v>
      </c>
      <c r="P298" s="199">
        <v>47.5</v>
      </c>
      <c r="Q298" s="199">
        <v>46.7</v>
      </c>
      <c r="R298" s="199">
        <v>48.6</v>
      </c>
      <c r="S298" s="199" t="s">
        <v>75</v>
      </c>
      <c r="T298" s="203"/>
      <c r="U298" s="199" t="s">
        <v>1409</v>
      </c>
      <c r="V298" s="199" t="s">
        <v>49</v>
      </c>
      <c r="W298" s="199" t="s">
        <v>1887</v>
      </c>
      <c r="X298" s="199" t="s">
        <v>1888</v>
      </c>
      <c r="Y298" s="203"/>
      <c r="Z298" s="203"/>
      <c r="AA298" s="203"/>
      <c r="AB298" s="203"/>
      <c r="AC298" s="203"/>
    </row>
    <row r="299">
      <c r="A299" s="199" t="s">
        <v>1890</v>
      </c>
      <c r="B299" s="199" t="s">
        <v>632</v>
      </c>
      <c r="C299" s="199" t="s">
        <v>632</v>
      </c>
      <c r="D299" s="199" t="s">
        <v>45</v>
      </c>
      <c r="E299" s="199" t="s">
        <v>1891</v>
      </c>
      <c r="F299" s="199">
        <v>35.9</v>
      </c>
      <c r="G299" s="199">
        <v>62.2</v>
      </c>
      <c r="H299" s="199">
        <v>32.0</v>
      </c>
      <c r="I299" s="199">
        <v>62.9</v>
      </c>
      <c r="J299" s="199">
        <v>86.2</v>
      </c>
      <c r="K299" s="199">
        <v>2.8</v>
      </c>
      <c r="L299" s="199">
        <v>5.3</v>
      </c>
      <c r="M299" s="199">
        <v>2.5</v>
      </c>
      <c r="N299" s="199">
        <v>2.5</v>
      </c>
      <c r="O299" s="199">
        <v>0.1</v>
      </c>
      <c r="P299" s="199">
        <v>33.3</v>
      </c>
      <c r="Q299" s="199">
        <v>32.8</v>
      </c>
      <c r="R299" s="199">
        <v>60.7</v>
      </c>
      <c r="S299" s="199" t="s">
        <v>75</v>
      </c>
      <c r="T299" s="203"/>
      <c r="U299" s="199" t="s">
        <v>1409</v>
      </c>
      <c r="V299" s="199" t="s">
        <v>49</v>
      </c>
      <c r="W299" s="199" t="s">
        <v>1892</v>
      </c>
      <c r="X299" s="199" t="s">
        <v>1893</v>
      </c>
      <c r="Y299" s="203"/>
      <c r="Z299" s="203"/>
      <c r="AA299" s="203"/>
      <c r="AB299" s="203"/>
      <c r="AC299" s="203"/>
    </row>
    <row r="300">
      <c r="A300" s="199" t="s">
        <v>1895</v>
      </c>
      <c r="B300" s="199" t="s">
        <v>632</v>
      </c>
      <c r="C300" s="199" t="s">
        <v>632</v>
      </c>
      <c r="D300" s="199" t="s">
        <v>45</v>
      </c>
      <c r="E300" s="199" t="s">
        <v>1896</v>
      </c>
      <c r="F300" s="199">
        <v>29.3</v>
      </c>
      <c r="G300" s="199">
        <v>68.7</v>
      </c>
      <c r="H300" s="199">
        <v>26.6</v>
      </c>
      <c r="I300" s="199">
        <v>68.2</v>
      </c>
      <c r="J300" s="199">
        <v>85.2</v>
      </c>
      <c r="K300" s="199">
        <v>4.0</v>
      </c>
      <c r="L300" s="199">
        <v>5.0</v>
      </c>
      <c r="M300" s="199">
        <v>1.6</v>
      </c>
      <c r="N300" s="199">
        <v>3.3</v>
      </c>
      <c r="O300" s="199">
        <v>0.3</v>
      </c>
      <c r="P300" s="199">
        <v>23.4</v>
      </c>
      <c r="Q300" s="199">
        <v>23.2</v>
      </c>
      <c r="R300" s="199">
        <v>68.9</v>
      </c>
      <c r="S300" s="199" t="s">
        <v>75</v>
      </c>
      <c r="T300" s="203"/>
      <c r="U300" s="199" t="s">
        <v>1409</v>
      </c>
      <c r="V300" s="199" t="s">
        <v>159</v>
      </c>
      <c r="W300" s="199" t="s">
        <v>127</v>
      </c>
      <c r="X300" s="199" t="s">
        <v>1897</v>
      </c>
      <c r="Y300" s="203"/>
      <c r="Z300" s="203"/>
      <c r="AA300" s="203"/>
      <c r="AB300" s="203"/>
      <c r="AC300" s="203"/>
    </row>
    <row r="301">
      <c r="A301" s="199" t="s">
        <v>1899</v>
      </c>
      <c r="B301" s="199" t="s">
        <v>632</v>
      </c>
      <c r="C301" s="199" t="s">
        <v>632</v>
      </c>
      <c r="D301" s="199" t="s">
        <v>45</v>
      </c>
      <c r="E301" s="199" t="s">
        <v>1900</v>
      </c>
      <c r="F301" s="199">
        <v>30.6</v>
      </c>
      <c r="G301" s="199">
        <v>67.7</v>
      </c>
      <c r="H301" s="199">
        <v>28.3</v>
      </c>
      <c r="I301" s="199">
        <v>66.6</v>
      </c>
      <c r="J301" s="199">
        <v>87.8</v>
      </c>
      <c r="K301" s="199">
        <v>3.2</v>
      </c>
      <c r="L301" s="199">
        <v>4.2</v>
      </c>
      <c r="M301" s="199">
        <v>1.5</v>
      </c>
      <c r="N301" s="199">
        <v>2.6</v>
      </c>
      <c r="O301" s="199">
        <v>0.3</v>
      </c>
      <c r="P301" s="199">
        <v>24.8</v>
      </c>
      <c r="Q301" s="199">
        <v>25.0</v>
      </c>
      <c r="R301" s="199">
        <v>68.3</v>
      </c>
      <c r="S301" s="199" t="s">
        <v>75</v>
      </c>
      <c r="T301" s="203"/>
      <c r="U301" s="199" t="s">
        <v>1409</v>
      </c>
      <c r="V301" s="199" t="s">
        <v>49</v>
      </c>
      <c r="W301" s="199" t="s">
        <v>1901</v>
      </c>
      <c r="X301" s="199" t="s">
        <v>1818</v>
      </c>
      <c r="Y301" s="203"/>
      <c r="Z301" s="203"/>
      <c r="AA301" s="203"/>
      <c r="AB301" s="203"/>
      <c r="AC301" s="203"/>
    </row>
    <row r="302">
      <c r="A302" s="199" t="s">
        <v>1903</v>
      </c>
      <c r="B302" s="199" t="s">
        <v>632</v>
      </c>
      <c r="C302" s="199" t="s">
        <v>632</v>
      </c>
      <c r="D302" s="199" t="s">
        <v>45</v>
      </c>
      <c r="E302" s="199" t="s">
        <v>1904</v>
      </c>
      <c r="F302" s="199">
        <v>28.4</v>
      </c>
      <c r="G302" s="199">
        <v>69.8</v>
      </c>
      <c r="H302" s="199">
        <v>24.8</v>
      </c>
      <c r="I302" s="199">
        <v>70.2</v>
      </c>
      <c r="J302" s="199">
        <v>85.0</v>
      </c>
      <c r="K302" s="199">
        <v>5.0</v>
      </c>
      <c r="L302" s="199">
        <v>2.6</v>
      </c>
      <c r="M302" s="199">
        <v>1.9</v>
      </c>
      <c r="N302" s="199">
        <v>4.6</v>
      </c>
      <c r="O302" s="199">
        <v>0.4</v>
      </c>
      <c r="P302" s="199">
        <v>25.4</v>
      </c>
      <c r="Q302" s="199">
        <v>25.6</v>
      </c>
      <c r="R302" s="199">
        <v>67.9</v>
      </c>
      <c r="S302" s="199" t="s">
        <v>75</v>
      </c>
      <c r="T302" s="203"/>
      <c r="U302" s="199" t="s">
        <v>1409</v>
      </c>
      <c r="V302" s="199" t="s">
        <v>159</v>
      </c>
      <c r="W302" s="199" t="s">
        <v>151</v>
      </c>
      <c r="X302" s="199" t="s">
        <v>1905</v>
      </c>
      <c r="Y302" s="203"/>
      <c r="Z302" s="203"/>
      <c r="AA302" s="203"/>
      <c r="AB302" s="203"/>
      <c r="AC302" s="203"/>
    </row>
    <row r="303">
      <c r="A303" s="199" t="s">
        <v>1907</v>
      </c>
      <c r="B303" s="199" t="s">
        <v>632</v>
      </c>
      <c r="C303" s="199" t="s">
        <v>632</v>
      </c>
      <c r="D303" s="199" t="s">
        <v>45</v>
      </c>
      <c r="E303" s="199" t="s">
        <v>1908</v>
      </c>
      <c r="F303" s="199">
        <v>23.6</v>
      </c>
      <c r="G303" s="199">
        <v>75.0</v>
      </c>
      <c r="H303" s="199">
        <v>22.7</v>
      </c>
      <c r="I303" s="199">
        <v>73.5</v>
      </c>
      <c r="J303" s="199">
        <v>88.3</v>
      </c>
      <c r="K303" s="199">
        <v>1.9</v>
      </c>
      <c r="L303" s="199">
        <v>4.7</v>
      </c>
      <c r="M303" s="199">
        <v>1.1</v>
      </c>
      <c r="N303" s="199">
        <v>3.0</v>
      </c>
      <c r="O303" s="199">
        <v>0.1</v>
      </c>
      <c r="P303" s="199">
        <v>18.2</v>
      </c>
      <c r="Q303" s="199">
        <v>18.5</v>
      </c>
      <c r="R303" s="199">
        <v>75.1</v>
      </c>
      <c r="S303" s="199" t="s">
        <v>75</v>
      </c>
      <c r="T303" s="203"/>
      <c r="U303" s="199" t="s">
        <v>1409</v>
      </c>
      <c r="V303" s="199" t="s">
        <v>49</v>
      </c>
      <c r="W303" s="199" t="s">
        <v>384</v>
      </c>
      <c r="X303" s="199" t="s">
        <v>877</v>
      </c>
      <c r="Y303" s="203"/>
      <c r="Z303" s="203"/>
      <c r="AA303" s="203"/>
      <c r="AB303" s="203"/>
      <c r="AC303" s="203"/>
    </row>
    <row r="304">
      <c r="A304" s="199" t="s">
        <v>1870</v>
      </c>
      <c r="B304" s="199" t="s">
        <v>632</v>
      </c>
      <c r="C304" s="199" t="s">
        <v>632</v>
      </c>
      <c r="D304" s="199" t="s">
        <v>45</v>
      </c>
      <c r="E304" s="199" t="s">
        <v>1871</v>
      </c>
      <c r="F304" s="199">
        <v>33.4</v>
      </c>
      <c r="G304" s="199">
        <v>65.1</v>
      </c>
      <c r="H304" s="199">
        <v>32.0</v>
      </c>
      <c r="I304" s="199">
        <v>65.8</v>
      </c>
      <c r="J304" s="199">
        <v>66.9</v>
      </c>
      <c r="K304" s="199">
        <v>3.1</v>
      </c>
      <c r="L304" s="199">
        <v>27.1</v>
      </c>
      <c r="M304" s="199">
        <v>1.3</v>
      </c>
      <c r="N304" s="199">
        <v>1.6</v>
      </c>
      <c r="O304" s="199">
        <v>0.1</v>
      </c>
      <c r="P304" s="199">
        <v>21.7</v>
      </c>
      <c r="Q304" s="199">
        <v>23.9</v>
      </c>
      <c r="R304" s="199">
        <v>53.0</v>
      </c>
      <c r="S304" s="199" t="s">
        <v>75</v>
      </c>
      <c r="T304" s="203"/>
      <c r="U304" s="199" t="s">
        <v>1409</v>
      </c>
      <c r="V304" s="199" t="s">
        <v>49</v>
      </c>
      <c r="W304" s="199" t="s">
        <v>1872</v>
      </c>
      <c r="X304" s="199" t="s">
        <v>571</v>
      </c>
      <c r="Y304" s="203"/>
      <c r="Z304" s="203"/>
      <c r="AA304" s="203"/>
      <c r="AB304" s="203"/>
      <c r="AC304" s="203"/>
    </row>
    <row r="305">
      <c r="A305" s="199" t="s">
        <v>1874</v>
      </c>
      <c r="B305" s="199" t="s">
        <v>632</v>
      </c>
      <c r="C305" s="199" t="s">
        <v>632</v>
      </c>
      <c r="D305" s="199" t="s">
        <v>45</v>
      </c>
      <c r="E305" s="199" t="s">
        <v>1876</v>
      </c>
      <c r="F305" s="199">
        <v>37.2</v>
      </c>
      <c r="G305" s="199">
        <v>61.5</v>
      </c>
      <c r="H305" s="199">
        <v>35.2</v>
      </c>
      <c r="I305" s="199">
        <v>62.8</v>
      </c>
      <c r="J305" s="199">
        <v>61.6</v>
      </c>
      <c r="K305" s="199">
        <v>2.4</v>
      </c>
      <c r="L305" s="199">
        <v>32.5</v>
      </c>
      <c r="M305" s="199">
        <v>1.5</v>
      </c>
      <c r="N305" s="199">
        <v>2.0</v>
      </c>
      <c r="O305" s="199">
        <v>0.1</v>
      </c>
      <c r="P305" s="199">
        <v>26.8</v>
      </c>
      <c r="Q305" s="199">
        <v>31.4</v>
      </c>
      <c r="R305" s="199">
        <v>43.2</v>
      </c>
      <c r="S305" s="199" t="s">
        <v>75</v>
      </c>
      <c r="T305" s="203"/>
      <c r="U305" s="199" t="s">
        <v>1409</v>
      </c>
      <c r="V305" s="199" t="s">
        <v>49</v>
      </c>
      <c r="W305" s="199" t="s">
        <v>1289</v>
      </c>
      <c r="X305" s="199" t="s">
        <v>1878</v>
      </c>
      <c r="Y305" s="203"/>
      <c r="Z305" s="203"/>
      <c r="AA305" s="203"/>
      <c r="AB305" s="203"/>
      <c r="AC305" s="203"/>
    </row>
    <row r="306">
      <c r="A306" s="199" t="s">
        <v>1880</v>
      </c>
      <c r="B306" s="199" t="s">
        <v>632</v>
      </c>
      <c r="C306" s="199" t="s">
        <v>632</v>
      </c>
      <c r="D306" s="199" t="s">
        <v>45</v>
      </c>
      <c r="E306" s="199" t="s">
        <v>1881</v>
      </c>
      <c r="F306" s="199">
        <v>30.3</v>
      </c>
      <c r="G306" s="199">
        <v>68.2</v>
      </c>
      <c r="H306" s="199">
        <v>28.1</v>
      </c>
      <c r="I306" s="199">
        <v>69.5</v>
      </c>
      <c r="J306" s="199">
        <v>68.2</v>
      </c>
      <c r="K306" s="199">
        <v>4.5</v>
      </c>
      <c r="L306" s="199">
        <v>22.7</v>
      </c>
      <c r="M306" s="199">
        <v>2.3</v>
      </c>
      <c r="N306" s="199">
        <v>2.2</v>
      </c>
      <c r="O306" s="199">
        <v>0.2</v>
      </c>
      <c r="P306" s="199">
        <v>22.8</v>
      </c>
      <c r="Q306" s="199">
        <v>25.2</v>
      </c>
      <c r="R306" s="199">
        <v>53.7</v>
      </c>
      <c r="S306" s="199" t="s">
        <v>75</v>
      </c>
      <c r="T306" s="203"/>
      <c r="U306" s="199" t="s">
        <v>1409</v>
      </c>
      <c r="V306" s="199" t="s">
        <v>159</v>
      </c>
      <c r="W306" s="199" t="s">
        <v>95</v>
      </c>
      <c r="X306" s="199" t="s">
        <v>1883</v>
      </c>
      <c r="Y306" s="203"/>
      <c r="Z306" s="203"/>
      <c r="AA306" s="203"/>
      <c r="AB306" s="203"/>
      <c r="AC306" s="203"/>
    </row>
    <row r="307">
      <c r="A307" s="199" t="s">
        <v>1911</v>
      </c>
      <c r="B307" s="199" t="s">
        <v>395</v>
      </c>
      <c r="C307" s="199" t="s">
        <v>632</v>
      </c>
      <c r="D307" s="199" t="s">
        <v>397</v>
      </c>
      <c r="E307" s="199" t="s">
        <v>1912</v>
      </c>
      <c r="F307" s="199">
        <v>45.3</v>
      </c>
      <c r="G307" s="199">
        <v>52.2</v>
      </c>
      <c r="H307" s="199">
        <v>40.2</v>
      </c>
      <c r="I307" s="199">
        <v>52.0</v>
      </c>
      <c r="J307" s="199">
        <v>86.7</v>
      </c>
      <c r="K307" s="199">
        <v>3.6</v>
      </c>
      <c r="L307" s="199">
        <v>0.7</v>
      </c>
      <c r="M307" s="199">
        <v>1.5</v>
      </c>
      <c r="N307" s="199">
        <v>6.5</v>
      </c>
      <c r="O307" s="199">
        <v>0.2</v>
      </c>
      <c r="P307" s="199">
        <v>36.3</v>
      </c>
      <c r="Q307" s="199">
        <v>37.2</v>
      </c>
      <c r="R307" s="199">
        <v>56.6</v>
      </c>
      <c r="S307" s="199" t="s">
        <v>75</v>
      </c>
      <c r="T307" s="203"/>
      <c r="U307" s="199" t="s">
        <v>1409</v>
      </c>
      <c r="V307" s="199" t="s">
        <v>159</v>
      </c>
      <c r="W307" s="199" t="s">
        <v>1049</v>
      </c>
      <c r="X307" s="199" t="s">
        <v>1913</v>
      </c>
      <c r="Y307" s="203"/>
      <c r="Z307" s="203"/>
      <c r="AA307" s="203"/>
      <c r="AB307" s="203"/>
      <c r="AC307" s="203"/>
    </row>
    <row r="308">
      <c r="A308" s="199" t="s">
        <v>1916</v>
      </c>
      <c r="B308" s="199" t="s">
        <v>632</v>
      </c>
      <c r="C308" s="199" t="s">
        <v>632</v>
      </c>
      <c r="D308" s="199" t="s">
        <v>45</v>
      </c>
      <c r="E308" s="199" t="s">
        <v>1917</v>
      </c>
      <c r="F308" s="199">
        <v>35.3</v>
      </c>
      <c r="G308" s="199">
        <v>62.2</v>
      </c>
      <c r="H308" s="199">
        <v>31.5</v>
      </c>
      <c r="I308" s="199">
        <v>61.1</v>
      </c>
      <c r="J308" s="199">
        <v>84.4</v>
      </c>
      <c r="K308" s="199">
        <v>3.5</v>
      </c>
      <c r="L308" s="199">
        <v>1.0</v>
      </c>
      <c r="M308" s="199">
        <v>1.3</v>
      </c>
      <c r="N308" s="199">
        <v>9.1</v>
      </c>
      <c r="O308" s="199">
        <v>0.2</v>
      </c>
      <c r="P308" s="199">
        <v>30.0</v>
      </c>
      <c r="Q308" s="199">
        <v>31.5</v>
      </c>
      <c r="R308" s="199">
        <v>59.7</v>
      </c>
      <c r="S308" s="199" t="s">
        <v>75</v>
      </c>
      <c r="T308" s="203"/>
      <c r="U308" s="199" t="s">
        <v>1409</v>
      </c>
      <c r="V308" s="199" t="s">
        <v>49</v>
      </c>
      <c r="W308" s="199" t="s">
        <v>1188</v>
      </c>
      <c r="X308" s="199" t="s">
        <v>1918</v>
      </c>
      <c r="Y308" s="203"/>
      <c r="Z308" s="203"/>
      <c r="AA308" s="203"/>
      <c r="AB308" s="203"/>
      <c r="AC308" s="203"/>
    </row>
    <row r="309">
      <c r="A309" s="199" t="s">
        <v>2003</v>
      </c>
      <c r="B309" s="199" t="s">
        <v>632</v>
      </c>
      <c r="C309" s="199" t="s">
        <v>632</v>
      </c>
      <c r="D309" s="199" t="s">
        <v>45</v>
      </c>
      <c r="E309" s="199" t="s">
        <v>2004</v>
      </c>
      <c r="F309" s="199">
        <v>36.7</v>
      </c>
      <c r="G309" s="199">
        <v>62.0</v>
      </c>
      <c r="H309" s="199">
        <v>35.3</v>
      </c>
      <c r="I309" s="199">
        <v>61.4</v>
      </c>
      <c r="J309" s="199">
        <v>67.4</v>
      </c>
      <c r="K309" s="199">
        <v>9.3</v>
      </c>
      <c r="L309" s="199">
        <v>18.9</v>
      </c>
      <c r="M309" s="199">
        <v>2.2</v>
      </c>
      <c r="N309" s="199">
        <v>2.5</v>
      </c>
      <c r="O309" s="199">
        <v>0.3</v>
      </c>
      <c r="P309" s="199">
        <v>22.5</v>
      </c>
      <c r="Q309" s="199">
        <v>26.2</v>
      </c>
      <c r="R309" s="199">
        <v>52.4</v>
      </c>
      <c r="S309" s="199" t="s">
        <v>75</v>
      </c>
      <c r="T309" s="203"/>
      <c r="U309" s="199" t="s">
        <v>1409</v>
      </c>
      <c r="V309" s="199" t="s">
        <v>49</v>
      </c>
      <c r="W309" s="199" t="s">
        <v>73</v>
      </c>
      <c r="X309" s="199" t="s">
        <v>1081</v>
      </c>
      <c r="Y309" s="203"/>
      <c r="Z309" s="203"/>
      <c r="AA309" s="203"/>
      <c r="AB309" s="203"/>
      <c r="AC309" s="203"/>
    </row>
    <row r="310">
      <c r="A310" s="199" t="s">
        <v>2007</v>
      </c>
      <c r="B310" s="199" t="s">
        <v>632</v>
      </c>
      <c r="C310" s="199" t="s">
        <v>632</v>
      </c>
      <c r="D310" s="199" t="s">
        <v>45</v>
      </c>
      <c r="E310" s="199" t="s">
        <v>2008</v>
      </c>
      <c r="F310" s="199">
        <v>38.8</v>
      </c>
      <c r="G310" s="199">
        <v>60.1</v>
      </c>
      <c r="H310" s="199">
        <v>36.7</v>
      </c>
      <c r="I310" s="199">
        <v>59.2</v>
      </c>
      <c r="J310" s="199">
        <v>75.7</v>
      </c>
      <c r="K310" s="199">
        <v>8.2</v>
      </c>
      <c r="L310" s="199">
        <v>12.5</v>
      </c>
      <c r="M310" s="199">
        <v>1.8</v>
      </c>
      <c r="N310" s="199">
        <v>2.1</v>
      </c>
      <c r="O310" s="199">
        <v>0.1</v>
      </c>
      <c r="P310" s="199">
        <v>25.9</v>
      </c>
      <c r="Q310" s="199">
        <v>27.3</v>
      </c>
      <c r="R310" s="199">
        <v>59.6</v>
      </c>
      <c r="S310" s="199" t="s">
        <v>75</v>
      </c>
      <c r="T310" s="203"/>
      <c r="U310" s="199" t="s">
        <v>1409</v>
      </c>
      <c r="V310" s="199" t="s">
        <v>49</v>
      </c>
      <c r="W310" s="199" t="s">
        <v>1060</v>
      </c>
      <c r="X310" s="199" t="s">
        <v>2009</v>
      </c>
      <c r="Y310" s="203"/>
      <c r="Z310" s="203"/>
      <c r="AA310" s="203"/>
      <c r="AB310" s="203"/>
      <c r="AC310" s="203"/>
    </row>
    <row r="311">
      <c r="A311" s="199" t="s">
        <v>2012</v>
      </c>
      <c r="B311" s="199" t="s">
        <v>632</v>
      </c>
      <c r="C311" s="199" t="s">
        <v>632</v>
      </c>
      <c r="D311" s="199" t="s">
        <v>45</v>
      </c>
      <c r="E311" s="199" t="s">
        <v>2013</v>
      </c>
      <c r="F311" s="199">
        <v>43.1</v>
      </c>
      <c r="G311" s="199">
        <v>55.8</v>
      </c>
      <c r="H311" s="199">
        <v>41.7</v>
      </c>
      <c r="I311" s="199">
        <v>54.6</v>
      </c>
      <c r="J311" s="199">
        <v>64.9</v>
      </c>
      <c r="K311" s="199">
        <v>6.3</v>
      </c>
      <c r="L311" s="199">
        <v>19.0</v>
      </c>
      <c r="M311" s="199">
        <v>1.6</v>
      </c>
      <c r="N311" s="199">
        <v>8.6</v>
      </c>
      <c r="O311" s="199">
        <v>0.2</v>
      </c>
      <c r="P311" s="199">
        <v>28.0</v>
      </c>
      <c r="Q311" s="199">
        <v>33.2</v>
      </c>
      <c r="R311" s="199">
        <v>45.2</v>
      </c>
      <c r="S311" s="199" t="s">
        <v>75</v>
      </c>
      <c r="T311" s="203"/>
      <c r="U311" s="199" t="s">
        <v>1409</v>
      </c>
      <c r="V311" s="199" t="s">
        <v>49</v>
      </c>
      <c r="W311" s="199" t="s">
        <v>541</v>
      </c>
      <c r="X311" s="199" t="s">
        <v>2014</v>
      </c>
      <c r="Y311" s="203"/>
      <c r="Z311" s="203"/>
      <c r="AA311" s="203"/>
      <c r="AB311" s="203"/>
      <c r="AC311" s="203"/>
    </row>
    <row r="312">
      <c r="A312" s="199" t="s">
        <v>2016</v>
      </c>
      <c r="B312" s="199" t="s">
        <v>632</v>
      </c>
      <c r="C312" s="199" t="s">
        <v>632</v>
      </c>
      <c r="D312" s="199" t="s">
        <v>45</v>
      </c>
      <c r="E312" s="199" t="s">
        <v>2017</v>
      </c>
      <c r="F312" s="199">
        <v>32.4</v>
      </c>
      <c r="G312" s="199">
        <v>66.5</v>
      </c>
      <c r="H312" s="199">
        <v>30.1</v>
      </c>
      <c r="I312" s="199">
        <v>66.4</v>
      </c>
      <c r="J312" s="199">
        <v>72.7</v>
      </c>
      <c r="K312" s="199">
        <v>8.2</v>
      </c>
      <c r="L312" s="199">
        <v>14.5</v>
      </c>
      <c r="M312" s="199">
        <v>2.4</v>
      </c>
      <c r="N312" s="199">
        <v>2.4</v>
      </c>
      <c r="O312" s="199">
        <v>0.1</v>
      </c>
      <c r="P312" s="199">
        <v>24.2</v>
      </c>
      <c r="Q312" s="199">
        <v>25.9</v>
      </c>
      <c r="R312" s="199">
        <v>58.3</v>
      </c>
      <c r="S312" s="199" t="s">
        <v>75</v>
      </c>
      <c r="T312" s="203"/>
      <c r="U312" s="199" t="s">
        <v>1409</v>
      </c>
      <c r="V312" s="199" t="s">
        <v>49</v>
      </c>
      <c r="W312" s="199" t="s">
        <v>811</v>
      </c>
      <c r="X312" s="199" t="s">
        <v>511</v>
      </c>
      <c r="Y312" s="203"/>
      <c r="Z312" s="203"/>
      <c r="AA312" s="203"/>
      <c r="AB312" s="203"/>
      <c r="AC312" s="203"/>
    </row>
    <row r="313">
      <c r="A313" s="199" t="s">
        <v>2019</v>
      </c>
      <c r="B313" s="199" t="s">
        <v>632</v>
      </c>
      <c r="C313" s="199" t="s">
        <v>632</v>
      </c>
      <c r="D313" s="199" t="s">
        <v>45</v>
      </c>
      <c r="E313" s="199" t="s">
        <v>2020</v>
      </c>
      <c r="F313" s="199">
        <v>45.3</v>
      </c>
      <c r="G313" s="199">
        <v>53.3</v>
      </c>
      <c r="H313" s="199">
        <v>44.1</v>
      </c>
      <c r="I313" s="199">
        <v>52.3</v>
      </c>
      <c r="J313" s="199">
        <v>59.0</v>
      </c>
      <c r="K313" s="199">
        <v>10.7</v>
      </c>
      <c r="L313" s="199">
        <v>24.6</v>
      </c>
      <c r="M313" s="199">
        <v>2.8</v>
      </c>
      <c r="N313" s="199">
        <v>3.8</v>
      </c>
      <c r="O313" s="199">
        <v>0.4</v>
      </c>
      <c r="P313" s="199">
        <v>26.6</v>
      </c>
      <c r="Q313" s="199">
        <v>30.5</v>
      </c>
      <c r="R313" s="199">
        <v>44.0</v>
      </c>
      <c r="S313" s="199" t="s">
        <v>75</v>
      </c>
      <c r="T313" s="203"/>
      <c r="U313" s="199" t="s">
        <v>1409</v>
      </c>
      <c r="V313" s="199" t="s">
        <v>49</v>
      </c>
      <c r="W313" s="199" t="s">
        <v>1479</v>
      </c>
      <c r="X313" s="199" t="s">
        <v>2021</v>
      </c>
      <c r="Y313" s="203"/>
      <c r="Z313" s="203"/>
      <c r="AA313" s="203"/>
      <c r="AB313" s="203"/>
      <c r="AC313" s="203"/>
    </row>
    <row r="314">
      <c r="A314" s="199" t="s">
        <v>2023</v>
      </c>
      <c r="B314" s="199" t="s">
        <v>632</v>
      </c>
      <c r="C314" s="199" t="s">
        <v>632</v>
      </c>
      <c r="D314" s="199" t="s">
        <v>45</v>
      </c>
      <c r="E314" s="199" t="s">
        <v>2024</v>
      </c>
      <c r="F314" s="199">
        <v>29.7</v>
      </c>
      <c r="G314" s="199">
        <v>69.2</v>
      </c>
      <c r="H314" s="199">
        <v>28.2</v>
      </c>
      <c r="I314" s="199">
        <v>68.3</v>
      </c>
      <c r="J314" s="199">
        <v>78.5</v>
      </c>
      <c r="K314" s="199">
        <v>6.3</v>
      </c>
      <c r="L314" s="199">
        <v>10.5</v>
      </c>
      <c r="M314" s="199">
        <v>2.4</v>
      </c>
      <c r="N314" s="199">
        <v>2.3</v>
      </c>
      <c r="O314" s="199">
        <v>0.1</v>
      </c>
      <c r="P314" s="199">
        <v>22.0</v>
      </c>
      <c r="Q314" s="199">
        <v>23.6</v>
      </c>
      <c r="R314" s="199">
        <v>63.9</v>
      </c>
      <c r="S314" s="199" t="s">
        <v>75</v>
      </c>
      <c r="T314" s="203"/>
      <c r="U314" s="199" t="s">
        <v>1409</v>
      </c>
      <c r="V314" s="199" t="s">
        <v>49</v>
      </c>
      <c r="W314" s="199" t="s">
        <v>2025</v>
      </c>
      <c r="X314" s="199" t="s">
        <v>2026</v>
      </c>
      <c r="Y314" s="203"/>
      <c r="Z314" s="203"/>
      <c r="AA314" s="203"/>
      <c r="AB314" s="203"/>
      <c r="AC314" s="203"/>
    </row>
    <row r="315">
      <c r="A315" s="199" t="s">
        <v>2028</v>
      </c>
      <c r="B315" s="199" t="s">
        <v>632</v>
      </c>
      <c r="C315" s="199" t="s">
        <v>632</v>
      </c>
      <c r="D315" s="199" t="s">
        <v>45</v>
      </c>
      <c r="E315" s="199" t="s">
        <v>2029</v>
      </c>
      <c r="F315" s="199">
        <v>44.3</v>
      </c>
      <c r="G315" s="199">
        <v>54.4</v>
      </c>
      <c r="H315" s="199">
        <v>40.1</v>
      </c>
      <c r="I315" s="199">
        <v>55.2</v>
      </c>
      <c r="J315" s="199">
        <v>84.7</v>
      </c>
      <c r="K315" s="199">
        <v>6.2</v>
      </c>
      <c r="L315" s="199">
        <v>4.0</v>
      </c>
      <c r="M315" s="199">
        <v>1.3</v>
      </c>
      <c r="N315" s="199">
        <v>3.5</v>
      </c>
      <c r="O315" s="199">
        <v>0.2</v>
      </c>
      <c r="P315" s="199">
        <v>32.2</v>
      </c>
      <c r="Q315" s="199">
        <v>33.7</v>
      </c>
      <c r="R315" s="199">
        <v>59.8</v>
      </c>
      <c r="S315" s="199" t="s">
        <v>75</v>
      </c>
      <c r="T315" s="203"/>
      <c r="U315" s="199" t="s">
        <v>1409</v>
      </c>
      <c r="V315" s="199" t="s">
        <v>159</v>
      </c>
      <c r="W315" s="199" t="s">
        <v>1527</v>
      </c>
      <c r="X315" s="199" t="s">
        <v>2031</v>
      </c>
      <c r="Y315" s="203"/>
      <c r="Z315" s="203"/>
      <c r="AA315" s="203"/>
      <c r="AB315" s="203"/>
      <c r="AC315" s="203"/>
    </row>
    <row r="316">
      <c r="A316" s="199" t="s">
        <v>2033</v>
      </c>
      <c r="B316" s="199" t="s">
        <v>632</v>
      </c>
      <c r="C316" s="199" t="s">
        <v>632</v>
      </c>
      <c r="D316" s="199" t="s">
        <v>45</v>
      </c>
      <c r="E316" s="199" t="s">
        <v>2034</v>
      </c>
      <c r="F316" s="199">
        <v>31.9</v>
      </c>
      <c r="G316" s="199">
        <v>65.5</v>
      </c>
      <c r="H316" s="199">
        <v>27.7</v>
      </c>
      <c r="I316" s="199">
        <v>64.1</v>
      </c>
      <c r="J316" s="199">
        <v>84.4</v>
      </c>
      <c r="K316" s="199">
        <v>3.6</v>
      </c>
      <c r="L316" s="199">
        <v>3.6</v>
      </c>
      <c r="M316" s="199">
        <v>2.2</v>
      </c>
      <c r="N316" s="199">
        <v>5.9</v>
      </c>
      <c r="O316" s="199">
        <v>0.2</v>
      </c>
      <c r="P316" s="199">
        <v>30.7</v>
      </c>
      <c r="Q316" s="199">
        <v>31.8</v>
      </c>
      <c r="R316" s="199">
        <v>60.4</v>
      </c>
      <c r="S316" s="199" t="s">
        <v>75</v>
      </c>
      <c r="T316" s="203"/>
      <c r="U316" s="199" t="s">
        <v>1409</v>
      </c>
      <c r="V316" s="199" t="s">
        <v>49</v>
      </c>
      <c r="W316" s="199" t="s">
        <v>571</v>
      </c>
      <c r="X316" s="199" t="s">
        <v>2035</v>
      </c>
      <c r="Y316" s="203"/>
      <c r="Z316" s="203"/>
      <c r="AA316" s="203"/>
      <c r="AB316" s="203"/>
      <c r="AC316" s="203"/>
    </row>
    <row r="317">
      <c r="A317" s="199" t="s">
        <v>1920</v>
      </c>
      <c r="B317" s="199" t="s">
        <v>632</v>
      </c>
      <c r="C317" s="199" t="s">
        <v>632</v>
      </c>
      <c r="D317" s="199" t="s">
        <v>45</v>
      </c>
      <c r="E317" s="199" t="s">
        <v>1921</v>
      </c>
      <c r="F317" s="199">
        <v>43.3</v>
      </c>
      <c r="G317" s="199">
        <v>54.3</v>
      </c>
      <c r="H317" s="199">
        <v>37.6</v>
      </c>
      <c r="I317" s="199">
        <v>55.9</v>
      </c>
      <c r="J317" s="199">
        <v>81.1</v>
      </c>
      <c r="K317" s="199">
        <v>9.0</v>
      </c>
      <c r="L317" s="199">
        <v>4.0</v>
      </c>
      <c r="M317" s="199">
        <v>3.7</v>
      </c>
      <c r="N317" s="199">
        <v>2.1</v>
      </c>
      <c r="O317" s="199">
        <v>0.2</v>
      </c>
      <c r="P317" s="199">
        <v>34.5</v>
      </c>
      <c r="Q317" s="199">
        <v>36.1</v>
      </c>
      <c r="R317" s="199">
        <v>55.9</v>
      </c>
      <c r="S317" s="199" t="s">
        <v>75</v>
      </c>
      <c r="T317" s="203"/>
      <c r="U317" s="199" t="s">
        <v>1409</v>
      </c>
      <c r="V317" s="199" t="s">
        <v>49</v>
      </c>
      <c r="W317" s="199" t="s">
        <v>95</v>
      </c>
      <c r="X317" s="199" t="s">
        <v>1922</v>
      </c>
      <c r="Y317" s="203"/>
      <c r="Z317" s="203"/>
      <c r="AA317" s="203"/>
      <c r="AB317" s="203"/>
      <c r="AC317" s="203"/>
    </row>
    <row r="318">
      <c r="A318" s="199" t="s">
        <v>1924</v>
      </c>
      <c r="B318" s="199" t="s">
        <v>632</v>
      </c>
      <c r="C318" s="199" t="s">
        <v>632</v>
      </c>
      <c r="D318" s="199" t="s">
        <v>45</v>
      </c>
      <c r="E318" s="199" t="s">
        <v>1925</v>
      </c>
      <c r="F318" s="199">
        <v>52.2</v>
      </c>
      <c r="G318" s="199">
        <v>45.8</v>
      </c>
      <c r="H318" s="199">
        <v>46.2</v>
      </c>
      <c r="I318" s="199">
        <v>48.1</v>
      </c>
      <c r="J318" s="199">
        <v>71.9</v>
      </c>
      <c r="K318" s="199">
        <v>10.6</v>
      </c>
      <c r="L318" s="199">
        <v>10.5</v>
      </c>
      <c r="M318" s="199">
        <v>4.9</v>
      </c>
      <c r="N318" s="199">
        <v>2.3</v>
      </c>
      <c r="O318" s="199">
        <v>0.2</v>
      </c>
      <c r="P318" s="199">
        <v>40.4</v>
      </c>
      <c r="Q318" s="199">
        <v>45.2</v>
      </c>
      <c r="R318" s="199">
        <v>44.2</v>
      </c>
      <c r="S318" s="199" t="s">
        <v>75</v>
      </c>
      <c r="T318" s="203"/>
      <c r="U318" s="199" t="s">
        <v>1409</v>
      </c>
      <c r="V318" s="199" t="s">
        <v>49</v>
      </c>
      <c r="W318" s="199" t="s">
        <v>1072</v>
      </c>
      <c r="X318" s="199" t="s">
        <v>1927</v>
      </c>
      <c r="Y318" s="203"/>
      <c r="Z318" s="203"/>
      <c r="AA318" s="203"/>
      <c r="AB318" s="203"/>
      <c r="AC318" s="203"/>
    </row>
    <row r="319">
      <c r="A319" s="199" t="s">
        <v>1929</v>
      </c>
      <c r="B319" s="199" t="s">
        <v>632</v>
      </c>
      <c r="C319" s="199" t="s">
        <v>632</v>
      </c>
      <c r="D319" s="199" t="s">
        <v>45</v>
      </c>
      <c r="E319" s="199" t="s">
        <v>1930</v>
      </c>
      <c r="F319" s="199">
        <v>23.1</v>
      </c>
      <c r="G319" s="199">
        <v>74.9</v>
      </c>
      <c r="H319" s="199">
        <v>20.6</v>
      </c>
      <c r="I319" s="199">
        <v>74.2</v>
      </c>
      <c r="J319" s="199">
        <v>84.5</v>
      </c>
      <c r="K319" s="199">
        <v>10.0</v>
      </c>
      <c r="L319" s="199">
        <v>1.6</v>
      </c>
      <c r="M319" s="199">
        <v>1.1</v>
      </c>
      <c r="N319" s="199">
        <v>2.8</v>
      </c>
      <c r="O319" s="199">
        <v>0.2</v>
      </c>
      <c r="P319" s="199">
        <v>23.2</v>
      </c>
      <c r="Q319" s="199">
        <v>24.9</v>
      </c>
      <c r="R319" s="199">
        <v>67.3</v>
      </c>
      <c r="S319" s="199" t="s">
        <v>75</v>
      </c>
      <c r="T319" s="203"/>
      <c r="U319" s="199" t="s">
        <v>1409</v>
      </c>
      <c r="V319" s="199" t="s">
        <v>49</v>
      </c>
      <c r="W319" s="199" t="s">
        <v>1931</v>
      </c>
      <c r="X319" s="199" t="s">
        <v>877</v>
      </c>
      <c r="Y319" s="203"/>
      <c r="Z319" s="203"/>
      <c r="AA319" s="203"/>
      <c r="AB319" s="203"/>
      <c r="AC319" s="203"/>
    </row>
    <row r="320">
      <c r="A320" s="199" t="s">
        <v>1940</v>
      </c>
      <c r="B320" s="199" t="s">
        <v>632</v>
      </c>
      <c r="C320" s="199" t="s">
        <v>632</v>
      </c>
      <c r="D320" s="199" t="s">
        <v>45</v>
      </c>
      <c r="E320" s="199" t="s">
        <v>1941</v>
      </c>
      <c r="F320" s="199">
        <v>46.9</v>
      </c>
      <c r="G320" s="199">
        <v>51.8</v>
      </c>
      <c r="H320" s="199">
        <v>44.8</v>
      </c>
      <c r="I320" s="199">
        <v>51.9</v>
      </c>
      <c r="J320" s="199">
        <v>67.4</v>
      </c>
      <c r="K320" s="199">
        <v>14.8</v>
      </c>
      <c r="L320" s="199">
        <v>12.6</v>
      </c>
      <c r="M320" s="199">
        <v>4.3</v>
      </c>
      <c r="N320" s="199">
        <v>2.0</v>
      </c>
      <c r="O320" s="199">
        <v>0.2</v>
      </c>
      <c r="P320" s="199">
        <v>28.0</v>
      </c>
      <c r="Q320" s="199">
        <v>32.0</v>
      </c>
      <c r="R320" s="199">
        <v>49.6</v>
      </c>
      <c r="S320" s="199" t="s">
        <v>75</v>
      </c>
      <c r="T320" s="203"/>
      <c r="U320" s="199" t="s">
        <v>1409</v>
      </c>
      <c r="V320" s="199" t="s">
        <v>49</v>
      </c>
      <c r="W320" s="199" t="s">
        <v>529</v>
      </c>
      <c r="X320" s="199" t="s">
        <v>1942</v>
      </c>
      <c r="Y320" s="203"/>
      <c r="Z320" s="203"/>
      <c r="AA320" s="203"/>
      <c r="AB320" s="203"/>
      <c r="AC320" s="203"/>
    </row>
    <row r="321">
      <c r="A321" s="199" t="s">
        <v>1944</v>
      </c>
      <c r="B321" s="199" t="s">
        <v>632</v>
      </c>
      <c r="C321" s="199" t="s">
        <v>632</v>
      </c>
      <c r="D321" s="199" t="s">
        <v>45</v>
      </c>
      <c r="E321" s="199" t="s">
        <v>1945</v>
      </c>
      <c r="F321" s="199">
        <v>38.1</v>
      </c>
      <c r="G321" s="199">
        <v>60.6</v>
      </c>
      <c r="H321" s="199">
        <v>34.5</v>
      </c>
      <c r="I321" s="199">
        <v>62.4</v>
      </c>
      <c r="J321" s="199">
        <v>82.0</v>
      </c>
      <c r="K321" s="199">
        <v>9.1</v>
      </c>
      <c r="L321" s="199">
        <v>4.2</v>
      </c>
      <c r="M321" s="199">
        <v>3.3</v>
      </c>
      <c r="N321" s="199">
        <v>1.1</v>
      </c>
      <c r="O321" s="199">
        <v>0.1</v>
      </c>
      <c r="P321" s="199">
        <v>37.2</v>
      </c>
      <c r="Q321" s="199">
        <v>38.4</v>
      </c>
      <c r="R321" s="199">
        <v>53.5</v>
      </c>
      <c r="S321" s="199" t="s">
        <v>75</v>
      </c>
      <c r="T321" s="203"/>
      <c r="U321" s="199" t="s">
        <v>1409</v>
      </c>
      <c r="V321" s="199" t="s">
        <v>49</v>
      </c>
      <c r="W321" s="199" t="s">
        <v>643</v>
      </c>
      <c r="X321" s="199" t="s">
        <v>877</v>
      </c>
      <c r="Y321" s="203"/>
      <c r="Z321" s="203"/>
      <c r="AA321" s="203"/>
      <c r="AB321" s="203"/>
      <c r="AC321" s="203"/>
    </row>
    <row r="322">
      <c r="A322" s="199" t="s">
        <v>1947</v>
      </c>
      <c r="B322" s="199" t="s">
        <v>43</v>
      </c>
      <c r="C322" s="199" t="s">
        <v>632</v>
      </c>
      <c r="D322" s="199" t="s">
        <v>397</v>
      </c>
      <c r="E322" s="199" t="s">
        <v>1948</v>
      </c>
      <c r="F322" s="199">
        <v>51.1</v>
      </c>
      <c r="G322" s="199">
        <v>47.3</v>
      </c>
      <c r="H322" s="199">
        <v>45.2</v>
      </c>
      <c r="I322" s="199">
        <v>50.8</v>
      </c>
      <c r="J322" s="199">
        <v>73.5</v>
      </c>
      <c r="K322" s="199">
        <v>10.8</v>
      </c>
      <c r="L322" s="199">
        <v>5.9</v>
      </c>
      <c r="M322" s="199">
        <v>8.7</v>
      </c>
      <c r="N322" s="199">
        <v>1.1</v>
      </c>
      <c r="O322" s="199">
        <v>0.1</v>
      </c>
      <c r="P322" s="199">
        <v>52.1</v>
      </c>
      <c r="Q322" s="199">
        <v>53.1</v>
      </c>
      <c r="R322" s="199">
        <v>37.5</v>
      </c>
      <c r="S322" s="199" t="s">
        <v>75</v>
      </c>
      <c r="T322" s="203"/>
      <c r="U322" s="199" t="s">
        <v>1409</v>
      </c>
      <c r="V322" s="199" t="s">
        <v>970</v>
      </c>
      <c r="W322" s="199" t="s">
        <v>1486</v>
      </c>
      <c r="X322" s="199" t="s">
        <v>1949</v>
      </c>
      <c r="Y322" s="203"/>
      <c r="Z322" s="203"/>
      <c r="AA322" s="203"/>
      <c r="AB322" s="203"/>
      <c r="AC322" s="203"/>
    </row>
    <row r="323">
      <c r="A323" s="199" t="s">
        <v>1933</v>
      </c>
      <c r="B323" s="199" t="s">
        <v>632</v>
      </c>
      <c r="C323" s="199" t="s">
        <v>632</v>
      </c>
      <c r="D323" s="199" t="s">
        <v>45</v>
      </c>
      <c r="E323" s="199" t="s">
        <v>1934</v>
      </c>
      <c r="F323" s="199">
        <v>43.1</v>
      </c>
      <c r="G323" s="199">
        <v>54.1</v>
      </c>
      <c r="H323" s="199">
        <v>39.2</v>
      </c>
      <c r="I323" s="199">
        <v>52.5</v>
      </c>
      <c r="J323" s="199">
        <v>66.8</v>
      </c>
      <c r="K323" s="199">
        <v>19.8</v>
      </c>
      <c r="L323" s="199">
        <v>2.8</v>
      </c>
      <c r="M323" s="199">
        <v>6.0</v>
      </c>
      <c r="N323" s="199">
        <v>4.5</v>
      </c>
      <c r="O323" s="199">
        <v>0.9</v>
      </c>
      <c r="P323" s="199">
        <v>27.3</v>
      </c>
      <c r="Q323" s="199">
        <v>30.5</v>
      </c>
      <c r="R323" s="199">
        <v>52.0</v>
      </c>
      <c r="S323" s="199" t="s">
        <v>75</v>
      </c>
      <c r="T323" s="203"/>
      <c r="U323" s="199" t="s">
        <v>1409</v>
      </c>
      <c r="V323" s="199" t="s">
        <v>49</v>
      </c>
      <c r="W323" s="199" t="s">
        <v>127</v>
      </c>
      <c r="X323" s="199" t="s">
        <v>1935</v>
      </c>
      <c r="Y323" s="203"/>
      <c r="Z323" s="203"/>
      <c r="AA323" s="203"/>
      <c r="AB323" s="203"/>
      <c r="AC323" s="203"/>
    </row>
    <row r="324">
      <c r="A324" s="199" t="s">
        <v>1951</v>
      </c>
      <c r="B324" s="199" t="s">
        <v>632</v>
      </c>
      <c r="C324" s="199" t="s">
        <v>632</v>
      </c>
      <c r="D324" s="199" t="s">
        <v>45</v>
      </c>
      <c r="E324" s="199" t="s">
        <v>1952</v>
      </c>
      <c r="F324" s="199">
        <v>49.5</v>
      </c>
      <c r="G324" s="199">
        <v>49.3</v>
      </c>
      <c r="H324" s="199">
        <v>44.0</v>
      </c>
      <c r="I324" s="199">
        <v>51.9</v>
      </c>
      <c r="J324" s="199">
        <v>74.3</v>
      </c>
      <c r="K324" s="199">
        <v>13.4</v>
      </c>
      <c r="L324" s="199">
        <v>5.5</v>
      </c>
      <c r="M324" s="199">
        <v>5.8</v>
      </c>
      <c r="N324" s="199">
        <v>1.3</v>
      </c>
      <c r="O324" s="199">
        <v>0.1</v>
      </c>
      <c r="P324" s="199">
        <v>44.8</v>
      </c>
      <c r="Q324" s="199">
        <v>47.1</v>
      </c>
      <c r="R324" s="199">
        <v>43.5</v>
      </c>
      <c r="S324" s="199" t="s">
        <v>75</v>
      </c>
      <c r="T324" s="203"/>
      <c r="U324" s="199" t="s">
        <v>1409</v>
      </c>
      <c r="V324" s="199" t="s">
        <v>159</v>
      </c>
      <c r="W324" s="199" t="s">
        <v>1953</v>
      </c>
      <c r="X324" s="199" t="s">
        <v>1954</v>
      </c>
      <c r="Y324" s="203"/>
      <c r="Z324" s="203"/>
      <c r="AA324" s="203"/>
      <c r="AB324" s="203"/>
      <c r="AC324" s="203"/>
    </row>
    <row r="325">
      <c r="A325" s="199" t="s">
        <v>1956</v>
      </c>
      <c r="B325" s="199" t="s">
        <v>632</v>
      </c>
      <c r="C325" s="199" t="s">
        <v>632</v>
      </c>
      <c r="D325" s="199" t="s">
        <v>45</v>
      </c>
      <c r="E325" s="199" t="s">
        <v>1957</v>
      </c>
      <c r="F325" s="199">
        <v>48.7</v>
      </c>
      <c r="G325" s="199">
        <v>50.2</v>
      </c>
      <c r="H325" s="199">
        <v>44.8</v>
      </c>
      <c r="I325" s="199">
        <v>51.4</v>
      </c>
      <c r="J325" s="199">
        <v>59.5</v>
      </c>
      <c r="K325" s="199">
        <v>24.8</v>
      </c>
      <c r="L325" s="199">
        <v>11.6</v>
      </c>
      <c r="M325" s="199">
        <v>3.9</v>
      </c>
      <c r="N325" s="199">
        <v>1.8</v>
      </c>
      <c r="O325" s="199">
        <v>0.1</v>
      </c>
      <c r="P325" s="199">
        <v>30.3</v>
      </c>
      <c r="Q325" s="199">
        <v>34.3</v>
      </c>
      <c r="R325" s="199">
        <v>44.3</v>
      </c>
      <c r="S325" s="199" t="s">
        <v>75</v>
      </c>
      <c r="T325" s="203"/>
      <c r="U325" s="199" t="s">
        <v>1409</v>
      </c>
      <c r="V325" s="199" t="s">
        <v>49</v>
      </c>
      <c r="W325" s="199" t="s">
        <v>1646</v>
      </c>
      <c r="X325" s="199" t="s">
        <v>1958</v>
      </c>
      <c r="Y325" s="203"/>
      <c r="Z325" s="203"/>
      <c r="AA325" s="203"/>
      <c r="AB325" s="203"/>
      <c r="AC325" s="203"/>
    </row>
    <row r="326">
      <c r="A326" s="199" t="s">
        <v>1960</v>
      </c>
      <c r="B326" s="199" t="s">
        <v>43</v>
      </c>
      <c r="C326" s="199" t="s">
        <v>632</v>
      </c>
      <c r="D326" s="199" t="s">
        <v>397</v>
      </c>
      <c r="E326" s="199" t="s">
        <v>1961</v>
      </c>
      <c r="F326" s="199">
        <v>53.6</v>
      </c>
      <c r="G326" s="199">
        <v>45.4</v>
      </c>
      <c r="H326" s="199">
        <v>50.8</v>
      </c>
      <c r="I326" s="199">
        <v>45.7</v>
      </c>
      <c r="J326" s="199">
        <v>58.3</v>
      </c>
      <c r="K326" s="199">
        <v>12.8</v>
      </c>
      <c r="L326" s="199">
        <v>4.5</v>
      </c>
      <c r="M326" s="199">
        <v>23.6</v>
      </c>
      <c r="N326" s="199">
        <v>0.8</v>
      </c>
      <c r="O326" s="199">
        <v>0.1</v>
      </c>
      <c r="P326" s="199">
        <v>49.5</v>
      </c>
      <c r="Q326" s="199">
        <v>51.1</v>
      </c>
      <c r="R326" s="199">
        <v>33.0</v>
      </c>
      <c r="S326" s="199" t="s">
        <v>1964</v>
      </c>
      <c r="T326" s="203"/>
      <c r="U326" s="199" t="s">
        <v>1409</v>
      </c>
      <c r="V326" s="199" t="s">
        <v>159</v>
      </c>
      <c r="W326" s="199" t="s">
        <v>1962</v>
      </c>
      <c r="X326" s="199" t="s">
        <v>1963</v>
      </c>
      <c r="Y326" s="203"/>
      <c r="Z326" s="203"/>
      <c r="AA326" s="203"/>
      <c r="AB326" s="203"/>
      <c r="AC326" s="203"/>
    </row>
    <row r="327">
      <c r="A327" s="199" t="s">
        <v>1966</v>
      </c>
      <c r="B327" s="199" t="s">
        <v>43</v>
      </c>
      <c r="C327" s="199" t="s">
        <v>632</v>
      </c>
      <c r="D327" s="199" t="s">
        <v>397</v>
      </c>
      <c r="E327" s="199" t="s">
        <v>1967</v>
      </c>
      <c r="F327" s="199">
        <v>56.8</v>
      </c>
      <c r="G327" s="199">
        <v>42.2</v>
      </c>
      <c r="H327" s="199">
        <v>54.3</v>
      </c>
      <c r="I327" s="199">
        <v>42.2</v>
      </c>
      <c r="J327" s="199">
        <v>52.9</v>
      </c>
      <c r="K327" s="199">
        <v>20.3</v>
      </c>
      <c r="L327" s="199">
        <v>18.9</v>
      </c>
      <c r="M327" s="199">
        <v>7.8</v>
      </c>
      <c r="N327" s="199">
        <v>1.3</v>
      </c>
      <c r="O327" s="199">
        <v>0.1</v>
      </c>
      <c r="P327" s="199">
        <v>42.4</v>
      </c>
      <c r="Q327" s="199">
        <v>50.5</v>
      </c>
      <c r="R327" s="199">
        <v>29.6</v>
      </c>
      <c r="S327" s="199" t="s">
        <v>75</v>
      </c>
      <c r="T327" s="203"/>
      <c r="U327" s="199" t="s">
        <v>1409</v>
      </c>
      <c r="V327" s="199" t="s">
        <v>159</v>
      </c>
      <c r="W327" s="199" t="s">
        <v>1969</v>
      </c>
      <c r="X327" s="199" t="s">
        <v>1970</v>
      </c>
      <c r="Y327" s="203"/>
      <c r="Z327" s="203"/>
      <c r="AA327" s="203"/>
      <c r="AB327" s="203"/>
      <c r="AC327" s="203"/>
    </row>
    <row r="328">
      <c r="A328" s="199" t="s">
        <v>1972</v>
      </c>
      <c r="B328" s="199" t="s">
        <v>632</v>
      </c>
      <c r="C328" s="199" t="s">
        <v>632</v>
      </c>
      <c r="D328" s="199" t="s">
        <v>45</v>
      </c>
      <c r="E328" s="199" t="s">
        <v>1973</v>
      </c>
      <c r="F328" s="199">
        <v>45.7</v>
      </c>
      <c r="G328" s="199">
        <v>53.4</v>
      </c>
      <c r="H328" s="199">
        <v>44.4</v>
      </c>
      <c r="I328" s="199">
        <v>52.3</v>
      </c>
      <c r="J328" s="199">
        <v>54.1</v>
      </c>
      <c r="K328" s="199">
        <v>16.5</v>
      </c>
      <c r="L328" s="199">
        <v>8.2</v>
      </c>
      <c r="M328" s="199">
        <v>21.7</v>
      </c>
      <c r="N328" s="199">
        <v>1.5</v>
      </c>
      <c r="O328" s="199">
        <v>0.2</v>
      </c>
      <c r="P328" s="199">
        <v>35.5</v>
      </c>
      <c r="Q328" s="199">
        <v>39.8</v>
      </c>
      <c r="R328" s="199">
        <v>37.4</v>
      </c>
      <c r="S328" s="199" t="s">
        <v>1976</v>
      </c>
      <c r="T328" s="203"/>
      <c r="U328" s="199" t="s">
        <v>1409</v>
      </c>
      <c r="V328" s="199" t="s">
        <v>49</v>
      </c>
      <c r="W328" s="199" t="s">
        <v>1974</v>
      </c>
      <c r="X328" s="199" t="s">
        <v>1975</v>
      </c>
      <c r="Y328" s="203"/>
      <c r="Z328" s="203"/>
      <c r="AA328" s="203"/>
      <c r="AB328" s="203"/>
      <c r="AC328" s="203"/>
    </row>
    <row r="329">
      <c r="A329" s="199" t="s">
        <v>1978</v>
      </c>
      <c r="B329" s="199" t="s">
        <v>43</v>
      </c>
      <c r="C329" s="199" t="s">
        <v>632</v>
      </c>
      <c r="D329" s="199" t="s">
        <v>397</v>
      </c>
      <c r="E329" s="199" t="s">
        <v>1979</v>
      </c>
      <c r="F329" s="199">
        <v>54.5</v>
      </c>
      <c r="G329" s="199">
        <v>44.4</v>
      </c>
      <c r="H329" s="199">
        <v>52.0</v>
      </c>
      <c r="I329" s="199">
        <v>43.9</v>
      </c>
      <c r="J329" s="199">
        <v>65.8</v>
      </c>
      <c r="K329" s="199">
        <v>18.4</v>
      </c>
      <c r="L329" s="199">
        <v>9.4</v>
      </c>
      <c r="M329" s="199">
        <v>6.0</v>
      </c>
      <c r="N329" s="199">
        <v>1.3</v>
      </c>
      <c r="O329" s="199">
        <v>0.1</v>
      </c>
      <c r="P329" s="199">
        <v>46.6</v>
      </c>
      <c r="Q329" s="199">
        <v>51.8</v>
      </c>
      <c r="R329" s="199">
        <v>35.5</v>
      </c>
      <c r="S329" s="199" t="s">
        <v>75</v>
      </c>
      <c r="T329" s="203"/>
      <c r="U329" s="199" t="s">
        <v>1409</v>
      </c>
      <c r="V329" s="199" t="s">
        <v>970</v>
      </c>
      <c r="W329" s="199" t="s">
        <v>95</v>
      </c>
      <c r="X329" s="199" t="s">
        <v>1980</v>
      </c>
      <c r="Y329" s="203"/>
      <c r="Z329" s="203"/>
      <c r="AA329" s="203"/>
      <c r="AB329" s="203"/>
      <c r="AC329" s="203"/>
    </row>
    <row r="330">
      <c r="A330" s="199" t="s">
        <v>1982</v>
      </c>
      <c r="B330" s="199" t="s">
        <v>43</v>
      </c>
      <c r="C330" s="199" t="s">
        <v>632</v>
      </c>
      <c r="D330" s="199" t="s">
        <v>397</v>
      </c>
      <c r="E330" s="199" t="s">
        <v>1983</v>
      </c>
      <c r="F330" s="199">
        <v>51.3</v>
      </c>
      <c r="G330" s="199">
        <v>46.7</v>
      </c>
      <c r="H330" s="199">
        <v>45.8</v>
      </c>
      <c r="I330" s="199">
        <v>47.5</v>
      </c>
      <c r="J330" s="199">
        <v>82.0</v>
      </c>
      <c r="K330" s="199">
        <v>5.7</v>
      </c>
      <c r="L330" s="199">
        <v>5.4</v>
      </c>
      <c r="M330" s="199">
        <v>4.3</v>
      </c>
      <c r="N330" s="199">
        <v>2.0</v>
      </c>
      <c r="O330" s="199">
        <v>0.1</v>
      </c>
      <c r="P330" s="199">
        <v>30.7</v>
      </c>
      <c r="Q330" s="199">
        <v>31.0</v>
      </c>
      <c r="R330" s="199">
        <v>60.8</v>
      </c>
      <c r="S330" s="199" t="s">
        <v>75</v>
      </c>
      <c r="T330" s="203"/>
      <c r="U330" s="199" t="s">
        <v>1409</v>
      </c>
      <c r="V330" s="199" t="s">
        <v>159</v>
      </c>
      <c r="W330" s="199" t="s">
        <v>1297</v>
      </c>
      <c r="X330" s="199" t="s">
        <v>1986</v>
      </c>
      <c r="Y330" s="203"/>
      <c r="Z330" s="203"/>
      <c r="AA330" s="203"/>
      <c r="AB330" s="203"/>
      <c r="AC330" s="203"/>
    </row>
    <row r="331">
      <c r="A331" s="199" t="s">
        <v>1988</v>
      </c>
      <c r="B331" s="199" t="s">
        <v>632</v>
      </c>
      <c r="C331" s="199" t="s">
        <v>632</v>
      </c>
      <c r="D331" s="199" t="s">
        <v>45</v>
      </c>
      <c r="E331" s="199" t="s">
        <v>1989</v>
      </c>
      <c r="F331" s="199">
        <v>42.8</v>
      </c>
      <c r="G331" s="199">
        <v>55.2</v>
      </c>
      <c r="H331" s="199">
        <v>38.6</v>
      </c>
      <c r="I331" s="199">
        <v>54.3</v>
      </c>
      <c r="J331" s="199">
        <v>88.1</v>
      </c>
      <c r="K331" s="199">
        <v>3.6</v>
      </c>
      <c r="L331" s="199">
        <v>3.4</v>
      </c>
      <c r="M331" s="199">
        <v>1.4</v>
      </c>
      <c r="N331" s="199">
        <v>2.7</v>
      </c>
      <c r="O331" s="199">
        <v>0.1</v>
      </c>
      <c r="P331" s="199">
        <v>24.8</v>
      </c>
      <c r="Q331" s="199">
        <v>25.3</v>
      </c>
      <c r="R331" s="199">
        <v>68.5</v>
      </c>
      <c r="S331" s="199" t="s">
        <v>75</v>
      </c>
      <c r="T331" s="203"/>
      <c r="U331" s="199" t="s">
        <v>1409</v>
      </c>
      <c r="V331" s="199" t="s">
        <v>49</v>
      </c>
      <c r="W331" s="199" t="s">
        <v>1990</v>
      </c>
      <c r="X331" s="199" t="s">
        <v>1991</v>
      </c>
      <c r="Y331" s="203"/>
      <c r="Z331" s="203"/>
      <c r="AA331" s="203"/>
      <c r="AB331" s="203"/>
      <c r="AC331" s="203"/>
    </row>
    <row r="332">
      <c r="A332" s="199" t="s">
        <v>1993</v>
      </c>
      <c r="B332" s="199" t="s">
        <v>632</v>
      </c>
      <c r="C332" s="199" t="s">
        <v>632</v>
      </c>
      <c r="D332" s="199" t="s">
        <v>45</v>
      </c>
      <c r="E332" s="199" t="s">
        <v>1994</v>
      </c>
      <c r="F332" s="199">
        <v>40.4</v>
      </c>
      <c r="G332" s="199">
        <v>57.6</v>
      </c>
      <c r="H332" s="199">
        <v>35.1</v>
      </c>
      <c r="I332" s="199">
        <v>59.2</v>
      </c>
      <c r="J332" s="199">
        <v>89.7</v>
      </c>
      <c r="K332" s="199">
        <v>3.1</v>
      </c>
      <c r="L332" s="199">
        <v>3.0</v>
      </c>
      <c r="M332" s="199">
        <v>1.4</v>
      </c>
      <c r="N332" s="199">
        <v>2.1</v>
      </c>
      <c r="O332" s="199">
        <v>0.1</v>
      </c>
      <c r="P332" s="199">
        <v>28.2</v>
      </c>
      <c r="Q332" s="199">
        <v>28.6</v>
      </c>
      <c r="R332" s="199">
        <v>66.4</v>
      </c>
      <c r="S332" s="199" t="s">
        <v>75</v>
      </c>
      <c r="T332" s="203"/>
      <c r="U332" s="199" t="s">
        <v>1409</v>
      </c>
      <c r="V332" s="199" t="s">
        <v>159</v>
      </c>
      <c r="W332" s="199" t="s">
        <v>1953</v>
      </c>
      <c r="X332" s="199" t="s">
        <v>1995</v>
      </c>
      <c r="Y332" s="203"/>
      <c r="Z332" s="203"/>
      <c r="AA332" s="203"/>
      <c r="AB332" s="203"/>
      <c r="AC332" s="203"/>
    </row>
    <row r="333">
      <c r="A333" s="199" t="s">
        <v>1997</v>
      </c>
      <c r="B333" s="199" t="s">
        <v>632</v>
      </c>
      <c r="C333" s="199" t="s">
        <v>632</v>
      </c>
      <c r="D333" s="199" t="s">
        <v>45</v>
      </c>
      <c r="E333" s="199" t="s">
        <v>1998</v>
      </c>
      <c r="F333" s="199">
        <v>40.3</v>
      </c>
      <c r="G333" s="199">
        <v>57.5</v>
      </c>
      <c r="H333" s="199">
        <v>35.8</v>
      </c>
      <c r="I333" s="199">
        <v>57.2</v>
      </c>
      <c r="J333" s="199">
        <v>88.7</v>
      </c>
      <c r="K333" s="199">
        <v>3.6</v>
      </c>
      <c r="L333" s="199">
        <v>3.8</v>
      </c>
      <c r="M333" s="199">
        <v>1.1</v>
      </c>
      <c r="N333" s="199">
        <v>2.0</v>
      </c>
      <c r="O333" s="199">
        <v>0.1</v>
      </c>
      <c r="P333" s="199">
        <v>24.1</v>
      </c>
      <c r="Q333" s="199">
        <v>24.7</v>
      </c>
      <c r="R333" s="199">
        <v>69.2</v>
      </c>
      <c r="S333" s="199" t="s">
        <v>75</v>
      </c>
      <c r="T333" s="203"/>
      <c r="U333" s="199" t="s">
        <v>1409</v>
      </c>
      <c r="V333" s="199" t="s">
        <v>49</v>
      </c>
      <c r="W333" s="199" t="s">
        <v>1999</v>
      </c>
      <c r="X333" s="199" t="s">
        <v>2000</v>
      </c>
      <c r="Y333" s="203"/>
      <c r="Z333" s="203"/>
      <c r="AA333" s="203"/>
      <c r="AB333" s="203"/>
      <c r="AC333" s="203"/>
    </row>
    <row r="334">
      <c r="A334" s="199" t="s">
        <v>2037</v>
      </c>
      <c r="B334" s="199" t="s">
        <v>632</v>
      </c>
      <c r="C334" s="199" t="s">
        <v>632</v>
      </c>
      <c r="D334" s="199" t="s">
        <v>45</v>
      </c>
      <c r="E334" s="199" t="s">
        <v>2038</v>
      </c>
      <c r="F334" s="199">
        <v>26.6</v>
      </c>
      <c r="G334" s="199">
        <v>72.0</v>
      </c>
      <c r="H334" s="199">
        <v>26.3</v>
      </c>
      <c r="I334" s="199">
        <v>69.7</v>
      </c>
      <c r="J334" s="199">
        <v>92.4</v>
      </c>
      <c r="K334" s="199">
        <v>1.2</v>
      </c>
      <c r="L334" s="199">
        <v>2.7</v>
      </c>
      <c r="M334" s="199">
        <v>0.8</v>
      </c>
      <c r="N334" s="199">
        <v>2.3</v>
      </c>
      <c r="O334" s="199">
        <v>0.1</v>
      </c>
      <c r="P334" s="199">
        <v>19.2</v>
      </c>
      <c r="Q334" s="199">
        <v>19.1</v>
      </c>
      <c r="R334" s="199">
        <v>76.8</v>
      </c>
      <c r="S334" s="199" t="s">
        <v>75</v>
      </c>
      <c r="T334" s="203"/>
      <c r="U334" s="199" t="s">
        <v>1409</v>
      </c>
      <c r="V334" s="199" t="s">
        <v>49</v>
      </c>
      <c r="W334" s="199" t="s">
        <v>258</v>
      </c>
      <c r="X334" s="199" t="s">
        <v>2040</v>
      </c>
      <c r="Y334" s="203"/>
      <c r="Z334" s="203"/>
      <c r="AA334" s="203"/>
      <c r="AB334" s="203"/>
      <c r="AC334" s="203"/>
    </row>
    <row r="335">
      <c r="A335" s="199" t="s">
        <v>2042</v>
      </c>
      <c r="B335" s="199" t="s">
        <v>632</v>
      </c>
      <c r="C335" s="199" t="s">
        <v>632</v>
      </c>
      <c r="D335" s="199" t="s">
        <v>45</v>
      </c>
      <c r="E335" s="199" t="s">
        <v>2043</v>
      </c>
      <c r="F335" s="199">
        <v>31.4</v>
      </c>
      <c r="G335" s="199">
        <v>67.1</v>
      </c>
      <c r="H335" s="199">
        <v>28.9</v>
      </c>
      <c r="I335" s="199">
        <v>66.4</v>
      </c>
      <c r="J335" s="199">
        <v>86.9</v>
      </c>
      <c r="K335" s="199">
        <v>2.0</v>
      </c>
      <c r="L335" s="199">
        <v>5.6</v>
      </c>
      <c r="M335" s="199">
        <v>3.2</v>
      </c>
      <c r="N335" s="199">
        <v>1.8</v>
      </c>
      <c r="O335" s="199">
        <v>0.1</v>
      </c>
      <c r="P335" s="199">
        <v>26.3</v>
      </c>
      <c r="Q335" s="199">
        <v>25.6</v>
      </c>
      <c r="R335" s="199">
        <v>67.3</v>
      </c>
      <c r="S335" s="199" t="s">
        <v>75</v>
      </c>
      <c r="T335" s="203"/>
      <c r="U335" s="199" t="s">
        <v>1409</v>
      </c>
      <c r="V335" s="199" t="s">
        <v>49</v>
      </c>
      <c r="W335" s="199" t="s">
        <v>426</v>
      </c>
      <c r="X335" s="199" t="s">
        <v>2044</v>
      </c>
      <c r="Y335" s="203"/>
      <c r="Z335" s="203"/>
      <c r="AA335" s="203"/>
      <c r="AB335" s="203"/>
      <c r="AC335" s="203"/>
    </row>
    <row r="336">
      <c r="A336" s="199" t="s">
        <v>2046</v>
      </c>
      <c r="B336" s="199" t="s">
        <v>632</v>
      </c>
      <c r="C336" s="199" t="s">
        <v>632</v>
      </c>
      <c r="D336" s="199" t="s">
        <v>45</v>
      </c>
      <c r="E336" s="199" t="s">
        <v>2047</v>
      </c>
      <c r="F336" s="199">
        <v>35.8</v>
      </c>
      <c r="G336" s="199">
        <v>62.6</v>
      </c>
      <c r="H336" s="199">
        <v>34.9</v>
      </c>
      <c r="I336" s="199">
        <v>59.9</v>
      </c>
      <c r="J336" s="199">
        <v>86.0</v>
      </c>
      <c r="K336" s="199">
        <v>6.0</v>
      </c>
      <c r="L336" s="199">
        <v>4.7</v>
      </c>
      <c r="M336" s="199">
        <v>1.2</v>
      </c>
      <c r="N336" s="199">
        <v>1.8</v>
      </c>
      <c r="O336" s="199">
        <v>0.1</v>
      </c>
      <c r="P336" s="199">
        <v>22.7</v>
      </c>
      <c r="Q336" s="199">
        <v>23.4</v>
      </c>
      <c r="R336" s="199">
        <v>67.7</v>
      </c>
      <c r="S336" s="199" t="s">
        <v>75</v>
      </c>
      <c r="T336" s="203"/>
      <c r="U336" s="199" t="s">
        <v>1409</v>
      </c>
      <c r="V336" s="199" t="s">
        <v>49</v>
      </c>
      <c r="W336" s="199" t="s">
        <v>2048</v>
      </c>
      <c r="X336" s="199" t="s">
        <v>2049</v>
      </c>
      <c r="Y336" s="203"/>
      <c r="Z336" s="203"/>
      <c r="AA336" s="203"/>
      <c r="AB336" s="203"/>
      <c r="AC336" s="203"/>
    </row>
    <row r="337">
      <c r="A337" s="199" t="s">
        <v>2052</v>
      </c>
      <c r="B337" s="199" t="s">
        <v>632</v>
      </c>
      <c r="C337" s="199" t="s">
        <v>632</v>
      </c>
      <c r="D337" s="199" t="s">
        <v>45</v>
      </c>
      <c r="E337" s="199" t="s">
        <v>2053</v>
      </c>
      <c r="F337" s="199">
        <v>35.0</v>
      </c>
      <c r="G337" s="199">
        <v>63.7</v>
      </c>
      <c r="H337" s="199">
        <v>35.7</v>
      </c>
      <c r="I337" s="199">
        <v>60.3</v>
      </c>
      <c r="J337" s="199">
        <v>87.4</v>
      </c>
      <c r="K337" s="199">
        <v>2.6</v>
      </c>
      <c r="L337" s="199">
        <v>6.9</v>
      </c>
      <c r="M337" s="199">
        <v>0.7</v>
      </c>
      <c r="N337" s="199">
        <v>1.9</v>
      </c>
      <c r="O337" s="199">
        <v>0.1</v>
      </c>
      <c r="P337" s="199">
        <v>18.8</v>
      </c>
      <c r="Q337" s="199">
        <v>19.3</v>
      </c>
      <c r="R337" s="199">
        <v>72.5</v>
      </c>
      <c r="S337" s="199" t="s">
        <v>75</v>
      </c>
      <c r="T337" s="203"/>
      <c r="U337" s="199" t="s">
        <v>1409</v>
      </c>
      <c r="V337" s="199" t="s">
        <v>49</v>
      </c>
      <c r="W337" s="199" t="s">
        <v>347</v>
      </c>
      <c r="X337" s="199" t="s">
        <v>517</v>
      </c>
      <c r="Y337" s="203"/>
      <c r="Z337" s="203"/>
      <c r="AA337" s="203"/>
      <c r="AB337" s="203"/>
      <c r="AC337" s="203"/>
    </row>
    <row r="338">
      <c r="A338" s="199" t="s">
        <v>2055</v>
      </c>
      <c r="B338" s="199" t="s">
        <v>632</v>
      </c>
      <c r="C338" s="199" t="s">
        <v>632</v>
      </c>
      <c r="D338" s="199" t="s">
        <v>45</v>
      </c>
      <c r="E338" s="199" t="s">
        <v>2056</v>
      </c>
      <c r="F338" s="199">
        <v>44.8</v>
      </c>
      <c r="G338" s="199">
        <v>54.0</v>
      </c>
      <c r="H338" s="199">
        <v>42.1</v>
      </c>
      <c r="I338" s="199">
        <v>53.6</v>
      </c>
      <c r="J338" s="199">
        <v>88.1</v>
      </c>
      <c r="K338" s="199">
        <v>3.0</v>
      </c>
      <c r="L338" s="199">
        <v>3.6</v>
      </c>
      <c r="M338" s="199">
        <v>3.4</v>
      </c>
      <c r="N338" s="199">
        <v>1.4</v>
      </c>
      <c r="O338" s="199">
        <v>0.1</v>
      </c>
      <c r="P338" s="199">
        <v>35.4</v>
      </c>
      <c r="Q338" s="199">
        <v>34.8</v>
      </c>
      <c r="R338" s="199">
        <v>59.3</v>
      </c>
      <c r="S338" s="199" t="s">
        <v>75</v>
      </c>
      <c r="T338" s="203"/>
      <c r="U338" s="199" t="s">
        <v>1409</v>
      </c>
      <c r="V338" s="199" t="s">
        <v>159</v>
      </c>
      <c r="W338" s="199" t="s">
        <v>2057</v>
      </c>
      <c r="X338" s="199" t="s">
        <v>1691</v>
      </c>
      <c r="Y338" s="203"/>
      <c r="Z338" s="203"/>
      <c r="AA338" s="203"/>
      <c r="AB338" s="203"/>
      <c r="AC338" s="203"/>
    </row>
    <row r="339">
      <c r="A339" s="199" t="s">
        <v>2059</v>
      </c>
      <c r="B339" s="199" t="s">
        <v>632</v>
      </c>
      <c r="C339" s="199" t="s">
        <v>632</v>
      </c>
      <c r="D339" s="199" t="s">
        <v>45</v>
      </c>
      <c r="E339" s="199" t="s">
        <v>2060</v>
      </c>
      <c r="F339" s="199">
        <v>38.3</v>
      </c>
      <c r="G339" s="199">
        <v>60.3</v>
      </c>
      <c r="H339" s="199">
        <v>34.9</v>
      </c>
      <c r="I339" s="199">
        <v>60.9</v>
      </c>
      <c r="J339" s="199">
        <v>77.4</v>
      </c>
      <c r="K339" s="199">
        <v>4.0</v>
      </c>
      <c r="L339" s="199">
        <v>12.9</v>
      </c>
      <c r="M339" s="199">
        <v>3.5</v>
      </c>
      <c r="N339" s="199">
        <v>2.0</v>
      </c>
      <c r="O339" s="199">
        <v>0.1</v>
      </c>
      <c r="P339" s="199">
        <v>28.9</v>
      </c>
      <c r="Q339" s="199">
        <v>29.4</v>
      </c>
      <c r="R339" s="199">
        <v>58.7</v>
      </c>
      <c r="S339" s="199" t="s">
        <v>75</v>
      </c>
      <c r="T339" s="203"/>
      <c r="U339" s="199" t="s">
        <v>1409</v>
      </c>
      <c r="V339" s="199" t="s">
        <v>49</v>
      </c>
      <c r="W339" s="199" t="s">
        <v>676</v>
      </c>
      <c r="X339" s="199" t="s">
        <v>2062</v>
      </c>
      <c r="Y339" s="203"/>
      <c r="Z339" s="203"/>
      <c r="AA339" s="203"/>
      <c r="AB339" s="203"/>
      <c r="AC339" s="203"/>
    </row>
    <row r="340">
      <c r="A340" s="199" t="s">
        <v>2065</v>
      </c>
      <c r="B340" s="199" t="s">
        <v>632</v>
      </c>
      <c r="C340" s="199" t="s">
        <v>632</v>
      </c>
      <c r="D340" s="199" t="s">
        <v>45</v>
      </c>
      <c r="E340" s="199" t="s">
        <v>2066</v>
      </c>
      <c r="F340" s="199">
        <v>47.4</v>
      </c>
      <c r="G340" s="199">
        <v>50.9</v>
      </c>
      <c r="H340" s="199">
        <v>44.6</v>
      </c>
      <c r="I340" s="199">
        <v>50.7</v>
      </c>
      <c r="J340" s="199">
        <v>73.5</v>
      </c>
      <c r="K340" s="199">
        <v>3.1</v>
      </c>
      <c r="L340" s="199">
        <v>17.9</v>
      </c>
      <c r="M340" s="199">
        <v>3.1</v>
      </c>
      <c r="N340" s="199">
        <v>2.2</v>
      </c>
      <c r="O340" s="199">
        <v>0.2</v>
      </c>
      <c r="P340" s="199">
        <v>29.6</v>
      </c>
      <c r="Q340" s="199">
        <v>30.8</v>
      </c>
      <c r="R340" s="199">
        <v>53.9</v>
      </c>
      <c r="S340" s="199" t="s">
        <v>75</v>
      </c>
      <c r="T340" s="203"/>
      <c r="U340" s="199" t="s">
        <v>1409</v>
      </c>
      <c r="V340" s="199" t="s">
        <v>49</v>
      </c>
      <c r="W340" s="199" t="s">
        <v>95</v>
      </c>
      <c r="X340" s="199" t="s">
        <v>2067</v>
      </c>
      <c r="Y340" s="203"/>
      <c r="Z340" s="203"/>
      <c r="AA340" s="203"/>
      <c r="AB340" s="203"/>
      <c r="AC340" s="203"/>
    </row>
    <row r="341">
      <c r="A341" s="199" t="s">
        <v>2070</v>
      </c>
      <c r="B341" s="199" t="s">
        <v>632</v>
      </c>
      <c r="C341" s="199" t="s">
        <v>632</v>
      </c>
      <c r="D341" s="199" t="s">
        <v>45</v>
      </c>
      <c r="E341" s="199" t="s">
        <v>2071</v>
      </c>
      <c r="F341" s="199">
        <v>33.8</v>
      </c>
      <c r="G341" s="199">
        <v>64.7</v>
      </c>
      <c r="H341" s="199">
        <v>33.0</v>
      </c>
      <c r="I341" s="199">
        <v>62.3</v>
      </c>
      <c r="J341" s="199">
        <v>89.5</v>
      </c>
      <c r="K341" s="199">
        <v>1.6</v>
      </c>
      <c r="L341" s="199">
        <v>4.5</v>
      </c>
      <c r="M341" s="199">
        <v>1.8</v>
      </c>
      <c r="N341" s="199">
        <v>2.0</v>
      </c>
      <c r="O341" s="199">
        <v>0.1</v>
      </c>
      <c r="P341" s="199">
        <v>25.0</v>
      </c>
      <c r="Q341" s="199">
        <v>24.5</v>
      </c>
      <c r="R341" s="199">
        <v>70.1</v>
      </c>
      <c r="S341" s="199" t="s">
        <v>75</v>
      </c>
      <c r="T341" s="203"/>
      <c r="U341" s="199" t="s">
        <v>1409</v>
      </c>
      <c r="V341" s="199" t="s">
        <v>49</v>
      </c>
      <c r="W341" s="199" t="s">
        <v>678</v>
      </c>
      <c r="X341" s="199" t="s">
        <v>2072</v>
      </c>
      <c r="Y341" s="203"/>
      <c r="Z341" s="203"/>
      <c r="AA341" s="203"/>
      <c r="AB341" s="203"/>
      <c r="AC341" s="203"/>
    </row>
    <row r="342">
      <c r="A342" s="199" t="s">
        <v>2074</v>
      </c>
      <c r="B342" s="199" t="s">
        <v>632</v>
      </c>
      <c r="C342" s="199" t="s">
        <v>632</v>
      </c>
      <c r="D342" s="199" t="s">
        <v>45</v>
      </c>
      <c r="E342" s="199" t="s">
        <v>2075</v>
      </c>
      <c r="F342" s="199">
        <v>41.9</v>
      </c>
      <c r="G342" s="199">
        <v>56.8</v>
      </c>
      <c r="H342" s="199">
        <v>41.0</v>
      </c>
      <c r="I342" s="199">
        <v>54.6</v>
      </c>
      <c r="J342" s="199">
        <v>87.8</v>
      </c>
      <c r="K342" s="199">
        <v>2.5</v>
      </c>
      <c r="L342" s="199">
        <v>5.7</v>
      </c>
      <c r="M342" s="199">
        <v>1.5</v>
      </c>
      <c r="N342" s="199">
        <v>1.8</v>
      </c>
      <c r="O342" s="199">
        <v>0.1</v>
      </c>
      <c r="P342" s="199">
        <v>25.7</v>
      </c>
      <c r="Q342" s="199">
        <v>26.0</v>
      </c>
      <c r="R342" s="199">
        <v>67.7</v>
      </c>
      <c r="S342" s="199" t="s">
        <v>75</v>
      </c>
      <c r="T342" s="203"/>
      <c r="U342" s="199" t="s">
        <v>1409</v>
      </c>
      <c r="V342" s="199" t="s">
        <v>49</v>
      </c>
      <c r="W342" s="199" t="s">
        <v>2076</v>
      </c>
      <c r="X342" s="199" t="s">
        <v>1111</v>
      </c>
      <c r="Y342" s="203"/>
      <c r="Z342" s="203"/>
      <c r="AA342" s="203"/>
      <c r="AB342" s="203"/>
      <c r="AC342" s="203"/>
    </row>
    <row r="343">
      <c r="A343" s="199" t="s">
        <v>2078</v>
      </c>
      <c r="B343" s="199" t="s">
        <v>632</v>
      </c>
      <c r="C343" s="199" t="s">
        <v>632</v>
      </c>
      <c r="D343" s="199" t="s">
        <v>45</v>
      </c>
      <c r="E343" s="199" t="s">
        <v>2079</v>
      </c>
      <c r="F343" s="199">
        <v>45.8</v>
      </c>
      <c r="G343" s="199">
        <v>52.6</v>
      </c>
      <c r="H343" s="199">
        <v>42.4</v>
      </c>
      <c r="I343" s="199">
        <v>52.8</v>
      </c>
      <c r="J343" s="199">
        <v>76.6</v>
      </c>
      <c r="K343" s="199">
        <v>5.1</v>
      </c>
      <c r="L343" s="199">
        <v>11.5</v>
      </c>
      <c r="M343" s="199">
        <v>4.7</v>
      </c>
      <c r="N343" s="199">
        <v>2.1</v>
      </c>
      <c r="O343" s="199">
        <v>0.1</v>
      </c>
      <c r="P343" s="199">
        <v>30.9</v>
      </c>
      <c r="Q343" s="199">
        <v>31.1</v>
      </c>
      <c r="R343" s="199">
        <v>57.5</v>
      </c>
      <c r="S343" s="199" t="s">
        <v>75</v>
      </c>
      <c r="T343" s="203"/>
      <c r="U343" s="199" t="s">
        <v>1409</v>
      </c>
      <c r="V343" s="199" t="s">
        <v>49</v>
      </c>
      <c r="W343" s="199" t="s">
        <v>95</v>
      </c>
      <c r="X343" s="199" t="s">
        <v>2080</v>
      </c>
      <c r="Y343" s="203"/>
      <c r="Z343" s="203"/>
      <c r="AA343" s="203"/>
      <c r="AB343" s="203"/>
      <c r="AC343" s="203"/>
    </row>
    <row r="344">
      <c r="A344" s="199" t="s">
        <v>2082</v>
      </c>
      <c r="B344" s="199" t="s">
        <v>632</v>
      </c>
      <c r="C344" s="199" t="s">
        <v>632</v>
      </c>
      <c r="D344" s="199" t="s">
        <v>45</v>
      </c>
      <c r="E344" s="199" t="s">
        <v>2083</v>
      </c>
      <c r="F344" s="199">
        <v>38.0</v>
      </c>
      <c r="G344" s="199">
        <v>59.4</v>
      </c>
      <c r="H344" s="199">
        <v>33.2</v>
      </c>
      <c r="I344" s="199">
        <v>60.9</v>
      </c>
      <c r="J344" s="199">
        <v>62.2</v>
      </c>
      <c r="K344" s="199">
        <v>11.4</v>
      </c>
      <c r="L344" s="199">
        <v>10.3</v>
      </c>
      <c r="M344" s="199">
        <v>3.8</v>
      </c>
      <c r="N344" s="199">
        <v>13.1</v>
      </c>
      <c r="O344" s="199">
        <v>0.2</v>
      </c>
      <c r="P344" s="199">
        <v>30.7</v>
      </c>
      <c r="Q344" s="199">
        <v>34.9</v>
      </c>
      <c r="R344" s="199">
        <v>46.7</v>
      </c>
      <c r="S344" s="199" t="s">
        <v>75</v>
      </c>
      <c r="T344" s="203"/>
      <c r="U344" s="199" t="s">
        <v>1409</v>
      </c>
      <c r="V344" s="199" t="s">
        <v>49</v>
      </c>
      <c r="W344" s="199" t="s">
        <v>160</v>
      </c>
      <c r="X344" s="199" t="s">
        <v>2085</v>
      </c>
      <c r="Y344" s="203"/>
      <c r="Z344" s="203"/>
      <c r="AA344" s="203"/>
      <c r="AB344" s="203"/>
      <c r="AC344" s="203"/>
    </row>
    <row r="345">
      <c r="A345" s="199" t="s">
        <v>2087</v>
      </c>
      <c r="B345" s="199" t="s">
        <v>632</v>
      </c>
      <c r="C345" s="199" t="s">
        <v>632</v>
      </c>
      <c r="D345" s="199" t="s">
        <v>45</v>
      </c>
      <c r="E345" s="199" t="s">
        <v>2088</v>
      </c>
      <c r="F345" s="199">
        <v>22.4</v>
      </c>
      <c r="G345" s="199">
        <v>75.8</v>
      </c>
      <c r="H345" s="199">
        <v>22.9</v>
      </c>
      <c r="I345" s="199">
        <v>72.7</v>
      </c>
      <c r="J345" s="199">
        <v>65.4</v>
      </c>
      <c r="K345" s="199">
        <v>4.3</v>
      </c>
      <c r="L345" s="199">
        <v>4.2</v>
      </c>
      <c r="M345" s="199">
        <v>1.0</v>
      </c>
      <c r="N345" s="199">
        <v>25.4</v>
      </c>
      <c r="O345" s="199">
        <v>0.2</v>
      </c>
      <c r="P345" s="199">
        <v>18.4</v>
      </c>
      <c r="Q345" s="199">
        <v>19.4</v>
      </c>
      <c r="R345" s="199">
        <v>56.0</v>
      </c>
      <c r="S345" s="199" t="s">
        <v>2091</v>
      </c>
      <c r="T345" s="203"/>
      <c r="U345" s="199" t="s">
        <v>1409</v>
      </c>
      <c r="V345" s="199" t="s">
        <v>159</v>
      </c>
      <c r="W345" s="199" t="s">
        <v>922</v>
      </c>
      <c r="X345" s="199" t="s">
        <v>2090</v>
      </c>
      <c r="Y345" s="203"/>
      <c r="Z345" s="203"/>
      <c r="AA345" s="203"/>
      <c r="AB345" s="203"/>
      <c r="AC345" s="203"/>
    </row>
    <row r="346">
      <c r="A346" s="199" t="s">
        <v>2093</v>
      </c>
      <c r="B346" s="199" t="s">
        <v>632</v>
      </c>
      <c r="C346" s="199" t="s">
        <v>632</v>
      </c>
      <c r="D346" s="199" t="s">
        <v>45</v>
      </c>
      <c r="E346" s="199" t="s">
        <v>2094</v>
      </c>
      <c r="F346" s="199">
        <v>26.5</v>
      </c>
      <c r="G346" s="199">
        <v>71.2</v>
      </c>
      <c r="H346" s="199">
        <v>24.7</v>
      </c>
      <c r="I346" s="199">
        <v>69.7</v>
      </c>
      <c r="J346" s="199">
        <v>64.7</v>
      </c>
      <c r="K346" s="199">
        <v>17.0</v>
      </c>
      <c r="L346" s="199">
        <v>6.2</v>
      </c>
      <c r="M346" s="199">
        <v>2.1</v>
      </c>
      <c r="N346" s="199">
        <v>10.6</v>
      </c>
      <c r="O346" s="199">
        <v>0.5</v>
      </c>
      <c r="P346" s="199">
        <v>20.7</v>
      </c>
      <c r="Q346" s="199">
        <v>23.6</v>
      </c>
      <c r="R346" s="199">
        <v>56.7</v>
      </c>
      <c r="S346" s="199" t="s">
        <v>75</v>
      </c>
      <c r="T346" s="203"/>
      <c r="U346" s="199" t="s">
        <v>1409</v>
      </c>
      <c r="V346" s="199" t="s">
        <v>49</v>
      </c>
      <c r="W346" s="199" t="s">
        <v>652</v>
      </c>
      <c r="X346" s="199" t="s">
        <v>2096</v>
      </c>
      <c r="Y346" s="203"/>
      <c r="Z346" s="203"/>
      <c r="AA346" s="203"/>
      <c r="AB346" s="203"/>
      <c r="AC346" s="203"/>
    </row>
    <row r="347">
      <c r="A347" s="199" t="s">
        <v>2099</v>
      </c>
      <c r="B347" s="199" t="s">
        <v>632</v>
      </c>
      <c r="C347" s="199" t="s">
        <v>632</v>
      </c>
      <c r="D347" s="199" t="s">
        <v>45</v>
      </c>
      <c r="E347" s="199" t="s">
        <v>2100</v>
      </c>
      <c r="F347" s="199">
        <v>33.0</v>
      </c>
      <c r="G347" s="199">
        <v>64.6</v>
      </c>
      <c r="H347" s="199">
        <v>29.3</v>
      </c>
      <c r="I347" s="199">
        <v>64.7</v>
      </c>
      <c r="J347" s="199">
        <v>67.9</v>
      </c>
      <c r="K347" s="199">
        <v>8.3</v>
      </c>
      <c r="L347" s="199">
        <v>9.2</v>
      </c>
      <c r="M347" s="199">
        <v>3.4</v>
      </c>
      <c r="N347" s="199">
        <v>11.6</v>
      </c>
      <c r="O347" s="199">
        <v>0.4</v>
      </c>
      <c r="P347" s="199">
        <v>26.0</v>
      </c>
      <c r="Q347" s="199">
        <v>27.2</v>
      </c>
      <c r="R347" s="199">
        <v>53.5</v>
      </c>
      <c r="S347" s="199" t="s">
        <v>2102</v>
      </c>
      <c r="T347" s="203"/>
      <c r="U347" s="199" t="s">
        <v>1409</v>
      </c>
      <c r="V347" s="199" t="s">
        <v>49</v>
      </c>
      <c r="W347" s="199" t="s">
        <v>1486</v>
      </c>
      <c r="X347" s="199" t="s">
        <v>2101</v>
      </c>
      <c r="Y347" s="203"/>
      <c r="Z347" s="203"/>
      <c r="AA347" s="203"/>
      <c r="AB347" s="203"/>
      <c r="AC347" s="203"/>
    </row>
    <row r="348">
      <c r="A348" s="199" t="s">
        <v>2104</v>
      </c>
      <c r="B348" s="199" t="s">
        <v>632</v>
      </c>
      <c r="C348" s="199" t="s">
        <v>632</v>
      </c>
      <c r="D348" s="199" t="s">
        <v>45</v>
      </c>
      <c r="E348" s="199" t="s">
        <v>2105</v>
      </c>
      <c r="F348" s="199">
        <v>40.3</v>
      </c>
      <c r="G348" s="199">
        <v>57.1</v>
      </c>
      <c r="H348" s="199">
        <v>34.2</v>
      </c>
      <c r="I348" s="199">
        <v>58.9</v>
      </c>
      <c r="J348" s="199">
        <v>65.8</v>
      </c>
      <c r="K348" s="199">
        <v>8.2</v>
      </c>
      <c r="L348" s="199">
        <v>13.1</v>
      </c>
      <c r="M348" s="199">
        <v>4.2</v>
      </c>
      <c r="N348" s="199">
        <v>9.4</v>
      </c>
      <c r="O348" s="199">
        <v>0.2</v>
      </c>
      <c r="P348" s="199">
        <v>35.7</v>
      </c>
      <c r="Q348" s="199">
        <v>39.1</v>
      </c>
      <c r="R348" s="199">
        <v>43.7</v>
      </c>
      <c r="S348" s="199" t="s">
        <v>2108</v>
      </c>
      <c r="T348" s="203"/>
      <c r="U348" s="199" t="s">
        <v>1409</v>
      </c>
      <c r="V348" s="199" t="s">
        <v>49</v>
      </c>
      <c r="W348" s="199" t="s">
        <v>2106</v>
      </c>
      <c r="X348" s="199" t="s">
        <v>2107</v>
      </c>
      <c r="Y348" s="203"/>
      <c r="Z348" s="203"/>
      <c r="AA348" s="203"/>
      <c r="AB348" s="203"/>
      <c r="AC348" s="203"/>
    </row>
    <row r="349">
      <c r="A349" s="199" t="s">
        <v>2111</v>
      </c>
      <c r="B349" s="199" t="s">
        <v>632</v>
      </c>
      <c r="C349" s="199" t="s">
        <v>632</v>
      </c>
      <c r="D349" s="199" t="s">
        <v>45</v>
      </c>
      <c r="E349" s="199" t="s">
        <v>2113</v>
      </c>
      <c r="F349" s="199">
        <v>36.6</v>
      </c>
      <c r="G349" s="199">
        <v>61.0</v>
      </c>
      <c r="H349" s="199">
        <v>31.3</v>
      </c>
      <c r="I349" s="199">
        <v>59.0</v>
      </c>
      <c r="J349" s="199">
        <v>78.8</v>
      </c>
      <c r="K349" s="199">
        <v>11.8</v>
      </c>
      <c r="L349" s="199">
        <v>1.2</v>
      </c>
      <c r="M349" s="199">
        <v>1.9</v>
      </c>
      <c r="N349" s="199">
        <v>5.4</v>
      </c>
      <c r="O349" s="199">
        <v>0.6</v>
      </c>
      <c r="P349" s="199">
        <v>22.9</v>
      </c>
      <c r="Q349" s="199">
        <v>24.1</v>
      </c>
      <c r="R349" s="199">
        <v>64.7</v>
      </c>
      <c r="S349" s="199" t="s">
        <v>75</v>
      </c>
      <c r="T349" s="203"/>
      <c r="U349" s="199" t="s">
        <v>1409</v>
      </c>
      <c r="V349" s="199" t="s">
        <v>49</v>
      </c>
      <c r="W349" s="199" t="s">
        <v>2114</v>
      </c>
      <c r="X349" s="199" t="s">
        <v>2115</v>
      </c>
      <c r="Y349" s="203"/>
      <c r="Z349" s="203"/>
      <c r="AA349" s="203"/>
      <c r="AB349" s="203"/>
      <c r="AC349" s="203"/>
    </row>
    <row r="350">
      <c r="A350" s="199" t="s">
        <v>2117</v>
      </c>
      <c r="B350" s="199" t="s">
        <v>43</v>
      </c>
      <c r="C350" s="199" t="s">
        <v>632</v>
      </c>
      <c r="D350" s="199" t="s">
        <v>397</v>
      </c>
      <c r="E350" s="199" t="s">
        <v>2118</v>
      </c>
      <c r="F350" s="199">
        <v>53.2</v>
      </c>
      <c r="G350" s="199">
        <v>44.4</v>
      </c>
      <c r="H350" s="199">
        <v>45.9</v>
      </c>
      <c r="I350" s="199">
        <v>43.0</v>
      </c>
      <c r="J350" s="199">
        <v>81.5</v>
      </c>
      <c r="K350" s="199">
        <v>8.3</v>
      </c>
      <c r="L350" s="199">
        <v>1.5</v>
      </c>
      <c r="M350" s="199">
        <v>4.3</v>
      </c>
      <c r="N350" s="199">
        <v>3.4</v>
      </c>
      <c r="O350" s="199">
        <v>0.6</v>
      </c>
      <c r="P350" s="199">
        <v>33.8</v>
      </c>
      <c r="Q350" s="199">
        <v>35.3</v>
      </c>
      <c r="R350" s="199">
        <v>56.6</v>
      </c>
      <c r="S350" s="199" t="s">
        <v>1577</v>
      </c>
      <c r="T350" s="203"/>
      <c r="U350" s="199" t="s">
        <v>1409</v>
      </c>
      <c r="V350" s="199" t="s">
        <v>159</v>
      </c>
      <c r="W350" s="199" t="s">
        <v>745</v>
      </c>
      <c r="X350" s="199" t="s">
        <v>2119</v>
      </c>
      <c r="Y350" s="203"/>
      <c r="Z350" s="203"/>
      <c r="AA350" s="203"/>
      <c r="AB350" s="203"/>
      <c r="AC350" s="203"/>
    </row>
    <row r="351">
      <c r="A351" s="199" t="s">
        <v>2121</v>
      </c>
      <c r="B351" s="199" t="s">
        <v>632</v>
      </c>
      <c r="C351" s="199" t="s">
        <v>632</v>
      </c>
      <c r="D351" s="199" t="s">
        <v>45</v>
      </c>
      <c r="E351" s="199" t="s">
        <v>2122</v>
      </c>
      <c r="F351" s="199">
        <v>51.8</v>
      </c>
      <c r="G351" s="199">
        <v>47.2</v>
      </c>
      <c r="H351" s="199">
        <v>48.5</v>
      </c>
      <c r="I351" s="199">
        <v>47.8</v>
      </c>
      <c r="J351" s="199">
        <v>82.3</v>
      </c>
      <c r="K351" s="199">
        <v>5.0</v>
      </c>
      <c r="L351" s="199">
        <v>4.5</v>
      </c>
      <c r="M351" s="199">
        <v>6.7</v>
      </c>
      <c r="N351" s="199">
        <v>1.1</v>
      </c>
      <c r="O351" s="199">
        <v>0.1</v>
      </c>
      <c r="P351" s="199">
        <v>42.0</v>
      </c>
      <c r="Q351" s="199">
        <v>42.3</v>
      </c>
      <c r="R351" s="199">
        <v>50.2</v>
      </c>
      <c r="S351" s="199" t="s">
        <v>75</v>
      </c>
      <c r="T351" s="203"/>
      <c r="U351" s="199" t="s">
        <v>1409</v>
      </c>
      <c r="V351" s="199" t="s">
        <v>49</v>
      </c>
      <c r="W351" s="199" t="s">
        <v>1028</v>
      </c>
      <c r="X351" s="199" t="s">
        <v>2123</v>
      </c>
      <c r="Y351" s="203"/>
      <c r="Z351" s="203"/>
      <c r="AA351" s="203"/>
      <c r="AB351" s="203"/>
      <c r="AC351" s="203"/>
    </row>
    <row r="352">
      <c r="A352" s="199" t="s">
        <v>2125</v>
      </c>
      <c r="B352" s="199" t="s">
        <v>632</v>
      </c>
      <c r="C352" s="199" t="s">
        <v>632</v>
      </c>
      <c r="D352" s="199" t="s">
        <v>45</v>
      </c>
      <c r="E352" s="199" t="s">
        <v>2126</v>
      </c>
      <c r="F352" s="199">
        <v>31.0</v>
      </c>
      <c r="G352" s="199">
        <v>67.5</v>
      </c>
      <c r="H352" s="199">
        <v>28.2</v>
      </c>
      <c r="I352" s="199">
        <v>67.8</v>
      </c>
      <c r="J352" s="199">
        <v>89.5</v>
      </c>
      <c r="K352" s="199">
        <v>4.6</v>
      </c>
      <c r="L352" s="199">
        <v>3.0</v>
      </c>
      <c r="M352" s="199">
        <v>1.2</v>
      </c>
      <c r="N352" s="199">
        <v>1.4</v>
      </c>
      <c r="O352" s="199">
        <v>0.1</v>
      </c>
      <c r="P352" s="199">
        <v>20.9</v>
      </c>
      <c r="Q352" s="199">
        <v>20.9</v>
      </c>
      <c r="R352" s="199">
        <v>73.1</v>
      </c>
      <c r="S352" s="199" t="s">
        <v>75</v>
      </c>
      <c r="T352" s="203"/>
      <c r="U352" s="199" t="s">
        <v>1409</v>
      </c>
      <c r="V352" s="199" t="s">
        <v>49</v>
      </c>
      <c r="W352" s="199" t="s">
        <v>811</v>
      </c>
      <c r="X352" s="199" t="s">
        <v>2127</v>
      </c>
      <c r="Y352" s="203"/>
      <c r="Z352" s="203"/>
      <c r="AA352" s="203"/>
      <c r="AB352" s="203"/>
      <c r="AC352" s="203"/>
    </row>
    <row r="353">
      <c r="A353" s="199" t="s">
        <v>2129</v>
      </c>
      <c r="B353" s="199" t="s">
        <v>632</v>
      </c>
      <c r="C353" s="199" t="s">
        <v>632</v>
      </c>
      <c r="D353" s="199" t="s">
        <v>45</v>
      </c>
      <c r="E353" s="199" t="s">
        <v>2130</v>
      </c>
      <c r="F353" s="199">
        <v>47.2</v>
      </c>
      <c r="G353" s="199">
        <v>51.3</v>
      </c>
      <c r="H353" s="199">
        <v>42.9</v>
      </c>
      <c r="I353" s="199">
        <v>52.8</v>
      </c>
      <c r="J353" s="199">
        <v>74.7</v>
      </c>
      <c r="K353" s="199">
        <v>7.9</v>
      </c>
      <c r="L353" s="199">
        <v>11.5</v>
      </c>
      <c r="M353" s="199">
        <v>4.9</v>
      </c>
      <c r="N353" s="199">
        <v>1.5</v>
      </c>
      <c r="O353" s="199">
        <v>0.1</v>
      </c>
      <c r="P353" s="199">
        <v>31.8</v>
      </c>
      <c r="Q353" s="199">
        <v>33.7</v>
      </c>
      <c r="R353" s="199">
        <v>53.5</v>
      </c>
      <c r="S353" s="199" t="s">
        <v>75</v>
      </c>
      <c r="T353" s="203"/>
      <c r="U353" s="199" t="s">
        <v>1409</v>
      </c>
      <c r="V353" s="199" t="s">
        <v>49</v>
      </c>
      <c r="W353" s="199" t="s">
        <v>348</v>
      </c>
      <c r="X353" s="199" t="s">
        <v>2131</v>
      </c>
      <c r="Y353" s="203"/>
      <c r="Z353" s="203"/>
      <c r="AA353" s="203"/>
      <c r="AB353" s="203"/>
      <c r="AC353" s="203"/>
    </row>
    <row r="354">
      <c r="A354" s="199" t="s">
        <v>2133</v>
      </c>
      <c r="B354" s="199" t="s">
        <v>632</v>
      </c>
      <c r="C354" s="199" t="s">
        <v>632</v>
      </c>
      <c r="D354" s="199" t="s">
        <v>45</v>
      </c>
      <c r="E354" s="199" t="s">
        <v>2134</v>
      </c>
      <c r="F354" s="199">
        <v>38.6</v>
      </c>
      <c r="G354" s="199">
        <v>59.9</v>
      </c>
      <c r="H354" s="199">
        <v>34.9</v>
      </c>
      <c r="I354" s="199">
        <v>60.3</v>
      </c>
      <c r="J354" s="199">
        <v>84.2</v>
      </c>
      <c r="K354" s="199">
        <v>7.8</v>
      </c>
      <c r="L354" s="199">
        <v>4.6</v>
      </c>
      <c r="M354" s="199">
        <v>2.5</v>
      </c>
      <c r="N354" s="199">
        <v>1.3</v>
      </c>
      <c r="O354" s="199">
        <v>0.1</v>
      </c>
      <c r="P354" s="199">
        <v>27.8</v>
      </c>
      <c r="Q354" s="199">
        <v>28.5</v>
      </c>
      <c r="R354" s="199">
        <v>62.6</v>
      </c>
      <c r="S354" s="199" t="s">
        <v>75</v>
      </c>
      <c r="T354" s="203"/>
      <c r="U354" s="199" t="s">
        <v>1409</v>
      </c>
      <c r="V354" s="199" t="s">
        <v>49</v>
      </c>
      <c r="W354" s="199" t="s">
        <v>1312</v>
      </c>
      <c r="X354" s="199" t="s">
        <v>2135</v>
      </c>
      <c r="Y354" s="203"/>
      <c r="Z354" s="203"/>
      <c r="AA354" s="203"/>
      <c r="AB354" s="203"/>
      <c r="AC354" s="203"/>
    </row>
    <row r="355">
      <c r="A355" s="199" t="s">
        <v>2137</v>
      </c>
      <c r="B355" s="199" t="s">
        <v>632</v>
      </c>
      <c r="C355" s="199" t="s">
        <v>632</v>
      </c>
      <c r="D355" s="199" t="s">
        <v>45</v>
      </c>
      <c r="E355" s="199" t="s">
        <v>2138</v>
      </c>
      <c r="F355" s="199">
        <v>26.8</v>
      </c>
      <c r="G355" s="199">
        <v>72.0</v>
      </c>
      <c r="H355" s="199">
        <v>25.2</v>
      </c>
      <c r="I355" s="199">
        <v>71.4</v>
      </c>
      <c r="J355" s="199">
        <v>91.3</v>
      </c>
      <c r="K355" s="199">
        <v>2.9</v>
      </c>
      <c r="L355" s="199">
        <v>3.0</v>
      </c>
      <c r="M355" s="199">
        <v>1.0</v>
      </c>
      <c r="N355" s="199">
        <v>1.4</v>
      </c>
      <c r="O355" s="199">
        <v>0.1</v>
      </c>
      <c r="P355" s="199">
        <v>20.5</v>
      </c>
      <c r="Q355" s="199">
        <v>20.7</v>
      </c>
      <c r="R355" s="199">
        <v>74.8</v>
      </c>
      <c r="S355" s="199" t="s">
        <v>75</v>
      </c>
      <c r="T355" s="203"/>
      <c r="U355" s="199" t="s">
        <v>1409</v>
      </c>
      <c r="V355" s="199" t="s">
        <v>49</v>
      </c>
      <c r="W355" s="199" t="s">
        <v>120</v>
      </c>
      <c r="X355" s="199" t="s">
        <v>1111</v>
      </c>
      <c r="Y355" s="203"/>
      <c r="Z355" s="203"/>
      <c r="AA355" s="203"/>
      <c r="AB355" s="203"/>
      <c r="AC355" s="203"/>
    </row>
    <row r="356">
      <c r="A356" s="199" t="s">
        <v>2140</v>
      </c>
      <c r="B356" s="199" t="s">
        <v>632</v>
      </c>
      <c r="C356" s="199" t="s">
        <v>632</v>
      </c>
      <c r="D356" s="199" t="s">
        <v>45</v>
      </c>
      <c r="E356" s="199" t="s">
        <v>2141</v>
      </c>
      <c r="F356" s="199">
        <v>33.7</v>
      </c>
      <c r="G356" s="199">
        <v>65.2</v>
      </c>
      <c r="H356" s="199">
        <v>32.4</v>
      </c>
      <c r="I356" s="199">
        <v>64.4</v>
      </c>
      <c r="J356" s="199">
        <v>91.6</v>
      </c>
      <c r="K356" s="199">
        <v>1.3</v>
      </c>
      <c r="L356" s="199">
        <v>3.9</v>
      </c>
      <c r="M356" s="199">
        <v>0.9</v>
      </c>
      <c r="N356" s="199">
        <v>1.3</v>
      </c>
      <c r="O356" s="199">
        <v>0.1</v>
      </c>
      <c r="P356" s="199">
        <v>25.0</v>
      </c>
      <c r="Q356" s="199">
        <v>25.2</v>
      </c>
      <c r="R356" s="199">
        <v>70.6</v>
      </c>
      <c r="S356" s="199" t="s">
        <v>75</v>
      </c>
      <c r="T356" s="203"/>
      <c r="U356" s="199" t="s">
        <v>1409</v>
      </c>
      <c r="V356" s="199" t="s">
        <v>49</v>
      </c>
      <c r="W356" s="199" t="s">
        <v>2142</v>
      </c>
      <c r="X356" s="199" t="s">
        <v>2143</v>
      </c>
      <c r="Y356" s="203"/>
      <c r="Z356" s="203"/>
      <c r="AA356" s="203"/>
      <c r="AB356" s="203"/>
      <c r="AC356" s="203"/>
    </row>
    <row r="357">
      <c r="A357" s="199" t="s">
        <v>2145</v>
      </c>
      <c r="B357" s="199" t="s">
        <v>632</v>
      </c>
      <c r="C357" s="199" t="s">
        <v>632</v>
      </c>
      <c r="D357" s="199" t="s">
        <v>45</v>
      </c>
      <c r="E357" s="199" t="s">
        <v>2146</v>
      </c>
      <c r="F357" s="199">
        <v>30.8</v>
      </c>
      <c r="G357" s="199">
        <v>67.8</v>
      </c>
      <c r="H357" s="199">
        <v>29.8</v>
      </c>
      <c r="I357" s="199">
        <v>66.2</v>
      </c>
      <c r="J357" s="199">
        <v>90.8</v>
      </c>
      <c r="K357" s="199">
        <v>2.1</v>
      </c>
      <c r="L357" s="199">
        <v>2.6</v>
      </c>
      <c r="M357" s="199">
        <v>2.5</v>
      </c>
      <c r="N357" s="199">
        <v>1.4</v>
      </c>
      <c r="O357" s="199">
        <v>0.1</v>
      </c>
      <c r="P357" s="199">
        <v>24.0</v>
      </c>
      <c r="Q357" s="199">
        <v>23.6</v>
      </c>
      <c r="R357" s="199">
        <v>71.9</v>
      </c>
      <c r="S357" s="199" t="s">
        <v>75</v>
      </c>
      <c r="T357" s="203"/>
      <c r="U357" s="199" t="s">
        <v>1409</v>
      </c>
      <c r="V357" s="199" t="s">
        <v>49</v>
      </c>
      <c r="W357" s="199" t="s">
        <v>2147</v>
      </c>
      <c r="X357" s="199" t="s">
        <v>96</v>
      </c>
      <c r="Y357" s="203"/>
      <c r="Z357" s="203"/>
      <c r="AA357" s="203"/>
      <c r="AB357" s="203"/>
      <c r="AC357" s="203"/>
    </row>
    <row r="358">
      <c r="A358" s="199" t="s">
        <v>2149</v>
      </c>
      <c r="B358" s="199" t="s">
        <v>632</v>
      </c>
      <c r="C358" s="199" t="s">
        <v>632</v>
      </c>
      <c r="D358" s="199" t="s">
        <v>45</v>
      </c>
      <c r="E358" s="199" t="s">
        <v>2150</v>
      </c>
      <c r="F358" s="199">
        <v>39.0</v>
      </c>
      <c r="G358" s="199">
        <v>59.7</v>
      </c>
      <c r="H358" s="199">
        <v>36.9</v>
      </c>
      <c r="I358" s="199">
        <v>59.0</v>
      </c>
      <c r="J358" s="199">
        <v>89.1</v>
      </c>
      <c r="K358" s="199">
        <v>2.1</v>
      </c>
      <c r="L358" s="199">
        <v>4.8</v>
      </c>
      <c r="M358" s="199">
        <v>1.6</v>
      </c>
      <c r="N358" s="199">
        <v>1.4</v>
      </c>
      <c r="O358" s="199">
        <v>0.1</v>
      </c>
      <c r="P358" s="199">
        <v>28.1</v>
      </c>
      <c r="Q358" s="199">
        <v>28.5</v>
      </c>
      <c r="R358" s="199">
        <v>66.1</v>
      </c>
      <c r="S358" s="199" t="s">
        <v>75</v>
      </c>
      <c r="T358" s="203"/>
      <c r="U358" s="199" t="s">
        <v>1409</v>
      </c>
      <c r="V358" s="199" t="s">
        <v>49</v>
      </c>
      <c r="W358" s="199" t="s">
        <v>95</v>
      </c>
      <c r="X358" s="199" t="s">
        <v>571</v>
      </c>
      <c r="Y358" s="203"/>
      <c r="Z358" s="203"/>
      <c r="AA358" s="203"/>
      <c r="AB358" s="203"/>
      <c r="AC358" s="203"/>
    </row>
    <row r="359">
      <c r="A359" s="199" t="s">
        <v>2153</v>
      </c>
      <c r="B359" s="199" t="s">
        <v>632</v>
      </c>
      <c r="C359" s="199" t="s">
        <v>632</v>
      </c>
      <c r="D359" s="199" t="s">
        <v>45</v>
      </c>
      <c r="E359" s="199" t="s">
        <v>2154</v>
      </c>
      <c r="F359" s="199">
        <v>44.9</v>
      </c>
      <c r="G359" s="199">
        <v>53.5</v>
      </c>
      <c r="H359" s="199">
        <v>39.8</v>
      </c>
      <c r="I359" s="199">
        <v>54.5</v>
      </c>
      <c r="J359" s="199">
        <v>71.1</v>
      </c>
      <c r="K359" s="199">
        <v>6.8</v>
      </c>
      <c r="L359" s="199">
        <v>17.4</v>
      </c>
      <c r="M359" s="199">
        <v>2.5</v>
      </c>
      <c r="N359" s="199">
        <v>1.9</v>
      </c>
      <c r="O359" s="199">
        <v>0.2</v>
      </c>
      <c r="P359" s="199">
        <v>39.1</v>
      </c>
      <c r="Q359" s="199">
        <v>45.6</v>
      </c>
      <c r="R359" s="199">
        <v>40.5</v>
      </c>
      <c r="S359" s="199" t="s">
        <v>75</v>
      </c>
      <c r="T359" s="203"/>
      <c r="U359" s="199" t="s">
        <v>1409</v>
      </c>
      <c r="V359" s="199" t="s">
        <v>49</v>
      </c>
      <c r="W359" s="199" t="s">
        <v>136</v>
      </c>
      <c r="X359" s="199" t="s">
        <v>2155</v>
      </c>
      <c r="Y359" s="203"/>
      <c r="Z359" s="203"/>
      <c r="AA359" s="203"/>
      <c r="AB359" s="203"/>
      <c r="AC359" s="203"/>
    </row>
    <row r="360">
      <c r="A360" s="199" t="s">
        <v>2157</v>
      </c>
      <c r="B360" s="199" t="s">
        <v>632</v>
      </c>
      <c r="C360" s="199" t="s">
        <v>632</v>
      </c>
      <c r="D360" s="199" t="s">
        <v>45</v>
      </c>
      <c r="E360" s="199" t="s">
        <v>2158</v>
      </c>
      <c r="F360" s="199">
        <v>43.9</v>
      </c>
      <c r="G360" s="199">
        <v>54.5</v>
      </c>
      <c r="H360" s="199">
        <v>38.9</v>
      </c>
      <c r="I360" s="199">
        <v>56.1</v>
      </c>
      <c r="J360" s="199">
        <v>64.1</v>
      </c>
      <c r="K360" s="199">
        <v>6.0</v>
      </c>
      <c r="L360" s="199">
        <v>25.4</v>
      </c>
      <c r="M360" s="199">
        <v>2.7</v>
      </c>
      <c r="N360" s="199">
        <v>2.2</v>
      </c>
      <c r="O360" s="199">
        <v>0.2</v>
      </c>
      <c r="P360" s="199">
        <v>33.7</v>
      </c>
      <c r="Q360" s="199">
        <v>36.4</v>
      </c>
      <c r="R360" s="199">
        <v>43.2</v>
      </c>
      <c r="S360" s="199" t="s">
        <v>75</v>
      </c>
      <c r="T360" s="203"/>
      <c r="U360" s="199" t="s">
        <v>1409</v>
      </c>
      <c r="V360" s="199" t="s">
        <v>49</v>
      </c>
      <c r="W360" s="199" t="s">
        <v>377</v>
      </c>
      <c r="X360" s="199" t="s">
        <v>493</v>
      </c>
      <c r="Y360" s="203"/>
      <c r="Z360" s="203"/>
      <c r="AA360" s="203"/>
      <c r="AB360" s="203"/>
      <c r="AC360" s="203"/>
    </row>
    <row r="361">
      <c r="A361" s="199" t="s">
        <v>2163</v>
      </c>
      <c r="B361" s="199" t="s">
        <v>632</v>
      </c>
      <c r="C361" s="199" t="s">
        <v>632</v>
      </c>
      <c r="D361" s="199" t="s">
        <v>45</v>
      </c>
      <c r="E361" s="199" t="s">
        <v>2164</v>
      </c>
      <c r="F361" s="199">
        <v>30.6</v>
      </c>
      <c r="G361" s="199">
        <v>68.0</v>
      </c>
      <c r="H361" s="199">
        <v>29.1</v>
      </c>
      <c r="I361" s="199">
        <v>66.9</v>
      </c>
      <c r="J361" s="199">
        <v>74.0</v>
      </c>
      <c r="K361" s="199">
        <v>4.8</v>
      </c>
      <c r="L361" s="199">
        <v>17.6</v>
      </c>
      <c r="M361" s="199">
        <v>1.5</v>
      </c>
      <c r="N361" s="199">
        <v>2.1</v>
      </c>
      <c r="O361" s="199">
        <v>0.1</v>
      </c>
      <c r="P361" s="199">
        <v>23.8</v>
      </c>
      <c r="Q361" s="199">
        <v>26.6</v>
      </c>
      <c r="R361" s="199">
        <v>56.6</v>
      </c>
      <c r="S361" s="199" t="s">
        <v>75</v>
      </c>
      <c r="T361" s="203"/>
      <c r="U361" s="199" t="s">
        <v>1409</v>
      </c>
      <c r="V361" s="199" t="s">
        <v>49</v>
      </c>
      <c r="W361" s="199" t="s">
        <v>529</v>
      </c>
      <c r="X361" s="199" t="s">
        <v>2166</v>
      </c>
      <c r="Y361" s="203"/>
      <c r="Z361" s="203"/>
      <c r="AA361" s="203"/>
      <c r="AB361" s="203"/>
      <c r="AC361" s="203"/>
    </row>
    <row r="362">
      <c r="A362" s="199" t="s">
        <v>2168</v>
      </c>
      <c r="B362" s="199" t="s">
        <v>632</v>
      </c>
      <c r="C362" s="199" t="s">
        <v>632</v>
      </c>
      <c r="D362" s="199" t="s">
        <v>45</v>
      </c>
      <c r="E362" s="199" t="s">
        <v>2169</v>
      </c>
      <c r="F362" s="199">
        <v>39.8</v>
      </c>
      <c r="G362" s="199">
        <v>58.4</v>
      </c>
      <c r="H362" s="199">
        <v>35.4</v>
      </c>
      <c r="I362" s="199">
        <v>59.2</v>
      </c>
      <c r="J362" s="199">
        <v>67.0</v>
      </c>
      <c r="K362" s="199">
        <v>9.0</v>
      </c>
      <c r="L362" s="199">
        <v>19.0</v>
      </c>
      <c r="M362" s="199">
        <v>3.1</v>
      </c>
      <c r="N362" s="199">
        <v>2.0</v>
      </c>
      <c r="O362" s="199">
        <v>0.1</v>
      </c>
      <c r="P362" s="199">
        <v>33.2</v>
      </c>
      <c r="Q362" s="199">
        <v>38.5</v>
      </c>
      <c r="R362" s="199">
        <v>44.8</v>
      </c>
      <c r="S362" s="199" t="s">
        <v>75</v>
      </c>
      <c r="T362" s="203"/>
      <c r="U362" s="199" t="s">
        <v>1409</v>
      </c>
      <c r="V362" s="199" t="s">
        <v>49</v>
      </c>
      <c r="W362" s="199" t="s">
        <v>2170</v>
      </c>
      <c r="X362" s="199" t="s">
        <v>2171</v>
      </c>
      <c r="Y362" s="203"/>
      <c r="Z362" s="203"/>
      <c r="AA362" s="203"/>
      <c r="AB362" s="203"/>
      <c r="AC362" s="203"/>
    </row>
    <row r="363">
      <c r="A363" s="199" t="s">
        <v>2173</v>
      </c>
      <c r="B363" s="199" t="s">
        <v>632</v>
      </c>
      <c r="C363" s="199" t="s">
        <v>632</v>
      </c>
      <c r="D363" s="199" t="s">
        <v>45</v>
      </c>
      <c r="E363" s="199" t="s">
        <v>2174</v>
      </c>
      <c r="F363" s="199">
        <v>40.2</v>
      </c>
      <c r="G363" s="199">
        <v>58.4</v>
      </c>
      <c r="H363" s="199">
        <v>37.9</v>
      </c>
      <c r="I363" s="199">
        <v>58.2</v>
      </c>
      <c r="J363" s="199">
        <v>66.5</v>
      </c>
      <c r="K363" s="199">
        <v>4.5</v>
      </c>
      <c r="L363" s="199">
        <v>24.7</v>
      </c>
      <c r="M363" s="199">
        <v>2.3</v>
      </c>
      <c r="N363" s="199">
        <v>2.1</v>
      </c>
      <c r="O363" s="199">
        <v>0.1</v>
      </c>
      <c r="P363" s="199">
        <v>25.6</v>
      </c>
      <c r="Q363" s="199">
        <v>28.3</v>
      </c>
      <c r="R363" s="199">
        <v>49.9</v>
      </c>
      <c r="S363" s="199" t="s">
        <v>75</v>
      </c>
      <c r="T363" s="203"/>
      <c r="U363" s="199" t="s">
        <v>1409</v>
      </c>
      <c r="V363" s="199" t="s">
        <v>49</v>
      </c>
      <c r="W363" s="199" t="s">
        <v>2175</v>
      </c>
      <c r="X363" s="199" t="s">
        <v>2176</v>
      </c>
      <c r="Y363" s="203"/>
      <c r="Z363" s="203"/>
      <c r="AA363" s="203"/>
      <c r="AB363" s="203"/>
      <c r="AC363" s="203"/>
    </row>
    <row r="364">
      <c r="A364" s="199" t="s">
        <v>2178</v>
      </c>
      <c r="B364" s="199" t="s">
        <v>632</v>
      </c>
      <c r="C364" s="199" t="s">
        <v>632</v>
      </c>
      <c r="D364" s="199" t="s">
        <v>45</v>
      </c>
      <c r="E364" s="199" t="s">
        <v>2179</v>
      </c>
      <c r="F364" s="199">
        <v>40.2</v>
      </c>
      <c r="G364" s="199">
        <v>58.8</v>
      </c>
      <c r="H364" s="199">
        <v>39.1</v>
      </c>
      <c r="I364" s="199">
        <v>58.0</v>
      </c>
      <c r="J364" s="199">
        <v>67.1</v>
      </c>
      <c r="K364" s="199">
        <v>4.0</v>
      </c>
      <c r="L364" s="199">
        <v>25.4</v>
      </c>
      <c r="M364" s="199">
        <v>1.4</v>
      </c>
      <c r="N364" s="199">
        <v>2.0</v>
      </c>
      <c r="O364" s="199">
        <v>0.1</v>
      </c>
      <c r="P364" s="199">
        <v>22.0</v>
      </c>
      <c r="Q364" s="199">
        <v>25.9</v>
      </c>
      <c r="R364" s="199">
        <v>51.2</v>
      </c>
      <c r="S364" s="199" t="s">
        <v>75</v>
      </c>
      <c r="T364" s="203"/>
      <c r="U364" s="199" t="s">
        <v>1409</v>
      </c>
      <c r="V364" s="199" t="s">
        <v>159</v>
      </c>
      <c r="W364" s="199" t="s">
        <v>2180</v>
      </c>
      <c r="X364" s="199" t="s">
        <v>2181</v>
      </c>
      <c r="Y364" s="203"/>
      <c r="Z364" s="203"/>
      <c r="AA364" s="203"/>
      <c r="AB364" s="203"/>
      <c r="AC364" s="203"/>
    </row>
    <row r="365">
      <c r="A365" s="199" t="s">
        <v>2183</v>
      </c>
      <c r="B365" s="199" t="s">
        <v>632</v>
      </c>
      <c r="C365" s="199" t="s">
        <v>632</v>
      </c>
      <c r="D365" s="199" t="s">
        <v>45</v>
      </c>
      <c r="E365" s="199" t="s">
        <v>2184</v>
      </c>
      <c r="F365" s="199">
        <v>35.6</v>
      </c>
      <c r="G365" s="199">
        <v>61.8</v>
      </c>
      <c r="H365" s="199">
        <v>31.7</v>
      </c>
      <c r="I365" s="199">
        <v>61.5</v>
      </c>
      <c r="J365" s="199">
        <v>83.1</v>
      </c>
      <c r="K365" s="199">
        <v>3.6</v>
      </c>
      <c r="L365" s="199">
        <v>2.2</v>
      </c>
      <c r="M365" s="199">
        <v>1.9</v>
      </c>
      <c r="N365" s="199">
        <v>9.1</v>
      </c>
      <c r="O365" s="199">
        <v>0.2</v>
      </c>
      <c r="P365" s="199">
        <v>29.3</v>
      </c>
      <c r="Q365" s="199">
        <v>31.2</v>
      </c>
      <c r="R365" s="199">
        <v>59.9</v>
      </c>
      <c r="S365" s="199" t="s">
        <v>75</v>
      </c>
      <c r="T365" s="203"/>
      <c r="U365" s="199" t="s">
        <v>1409</v>
      </c>
      <c r="V365" s="199" t="s">
        <v>49</v>
      </c>
      <c r="W365" s="199" t="s">
        <v>2185</v>
      </c>
      <c r="X365" s="199" t="s">
        <v>517</v>
      </c>
      <c r="Y365" s="203"/>
      <c r="Z365" s="203"/>
      <c r="AA365" s="203"/>
      <c r="AB365" s="203"/>
      <c r="AC365" s="203"/>
    </row>
    <row r="366">
      <c r="A366" s="199" t="s">
        <v>2187</v>
      </c>
      <c r="B366" s="199" t="s">
        <v>632</v>
      </c>
      <c r="C366" s="199" t="s">
        <v>632</v>
      </c>
      <c r="D366" s="199" t="s">
        <v>45</v>
      </c>
      <c r="E366" s="199" t="s">
        <v>2188</v>
      </c>
      <c r="F366" s="199">
        <v>22.0</v>
      </c>
      <c r="G366" s="199">
        <v>76.3</v>
      </c>
      <c r="H366" s="199">
        <v>19.6</v>
      </c>
      <c r="I366" s="199">
        <v>76.4</v>
      </c>
      <c r="J366" s="199">
        <v>89.6</v>
      </c>
      <c r="K366" s="199">
        <v>3.8</v>
      </c>
      <c r="L366" s="199">
        <v>2.7</v>
      </c>
      <c r="M366" s="199">
        <v>1.1</v>
      </c>
      <c r="N366" s="199">
        <v>2.5</v>
      </c>
      <c r="O366" s="199">
        <v>0.1</v>
      </c>
      <c r="P366" s="199">
        <v>20.9</v>
      </c>
      <c r="Q366" s="199">
        <v>21.0</v>
      </c>
      <c r="R366" s="199">
        <v>74.5</v>
      </c>
      <c r="S366" s="199" t="s">
        <v>75</v>
      </c>
      <c r="T366" s="203"/>
      <c r="U366" s="199" t="s">
        <v>1409</v>
      </c>
      <c r="V366" s="199" t="s">
        <v>49</v>
      </c>
      <c r="W366" s="199" t="s">
        <v>371</v>
      </c>
      <c r="X366" s="199" t="s">
        <v>2190</v>
      </c>
      <c r="Y366" s="203"/>
      <c r="Z366" s="203"/>
      <c r="AA366" s="203"/>
      <c r="AB366" s="203"/>
      <c r="AC366" s="203"/>
    </row>
    <row r="367">
      <c r="A367" s="199" t="s">
        <v>2192</v>
      </c>
      <c r="B367" s="199" t="s">
        <v>632</v>
      </c>
      <c r="C367" s="199" t="s">
        <v>632</v>
      </c>
      <c r="D367" s="199" t="s">
        <v>45</v>
      </c>
      <c r="E367" s="199" t="s">
        <v>2193</v>
      </c>
      <c r="F367" s="199">
        <v>34.4</v>
      </c>
      <c r="G367" s="199">
        <v>63.7</v>
      </c>
      <c r="H367" s="199">
        <v>29.5</v>
      </c>
      <c r="I367" s="199">
        <v>64.7</v>
      </c>
      <c r="J367" s="199">
        <v>84.3</v>
      </c>
      <c r="K367" s="199">
        <v>4.3</v>
      </c>
      <c r="L367" s="199">
        <v>6.3</v>
      </c>
      <c r="M367" s="199">
        <v>2.2</v>
      </c>
      <c r="N367" s="199">
        <v>2.5</v>
      </c>
      <c r="O367" s="199">
        <v>0.1</v>
      </c>
      <c r="P367" s="199">
        <v>32.0</v>
      </c>
      <c r="Q367" s="199">
        <v>32.3</v>
      </c>
      <c r="R367" s="199">
        <v>60.7</v>
      </c>
      <c r="S367" s="199" t="s">
        <v>75</v>
      </c>
      <c r="T367" s="203"/>
      <c r="U367" s="199" t="s">
        <v>1409</v>
      </c>
      <c r="V367" s="199" t="s">
        <v>49</v>
      </c>
      <c r="W367" s="199" t="s">
        <v>1056</v>
      </c>
      <c r="X367" s="199" t="s">
        <v>2194</v>
      </c>
      <c r="Y367" s="203"/>
      <c r="Z367" s="203"/>
      <c r="AA367" s="203"/>
      <c r="AB367" s="203"/>
      <c r="AC367" s="203"/>
    </row>
    <row r="368">
      <c r="A368" s="199" t="s">
        <v>2196</v>
      </c>
      <c r="B368" s="199" t="s">
        <v>632</v>
      </c>
      <c r="C368" s="199" t="s">
        <v>632</v>
      </c>
      <c r="D368" s="199" t="s">
        <v>45</v>
      </c>
      <c r="E368" s="199" t="s">
        <v>2197</v>
      </c>
      <c r="F368" s="199">
        <v>33.1</v>
      </c>
      <c r="G368" s="199">
        <v>65.0</v>
      </c>
      <c r="H368" s="199">
        <v>29.9</v>
      </c>
      <c r="I368" s="199">
        <v>65.1</v>
      </c>
      <c r="J368" s="199">
        <v>80.1</v>
      </c>
      <c r="K368" s="199">
        <v>4.6</v>
      </c>
      <c r="L368" s="199">
        <v>10.5</v>
      </c>
      <c r="M368" s="199">
        <v>1.9</v>
      </c>
      <c r="N368" s="199">
        <v>2.8</v>
      </c>
      <c r="O368" s="199">
        <v>0.1</v>
      </c>
      <c r="P368" s="199">
        <v>25.9</v>
      </c>
      <c r="Q368" s="199">
        <v>27.0</v>
      </c>
      <c r="R368" s="199">
        <v>61.7</v>
      </c>
      <c r="S368" s="199" t="s">
        <v>75</v>
      </c>
      <c r="T368" s="203"/>
      <c r="U368" s="199" t="s">
        <v>1409</v>
      </c>
      <c r="V368" s="199" t="s">
        <v>49</v>
      </c>
      <c r="W368" s="199" t="s">
        <v>1527</v>
      </c>
      <c r="X368" s="199" t="s">
        <v>2198</v>
      </c>
      <c r="Y368" s="203"/>
      <c r="Z368" s="203"/>
      <c r="AA368" s="203"/>
      <c r="AB368" s="203"/>
      <c r="AC368" s="203"/>
    </row>
    <row r="369">
      <c r="A369" s="199" t="s">
        <v>2200</v>
      </c>
      <c r="B369" s="199" t="s">
        <v>632</v>
      </c>
      <c r="C369" s="199" t="s">
        <v>632</v>
      </c>
      <c r="D369" s="199" t="s">
        <v>45</v>
      </c>
      <c r="E369" s="199" t="s">
        <v>2201</v>
      </c>
      <c r="F369" s="199">
        <v>30.2</v>
      </c>
      <c r="G369" s="199">
        <v>67.9</v>
      </c>
      <c r="H369" s="199">
        <v>27.3</v>
      </c>
      <c r="I369" s="199">
        <v>68.4</v>
      </c>
      <c r="J369" s="199">
        <v>78.5</v>
      </c>
      <c r="K369" s="199">
        <v>6.6</v>
      </c>
      <c r="L369" s="199">
        <v>9.9</v>
      </c>
      <c r="M369" s="199">
        <v>2.4</v>
      </c>
      <c r="N369" s="199">
        <v>2.5</v>
      </c>
      <c r="O369" s="199">
        <v>0.1</v>
      </c>
      <c r="P369" s="199">
        <v>23.3</v>
      </c>
      <c r="Q369" s="199">
        <v>23.0</v>
      </c>
      <c r="R369" s="199">
        <v>65.0</v>
      </c>
      <c r="S369" s="199" t="s">
        <v>75</v>
      </c>
      <c r="T369" s="203"/>
      <c r="U369" s="199" t="s">
        <v>1409</v>
      </c>
      <c r="V369" s="199" t="s">
        <v>49</v>
      </c>
      <c r="W369" s="199" t="s">
        <v>348</v>
      </c>
      <c r="X369" s="199" t="s">
        <v>2202</v>
      </c>
      <c r="Y369" s="203"/>
      <c r="Z369" s="203"/>
      <c r="AA369" s="203"/>
      <c r="AB369" s="203"/>
      <c r="AC369" s="203"/>
    </row>
    <row r="370">
      <c r="A370" s="199" t="s">
        <v>2204</v>
      </c>
      <c r="B370" s="199" t="s">
        <v>43</v>
      </c>
      <c r="C370" s="199" t="s">
        <v>632</v>
      </c>
      <c r="D370" s="199" t="s">
        <v>397</v>
      </c>
      <c r="E370" s="199" t="s">
        <v>2205</v>
      </c>
      <c r="F370" s="199">
        <v>43.2</v>
      </c>
      <c r="G370" s="199">
        <v>54.5</v>
      </c>
      <c r="H370" s="199">
        <v>38.5</v>
      </c>
      <c r="I370" s="199">
        <v>55.6</v>
      </c>
      <c r="J370" s="199">
        <v>71.9</v>
      </c>
      <c r="K370" s="199">
        <v>8.8</v>
      </c>
      <c r="L370" s="199">
        <v>12.7</v>
      </c>
      <c r="M370" s="199">
        <v>4.7</v>
      </c>
      <c r="N370" s="199">
        <v>2.0</v>
      </c>
      <c r="O370" s="199">
        <v>0.1</v>
      </c>
      <c r="P370" s="199">
        <v>44.0</v>
      </c>
      <c r="Q370" s="199">
        <v>46.5</v>
      </c>
      <c r="R370" s="199">
        <v>42.4</v>
      </c>
      <c r="S370" s="199" t="s">
        <v>75</v>
      </c>
      <c r="T370" s="203"/>
      <c r="U370" s="199" t="s">
        <v>1409</v>
      </c>
      <c r="V370" s="199" t="s">
        <v>159</v>
      </c>
      <c r="W370" s="199" t="s">
        <v>584</v>
      </c>
      <c r="X370" s="199" t="s">
        <v>2207</v>
      </c>
      <c r="Y370" s="203"/>
      <c r="Z370" s="203"/>
      <c r="AA370" s="203"/>
      <c r="AB370" s="203"/>
      <c r="AC370" s="203"/>
    </row>
    <row r="371">
      <c r="A371" s="199" t="s">
        <v>2210</v>
      </c>
      <c r="B371" s="199" t="s">
        <v>632</v>
      </c>
      <c r="C371" s="199" t="s">
        <v>632</v>
      </c>
      <c r="D371" s="199" t="s">
        <v>45</v>
      </c>
      <c r="E371" s="199" t="s">
        <v>2211</v>
      </c>
      <c r="F371" s="199">
        <v>34.5</v>
      </c>
      <c r="G371" s="199">
        <v>63.6</v>
      </c>
      <c r="H371" s="199">
        <v>31.9</v>
      </c>
      <c r="I371" s="199">
        <v>63.7</v>
      </c>
      <c r="J371" s="199">
        <v>80.1</v>
      </c>
      <c r="K371" s="199">
        <v>6.4</v>
      </c>
      <c r="L371" s="199">
        <v>9.4</v>
      </c>
      <c r="M371" s="199">
        <v>1.6</v>
      </c>
      <c r="N371" s="199">
        <v>2.5</v>
      </c>
      <c r="O371" s="199">
        <v>0.1</v>
      </c>
      <c r="P371" s="199">
        <v>24.9</v>
      </c>
      <c r="Q371" s="199">
        <v>25.2</v>
      </c>
      <c r="R371" s="199">
        <v>64.1</v>
      </c>
      <c r="S371" s="199" t="s">
        <v>75</v>
      </c>
      <c r="T371" s="203"/>
      <c r="U371" s="199" t="s">
        <v>1409</v>
      </c>
      <c r="V371" s="199" t="s">
        <v>49</v>
      </c>
      <c r="W371" s="199" t="s">
        <v>120</v>
      </c>
      <c r="X371" s="199" t="s">
        <v>2212</v>
      </c>
      <c r="Y371" s="203"/>
      <c r="Z371" s="203"/>
      <c r="AA371" s="203"/>
      <c r="AB371" s="203"/>
      <c r="AC371" s="203"/>
    </row>
    <row r="372">
      <c r="A372" s="199" t="s">
        <v>2214</v>
      </c>
      <c r="B372" s="199" t="s">
        <v>632</v>
      </c>
      <c r="C372" s="199" t="s">
        <v>632</v>
      </c>
      <c r="D372" s="199" t="s">
        <v>45</v>
      </c>
      <c r="E372" s="199" t="s">
        <v>2215</v>
      </c>
      <c r="F372" s="199">
        <v>41.3</v>
      </c>
      <c r="G372" s="199">
        <v>56.4</v>
      </c>
      <c r="H372" s="199">
        <v>38.8</v>
      </c>
      <c r="I372" s="199">
        <v>56.0</v>
      </c>
      <c r="J372" s="199">
        <v>71.9</v>
      </c>
      <c r="K372" s="199">
        <v>6.2</v>
      </c>
      <c r="L372" s="199">
        <v>16.7</v>
      </c>
      <c r="M372" s="199">
        <v>2.8</v>
      </c>
      <c r="N372" s="199">
        <v>2.3</v>
      </c>
      <c r="O372" s="199">
        <v>0.3</v>
      </c>
      <c r="P372" s="199">
        <v>30.3</v>
      </c>
      <c r="Q372" s="199">
        <v>31.8</v>
      </c>
      <c r="R372" s="199">
        <v>51.8</v>
      </c>
      <c r="S372" s="199" t="s">
        <v>75</v>
      </c>
      <c r="T372" s="203"/>
      <c r="U372" s="199" t="s">
        <v>1409</v>
      </c>
      <c r="V372" s="199" t="s">
        <v>49</v>
      </c>
      <c r="W372" s="199" t="s">
        <v>127</v>
      </c>
      <c r="X372" s="199" t="s">
        <v>1252</v>
      </c>
      <c r="Y372" s="203"/>
      <c r="Z372" s="203"/>
      <c r="AA372" s="203"/>
      <c r="AB372" s="203"/>
      <c r="AC372" s="203"/>
    </row>
    <row r="373">
      <c r="A373" s="199" t="s">
        <v>2217</v>
      </c>
      <c r="B373" s="199" t="s">
        <v>632</v>
      </c>
      <c r="C373" s="199" t="s">
        <v>632</v>
      </c>
      <c r="D373" s="199" t="s">
        <v>45</v>
      </c>
      <c r="E373" s="199" t="s">
        <v>2218</v>
      </c>
      <c r="F373" s="199">
        <v>30.6</v>
      </c>
      <c r="G373" s="199">
        <v>67.9</v>
      </c>
      <c r="H373" s="199">
        <v>28.8</v>
      </c>
      <c r="I373" s="199">
        <v>67.8</v>
      </c>
      <c r="J373" s="199">
        <v>74.9</v>
      </c>
      <c r="K373" s="199">
        <v>2.9</v>
      </c>
      <c r="L373" s="199">
        <v>17.7</v>
      </c>
      <c r="M373" s="199">
        <v>2.3</v>
      </c>
      <c r="N373" s="199">
        <v>1.9</v>
      </c>
      <c r="O373" s="199">
        <v>0.1</v>
      </c>
      <c r="P373" s="199">
        <v>27.1</v>
      </c>
      <c r="Q373" s="199">
        <v>29.0</v>
      </c>
      <c r="R373" s="199">
        <v>55.7</v>
      </c>
      <c r="S373" s="199" t="s">
        <v>75</v>
      </c>
      <c r="T373" s="203"/>
      <c r="U373" s="199" t="s">
        <v>1409</v>
      </c>
      <c r="V373" s="199" t="s">
        <v>49</v>
      </c>
      <c r="W373" s="199" t="s">
        <v>541</v>
      </c>
      <c r="X373" s="199" t="s">
        <v>2219</v>
      </c>
      <c r="Y373" s="203"/>
      <c r="Z373" s="203"/>
      <c r="AA373" s="203"/>
      <c r="AB373" s="203"/>
      <c r="AC373" s="203"/>
    </row>
    <row r="374">
      <c r="A374" s="199" t="s">
        <v>2221</v>
      </c>
      <c r="B374" s="199" t="s">
        <v>632</v>
      </c>
      <c r="C374" s="199" t="s">
        <v>632</v>
      </c>
      <c r="D374" s="199" t="s">
        <v>45</v>
      </c>
      <c r="E374" s="199" t="s">
        <v>2222</v>
      </c>
      <c r="F374" s="199">
        <v>26.5</v>
      </c>
      <c r="G374" s="199">
        <v>72.4</v>
      </c>
      <c r="H374" s="199">
        <v>24.6</v>
      </c>
      <c r="I374" s="199">
        <v>72.4</v>
      </c>
      <c r="J374" s="199">
        <v>63.6</v>
      </c>
      <c r="K374" s="199">
        <v>14.1</v>
      </c>
      <c r="L374" s="199">
        <v>18.3</v>
      </c>
      <c r="M374" s="199">
        <v>1.5</v>
      </c>
      <c r="N374" s="199">
        <v>2.8</v>
      </c>
      <c r="O374" s="199">
        <v>0.1</v>
      </c>
      <c r="P374" s="199">
        <v>21.6</v>
      </c>
      <c r="Q374" s="199">
        <v>25.5</v>
      </c>
      <c r="R374" s="199">
        <v>51.8</v>
      </c>
      <c r="S374" s="199" t="s">
        <v>75</v>
      </c>
      <c r="T374" s="203"/>
      <c r="U374" s="199" t="s">
        <v>1409</v>
      </c>
      <c r="V374" s="199" t="s">
        <v>159</v>
      </c>
      <c r="W374" s="199" t="s">
        <v>2223</v>
      </c>
      <c r="X374" s="199" t="s">
        <v>2224</v>
      </c>
      <c r="Y374" s="203"/>
      <c r="Z374" s="203"/>
      <c r="AA374" s="203"/>
      <c r="AB374" s="203"/>
      <c r="AC374" s="203"/>
    </row>
    <row r="375">
      <c r="A375" s="199" t="s">
        <v>2226</v>
      </c>
      <c r="B375" s="199" t="s">
        <v>632</v>
      </c>
      <c r="C375" s="199" t="s">
        <v>632</v>
      </c>
      <c r="D375" s="199" t="s">
        <v>45</v>
      </c>
      <c r="E375" s="199" t="s">
        <v>2227</v>
      </c>
      <c r="F375" s="199">
        <v>37.9</v>
      </c>
      <c r="G375" s="199">
        <v>60.7</v>
      </c>
      <c r="H375" s="199">
        <v>31.6</v>
      </c>
      <c r="I375" s="199">
        <v>63.3</v>
      </c>
      <c r="J375" s="199">
        <v>53.1</v>
      </c>
      <c r="K375" s="199">
        <v>27.1</v>
      </c>
      <c r="L375" s="199">
        <v>12.3</v>
      </c>
      <c r="M375" s="199">
        <v>5.5</v>
      </c>
      <c r="N375" s="199">
        <v>2.8</v>
      </c>
      <c r="O375" s="199">
        <v>0.3</v>
      </c>
      <c r="P375" s="199">
        <v>37.4</v>
      </c>
      <c r="Q375" s="199">
        <v>40.5</v>
      </c>
      <c r="R375" s="199">
        <v>38.0</v>
      </c>
      <c r="S375" s="199" t="s">
        <v>75</v>
      </c>
      <c r="T375" s="203"/>
      <c r="U375" s="199" t="s">
        <v>1409</v>
      </c>
      <c r="V375" s="199" t="s">
        <v>49</v>
      </c>
      <c r="W375" s="199" t="s">
        <v>811</v>
      </c>
      <c r="X375" s="199" t="s">
        <v>2228</v>
      </c>
      <c r="Y375" s="203"/>
      <c r="Z375" s="203"/>
      <c r="AA375" s="203"/>
      <c r="AB375" s="203"/>
      <c r="AC375" s="203"/>
    </row>
    <row r="376">
      <c r="A376" s="199" t="s">
        <v>2230</v>
      </c>
      <c r="B376" s="199" t="s">
        <v>632</v>
      </c>
      <c r="C376" s="199" t="s">
        <v>632</v>
      </c>
      <c r="D376" s="199" t="s">
        <v>45</v>
      </c>
      <c r="E376" s="199" t="s">
        <v>2231</v>
      </c>
      <c r="F376" s="199">
        <v>42.0</v>
      </c>
      <c r="G376" s="199">
        <v>56.4</v>
      </c>
      <c r="H376" s="199">
        <v>34.0</v>
      </c>
      <c r="I376" s="199">
        <v>60.0</v>
      </c>
      <c r="J376" s="199">
        <v>59.4</v>
      </c>
      <c r="K376" s="199">
        <v>14.3</v>
      </c>
      <c r="L376" s="199">
        <v>10.2</v>
      </c>
      <c r="M376" s="199">
        <v>13.7</v>
      </c>
      <c r="N376" s="199">
        <v>2.7</v>
      </c>
      <c r="O376" s="199">
        <v>0.2</v>
      </c>
      <c r="P376" s="199">
        <v>47.7</v>
      </c>
      <c r="Q376" s="199">
        <v>48.4</v>
      </c>
      <c r="R376" s="199">
        <v>35.8</v>
      </c>
      <c r="S376" s="199" t="s">
        <v>75</v>
      </c>
      <c r="T376" s="203"/>
      <c r="U376" s="199" t="s">
        <v>1409</v>
      </c>
      <c r="V376" s="199" t="s">
        <v>159</v>
      </c>
      <c r="W376" s="199" t="s">
        <v>2232</v>
      </c>
      <c r="X376" s="199" t="s">
        <v>2233</v>
      </c>
      <c r="Y376" s="203"/>
      <c r="Z376" s="203"/>
      <c r="AA376" s="203"/>
      <c r="AB376" s="203"/>
      <c r="AC376" s="203"/>
    </row>
    <row r="377">
      <c r="A377" s="199" t="s">
        <v>2235</v>
      </c>
      <c r="B377" s="199" t="s">
        <v>632</v>
      </c>
      <c r="C377" s="199" t="s">
        <v>632</v>
      </c>
      <c r="D377" s="199" t="s">
        <v>45</v>
      </c>
      <c r="E377" s="199" t="s">
        <v>2236</v>
      </c>
      <c r="F377" s="199">
        <v>36.4</v>
      </c>
      <c r="G377" s="199">
        <v>62.4</v>
      </c>
      <c r="H377" s="199">
        <v>30.5</v>
      </c>
      <c r="I377" s="199">
        <v>64.8</v>
      </c>
      <c r="J377" s="199">
        <v>63.0</v>
      </c>
      <c r="K377" s="199">
        <v>12.4</v>
      </c>
      <c r="L377" s="199">
        <v>9.7</v>
      </c>
      <c r="M377" s="199">
        <v>11.8</v>
      </c>
      <c r="N377" s="199">
        <v>3.2</v>
      </c>
      <c r="O377" s="199">
        <v>0.2</v>
      </c>
      <c r="P377" s="199">
        <v>40.9</v>
      </c>
      <c r="Q377" s="199">
        <v>38.7</v>
      </c>
      <c r="R377" s="199">
        <v>45.0</v>
      </c>
      <c r="S377" s="199" t="s">
        <v>75</v>
      </c>
      <c r="T377" s="203"/>
      <c r="U377" s="199" t="s">
        <v>1409</v>
      </c>
      <c r="V377" s="199" t="s">
        <v>49</v>
      </c>
      <c r="W377" s="199" t="s">
        <v>1048</v>
      </c>
      <c r="X377" s="199" t="s">
        <v>2237</v>
      </c>
      <c r="Y377" s="203"/>
      <c r="Z377" s="203"/>
      <c r="AA377" s="203"/>
      <c r="AB377" s="203"/>
      <c r="AC377" s="203"/>
    </row>
    <row r="378">
      <c r="A378" s="199" t="s">
        <v>2239</v>
      </c>
      <c r="B378" s="199" t="s">
        <v>632</v>
      </c>
      <c r="C378" s="199" t="s">
        <v>632</v>
      </c>
      <c r="D378" s="199" t="s">
        <v>45</v>
      </c>
      <c r="E378" s="199" t="s">
        <v>2240</v>
      </c>
      <c r="F378" s="199">
        <v>38.2</v>
      </c>
      <c r="G378" s="199">
        <v>60.6</v>
      </c>
      <c r="H378" s="199">
        <v>33.9</v>
      </c>
      <c r="I378" s="199">
        <v>62.8</v>
      </c>
      <c r="J378" s="199">
        <v>52.4</v>
      </c>
      <c r="K378" s="199">
        <v>25.8</v>
      </c>
      <c r="L378" s="199">
        <v>14.2</v>
      </c>
      <c r="M378" s="199">
        <v>5.3</v>
      </c>
      <c r="N378" s="199">
        <v>3.3</v>
      </c>
      <c r="O378" s="199">
        <v>0.1</v>
      </c>
      <c r="P378" s="199">
        <v>21.4</v>
      </c>
      <c r="Q378" s="199">
        <v>23.5</v>
      </c>
      <c r="R378" s="199">
        <v>47.6</v>
      </c>
      <c r="S378" s="199" t="s">
        <v>75</v>
      </c>
      <c r="T378" s="203"/>
      <c r="U378" s="199" t="s">
        <v>1409</v>
      </c>
      <c r="V378" s="199" t="s">
        <v>49</v>
      </c>
      <c r="W378" s="199" t="s">
        <v>2242</v>
      </c>
      <c r="X378" s="199" t="s">
        <v>2243</v>
      </c>
      <c r="Y378" s="203"/>
      <c r="Z378" s="203"/>
      <c r="AA378" s="203"/>
      <c r="AB378" s="203"/>
      <c r="AC378" s="203"/>
    </row>
    <row r="379">
      <c r="A379" s="199" t="s">
        <v>2245</v>
      </c>
      <c r="B379" s="199" t="s">
        <v>632</v>
      </c>
      <c r="C379" s="199" t="s">
        <v>632</v>
      </c>
      <c r="D379" s="199" t="s">
        <v>45</v>
      </c>
      <c r="E379" s="199" t="s">
        <v>2246</v>
      </c>
      <c r="F379" s="199">
        <v>37.4</v>
      </c>
      <c r="G379" s="199">
        <v>61.3</v>
      </c>
      <c r="H379" s="199">
        <v>32.5</v>
      </c>
      <c r="I379" s="199">
        <v>63.7</v>
      </c>
      <c r="J379" s="199">
        <v>48.8</v>
      </c>
      <c r="K379" s="199">
        <v>30.2</v>
      </c>
      <c r="L379" s="199">
        <v>14.6</v>
      </c>
      <c r="M379" s="199">
        <v>4.3</v>
      </c>
      <c r="N379" s="199">
        <v>3.2</v>
      </c>
      <c r="O379" s="199">
        <v>0.3</v>
      </c>
      <c r="P379" s="199">
        <v>22.3</v>
      </c>
      <c r="Q379" s="199">
        <v>26.4</v>
      </c>
      <c r="R379" s="199">
        <v>43.7</v>
      </c>
      <c r="S379" s="199" t="s">
        <v>75</v>
      </c>
      <c r="T379" s="203"/>
      <c r="U379" s="199" t="s">
        <v>1409</v>
      </c>
      <c r="V379" s="199" t="s">
        <v>49</v>
      </c>
      <c r="W379" s="199" t="s">
        <v>753</v>
      </c>
      <c r="X379" s="199" t="s">
        <v>2247</v>
      </c>
      <c r="Y379" s="203"/>
      <c r="Z379" s="203"/>
      <c r="AA379" s="203"/>
      <c r="AB379" s="203"/>
      <c r="AC379" s="203"/>
    </row>
    <row r="380">
      <c r="A380" s="199" t="s">
        <v>2249</v>
      </c>
      <c r="B380" s="199" t="s">
        <v>632</v>
      </c>
      <c r="C380" s="199" t="s">
        <v>632</v>
      </c>
      <c r="D380" s="199" t="s">
        <v>45</v>
      </c>
      <c r="E380" s="199" t="s">
        <v>2250</v>
      </c>
      <c r="F380" s="199">
        <v>35.8</v>
      </c>
      <c r="G380" s="199">
        <v>63.0</v>
      </c>
      <c r="H380" s="199">
        <v>32.1</v>
      </c>
      <c r="I380" s="199">
        <v>64.0</v>
      </c>
      <c r="J380" s="199">
        <v>48.8</v>
      </c>
      <c r="K380" s="199">
        <v>29.7</v>
      </c>
      <c r="L380" s="199">
        <v>13.1</v>
      </c>
      <c r="M380" s="199">
        <v>6.6</v>
      </c>
      <c r="N380" s="199">
        <v>3.1</v>
      </c>
      <c r="O380" s="199">
        <v>0.2</v>
      </c>
      <c r="P380" s="199">
        <v>29.5</v>
      </c>
      <c r="Q380" s="199">
        <v>32.2</v>
      </c>
      <c r="R380" s="199">
        <v>39.8</v>
      </c>
      <c r="S380" s="199" t="s">
        <v>75</v>
      </c>
      <c r="T380" s="203"/>
      <c r="U380" s="199" t="s">
        <v>1409</v>
      </c>
      <c r="V380" s="199" t="s">
        <v>159</v>
      </c>
      <c r="W380" s="199" t="s">
        <v>670</v>
      </c>
      <c r="X380" s="199" t="s">
        <v>2251</v>
      </c>
      <c r="Y380" s="203"/>
      <c r="Z380" s="203"/>
      <c r="AA380" s="203"/>
      <c r="AB380" s="203"/>
      <c r="AC380" s="203"/>
    </row>
    <row r="381">
      <c r="A381" s="199" t="s">
        <v>2253</v>
      </c>
      <c r="B381" s="199" t="s">
        <v>632</v>
      </c>
      <c r="C381" s="199" t="s">
        <v>632</v>
      </c>
      <c r="D381" s="199" t="s">
        <v>45</v>
      </c>
      <c r="E381" s="199" t="s">
        <v>2254</v>
      </c>
      <c r="F381" s="199">
        <v>39.8</v>
      </c>
      <c r="G381" s="199">
        <v>58.6</v>
      </c>
      <c r="H381" s="199">
        <v>34.0</v>
      </c>
      <c r="I381" s="199">
        <v>60.2</v>
      </c>
      <c r="J381" s="199">
        <v>59.5</v>
      </c>
      <c r="K381" s="199">
        <v>22.0</v>
      </c>
      <c r="L381" s="199">
        <v>10.4</v>
      </c>
      <c r="M381" s="199">
        <v>6.2</v>
      </c>
      <c r="N381" s="199">
        <v>2.4</v>
      </c>
      <c r="O381" s="199">
        <v>0.2</v>
      </c>
      <c r="P381" s="199">
        <v>37.6</v>
      </c>
      <c r="Q381" s="199">
        <v>44.2</v>
      </c>
      <c r="R381" s="199">
        <v>37.5</v>
      </c>
      <c r="S381" s="199" t="s">
        <v>75</v>
      </c>
      <c r="T381" s="203"/>
      <c r="U381" s="199" t="s">
        <v>1409</v>
      </c>
      <c r="V381" s="199" t="s">
        <v>49</v>
      </c>
      <c r="W381" s="199" t="s">
        <v>1289</v>
      </c>
      <c r="X381" s="199" t="s">
        <v>2255</v>
      </c>
      <c r="Y381" s="203"/>
      <c r="Z381" s="203"/>
      <c r="AA381" s="203"/>
      <c r="AB381" s="203"/>
      <c r="AC381" s="203"/>
    </row>
    <row r="382">
      <c r="A382" s="199" t="s">
        <v>2257</v>
      </c>
      <c r="B382" s="199" t="s">
        <v>632</v>
      </c>
      <c r="C382" s="199" t="s">
        <v>632</v>
      </c>
      <c r="D382" s="199" t="s">
        <v>45</v>
      </c>
      <c r="E382" s="199" t="s">
        <v>2258</v>
      </c>
      <c r="F382" s="199">
        <v>29.1</v>
      </c>
      <c r="G382" s="199">
        <v>69.5</v>
      </c>
      <c r="H382" s="199">
        <v>26.9</v>
      </c>
      <c r="I382" s="199">
        <v>69.1</v>
      </c>
      <c r="J382" s="199">
        <v>47.7</v>
      </c>
      <c r="K382" s="199">
        <v>35.2</v>
      </c>
      <c r="L382" s="199">
        <v>12.4</v>
      </c>
      <c r="M382" s="199">
        <v>2.9</v>
      </c>
      <c r="N382" s="199">
        <v>2.9</v>
      </c>
      <c r="O382" s="199">
        <v>0.7</v>
      </c>
      <c r="P382" s="199">
        <v>22.4</v>
      </c>
      <c r="Q382" s="199">
        <v>29.1</v>
      </c>
      <c r="R382" s="199">
        <v>37.4</v>
      </c>
      <c r="S382" s="199" t="s">
        <v>75</v>
      </c>
      <c r="T382" s="203"/>
      <c r="U382" s="199" t="s">
        <v>1409</v>
      </c>
      <c r="V382" s="199" t="s">
        <v>49</v>
      </c>
      <c r="W382" s="199" t="s">
        <v>2259</v>
      </c>
      <c r="X382" s="199" t="s">
        <v>2260</v>
      </c>
      <c r="Y382" s="203"/>
      <c r="Z382" s="203"/>
      <c r="AA382" s="203"/>
      <c r="AB382" s="203"/>
      <c r="AC382" s="203"/>
    </row>
    <row r="383">
      <c r="A383" s="199" t="s">
        <v>2262</v>
      </c>
      <c r="B383" s="199" t="s">
        <v>632</v>
      </c>
      <c r="C383" s="199" t="s">
        <v>632</v>
      </c>
      <c r="D383" s="199" t="s">
        <v>45</v>
      </c>
      <c r="E383" s="199" t="s">
        <v>2263</v>
      </c>
      <c r="F383" s="199">
        <v>40.1</v>
      </c>
      <c r="G383" s="199">
        <v>58.3</v>
      </c>
      <c r="H383" s="199">
        <v>34.6</v>
      </c>
      <c r="I383" s="199">
        <v>60.2</v>
      </c>
      <c r="J383" s="199">
        <v>58.9</v>
      </c>
      <c r="K383" s="199">
        <v>21.7</v>
      </c>
      <c r="L383" s="199">
        <v>12.0</v>
      </c>
      <c r="M383" s="199">
        <v>5.1</v>
      </c>
      <c r="N383" s="199">
        <v>3.0</v>
      </c>
      <c r="O383" s="199">
        <v>0.3</v>
      </c>
      <c r="P383" s="199">
        <v>32.1</v>
      </c>
      <c r="Q383" s="199">
        <v>37.0</v>
      </c>
      <c r="R383" s="199">
        <v>42.3</v>
      </c>
      <c r="S383" s="199" t="s">
        <v>75</v>
      </c>
      <c r="T383" s="203"/>
      <c r="U383" s="199" t="s">
        <v>1409</v>
      </c>
      <c r="V383" s="199" t="s">
        <v>49</v>
      </c>
      <c r="W383" s="199" t="s">
        <v>2264</v>
      </c>
      <c r="X383" s="199" t="s">
        <v>2265</v>
      </c>
      <c r="Y383" s="203"/>
      <c r="Z383" s="203"/>
      <c r="AA383" s="203"/>
      <c r="AB383" s="203"/>
      <c r="AC383" s="203"/>
    </row>
    <row r="384">
      <c r="A384" s="199" t="s">
        <v>2267</v>
      </c>
      <c r="B384" s="199" t="s">
        <v>632</v>
      </c>
      <c r="C384" s="199" t="s">
        <v>632</v>
      </c>
      <c r="D384" s="199" t="s">
        <v>45</v>
      </c>
      <c r="E384" s="199" t="s">
        <v>2268</v>
      </c>
      <c r="F384" s="199">
        <v>26.5</v>
      </c>
      <c r="G384" s="199">
        <v>72.0</v>
      </c>
      <c r="H384" s="199">
        <v>22.1</v>
      </c>
      <c r="I384" s="199">
        <v>73.5</v>
      </c>
      <c r="J384" s="199">
        <v>62.0</v>
      </c>
      <c r="K384" s="199">
        <v>24.6</v>
      </c>
      <c r="L384" s="199">
        <v>7.5</v>
      </c>
      <c r="M384" s="199">
        <v>3.0</v>
      </c>
      <c r="N384" s="199">
        <v>3.5</v>
      </c>
      <c r="O384" s="199">
        <v>0.2</v>
      </c>
      <c r="P384" s="199">
        <v>23.9</v>
      </c>
      <c r="Q384" s="199">
        <v>28.3</v>
      </c>
      <c r="R384" s="199">
        <v>49.8</v>
      </c>
      <c r="S384" s="199" t="s">
        <v>75</v>
      </c>
      <c r="T384" s="203"/>
      <c r="U384" s="199" t="s">
        <v>1409</v>
      </c>
      <c r="V384" s="199" t="s">
        <v>49</v>
      </c>
      <c r="W384" s="199" t="s">
        <v>2272</v>
      </c>
      <c r="X384" s="199" t="s">
        <v>563</v>
      </c>
      <c r="Y384" s="203"/>
      <c r="Z384" s="203"/>
      <c r="AA384" s="203"/>
      <c r="AB384" s="203"/>
      <c r="AC384" s="203"/>
    </row>
    <row r="385">
      <c r="A385" s="199" t="s">
        <v>2274</v>
      </c>
      <c r="B385" s="199" t="s">
        <v>632</v>
      </c>
      <c r="C385" s="199" t="s">
        <v>632</v>
      </c>
      <c r="D385" s="199" t="s">
        <v>45</v>
      </c>
      <c r="E385" s="199" t="s">
        <v>2275</v>
      </c>
      <c r="F385" s="199">
        <v>35.0</v>
      </c>
      <c r="G385" s="199">
        <v>63.6</v>
      </c>
      <c r="H385" s="199">
        <v>33.9</v>
      </c>
      <c r="I385" s="199">
        <v>62.4</v>
      </c>
      <c r="J385" s="199">
        <v>56.0</v>
      </c>
      <c r="K385" s="199">
        <v>22.4</v>
      </c>
      <c r="L385" s="199">
        <v>16.2</v>
      </c>
      <c r="M385" s="199">
        <v>3.5</v>
      </c>
      <c r="N385" s="199">
        <v>2.5</v>
      </c>
      <c r="O385" s="199">
        <v>0.1</v>
      </c>
      <c r="P385" s="199">
        <v>23.6</v>
      </c>
      <c r="Q385" s="199">
        <v>28.6</v>
      </c>
      <c r="R385" s="199">
        <v>44.0</v>
      </c>
      <c r="S385" s="199" t="s">
        <v>75</v>
      </c>
      <c r="T385" s="203"/>
      <c r="U385" s="199" t="s">
        <v>1409</v>
      </c>
      <c r="V385" s="199" t="s">
        <v>49</v>
      </c>
      <c r="W385" s="199" t="s">
        <v>1755</v>
      </c>
      <c r="X385" s="199" t="s">
        <v>2276</v>
      </c>
      <c r="Y385" s="203"/>
      <c r="Z385" s="203"/>
      <c r="AA385" s="203"/>
      <c r="AB385" s="203"/>
      <c r="AC385" s="203"/>
    </row>
    <row r="386">
      <c r="A386" s="199" t="s">
        <v>2278</v>
      </c>
      <c r="B386" s="199" t="s">
        <v>43</v>
      </c>
      <c r="C386" s="199" t="s">
        <v>632</v>
      </c>
      <c r="D386" s="199" t="s">
        <v>397</v>
      </c>
      <c r="E386" s="199" t="s">
        <v>2279</v>
      </c>
      <c r="F386" s="199">
        <v>48.1</v>
      </c>
      <c r="G386" s="199">
        <v>51.0</v>
      </c>
      <c r="H386" s="199">
        <v>54.7</v>
      </c>
      <c r="I386" s="199">
        <v>41.5</v>
      </c>
      <c r="J386" s="199">
        <v>17.5</v>
      </c>
      <c r="K386" s="199">
        <v>78.9</v>
      </c>
      <c r="L386" s="199">
        <v>1.6</v>
      </c>
      <c r="M386" s="199">
        <v>1.5</v>
      </c>
      <c r="N386" s="199">
        <v>1.8</v>
      </c>
      <c r="O386" s="199">
        <v>0.1</v>
      </c>
      <c r="P386" s="199">
        <v>20.6</v>
      </c>
      <c r="Q386" s="199">
        <v>28.9</v>
      </c>
      <c r="R386" s="199">
        <v>15.9</v>
      </c>
      <c r="S386" s="199" t="s">
        <v>83</v>
      </c>
      <c r="T386" s="203"/>
      <c r="U386" s="199" t="s">
        <v>1409</v>
      </c>
      <c r="V386" s="199" t="s">
        <v>159</v>
      </c>
      <c r="W386" s="199" t="s">
        <v>2281</v>
      </c>
      <c r="X386" s="199" t="s">
        <v>2282</v>
      </c>
      <c r="Y386" s="203"/>
      <c r="Z386" s="203"/>
      <c r="AA386" s="203"/>
      <c r="AB386" s="203"/>
      <c r="AC386" s="203"/>
    </row>
    <row r="387">
      <c r="A387" s="199" t="s">
        <v>2284</v>
      </c>
      <c r="B387" s="199" t="s">
        <v>632</v>
      </c>
      <c r="C387" s="199" t="s">
        <v>632</v>
      </c>
      <c r="D387" s="199" t="s">
        <v>45</v>
      </c>
      <c r="E387" s="199" t="s">
        <v>2285</v>
      </c>
      <c r="F387" s="199">
        <v>38.0</v>
      </c>
      <c r="G387" s="199">
        <v>60.5</v>
      </c>
      <c r="H387" s="199">
        <v>33.6</v>
      </c>
      <c r="I387" s="199">
        <v>61.9</v>
      </c>
      <c r="J387" s="199">
        <v>56.6</v>
      </c>
      <c r="K387" s="199">
        <v>22.3</v>
      </c>
      <c r="L387" s="199">
        <v>16.0</v>
      </c>
      <c r="M387" s="199">
        <v>3.1</v>
      </c>
      <c r="N387" s="199">
        <v>2.6</v>
      </c>
      <c r="O387" s="199">
        <v>0.2</v>
      </c>
      <c r="P387" s="199">
        <v>23.4</v>
      </c>
      <c r="Q387" s="199">
        <v>28.7</v>
      </c>
      <c r="R387" s="199">
        <v>45.2</v>
      </c>
      <c r="S387" s="199" t="s">
        <v>75</v>
      </c>
      <c r="T387" s="203"/>
      <c r="U387" s="199" t="s">
        <v>1409</v>
      </c>
      <c r="V387" s="199" t="s">
        <v>49</v>
      </c>
      <c r="W387" s="199" t="s">
        <v>266</v>
      </c>
      <c r="X387" s="199" t="s">
        <v>2286</v>
      </c>
      <c r="Y387" s="203"/>
      <c r="Z387" s="203"/>
      <c r="AA387" s="203"/>
      <c r="AB387" s="203"/>
      <c r="AC387" s="203"/>
    </row>
    <row r="388">
      <c r="A388" s="199" t="s">
        <v>2288</v>
      </c>
      <c r="B388" s="199" t="s">
        <v>632</v>
      </c>
      <c r="C388" s="199" t="s">
        <v>632</v>
      </c>
      <c r="D388" s="199" t="s">
        <v>45</v>
      </c>
      <c r="E388" s="199" t="s">
        <v>2289</v>
      </c>
      <c r="F388" s="199">
        <v>26.2</v>
      </c>
      <c r="G388" s="199">
        <v>72.4</v>
      </c>
      <c r="H388" s="199">
        <v>23.4</v>
      </c>
      <c r="I388" s="199">
        <v>71.9</v>
      </c>
      <c r="J388" s="199">
        <v>53.7</v>
      </c>
      <c r="K388" s="199">
        <v>34.7</v>
      </c>
      <c r="L388" s="199">
        <v>7.4</v>
      </c>
      <c r="M388" s="199">
        <v>2.4</v>
      </c>
      <c r="N388" s="199">
        <v>2.7</v>
      </c>
      <c r="O388" s="199">
        <v>0.2</v>
      </c>
      <c r="P388" s="199">
        <v>23.6</v>
      </c>
      <c r="Q388" s="199">
        <v>32.1</v>
      </c>
      <c r="R388" s="199">
        <v>39.8</v>
      </c>
      <c r="S388" s="199" t="s">
        <v>75</v>
      </c>
      <c r="T388" s="203"/>
      <c r="U388" s="199" t="s">
        <v>1409</v>
      </c>
      <c r="V388" s="199" t="s">
        <v>49</v>
      </c>
      <c r="W388" s="199" t="s">
        <v>2290</v>
      </c>
      <c r="X388" s="199" t="s">
        <v>2291</v>
      </c>
      <c r="Y388" s="203"/>
      <c r="Z388" s="203"/>
      <c r="AA388" s="203"/>
      <c r="AB388" s="203"/>
      <c r="AC388" s="203"/>
    </row>
    <row r="389">
      <c r="A389" s="199" t="s">
        <v>2293</v>
      </c>
      <c r="B389" s="199" t="s">
        <v>632</v>
      </c>
      <c r="C389" s="199" t="s">
        <v>632</v>
      </c>
      <c r="D389" s="199" t="s">
        <v>45</v>
      </c>
      <c r="E389" s="199" t="s">
        <v>2294</v>
      </c>
      <c r="F389" s="199">
        <v>39.4</v>
      </c>
      <c r="G389" s="199">
        <v>59.1</v>
      </c>
      <c r="H389" s="199">
        <v>33.3</v>
      </c>
      <c r="I389" s="199">
        <v>61.1</v>
      </c>
      <c r="J389" s="199">
        <v>62.1</v>
      </c>
      <c r="K389" s="199">
        <v>27.9</v>
      </c>
      <c r="L389" s="199">
        <v>4.4</v>
      </c>
      <c r="M389" s="199">
        <v>3.6</v>
      </c>
      <c r="N389" s="199">
        <v>2.8</v>
      </c>
      <c r="O389" s="199">
        <v>0.3</v>
      </c>
      <c r="P389" s="199">
        <v>41.6</v>
      </c>
      <c r="Q389" s="199">
        <v>47.2</v>
      </c>
      <c r="R389" s="199">
        <v>35.3</v>
      </c>
      <c r="S389" s="199" t="s">
        <v>75</v>
      </c>
      <c r="T389" s="203"/>
      <c r="U389" s="199" t="s">
        <v>1409</v>
      </c>
      <c r="V389" s="199" t="s">
        <v>49</v>
      </c>
      <c r="W389" s="199" t="s">
        <v>2295</v>
      </c>
      <c r="X389" s="199" t="s">
        <v>2296</v>
      </c>
      <c r="Y389" s="203"/>
      <c r="Z389" s="203"/>
      <c r="AA389" s="203"/>
      <c r="AB389" s="203"/>
      <c r="AC389" s="203"/>
    </row>
    <row r="390">
      <c r="A390" s="199" t="s">
        <v>2298</v>
      </c>
      <c r="B390" s="199" t="s">
        <v>632</v>
      </c>
      <c r="C390" s="199" t="s">
        <v>632</v>
      </c>
      <c r="D390" s="199" t="s">
        <v>45</v>
      </c>
      <c r="E390" s="199" t="s">
        <v>2299</v>
      </c>
      <c r="F390" s="199">
        <v>41.3</v>
      </c>
      <c r="G390" s="199">
        <v>57.4</v>
      </c>
      <c r="H390" s="199">
        <v>35.7</v>
      </c>
      <c r="I390" s="199">
        <v>59.9</v>
      </c>
      <c r="J390" s="199">
        <v>45.2</v>
      </c>
      <c r="K390" s="199">
        <v>26.3</v>
      </c>
      <c r="L390" s="199">
        <v>12.2</v>
      </c>
      <c r="M390" s="199">
        <v>14.9</v>
      </c>
      <c r="N390" s="199">
        <v>2.0</v>
      </c>
      <c r="O390" s="199">
        <v>0.1</v>
      </c>
      <c r="P390" s="199">
        <v>42.7</v>
      </c>
      <c r="Q390" s="199">
        <v>46.2</v>
      </c>
      <c r="R390" s="199">
        <v>28.6</v>
      </c>
      <c r="S390" s="199" t="s">
        <v>75</v>
      </c>
      <c r="T390" s="203"/>
      <c r="U390" s="199" t="s">
        <v>1409</v>
      </c>
      <c r="V390" s="199" t="s">
        <v>49</v>
      </c>
      <c r="W390" s="199" t="s">
        <v>678</v>
      </c>
      <c r="X390" s="199" t="s">
        <v>2303</v>
      </c>
      <c r="Y390" s="203"/>
      <c r="Z390" s="203"/>
      <c r="AA390" s="203"/>
      <c r="AB390" s="203"/>
      <c r="AC390" s="203"/>
    </row>
    <row r="391">
      <c r="A391" s="199" t="s">
        <v>2305</v>
      </c>
      <c r="B391" s="199" t="s">
        <v>632</v>
      </c>
      <c r="C391" s="199" t="s">
        <v>632</v>
      </c>
      <c r="D391" s="199" t="s">
        <v>45</v>
      </c>
      <c r="E391" s="199" t="s">
        <v>2306</v>
      </c>
      <c r="F391" s="199">
        <v>45.8</v>
      </c>
      <c r="G391" s="199">
        <v>52.9</v>
      </c>
      <c r="H391" s="199">
        <v>45.5</v>
      </c>
      <c r="I391" s="199">
        <v>49.6</v>
      </c>
      <c r="J391" s="199">
        <v>31.3</v>
      </c>
      <c r="K391" s="199">
        <v>60.0</v>
      </c>
      <c r="L391" s="199">
        <v>4.6</v>
      </c>
      <c r="M391" s="199">
        <v>3.3</v>
      </c>
      <c r="N391" s="199">
        <v>2.4</v>
      </c>
      <c r="O391" s="199">
        <v>0.3</v>
      </c>
      <c r="P391" s="199">
        <v>27.6</v>
      </c>
      <c r="Q391" s="199">
        <v>44.2</v>
      </c>
      <c r="R391" s="199">
        <v>19.4</v>
      </c>
      <c r="S391" s="199" t="s">
        <v>83</v>
      </c>
      <c r="T391" s="203"/>
      <c r="U391" s="199" t="s">
        <v>1409</v>
      </c>
      <c r="V391" s="199" t="s">
        <v>49</v>
      </c>
      <c r="W391" s="199" t="s">
        <v>232</v>
      </c>
      <c r="X391" s="199" t="s">
        <v>2307</v>
      </c>
      <c r="Y391" s="203"/>
      <c r="Z391" s="203"/>
      <c r="AA391" s="203"/>
      <c r="AB391" s="203"/>
      <c r="AC391" s="203"/>
    </row>
    <row r="392">
      <c r="A392" s="199" t="s">
        <v>2309</v>
      </c>
      <c r="B392" s="199" t="s">
        <v>632</v>
      </c>
      <c r="C392" s="199" t="s">
        <v>632</v>
      </c>
      <c r="D392" s="199" t="s">
        <v>45</v>
      </c>
      <c r="E392" s="199" t="s">
        <v>2310</v>
      </c>
      <c r="F392" s="199">
        <v>43.0</v>
      </c>
      <c r="G392" s="199">
        <v>55.4</v>
      </c>
      <c r="H392" s="199">
        <v>35.4</v>
      </c>
      <c r="I392" s="199">
        <v>59.3</v>
      </c>
      <c r="J392" s="199">
        <v>64.9</v>
      </c>
      <c r="K392" s="199">
        <v>15.5</v>
      </c>
      <c r="L392" s="199">
        <v>7.7</v>
      </c>
      <c r="M392" s="199">
        <v>9.3</v>
      </c>
      <c r="N392" s="199">
        <v>2.6</v>
      </c>
      <c r="O392" s="199">
        <v>0.4</v>
      </c>
      <c r="P392" s="199">
        <v>51.1</v>
      </c>
      <c r="Q392" s="199">
        <v>55.5</v>
      </c>
      <c r="R392" s="199">
        <v>32.6</v>
      </c>
      <c r="S392" s="199" t="s">
        <v>75</v>
      </c>
      <c r="T392" s="203"/>
      <c r="U392" s="199" t="s">
        <v>1409</v>
      </c>
      <c r="V392" s="199" t="s">
        <v>49</v>
      </c>
      <c r="W392" s="199" t="s">
        <v>2311</v>
      </c>
      <c r="X392" s="199" t="s">
        <v>2312</v>
      </c>
      <c r="Y392" s="203"/>
      <c r="Z392" s="203"/>
      <c r="AA392" s="203"/>
      <c r="AB392" s="203"/>
      <c r="AC392" s="203"/>
    </row>
    <row r="393">
      <c r="A393" s="199" t="s">
        <v>2314</v>
      </c>
      <c r="B393" s="199" t="s">
        <v>632</v>
      </c>
      <c r="C393" s="199" t="s">
        <v>632</v>
      </c>
      <c r="D393" s="199" t="s">
        <v>45</v>
      </c>
      <c r="E393" s="199" t="s">
        <v>2315</v>
      </c>
      <c r="F393" s="199">
        <v>33.8</v>
      </c>
      <c r="G393" s="199">
        <v>64.9</v>
      </c>
      <c r="H393" s="199">
        <v>29.5</v>
      </c>
      <c r="I393" s="199">
        <v>66.3</v>
      </c>
      <c r="J393" s="199">
        <v>62.1</v>
      </c>
      <c r="K393" s="199">
        <v>18.8</v>
      </c>
      <c r="L393" s="199">
        <v>12.3</v>
      </c>
      <c r="M393" s="199">
        <v>4.2</v>
      </c>
      <c r="N393" s="199">
        <v>3.1</v>
      </c>
      <c r="O393" s="199">
        <v>0.3</v>
      </c>
      <c r="P393" s="199">
        <v>28.7</v>
      </c>
      <c r="Q393" s="199">
        <v>30.9</v>
      </c>
      <c r="R393" s="199">
        <v>47.8</v>
      </c>
      <c r="S393" s="199" t="s">
        <v>75</v>
      </c>
      <c r="T393" s="203"/>
      <c r="U393" s="199" t="s">
        <v>1409</v>
      </c>
      <c r="V393" s="199" t="s">
        <v>49</v>
      </c>
      <c r="W393" s="199" t="s">
        <v>2316</v>
      </c>
      <c r="X393" s="199" t="s">
        <v>524</v>
      </c>
      <c r="Y393" s="203"/>
      <c r="Z393" s="203"/>
      <c r="AA393" s="203"/>
      <c r="AB393" s="203"/>
      <c r="AC393" s="203"/>
    </row>
    <row r="394">
      <c r="A394" s="199" t="s">
        <v>2318</v>
      </c>
      <c r="B394" s="199" t="s">
        <v>632</v>
      </c>
      <c r="C394" s="199" t="s">
        <v>632</v>
      </c>
      <c r="D394" s="199" t="s">
        <v>45</v>
      </c>
      <c r="E394" s="199" t="s">
        <v>2319</v>
      </c>
      <c r="F394" s="199">
        <v>40.0</v>
      </c>
      <c r="G394" s="199">
        <v>58.6</v>
      </c>
      <c r="H394" s="199">
        <v>32.1</v>
      </c>
      <c r="I394" s="199">
        <v>62.7</v>
      </c>
      <c r="J394" s="199">
        <v>60.0</v>
      </c>
      <c r="K394" s="199">
        <v>17.0</v>
      </c>
      <c r="L394" s="199">
        <v>9.8</v>
      </c>
      <c r="M394" s="199">
        <v>10.6</v>
      </c>
      <c r="N394" s="199">
        <v>3.0</v>
      </c>
      <c r="O394" s="199">
        <v>0.2</v>
      </c>
      <c r="P394" s="199">
        <v>43.7</v>
      </c>
      <c r="Q394" s="199">
        <v>45.0</v>
      </c>
      <c r="R394" s="199">
        <v>38.6</v>
      </c>
      <c r="S394" s="199" t="s">
        <v>75</v>
      </c>
      <c r="T394" s="203"/>
      <c r="U394" s="199" t="s">
        <v>1409</v>
      </c>
      <c r="V394" s="199" t="s">
        <v>49</v>
      </c>
      <c r="W394" s="199" t="s">
        <v>1289</v>
      </c>
      <c r="X394" s="199" t="s">
        <v>2320</v>
      </c>
      <c r="Y394" s="203"/>
      <c r="Z394" s="203"/>
      <c r="AA394" s="203"/>
      <c r="AB394" s="203"/>
      <c r="AC394" s="203"/>
    </row>
    <row r="395">
      <c r="A395" s="199" t="s">
        <v>2322</v>
      </c>
      <c r="B395" s="199" t="s">
        <v>632</v>
      </c>
      <c r="C395" s="199" t="s">
        <v>632</v>
      </c>
      <c r="D395" s="199" t="s">
        <v>45</v>
      </c>
      <c r="E395" s="199" t="s">
        <v>2323</v>
      </c>
      <c r="F395" s="199">
        <v>38.1</v>
      </c>
      <c r="G395" s="199">
        <v>60.6</v>
      </c>
      <c r="H395" s="199">
        <v>37.2</v>
      </c>
      <c r="I395" s="199">
        <v>58.8</v>
      </c>
      <c r="J395" s="199">
        <v>41.4</v>
      </c>
      <c r="K395" s="199">
        <v>49.9</v>
      </c>
      <c r="L395" s="199">
        <v>5.1</v>
      </c>
      <c r="M395" s="199">
        <v>2.2</v>
      </c>
      <c r="N395" s="199">
        <v>2.4</v>
      </c>
      <c r="O395" s="199">
        <v>0.2</v>
      </c>
      <c r="P395" s="199">
        <v>19.1</v>
      </c>
      <c r="Q395" s="199">
        <v>27.8</v>
      </c>
      <c r="R395" s="199">
        <v>31.6</v>
      </c>
      <c r="S395" s="199" t="s">
        <v>75</v>
      </c>
      <c r="T395" s="203"/>
      <c r="U395" s="199" t="s">
        <v>1409</v>
      </c>
      <c r="V395" s="199" t="s">
        <v>49</v>
      </c>
      <c r="W395" s="199" t="s">
        <v>1289</v>
      </c>
      <c r="X395" s="199" t="s">
        <v>2324</v>
      </c>
      <c r="Y395" s="203"/>
      <c r="Z395" s="203"/>
      <c r="AA395" s="203"/>
      <c r="AB395" s="203"/>
      <c r="AC395" s="203"/>
    </row>
    <row r="396">
      <c r="A396" s="199" t="s">
        <v>2326</v>
      </c>
      <c r="B396" s="199" t="s">
        <v>632</v>
      </c>
      <c r="C396" s="199" t="s">
        <v>632</v>
      </c>
      <c r="D396" s="199" t="s">
        <v>45</v>
      </c>
      <c r="E396" s="199" t="s">
        <v>2328</v>
      </c>
      <c r="F396" s="199">
        <v>39.0</v>
      </c>
      <c r="G396" s="199">
        <v>59.2</v>
      </c>
      <c r="H396" s="199">
        <v>31.8</v>
      </c>
      <c r="I396" s="199">
        <v>61.7</v>
      </c>
      <c r="J396" s="199">
        <v>63.0</v>
      </c>
      <c r="K396" s="199">
        <v>20.3</v>
      </c>
      <c r="L396" s="199">
        <v>8.9</v>
      </c>
      <c r="M396" s="199">
        <v>5.4</v>
      </c>
      <c r="N396" s="199">
        <v>3.0</v>
      </c>
      <c r="O396" s="199">
        <v>0.5</v>
      </c>
      <c r="P396" s="199">
        <v>33.6</v>
      </c>
      <c r="Q396" s="199">
        <v>36.9</v>
      </c>
      <c r="R396" s="199">
        <v>43.4</v>
      </c>
      <c r="S396" s="199" t="s">
        <v>75</v>
      </c>
      <c r="T396" s="203"/>
      <c r="U396" s="199" t="s">
        <v>1409</v>
      </c>
      <c r="V396" s="199" t="s">
        <v>49</v>
      </c>
      <c r="W396" s="199" t="s">
        <v>120</v>
      </c>
      <c r="X396" s="199" t="s">
        <v>679</v>
      </c>
      <c r="Y396" s="203"/>
      <c r="Z396" s="203"/>
      <c r="AA396" s="203"/>
      <c r="AB396" s="203"/>
      <c r="AC396" s="203"/>
    </row>
    <row r="397">
      <c r="A397" s="199" t="s">
        <v>2331</v>
      </c>
      <c r="B397" s="199" t="s">
        <v>632</v>
      </c>
      <c r="C397" s="199" t="s">
        <v>632</v>
      </c>
      <c r="D397" s="199" t="s">
        <v>45</v>
      </c>
      <c r="E397" s="199" t="s">
        <v>2332</v>
      </c>
      <c r="F397" s="199">
        <v>33.6</v>
      </c>
      <c r="G397" s="199">
        <v>65.2</v>
      </c>
      <c r="H397" s="199">
        <v>31.6</v>
      </c>
      <c r="I397" s="199">
        <v>64.9</v>
      </c>
      <c r="J397" s="199">
        <v>53.0</v>
      </c>
      <c r="K397" s="199">
        <v>27.5</v>
      </c>
      <c r="L397" s="199">
        <v>12.9</v>
      </c>
      <c r="M397" s="199">
        <v>4.7</v>
      </c>
      <c r="N397" s="199">
        <v>2.6</v>
      </c>
      <c r="O397" s="199">
        <v>0.1</v>
      </c>
      <c r="P397" s="199">
        <v>22.9</v>
      </c>
      <c r="Q397" s="199">
        <v>26.1</v>
      </c>
      <c r="R397" s="199">
        <v>45.1</v>
      </c>
      <c r="S397" s="199" t="s">
        <v>75</v>
      </c>
      <c r="T397" s="203"/>
      <c r="U397" s="199" t="s">
        <v>1409</v>
      </c>
      <c r="V397" s="199" t="s">
        <v>49</v>
      </c>
      <c r="W397" s="199" t="s">
        <v>1028</v>
      </c>
      <c r="X397" s="199" t="s">
        <v>2333</v>
      </c>
      <c r="Y397" s="203"/>
      <c r="Z397" s="203"/>
      <c r="AA397" s="203"/>
      <c r="AB397" s="203"/>
      <c r="AC397" s="203"/>
    </row>
    <row r="398">
      <c r="A398" s="199" t="s">
        <v>2335</v>
      </c>
      <c r="B398" s="199" t="s">
        <v>395</v>
      </c>
      <c r="C398" s="199" t="s">
        <v>632</v>
      </c>
      <c r="D398" s="199" t="s">
        <v>397</v>
      </c>
      <c r="E398" s="199" t="s">
        <v>2336</v>
      </c>
      <c r="F398" s="199">
        <v>40.2</v>
      </c>
      <c r="G398" s="199">
        <v>58.4</v>
      </c>
      <c r="H398" s="199">
        <v>34.2</v>
      </c>
      <c r="I398" s="199">
        <v>60.9</v>
      </c>
      <c r="J398" s="199">
        <v>53.1</v>
      </c>
      <c r="K398" s="199">
        <v>23.6</v>
      </c>
      <c r="L398" s="199">
        <v>10.5</v>
      </c>
      <c r="M398" s="199">
        <v>11.3</v>
      </c>
      <c r="N398" s="199">
        <v>2.4</v>
      </c>
      <c r="O398" s="199">
        <v>0.2</v>
      </c>
      <c r="P398" s="199">
        <v>48.6</v>
      </c>
      <c r="Q398" s="199">
        <v>55.5</v>
      </c>
      <c r="R398" s="199">
        <v>27.4</v>
      </c>
      <c r="S398" s="199" t="s">
        <v>28</v>
      </c>
      <c r="T398" s="203"/>
      <c r="U398" s="199" t="s">
        <v>1409</v>
      </c>
      <c r="V398" s="199" t="s">
        <v>159</v>
      </c>
      <c r="W398" s="199" t="s">
        <v>2337</v>
      </c>
      <c r="X398" s="199" t="s">
        <v>2338</v>
      </c>
      <c r="Y398" s="203"/>
      <c r="Z398" s="203"/>
      <c r="AA398" s="203"/>
      <c r="AB398" s="203"/>
      <c r="AC398" s="203"/>
    </row>
    <row r="399">
      <c r="A399" s="199" t="s">
        <v>2340</v>
      </c>
      <c r="B399" s="199" t="s">
        <v>632</v>
      </c>
      <c r="C399" s="199" t="s">
        <v>632</v>
      </c>
      <c r="D399" s="199" t="s">
        <v>45</v>
      </c>
      <c r="E399" s="199" t="s">
        <v>2341</v>
      </c>
      <c r="F399" s="199">
        <v>37.9</v>
      </c>
      <c r="G399" s="199">
        <v>57.8</v>
      </c>
      <c r="H399" s="199">
        <v>28.5</v>
      </c>
      <c r="I399" s="199">
        <v>43.7</v>
      </c>
      <c r="J399" s="199">
        <v>80.5</v>
      </c>
      <c r="K399" s="199">
        <v>11.7</v>
      </c>
      <c r="L399" s="199">
        <v>1.8</v>
      </c>
      <c r="M399" s="199">
        <v>3.5</v>
      </c>
      <c r="N399" s="199">
        <v>2.1</v>
      </c>
      <c r="O399" s="199">
        <v>0.7</v>
      </c>
      <c r="P399" s="199">
        <v>35.3</v>
      </c>
      <c r="Q399" s="199">
        <v>37.8</v>
      </c>
      <c r="R399" s="199">
        <v>53.2</v>
      </c>
      <c r="S399" s="199" t="s">
        <v>75</v>
      </c>
      <c r="T399" s="203"/>
      <c r="U399" s="199" t="s">
        <v>1409</v>
      </c>
      <c r="V399" s="199" t="s">
        <v>49</v>
      </c>
      <c r="W399" s="199" t="s">
        <v>2342</v>
      </c>
      <c r="X399" s="199" t="s">
        <v>1405</v>
      </c>
      <c r="Y399" s="203"/>
      <c r="Z399" s="203"/>
      <c r="AA399" s="203"/>
      <c r="AB399" s="203"/>
      <c r="AC399" s="203"/>
    </row>
    <row r="400">
      <c r="A400" s="199" t="s">
        <v>2344</v>
      </c>
      <c r="B400" s="199" t="s">
        <v>632</v>
      </c>
      <c r="C400" s="199" t="s">
        <v>632</v>
      </c>
      <c r="D400" s="199" t="s">
        <v>45</v>
      </c>
      <c r="E400" s="199" t="s">
        <v>2345</v>
      </c>
      <c r="F400" s="199">
        <v>39.5</v>
      </c>
      <c r="G400" s="199">
        <v>56.7</v>
      </c>
      <c r="H400" s="199">
        <v>30.7</v>
      </c>
      <c r="I400" s="199">
        <v>46.8</v>
      </c>
      <c r="J400" s="199">
        <v>73.4</v>
      </c>
      <c r="K400" s="199">
        <v>16.7</v>
      </c>
      <c r="L400" s="199">
        <v>2.0</v>
      </c>
      <c r="M400" s="199">
        <v>3.7</v>
      </c>
      <c r="N400" s="199">
        <v>2.7</v>
      </c>
      <c r="O400" s="199">
        <v>2.0</v>
      </c>
      <c r="P400" s="199">
        <v>31.1</v>
      </c>
      <c r="Q400" s="199">
        <v>34.6</v>
      </c>
      <c r="R400" s="199">
        <v>53.8</v>
      </c>
      <c r="S400" s="199" t="s">
        <v>75</v>
      </c>
      <c r="T400" s="203"/>
      <c r="U400" s="199" t="s">
        <v>1409</v>
      </c>
      <c r="V400" s="199" t="s">
        <v>49</v>
      </c>
      <c r="W400" s="199" t="s">
        <v>643</v>
      </c>
      <c r="X400" s="199" t="s">
        <v>2346</v>
      </c>
      <c r="Y400" s="203"/>
      <c r="Z400" s="203"/>
      <c r="AA400" s="203"/>
      <c r="AB400" s="203"/>
      <c r="AC400" s="203"/>
    </row>
    <row r="401">
      <c r="A401" s="199" t="s">
        <v>2348</v>
      </c>
      <c r="B401" s="199" t="s">
        <v>632</v>
      </c>
      <c r="C401" s="199" t="s">
        <v>632</v>
      </c>
      <c r="D401" s="199" t="s">
        <v>45</v>
      </c>
      <c r="E401" s="199" t="s">
        <v>2349</v>
      </c>
      <c r="F401" s="199">
        <v>38.3</v>
      </c>
      <c r="G401" s="199">
        <v>57.5</v>
      </c>
      <c r="H401" s="199">
        <v>26.2</v>
      </c>
      <c r="I401" s="199">
        <v>46.3</v>
      </c>
      <c r="J401" s="199">
        <v>79.7</v>
      </c>
      <c r="K401" s="199">
        <v>11.1</v>
      </c>
      <c r="L401" s="199">
        <v>1.3</v>
      </c>
      <c r="M401" s="199">
        <v>3.7</v>
      </c>
      <c r="N401" s="199">
        <v>3.1</v>
      </c>
      <c r="O401" s="199">
        <v>1.3</v>
      </c>
      <c r="P401" s="199">
        <v>41.2</v>
      </c>
      <c r="Q401" s="199">
        <v>43.6</v>
      </c>
      <c r="R401" s="199">
        <v>48.8</v>
      </c>
      <c r="S401" s="199" t="s">
        <v>75</v>
      </c>
      <c r="T401" s="203"/>
      <c r="U401" s="199" t="s">
        <v>1409</v>
      </c>
      <c r="V401" s="199" t="s">
        <v>49</v>
      </c>
      <c r="W401" s="199" t="s">
        <v>120</v>
      </c>
      <c r="X401" s="199" t="s">
        <v>2350</v>
      </c>
      <c r="Y401" s="203"/>
      <c r="Z401" s="203"/>
      <c r="AA401" s="203"/>
      <c r="AB401" s="203"/>
      <c r="AC401" s="203"/>
    </row>
    <row r="402">
      <c r="A402" s="199" t="s">
        <v>2352</v>
      </c>
      <c r="B402" s="199" t="s">
        <v>632</v>
      </c>
      <c r="C402" s="199" t="s">
        <v>632</v>
      </c>
      <c r="D402" s="199" t="s">
        <v>45</v>
      </c>
      <c r="E402" s="199" t="s">
        <v>2353</v>
      </c>
      <c r="F402" s="199">
        <v>34.8</v>
      </c>
      <c r="G402" s="199">
        <v>60.7</v>
      </c>
      <c r="H402" s="199">
        <v>24.3</v>
      </c>
      <c r="I402" s="199">
        <v>45.3</v>
      </c>
      <c r="J402" s="199">
        <v>75.8</v>
      </c>
      <c r="K402" s="199">
        <v>15.0</v>
      </c>
      <c r="L402" s="199">
        <v>1.8</v>
      </c>
      <c r="M402" s="199">
        <v>3.9</v>
      </c>
      <c r="N402" s="199">
        <v>2.1</v>
      </c>
      <c r="O402" s="199">
        <v>1.9</v>
      </c>
      <c r="P402" s="199">
        <v>31.2</v>
      </c>
      <c r="Q402" s="199">
        <v>33.4</v>
      </c>
      <c r="R402" s="199">
        <v>56.0</v>
      </c>
      <c r="S402" s="199" t="s">
        <v>28</v>
      </c>
      <c r="T402" s="203"/>
      <c r="U402" s="199" t="s">
        <v>1409</v>
      </c>
      <c r="V402" s="199" t="s">
        <v>49</v>
      </c>
      <c r="W402" s="199" t="s">
        <v>2320</v>
      </c>
      <c r="X402" s="199" t="s">
        <v>2354</v>
      </c>
      <c r="Y402" s="203"/>
      <c r="Z402" s="203"/>
      <c r="AA402" s="203"/>
      <c r="AB402" s="203"/>
      <c r="AC402" s="203"/>
    </row>
    <row r="403">
      <c r="A403" s="199" t="s">
        <v>2356</v>
      </c>
      <c r="B403" s="199" t="s">
        <v>632</v>
      </c>
      <c r="C403" s="199" t="s">
        <v>632</v>
      </c>
      <c r="D403" s="199" t="s">
        <v>45</v>
      </c>
      <c r="E403" s="199" t="s">
        <v>2357</v>
      </c>
      <c r="F403" s="199">
        <v>46.2</v>
      </c>
      <c r="G403" s="199">
        <v>52.3</v>
      </c>
      <c r="H403" s="199">
        <v>40.1</v>
      </c>
      <c r="I403" s="199">
        <v>53.7</v>
      </c>
      <c r="J403" s="199">
        <v>73.1</v>
      </c>
      <c r="K403" s="199">
        <v>4.5</v>
      </c>
      <c r="L403" s="199">
        <v>14.2</v>
      </c>
      <c r="M403" s="199">
        <v>6.3</v>
      </c>
      <c r="N403" s="199">
        <v>1.8</v>
      </c>
      <c r="O403" s="199">
        <v>0.2</v>
      </c>
      <c r="P403" s="199">
        <v>46.2</v>
      </c>
      <c r="Q403" s="199">
        <v>48.2</v>
      </c>
      <c r="R403" s="199">
        <v>40.4</v>
      </c>
      <c r="S403" s="199" t="s">
        <v>75</v>
      </c>
      <c r="T403" s="203"/>
      <c r="U403" s="199" t="s">
        <v>1409</v>
      </c>
      <c r="V403" s="199" t="s">
        <v>49</v>
      </c>
      <c r="W403" s="199" t="s">
        <v>934</v>
      </c>
      <c r="X403" s="199" t="s">
        <v>2358</v>
      </c>
      <c r="Y403" s="203"/>
      <c r="Z403" s="203"/>
      <c r="AA403" s="203"/>
      <c r="AB403" s="203"/>
      <c r="AC403" s="203"/>
    </row>
    <row r="404">
      <c r="A404" s="199" t="s">
        <v>2360</v>
      </c>
      <c r="B404" s="199" t="s">
        <v>43</v>
      </c>
      <c r="C404" s="199" t="s">
        <v>632</v>
      </c>
      <c r="D404" s="199" t="s">
        <v>397</v>
      </c>
      <c r="E404" s="199" t="s">
        <v>2361</v>
      </c>
      <c r="F404" s="199">
        <v>50.1</v>
      </c>
      <c r="G404" s="199">
        <v>48.2</v>
      </c>
      <c r="H404" s="199">
        <v>44.3</v>
      </c>
      <c r="I404" s="199">
        <v>49.8</v>
      </c>
      <c r="J404" s="199">
        <v>61.3</v>
      </c>
      <c r="K404" s="199">
        <v>6.3</v>
      </c>
      <c r="L404" s="199">
        <v>24.0</v>
      </c>
      <c r="M404" s="199">
        <v>6.9</v>
      </c>
      <c r="N404" s="199">
        <v>2.2</v>
      </c>
      <c r="O404" s="199">
        <v>0.4</v>
      </c>
      <c r="P404" s="199">
        <v>35.3</v>
      </c>
      <c r="Q404" s="199">
        <v>38.6</v>
      </c>
      <c r="R404" s="199">
        <v>39.8</v>
      </c>
      <c r="S404" s="199" t="s">
        <v>75</v>
      </c>
      <c r="T404" s="203"/>
      <c r="U404" s="199" t="s">
        <v>1409</v>
      </c>
      <c r="V404" s="199" t="s">
        <v>970</v>
      </c>
      <c r="W404" s="199" t="s">
        <v>2362</v>
      </c>
      <c r="X404" s="199" t="s">
        <v>2363</v>
      </c>
      <c r="Y404" s="203"/>
      <c r="Z404" s="203"/>
      <c r="AA404" s="203"/>
      <c r="AB404" s="203"/>
      <c r="AC404" s="203"/>
    </row>
    <row r="405">
      <c r="A405" s="199" t="s">
        <v>2365</v>
      </c>
      <c r="B405" s="199" t="s">
        <v>632</v>
      </c>
      <c r="C405" s="199" t="s">
        <v>632</v>
      </c>
      <c r="D405" s="199" t="s">
        <v>45</v>
      </c>
      <c r="E405" s="199" t="s">
        <v>2366</v>
      </c>
      <c r="F405" s="199">
        <v>45.2</v>
      </c>
      <c r="G405" s="199">
        <v>53.4</v>
      </c>
      <c r="H405" s="199">
        <v>41.8</v>
      </c>
      <c r="I405" s="199">
        <v>53.1</v>
      </c>
      <c r="J405" s="199">
        <v>70.0</v>
      </c>
      <c r="K405" s="199">
        <v>3.6</v>
      </c>
      <c r="L405" s="199">
        <v>21.7</v>
      </c>
      <c r="M405" s="199">
        <v>3.0</v>
      </c>
      <c r="N405" s="199">
        <v>1.7</v>
      </c>
      <c r="O405" s="199">
        <v>0.1</v>
      </c>
      <c r="P405" s="199">
        <v>31.7</v>
      </c>
      <c r="Q405" s="199">
        <v>36.5</v>
      </c>
      <c r="R405" s="199">
        <v>46.8</v>
      </c>
      <c r="S405" s="199" t="s">
        <v>75</v>
      </c>
      <c r="T405" s="203"/>
      <c r="U405" s="199" t="s">
        <v>1409</v>
      </c>
      <c r="V405" s="199" t="s">
        <v>49</v>
      </c>
      <c r="W405" s="199" t="s">
        <v>2048</v>
      </c>
      <c r="X405" s="199" t="s">
        <v>2368</v>
      </c>
      <c r="Y405" s="203"/>
      <c r="Z405" s="203"/>
      <c r="AA405" s="203"/>
      <c r="AB405" s="203"/>
      <c r="AC405" s="203"/>
    </row>
    <row r="406">
      <c r="A406" s="199" t="s">
        <v>2370</v>
      </c>
      <c r="B406" s="199" t="s">
        <v>632</v>
      </c>
      <c r="C406" s="199" t="s">
        <v>632</v>
      </c>
      <c r="D406" s="199" t="s">
        <v>45</v>
      </c>
      <c r="E406" s="199" t="s">
        <v>2371</v>
      </c>
      <c r="F406" s="199">
        <v>38.4</v>
      </c>
      <c r="G406" s="199">
        <v>60.0</v>
      </c>
      <c r="H406" s="199">
        <v>34.3</v>
      </c>
      <c r="I406" s="199">
        <v>59.9</v>
      </c>
      <c r="J406" s="199">
        <v>80.9</v>
      </c>
      <c r="K406" s="199">
        <v>6.4</v>
      </c>
      <c r="L406" s="199">
        <v>8.7</v>
      </c>
      <c r="M406" s="199">
        <v>2.1</v>
      </c>
      <c r="N406" s="199">
        <v>2.0</v>
      </c>
      <c r="O406" s="199">
        <v>0.1</v>
      </c>
      <c r="P406" s="199">
        <v>26.0</v>
      </c>
      <c r="Q406" s="199">
        <v>27.4</v>
      </c>
      <c r="R406" s="199">
        <v>62.4</v>
      </c>
      <c r="S406" s="199" t="s">
        <v>75</v>
      </c>
      <c r="T406" s="203"/>
      <c r="U406" s="199" t="s">
        <v>1409</v>
      </c>
      <c r="V406" s="199" t="s">
        <v>49</v>
      </c>
      <c r="W406" s="199" t="s">
        <v>2270</v>
      </c>
      <c r="X406" s="199" t="s">
        <v>2375</v>
      </c>
      <c r="Y406" s="203"/>
      <c r="Z406" s="203"/>
      <c r="AA406" s="203"/>
      <c r="AB406" s="203"/>
      <c r="AC406" s="203"/>
    </row>
    <row r="407">
      <c r="A407" s="199" t="s">
        <v>2377</v>
      </c>
      <c r="B407" s="199" t="s">
        <v>632</v>
      </c>
      <c r="C407" s="199" t="s">
        <v>632</v>
      </c>
      <c r="D407" s="199" t="s">
        <v>45</v>
      </c>
      <c r="E407" s="199" t="s">
        <v>2378</v>
      </c>
      <c r="F407" s="199">
        <v>28.5</v>
      </c>
      <c r="G407" s="199">
        <v>70.3</v>
      </c>
      <c r="H407" s="199">
        <v>27.2</v>
      </c>
      <c r="I407" s="199">
        <v>68.4</v>
      </c>
      <c r="J407" s="199">
        <v>87.0</v>
      </c>
      <c r="K407" s="199">
        <v>2.5</v>
      </c>
      <c r="L407" s="199">
        <v>6.4</v>
      </c>
      <c r="M407" s="199">
        <v>2.2</v>
      </c>
      <c r="N407" s="199">
        <v>1.7</v>
      </c>
      <c r="O407" s="199">
        <v>0.1</v>
      </c>
      <c r="P407" s="199">
        <v>22.1</v>
      </c>
      <c r="Q407" s="199">
        <v>22.1</v>
      </c>
      <c r="R407" s="199">
        <v>70.4</v>
      </c>
      <c r="S407" s="199" t="s">
        <v>75</v>
      </c>
      <c r="T407" s="203"/>
      <c r="U407" s="199" t="s">
        <v>1409</v>
      </c>
      <c r="V407" s="199" t="s">
        <v>49</v>
      </c>
      <c r="W407" s="199" t="s">
        <v>670</v>
      </c>
      <c r="X407" s="199" t="s">
        <v>2379</v>
      </c>
      <c r="Y407" s="203"/>
      <c r="Z407" s="203"/>
      <c r="AA407" s="203"/>
      <c r="AB407" s="203"/>
      <c r="AC407" s="203"/>
    </row>
    <row r="408">
      <c r="A408" s="199" t="s">
        <v>2381</v>
      </c>
      <c r="B408" s="199" t="s">
        <v>632</v>
      </c>
      <c r="C408" s="199" t="s">
        <v>632</v>
      </c>
      <c r="D408" s="199" t="s">
        <v>45</v>
      </c>
      <c r="E408" s="199" t="s">
        <v>2382</v>
      </c>
      <c r="F408" s="199">
        <v>40.3</v>
      </c>
      <c r="G408" s="199">
        <v>57.2</v>
      </c>
      <c r="H408" s="199">
        <v>35.6</v>
      </c>
      <c r="I408" s="199">
        <v>57.3</v>
      </c>
      <c r="J408" s="199">
        <v>56.8</v>
      </c>
      <c r="K408" s="199">
        <v>34.3</v>
      </c>
      <c r="L408" s="199">
        <v>1.5</v>
      </c>
      <c r="M408" s="199">
        <v>2.6</v>
      </c>
      <c r="N408" s="199">
        <v>5.3</v>
      </c>
      <c r="O408" s="199">
        <v>0.4</v>
      </c>
      <c r="P408" s="199">
        <v>22.5</v>
      </c>
      <c r="Q408" s="199">
        <v>28.7</v>
      </c>
      <c r="R408" s="199">
        <v>49.7</v>
      </c>
      <c r="S408" s="199" t="s">
        <v>75</v>
      </c>
      <c r="T408" s="203"/>
      <c r="U408" s="199" t="s">
        <v>1409</v>
      </c>
      <c r="V408" s="199" t="s">
        <v>49</v>
      </c>
      <c r="W408" s="199" t="s">
        <v>811</v>
      </c>
      <c r="X408" s="199" t="s">
        <v>2383</v>
      </c>
      <c r="Y408" s="203"/>
      <c r="Z408" s="203"/>
      <c r="AA408" s="203"/>
      <c r="AB408" s="203"/>
      <c r="AC408" s="203"/>
    </row>
    <row r="409">
      <c r="A409" s="199" t="s">
        <v>2385</v>
      </c>
      <c r="B409" s="199" t="s">
        <v>632</v>
      </c>
      <c r="C409" s="199" t="s">
        <v>632</v>
      </c>
      <c r="D409" s="199" t="s">
        <v>45</v>
      </c>
      <c r="E409" s="199" t="s">
        <v>2386</v>
      </c>
      <c r="F409" s="199">
        <v>43.5</v>
      </c>
      <c r="G409" s="199">
        <v>53.5</v>
      </c>
      <c r="H409" s="199">
        <v>38.7</v>
      </c>
      <c r="I409" s="199">
        <v>52.7</v>
      </c>
      <c r="J409" s="199">
        <v>81.1</v>
      </c>
      <c r="K409" s="199">
        <v>7.1</v>
      </c>
      <c r="L409" s="199">
        <v>2.7</v>
      </c>
      <c r="M409" s="199">
        <v>3.7</v>
      </c>
      <c r="N409" s="199">
        <v>4.3</v>
      </c>
      <c r="O409" s="199">
        <v>0.9</v>
      </c>
      <c r="P409" s="199">
        <v>30.3</v>
      </c>
      <c r="Q409" s="199">
        <v>31.3</v>
      </c>
      <c r="R409" s="199">
        <v>59.6</v>
      </c>
      <c r="S409" s="199" t="s">
        <v>75</v>
      </c>
      <c r="T409" s="203"/>
      <c r="U409" s="199" t="s">
        <v>1409</v>
      </c>
      <c r="V409" s="199" t="s">
        <v>49</v>
      </c>
      <c r="W409" s="199" t="s">
        <v>2387</v>
      </c>
      <c r="X409" s="199" t="s">
        <v>2388</v>
      </c>
      <c r="Y409" s="203"/>
      <c r="Z409" s="203"/>
      <c r="AA409" s="203"/>
      <c r="AB409" s="203"/>
      <c r="AC409" s="203"/>
    </row>
    <row r="410">
      <c r="A410" s="199" t="s">
        <v>2398</v>
      </c>
      <c r="B410" s="199" t="s">
        <v>632</v>
      </c>
      <c r="C410" s="199" t="s">
        <v>632</v>
      </c>
      <c r="D410" s="199" t="s">
        <v>45</v>
      </c>
      <c r="E410" s="199" t="s">
        <v>2399</v>
      </c>
      <c r="F410" s="199">
        <v>48.3</v>
      </c>
      <c r="G410" s="199">
        <v>50.3</v>
      </c>
      <c r="H410" s="199">
        <v>45.5</v>
      </c>
      <c r="I410" s="199">
        <v>48.2</v>
      </c>
      <c r="J410" s="199">
        <v>78.2</v>
      </c>
      <c r="K410" s="199">
        <v>10.2</v>
      </c>
      <c r="L410" s="199">
        <v>7.1</v>
      </c>
      <c r="M410" s="199">
        <v>2.4</v>
      </c>
      <c r="N410" s="199">
        <v>1.9</v>
      </c>
      <c r="O410" s="199">
        <v>0.1</v>
      </c>
      <c r="P410" s="199">
        <v>28.1</v>
      </c>
      <c r="Q410" s="199">
        <v>29.9</v>
      </c>
      <c r="R410" s="199">
        <v>58.7</v>
      </c>
      <c r="S410" s="199" t="s">
        <v>75</v>
      </c>
      <c r="T410" s="203"/>
      <c r="U410" s="199" t="s">
        <v>1409</v>
      </c>
      <c r="V410" s="199" t="s">
        <v>49</v>
      </c>
      <c r="W410" s="199" t="s">
        <v>2400</v>
      </c>
      <c r="X410" s="199" t="s">
        <v>2401</v>
      </c>
      <c r="Y410" s="203"/>
      <c r="Z410" s="203"/>
      <c r="AA410" s="203"/>
      <c r="AB410" s="203"/>
      <c r="AC410" s="203"/>
    </row>
    <row r="411">
      <c r="A411" s="199" t="s">
        <v>2403</v>
      </c>
      <c r="B411" s="199" t="s">
        <v>43</v>
      </c>
      <c r="C411" s="199" t="s">
        <v>632</v>
      </c>
      <c r="D411" s="199" t="s">
        <v>397</v>
      </c>
      <c r="E411" s="199" t="s">
        <v>2404</v>
      </c>
      <c r="F411" s="199">
        <v>46.8</v>
      </c>
      <c r="G411" s="199">
        <v>51.5</v>
      </c>
      <c r="H411" s="199">
        <v>44.3</v>
      </c>
      <c r="I411" s="199">
        <v>48.8</v>
      </c>
      <c r="J411" s="199">
        <v>90.9</v>
      </c>
      <c r="K411" s="199">
        <v>2.7</v>
      </c>
      <c r="L411" s="199">
        <v>1.6</v>
      </c>
      <c r="M411" s="199">
        <v>2.4</v>
      </c>
      <c r="N411" s="199">
        <v>1.8</v>
      </c>
      <c r="O411" s="199">
        <v>0.1</v>
      </c>
      <c r="P411" s="199">
        <v>26.8</v>
      </c>
      <c r="Q411" s="199">
        <v>27.0</v>
      </c>
      <c r="R411" s="199">
        <v>68.8</v>
      </c>
      <c r="S411" s="199" t="s">
        <v>75</v>
      </c>
      <c r="T411" s="203"/>
      <c r="U411" s="199" t="s">
        <v>1409</v>
      </c>
      <c r="V411" s="199" t="s">
        <v>159</v>
      </c>
      <c r="W411" s="199" t="s">
        <v>2405</v>
      </c>
      <c r="X411" s="199" t="s">
        <v>2406</v>
      </c>
      <c r="Y411" s="203"/>
      <c r="Z411" s="203"/>
      <c r="AA411" s="203"/>
      <c r="AB411" s="203"/>
      <c r="AC411" s="203"/>
    </row>
    <row r="412">
      <c r="A412" s="199" t="s">
        <v>2408</v>
      </c>
      <c r="B412" s="199" t="s">
        <v>632</v>
      </c>
      <c r="C412" s="199" t="s">
        <v>632</v>
      </c>
      <c r="D412" s="199" t="s">
        <v>45</v>
      </c>
      <c r="E412" s="199" t="s">
        <v>2409</v>
      </c>
      <c r="F412" s="199">
        <v>37.9</v>
      </c>
      <c r="G412" s="199">
        <v>60.8</v>
      </c>
      <c r="H412" s="199">
        <v>33.3</v>
      </c>
      <c r="I412" s="199">
        <v>60.2</v>
      </c>
      <c r="J412" s="199">
        <v>88.4</v>
      </c>
      <c r="K412" s="199">
        <v>4.7</v>
      </c>
      <c r="L412" s="199">
        <v>1.9</v>
      </c>
      <c r="M412" s="199">
        <v>3.1</v>
      </c>
      <c r="N412" s="199">
        <v>1.3</v>
      </c>
      <c r="O412" s="199">
        <v>0.1</v>
      </c>
      <c r="P412" s="199">
        <v>37.6</v>
      </c>
      <c r="Q412" s="199">
        <v>37.6</v>
      </c>
      <c r="R412" s="199">
        <v>57.4</v>
      </c>
      <c r="S412" s="199" t="s">
        <v>75</v>
      </c>
      <c r="T412" s="203"/>
      <c r="U412" s="199" t="s">
        <v>1409</v>
      </c>
      <c r="V412" s="199" t="s">
        <v>49</v>
      </c>
      <c r="W412" s="199" t="s">
        <v>348</v>
      </c>
      <c r="X412" s="199" t="s">
        <v>2410</v>
      </c>
      <c r="Y412" s="203"/>
      <c r="Z412" s="203"/>
      <c r="AA412" s="203"/>
      <c r="AB412" s="203"/>
      <c r="AC412" s="203"/>
    </row>
    <row r="413">
      <c r="A413" s="199" t="s">
        <v>2412</v>
      </c>
      <c r="B413" s="199" t="s">
        <v>632</v>
      </c>
      <c r="C413" s="199" t="s">
        <v>632</v>
      </c>
      <c r="D413" s="199" t="s">
        <v>45</v>
      </c>
      <c r="E413" s="199" t="s">
        <v>2413</v>
      </c>
      <c r="F413" s="199">
        <v>41.4</v>
      </c>
      <c r="G413" s="199">
        <v>57.0</v>
      </c>
      <c r="H413" s="199">
        <v>38.0</v>
      </c>
      <c r="I413" s="199">
        <v>55.1</v>
      </c>
      <c r="J413" s="199">
        <v>88.5</v>
      </c>
      <c r="K413" s="199">
        <v>4.2</v>
      </c>
      <c r="L413" s="199">
        <v>2.5</v>
      </c>
      <c r="M413" s="199">
        <v>2.6</v>
      </c>
      <c r="N413" s="199">
        <v>1.6</v>
      </c>
      <c r="O413" s="199">
        <v>0.1</v>
      </c>
      <c r="P413" s="199">
        <v>27.3</v>
      </c>
      <c r="Q413" s="199">
        <v>27.8</v>
      </c>
      <c r="R413" s="199">
        <v>66.8</v>
      </c>
      <c r="S413" s="199" t="s">
        <v>75</v>
      </c>
      <c r="T413" s="203"/>
      <c r="U413" s="199" t="s">
        <v>1409</v>
      </c>
      <c r="V413" s="199" t="s">
        <v>49</v>
      </c>
      <c r="W413" s="199" t="s">
        <v>701</v>
      </c>
      <c r="X413" s="199" t="s">
        <v>2414</v>
      </c>
      <c r="Y413" s="203"/>
      <c r="Z413" s="203"/>
      <c r="AA413" s="203"/>
      <c r="AB413" s="203"/>
      <c r="AC413" s="203"/>
    </row>
    <row r="414">
      <c r="A414" s="199" t="s">
        <v>2416</v>
      </c>
      <c r="B414" s="199" t="s">
        <v>632</v>
      </c>
      <c r="C414" s="199" t="s">
        <v>632</v>
      </c>
      <c r="D414" s="199" t="s">
        <v>45</v>
      </c>
      <c r="E414" s="199" t="s">
        <v>2417</v>
      </c>
      <c r="F414" s="199">
        <v>39.3</v>
      </c>
      <c r="G414" s="199">
        <v>59.2</v>
      </c>
      <c r="H414" s="199">
        <v>36.9</v>
      </c>
      <c r="I414" s="199">
        <v>57.2</v>
      </c>
      <c r="J414" s="199">
        <v>91.4</v>
      </c>
      <c r="K414" s="199">
        <v>1.9</v>
      </c>
      <c r="L414" s="199">
        <v>1.0</v>
      </c>
      <c r="M414" s="199">
        <v>1.7</v>
      </c>
      <c r="N414" s="199">
        <v>3.2</v>
      </c>
      <c r="O414" s="199">
        <v>0.1</v>
      </c>
      <c r="P414" s="199">
        <v>24.1</v>
      </c>
      <c r="Q414" s="199">
        <v>24.4</v>
      </c>
      <c r="R414" s="199">
        <v>71.0</v>
      </c>
      <c r="S414" s="199" t="s">
        <v>75</v>
      </c>
      <c r="T414" s="203"/>
      <c r="U414" s="199" t="s">
        <v>1409</v>
      </c>
      <c r="V414" s="199" t="s">
        <v>49</v>
      </c>
      <c r="W414" s="199" t="s">
        <v>1486</v>
      </c>
      <c r="X414" s="199" t="s">
        <v>2419</v>
      </c>
      <c r="Y414" s="203"/>
      <c r="Z414" s="203"/>
      <c r="AA414" s="203"/>
      <c r="AB414" s="203"/>
      <c r="AC414" s="203"/>
    </row>
    <row r="415">
      <c r="A415" s="199" t="s">
        <v>2422</v>
      </c>
      <c r="B415" s="199" t="s">
        <v>632</v>
      </c>
      <c r="C415" s="199" t="s">
        <v>632</v>
      </c>
      <c r="D415" s="199" t="s">
        <v>45</v>
      </c>
      <c r="E415" s="199" t="s">
        <v>2423</v>
      </c>
      <c r="F415" s="199">
        <v>41.5</v>
      </c>
      <c r="G415" s="199">
        <v>57.0</v>
      </c>
      <c r="H415" s="199">
        <v>38.5</v>
      </c>
      <c r="I415" s="199">
        <v>55.6</v>
      </c>
      <c r="J415" s="199">
        <v>86.8</v>
      </c>
      <c r="K415" s="199">
        <v>4.8</v>
      </c>
      <c r="L415" s="199">
        <v>2.0</v>
      </c>
      <c r="M415" s="199">
        <v>2.3</v>
      </c>
      <c r="N415" s="199">
        <v>3.8</v>
      </c>
      <c r="O415" s="199">
        <v>0.1</v>
      </c>
      <c r="P415" s="199">
        <v>27.0</v>
      </c>
      <c r="Q415" s="199">
        <v>27.7</v>
      </c>
      <c r="R415" s="199">
        <v>65.7</v>
      </c>
      <c r="S415" s="199" t="s">
        <v>75</v>
      </c>
      <c r="T415" s="203"/>
      <c r="U415" s="199" t="s">
        <v>1409</v>
      </c>
      <c r="V415" s="199" t="s">
        <v>49</v>
      </c>
      <c r="W415" s="199" t="s">
        <v>95</v>
      </c>
      <c r="X415" s="199" t="s">
        <v>2424</v>
      </c>
      <c r="Y415" s="203"/>
      <c r="Z415" s="203"/>
      <c r="AA415" s="203"/>
      <c r="AB415" s="203"/>
      <c r="AC415" s="203"/>
    </row>
    <row r="416">
      <c r="A416" s="199" t="s">
        <v>2390</v>
      </c>
      <c r="B416" s="199" t="s">
        <v>632</v>
      </c>
      <c r="C416" s="199" t="s">
        <v>632</v>
      </c>
      <c r="D416" s="199" t="s">
        <v>45</v>
      </c>
      <c r="E416" s="199" t="s">
        <v>2391</v>
      </c>
      <c r="F416" s="199">
        <v>28.8</v>
      </c>
      <c r="G416" s="199">
        <v>69.7</v>
      </c>
      <c r="H416" s="199">
        <v>26.1</v>
      </c>
      <c r="I416" s="199">
        <v>69.5</v>
      </c>
      <c r="J416" s="199">
        <v>90.8</v>
      </c>
      <c r="K416" s="199">
        <v>1.1</v>
      </c>
      <c r="L416" s="199">
        <v>4.8</v>
      </c>
      <c r="M416" s="199">
        <v>0.9</v>
      </c>
      <c r="N416" s="199">
        <v>2.0</v>
      </c>
      <c r="O416" s="199">
        <v>0.1</v>
      </c>
      <c r="P416" s="199">
        <v>19.6</v>
      </c>
      <c r="Q416" s="199">
        <v>19.2</v>
      </c>
      <c r="R416" s="199">
        <v>75.5</v>
      </c>
      <c r="S416" s="199" t="s">
        <v>75</v>
      </c>
      <c r="T416" s="203"/>
      <c r="U416" s="199" t="s">
        <v>1409</v>
      </c>
      <c r="V416" s="199" t="s">
        <v>49</v>
      </c>
      <c r="W416" s="199" t="s">
        <v>2392</v>
      </c>
      <c r="X416" s="199" t="s">
        <v>1691</v>
      </c>
      <c r="Y416" s="203"/>
      <c r="Z416" s="203"/>
      <c r="AA416" s="203"/>
      <c r="AB416" s="203"/>
      <c r="AC416" s="203"/>
    </row>
    <row r="417">
      <c r="A417" s="199" t="s">
        <v>2394</v>
      </c>
      <c r="B417" s="199" t="s">
        <v>632</v>
      </c>
      <c r="C417" s="199" t="s">
        <v>632</v>
      </c>
      <c r="D417" s="199" t="s">
        <v>45</v>
      </c>
      <c r="E417" s="199" t="s">
        <v>2395</v>
      </c>
      <c r="F417" s="199">
        <v>30.6</v>
      </c>
      <c r="G417" s="199">
        <v>67.6</v>
      </c>
      <c r="H417" s="199">
        <v>26.8</v>
      </c>
      <c r="I417" s="199">
        <v>67.8</v>
      </c>
      <c r="J417" s="199">
        <v>89.7</v>
      </c>
      <c r="K417" s="199">
        <v>2.2</v>
      </c>
      <c r="L417" s="199">
        <v>4.0</v>
      </c>
      <c r="M417" s="199">
        <v>1.4</v>
      </c>
      <c r="N417" s="199">
        <v>2.1</v>
      </c>
      <c r="O417" s="199">
        <v>0.1</v>
      </c>
      <c r="P417" s="199">
        <v>23.1</v>
      </c>
      <c r="Q417" s="199">
        <v>22.9</v>
      </c>
      <c r="R417" s="199">
        <v>72.1</v>
      </c>
      <c r="S417" s="199" t="s">
        <v>1976</v>
      </c>
      <c r="T417" s="203"/>
      <c r="U417" s="199" t="s">
        <v>1409</v>
      </c>
      <c r="V417" s="199" t="s">
        <v>49</v>
      </c>
      <c r="W417" s="199" t="s">
        <v>1319</v>
      </c>
      <c r="X417" s="199" t="s">
        <v>2396</v>
      </c>
      <c r="Y417" s="203"/>
      <c r="Z417" s="203"/>
      <c r="AA417" s="203"/>
      <c r="AB417" s="203"/>
      <c r="AC417" s="203"/>
    </row>
    <row r="418">
      <c r="A418" s="199" t="s">
        <v>2426</v>
      </c>
      <c r="B418" s="199" t="s">
        <v>632</v>
      </c>
      <c r="C418" s="199" t="s">
        <v>632</v>
      </c>
      <c r="D418" s="199" t="s">
        <v>45</v>
      </c>
      <c r="E418" s="199" t="s">
        <v>2427</v>
      </c>
      <c r="F418" s="199">
        <v>26.7</v>
      </c>
      <c r="G418" s="199">
        <v>70.4</v>
      </c>
      <c r="H418" s="199">
        <v>22.5</v>
      </c>
      <c r="I418" s="199">
        <v>70.1</v>
      </c>
      <c r="J418" s="199">
        <v>83.8</v>
      </c>
      <c r="K418" s="199">
        <v>8.6</v>
      </c>
      <c r="L418" s="199">
        <v>1.3</v>
      </c>
      <c r="M418" s="199">
        <v>1.5</v>
      </c>
      <c r="N418" s="199">
        <v>4.2</v>
      </c>
      <c r="O418" s="199">
        <v>0.2</v>
      </c>
      <c r="P418" s="199">
        <v>28.2</v>
      </c>
      <c r="Q418" s="199">
        <v>29.6</v>
      </c>
      <c r="R418" s="199">
        <v>61.6</v>
      </c>
      <c r="S418" s="199" t="s">
        <v>75</v>
      </c>
      <c r="T418" s="203"/>
      <c r="U418" s="199" t="s">
        <v>1409</v>
      </c>
      <c r="V418" s="199" t="s">
        <v>159</v>
      </c>
      <c r="W418" s="199" t="s">
        <v>2428</v>
      </c>
      <c r="X418" s="199" t="s">
        <v>2429</v>
      </c>
      <c r="Y418" s="203"/>
      <c r="Z418" s="203"/>
      <c r="AA418" s="203"/>
      <c r="AB418" s="203"/>
      <c r="AC418" s="203"/>
    </row>
    <row r="419">
      <c r="A419" s="199" t="s">
        <v>2431</v>
      </c>
      <c r="B419" s="199" t="s">
        <v>43</v>
      </c>
      <c r="C419" s="203"/>
      <c r="D419" s="203"/>
      <c r="E419" s="203"/>
      <c r="F419" s="253">
        <v>0.43</v>
      </c>
      <c r="G419" s="253">
        <v>0.531</v>
      </c>
      <c r="H419" s="253">
        <v>0.376</v>
      </c>
      <c r="I419" s="253">
        <v>0.528</v>
      </c>
      <c r="J419" s="253">
        <v>0.615</v>
      </c>
      <c r="K419" s="253">
        <v>0.06</v>
      </c>
      <c r="L419" s="253">
        <v>0.043</v>
      </c>
      <c r="M419" s="253">
        <v>0.078</v>
      </c>
      <c r="N419" s="253">
        <v>0.191</v>
      </c>
      <c r="O419" s="253">
        <v>0.02</v>
      </c>
      <c r="P419" s="253">
        <v>0.3</v>
      </c>
      <c r="Q419" s="253">
        <v>0.364</v>
      </c>
      <c r="R419" s="253">
        <v>0.42100000000000004</v>
      </c>
      <c r="S419" s="254" t="s">
        <v>2433</v>
      </c>
      <c r="T419" s="254"/>
      <c r="U419" s="254" t="s">
        <v>48</v>
      </c>
      <c r="V419" s="254" t="s">
        <v>49</v>
      </c>
      <c r="W419" s="254" t="s">
        <v>1689</v>
      </c>
      <c r="X419" s="254" t="s">
        <v>2432</v>
      </c>
      <c r="Y419" s="254" t="s">
        <v>1409</v>
      </c>
      <c r="Z419" s="254" t="s">
        <v>970</v>
      </c>
      <c r="AA419" s="254" t="s">
        <v>1984</v>
      </c>
      <c r="AB419" s="254" t="s">
        <v>2434</v>
      </c>
      <c r="AC419" s="254" t="s">
        <v>75</v>
      </c>
    </row>
    <row r="420">
      <c r="A420" s="199" t="s">
        <v>2436</v>
      </c>
      <c r="B420" s="199" t="s">
        <v>632</v>
      </c>
      <c r="C420" s="203"/>
      <c r="D420" s="203"/>
      <c r="E420" s="203"/>
      <c r="F420" s="253">
        <v>0.501</v>
      </c>
      <c r="G420" s="253">
        <v>0.486</v>
      </c>
      <c r="H420" s="253">
        <v>0.446</v>
      </c>
      <c r="I420" s="253">
        <v>0.488</v>
      </c>
      <c r="J420" s="253">
        <v>0.736</v>
      </c>
      <c r="K420" s="253">
        <v>0.139</v>
      </c>
      <c r="L420" s="253">
        <v>0.04</v>
      </c>
      <c r="M420" s="253">
        <v>0.055</v>
      </c>
      <c r="N420" s="253">
        <v>0.031</v>
      </c>
      <c r="O420" s="253">
        <v>0.003</v>
      </c>
      <c r="P420" s="253">
        <v>0.489</v>
      </c>
      <c r="Q420" s="253">
        <v>0.526</v>
      </c>
      <c r="R420" s="253">
        <v>0.374</v>
      </c>
      <c r="S420" s="254" t="s">
        <v>28</v>
      </c>
      <c r="T420" s="254"/>
      <c r="U420" s="254" t="s">
        <v>48</v>
      </c>
      <c r="V420" s="254" t="s">
        <v>970</v>
      </c>
      <c r="W420" s="254" t="s">
        <v>2437</v>
      </c>
      <c r="X420" s="254" t="s">
        <v>2438</v>
      </c>
      <c r="Y420" s="254" t="s">
        <v>1409</v>
      </c>
      <c r="Z420" s="254" t="s">
        <v>49</v>
      </c>
      <c r="AA420" s="254" t="s">
        <v>541</v>
      </c>
      <c r="AB420" s="254" t="s">
        <v>2439</v>
      </c>
      <c r="AC420" s="254" t="s">
        <v>75</v>
      </c>
    </row>
    <row r="421">
      <c r="A421" s="199" t="s">
        <v>2441</v>
      </c>
      <c r="B421" s="199" t="s">
        <v>43</v>
      </c>
      <c r="C421" s="203"/>
      <c r="D421" s="203"/>
      <c r="E421" s="203"/>
      <c r="F421" s="253">
        <v>0.493</v>
      </c>
      <c r="G421" s="253">
        <v>0.49200000000000005</v>
      </c>
      <c r="H421" s="253">
        <v>0.43799999999999994</v>
      </c>
      <c r="I421" s="253">
        <v>0.49</v>
      </c>
      <c r="J421" s="253">
        <v>0.6729999999999999</v>
      </c>
      <c r="K421" s="253">
        <v>0.213</v>
      </c>
      <c r="L421" s="253">
        <v>0.044000000000000004</v>
      </c>
      <c r="M421" s="253">
        <v>0.043</v>
      </c>
      <c r="N421" s="253">
        <v>0.032</v>
      </c>
      <c r="O421" s="253">
        <v>0.005</v>
      </c>
      <c r="P421" s="253">
        <v>0.36700000000000005</v>
      </c>
      <c r="Q421" s="253">
        <v>0.41100000000000003</v>
      </c>
      <c r="R421" s="253">
        <v>0.41100000000000003</v>
      </c>
      <c r="S421" s="254" t="s">
        <v>75</v>
      </c>
      <c r="T421" s="254"/>
      <c r="U421" s="254" t="s">
        <v>48</v>
      </c>
      <c r="V421" s="254" t="s">
        <v>159</v>
      </c>
      <c r="W421" s="254" t="s">
        <v>1688</v>
      </c>
      <c r="X421" s="254" t="s">
        <v>2442</v>
      </c>
      <c r="Y421" s="254" t="s">
        <v>1409</v>
      </c>
      <c r="Z421" s="254" t="s">
        <v>159</v>
      </c>
      <c r="AA421" s="254" t="s">
        <v>363</v>
      </c>
      <c r="AB421" s="254" t="s">
        <v>2443</v>
      </c>
      <c r="AC421" s="254" t="s">
        <v>979</v>
      </c>
    </row>
    <row r="422">
      <c r="A422" s="199" t="s">
        <v>2445</v>
      </c>
      <c r="B422" s="199" t="s">
        <v>632</v>
      </c>
      <c r="C422" s="203"/>
      <c r="D422" s="203"/>
      <c r="E422" s="203"/>
      <c r="F422" s="253">
        <v>0.479</v>
      </c>
      <c r="G422" s="253">
        <v>0.49700000000000005</v>
      </c>
      <c r="H422" s="253">
        <v>0.425</v>
      </c>
      <c r="I422" s="253">
        <v>0.503</v>
      </c>
      <c r="J422" s="253">
        <v>0.723</v>
      </c>
      <c r="K422" s="253">
        <v>0.124</v>
      </c>
      <c r="L422" s="253">
        <v>0.024</v>
      </c>
      <c r="M422" s="253">
        <v>0.08900000000000001</v>
      </c>
      <c r="N422" s="253">
        <v>0.036000000000000004</v>
      </c>
      <c r="O422" s="253">
        <v>0.006</v>
      </c>
      <c r="P422" s="253">
        <v>0.386</v>
      </c>
      <c r="Q422" s="253">
        <v>0.38799999999999996</v>
      </c>
      <c r="R422" s="253">
        <v>0.48</v>
      </c>
      <c r="S422" s="254" t="s">
        <v>28</v>
      </c>
      <c r="T422" s="254"/>
      <c r="U422" s="254" t="s">
        <v>48</v>
      </c>
      <c r="V422" s="254" t="s">
        <v>159</v>
      </c>
      <c r="W422" s="254" t="s">
        <v>2446</v>
      </c>
      <c r="X422" s="254" t="s">
        <v>2447</v>
      </c>
      <c r="Y422" s="254" t="s">
        <v>1409</v>
      </c>
      <c r="Z422" s="254" t="s">
        <v>159</v>
      </c>
      <c r="AA422" s="254" t="s">
        <v>160</v>
      </c>
      <c r="AB422" s="254" t="s">
        <v>2448</v>
      </c>
      <c r="AC422" s="254" t="s">
        <v>75</v>
      </c>
    </row>
    <row r="423">
      <c r="A423" s="199" t="s">
        <v>2450</v>
      </c>
      <c r="B423" s="199" t="s">
        <v>43</v>
      </c>
      <c r="C423" s="203"/>
      <c r="D423" s="203"/>
      <c r="E423" s="203"/>
      <c r="F423" s="253">
        <v>0.552</v>
      </c>
      <c r="G423" s="253">
        <v>0.426</v>
      </c>
      <c r="H423" s="253">
        <v>0.5379999999999999</v>
      </c>
      <c r="I423" s="253">
        <v>0.408</v>
      </c>
      <c r="J423" s="253">
        <v>0.326</v>
      </c>
      <c r="K423" s="253">
        <v>0.376</v>
      </c>
      <c r="L423" s="253">
        <v>0.09</v>
      </c>
      <c r="M423" s="253">
        <v>0.19399999999999998</v>
      </c>
      <c r="N423" s="253">
        <v>0.038</v>
      </c>
      <c r="O423" s="253">
        <v>0.013000000000000001</v>
      </c>
      <c r="P423" s="253">
        <v>0.195</v>
      </c>
      <c r="Q423" s="253">
        <v>0.24100000000000002</v>
      </c>
      <c r="R423" s="253">
        <v>0.316</v>
      </c>
      <c r="S423" s="254" t="s">
        <v>75</v>
      </c>
      <c r="T423" s="254"/>
      <c r="U423" s="254" t="s">
        <v>48</v>
      </c>
      <c r="V423" s="254" t="s">
        <v>49</v>
      </c>
      <c r="W423" s="254" t="s">
        <v>922</v>
      </c>
      <c r="X423" s="254" t="s">
        <v>2452</v>
      </c>
      <c r="Y423" s="254" t="s">
        <v>1409</v>
      </c>
      <c r="Z423" s="254" t="s">
        <v>970</v>
      </c>
      <c r="AA423" s="254" t="s">
        <v>1486</v>
      </c>
      <c r="AB423" s="254" t="s">
        <v>2454</v>
      </c>
      <c r="AC423" s="254" t="s">
        <v>75</v>
      </c>
    </row>
    <row r="424">
      <c r="A424" s="199" t="s">
        <v>2456</v>
      </c>
      <c r="B424" s="199" t="s">
        <v>43</v>
      </c>
      <c r="C424" s="203"/>
      <c r="D424" s="203"/>
      <c r="E424" s="203"/>
      <c r="F424" s="253">
        <v>0.5429999999999999</v>
      </c>
      <c r="G424" s="253">
        <v>0.434</v>
      </c>
      <c r="H424" s="253">
        <v>0.534</v>
      </c>
      <c r="I424" s="253">
        <v>0.409</v>
      </c>
      <c r="J424" s="253">
        <v>0.259</v>
      </c>
      <c r="K424" s="253">
        <v>0.607</v>
      </c>
      <c r="L424" s="253">
        <v>0.04</v>
      </c>
      <c r="M424" s="253">
        <v>0.078</v>
      </c>
      <c r="N424" s="253">
        <v>0.05</v>
      </c>
      <c r="O424" s="253">
        <v>0.006999999999999999</v>
      </c>
      <c r="P424" s="253">
        <v>0.122</v>
      </c>
      <c r="Q424" s="253">
        <v>0.191</v>
      </c>
      <c r="R424" s="253">
        <v>0.29</v>
      </c>
      <c r="S424" s="254" t="s">
        <v>75</v>
      </c>
      <c r="T424" s="254"/>
      <c r="U424" s="254" t="s">
        <v>48</v>
      </c>
      <c r="V424" s="254" t="s">
        <v>159</v>
      </c>
      <c r="W424" s="254" t="s">
        <v>240</v>
      </c>
      <c r="X424" s="254" t="s">
        <v>2457</v>
      </c>
      <c r="Y424" s="254" t="s">
        <v>1409</v>
      </c>
      <c r="Z424" s="254" t="s">
        <v>159</v>
      </c>
      <c r="AA424" s="254" t="s">
        <v>120</v>
      </c>
      <c r="AB424" s="254" t="s">
        <v>2458</v>
      </c>
      <c r="AC424" s="254" t="s">
        <v>75</v>
      </c>
    </row>
    <row r="425">
      <c r="A425" s="199" t="s">
        <v>2460</v>
      </c>
      <c r="B425" s="199" t="s">
        <v>43</v>
      </c>
      <c r="C425" s="203"/>
      <c r="D425" s="203"/>
      <c r="E425" s="203"/>
      <c r="F425" s="253">
        <v>0.591</v>
      </c>
      <c r="G425" s="253">
        <v>0.38799999999999996</v>
      </c>
      <c r="H425" s="253">
        <v>0.5820000000000001</v>
      </c>
      <c r="I425" s="253">
        <v>0.365</v>
      </c>
      <c r="J425" s="253">
        <v>0.212</v>
      </c>
      <c r="K425" s="253">
        <v>0.607</v>
      </c>
      <c r="L425" s="253">
        <v>0.057999999999999996</v>
      </c>
      <c r="M425" s="253">
        <v>0.113</v>
      </c>
      <c r="N425" s="253">
        <v>0.043</v>
      </c>
      <c r="O425" s="253">
        <v>0.004</v>
      </c>
      <c r="P425" s="253">
        <v>0.149</v>
      </c>
      <c r="Q425" s="253">
        <v>0.254</v>
      </c>
      <c r="R425" s="253">
        <v>0.20800000000000002</v>
      </c>
      <c r="S425" s="254" t="s">
        <v>747</v>
      </c>
      <c r="T425" s="254"/>
      <c r="U425" s="254" t="s">
        <v>48</v>
      </c>
      <c r="V425" s="254" t="s">
        <v>49</v>
      </c>
      <c r="W425" s="254" t="s">
        <v>426</v>
      </c>
      <c r="X425" s="254" t="s">
        <v>2461</v>
      </c>
      <c r="Y425" s="254" t="s">
        <v>1409</v>
      </c>
      <c r="Z425" s="254" t="s">
        <v>970</v>
      </c>
      <c r="AA425" s="254" t="s">
        <v>1289</v>
      </c>
      <c r="AB425" s="254" t="s">
        <v>2462</v>
      </c>
      <c r="AC425" s="254" t="s">
        <v>75</v>
      </c>
    </row>
    <row r="426">
      <c r="A426" s="199" t="s">
        <v>2465</v>
      </c>
      <c r="B426" s="199" t="s">
        <v>632</v>
      </c>
      <c r="C426" s="203"/>
      <c r="D426" s="203"/>
      <c r="E426" s="203"/>
      <c r="F426" s="253">
        <v>0.5529999999999999</v>
      </c>
      <c r="G426" s="253">
        <v>0.423</v>
      </c>
      <c r="H426" s="253">
        <v>0.552</v>
      </c>
      <c r="I426" s="253">
        <v>0.39299999999999996</v>
      </c>
      <c r="J426" s="253">
        <v>0.187</v>
      </c>
      <c r="K426" s="253">
        <v>0.693</v>
      </c>
      <c r="L426" s="253">
        <v>0.057999999999999996</v>
      </c>
      <c r="M426" s="253">
        <v>0.051</v>
      </c>
      <c r="N426" s="253">
        <v>0.04</v>
      </c>
      <c r="O426" s="253">
        <v>0.004</v>
      </c>
      <c r="P426" s="253">
        <v>0.091</v>
      </c>
      <c r="Q426" s="253">
        <v>0.168</v>
      </c>
      <c r="R426" s="253">
        <v>0.228</v>
      </c>
      <c r="S426" s="254" t="s">
        <v>979</v>
      </c>
      <c r="T426" s="254"/>
      <c r="U426" s="254" t="s">
        <v>48</v>
      </c>
      <c r="V426" s="254" t="s">
        <v>970</v>
      </c>
      <c r="W426" s="254" t="s">
        <v>1701</v>
      </c>
      <c r="X426" s="254" t="s">
        <v>2466</v>
      </c>
      <c r="Y426" s="254" t="s">
        <v>1409</v>
      </c>
      <c r="Z426" s="254" t="s">
        <v>49</v>
      </c>
      <c r="AA426" s="254" t="s">
        <v>541</v>
      </c>
      <c r="AB426" s="254" t="s">
        <v>2467</v>
      </c>
      <c r="AC426" s="254" t="s">
        <v>747</v>
      </c>
    </row>
    <row r="427">
      <c r="A427" s="199" t="s">
        <v>2470</v>
      </c>
      <c r="B427" s="199" t="s">
        <v>632</v>
      </c>
      <c r="C427" s="203"/>
      <c r="D427" s="203"/>
      <c r="E427" s="203"/>
      <c r="F427" s="253">
        <v>0.551</v>
      </c>
      <c r="G427" s="253">
        <v>0.42700000000000005</v>
      </c>
      <c r="H427" s="253">
        <v>0.519</v>
      </c>
      <c r="I427" s="253">
        <v>0.42100000000000004</v>
      </c>
      <c r="J427" s="253">
        <v>0.37200000000000005</v>
      </c>
      <c r="K427" s="253">
        <v>0.392</v>
      </c>
      <c r="L427" s="253">
        <v>0.113</v>
      </c>
      <c r="M427" s="253">
        <v>0.113</v>
      </c>
      <c r="N427" s="253">
        <v>0.034</v>
      </c>
      <c r="O427" s="253">
        <v>0.005</v>
      </c>
      <c r="P427" s="253">
        <v>0.287</v>
      </c>
      <c r="Q427" s="253">
        <v>0.355</v>
      </c>
      <c r="R427" s="253">
        <v>0.27899999999999997</v>
      </c>
      <c r="S427" s="254" t="s">
        <v>75</v>
      </c>
      <c r="T427" s="254"/>
      <c r="U427" s="254" t="s">
        <v>48</v>
      </c>
      <c r="V427" s="254" t="s">
        <v>970</v>
      </c>
      <c r="W427" s="254" t="s">
        <v>2472</v>
      </c>
      <c r="X427" s="254" t="s">
        <v>877</v>
      </c>
      <c r="Y427" s="254" t="s">
        <v>1409</v>
      </c>
      <c r="Z427" s="254" t="s">
        <v>49</v>
      </c>
      <c r="AA427" s="254" t="s">
        <v>95</v>
      </c>
      <c r="AB427" s="254" t="s">
        <v>313</v>
      </c>
      <c r="AC427" s="254" t="s">
        <v>83</v>
      </c>
    </row>
    <row r="428">
      <c r="A428" s="199" t="s">
        <v>2474</v>
      </c>
      <c r="B428" s="199" t="s">
        <v>43</v>
      </c>
      <c r="C428" s="203"/>
      <c r="D428" s="203"/>
      <c r="E428" s="203"/>
      <c r="F428" s="253">
        <v>0.81</v>
      </c>
      <c r="G428" s="253">
        <v>0.16699999999999998</v>
      </c>
      <c r="H428" s="253">
        <v>0.84</v>
      </c>
      <c r="I428" s="253">
        <v>0.10300000000000001</v>
      </c>
      <c r="J428" s="253">
        <v>0.124</v>
      </c>
      <c r="K428" s="253">
        <v>0.616</v>
      </c>
      <c r="L428" s="253">
        <v>0.057</v>
      </c>
      <c r="M428" s="253">
        <v>0.204</v>
      </c>
      <c r="N428" s="253">
        <v>0.044000000000000004</v>
      </c>
      <c r="O428" s="253">
        <v>0.003</v>
      </c>
      <c r="P428" s="253">
        <v>0.262</v>
      </c>
      <c r="Q428" s="253">
        <v>0.603</v>
      </c>
      <c r="R428" s="253">
        <v>0.064</v>
      </c>
      <c r="S428" s="254" t="s">
        <v>83</v>
      </c>
      <c r="T428" s="254"/>
      <c r="U428" s="254" t="s">
        <v>48</v>
      </c>
      <c r="V428" s="254" t="s">
        <v>49</v>
      </c>
      <c r="W428" s="254" t="s">
        <v>191</v>
      </c>
      <c r="X428" s="254" t="s">
        <v>2475</v>
      </c>
      <c r="Y428" s="254" t="s">
        <v>1409</v>
      </c>
      <c r="Z428" s="254" t="s">
        <v>2476</v>
      </c>
      <c r="AA428" s="255"/>
      <c r="AB428" s="255"/>
      <c r="AC428" s="255"/>
    </row>
    <row r="429">
      <c r="A429" s="199" t="s">
        <v>2302</v>
      </c>
      <c r="B429" s="199" t="s">
        <v>43</v>
      </c>
      <c r="C429" s="203"/>
      <c r="D429" s="203"/>
      <c r="E429" s="203"/>
      <c r="F429" s="253">
        <v>0.857</v>
      </c>
      <c r="G429" s="253">
        <v>0.124</v>
      </c>
      <c r="H429" s="253">
        <v>0.884</v>
      </c>
      <c r="I429" s="253">
        <v>0.073</v>
      </c>
      <c r="J429" s="253">
        <v>0.146</v>
      </c>
      <c r="K429" s="253">
        <v>0.503</v>
      </c>
      <c r="L429" s="253">
        <v>0.265</v>
      </c>
      <c r="M429" s="253">
        <v>0.085</v>
      </c>
      <c r="N429" s="253">
        <v>0.037000000000000005</v>
      </c>
      <c r="O429" s="253">
        <v>0.003</v>
      </c>
      <c r="P429" s="253">
        <v>0.264</v>
      </c>
      <c r="Q429" s="253">
        <v>0.6609999999999999</v>
      </c>
      <c r="R429" s="253">
        <v>0.059000000000000004</v>
      </c>
      <c r="S429" s="254" t="s">
        <v>2479</v>
      </c>
      <c r="T429" s="254"/>
      <c r="U429" s="254" t="s">
        <v>48</v>
      </c>
      <c r="V429" s="254" t="s">
        <v>159</v>
      </c>
      <c r="W429" s="254" t="s">
        <v>2300</v>
      </c>
      <c r="X429" s="254" t="s">
        <v>2478</v>
      </c>
      <c r="Y429" s="254" t="s">
        <v>1409</v>
      </c>
      <c r="Z429" s="254" t="s">
        <v>2476</v>
      </c>
      <c r="AA429" s="255"/>
      <c r="AB429" s="255"/>
      <c r="AC429" s="255"/>
    </row>
    <row r="430">
      <c r="A430" s="199" t="s">
        <v>2481</v>
      </c>
      <c r="B430" s="199" t="s">
        <v>632</v>
      </c>
      <c r="C430" s="203"/>
      <c r="D430" s="203"/>
      <c r="E430" s="203"/>
      <c r="F430" s="253">
        <v>0.486</v>
      </c>
      <c r="G430" s="253">
        <v>0.49700000000000005</v>
      </c>
      <c r="H430" s="253">
        <v>0.446</v>
      </c>
      <c r="I430" s="253">
        <v>0.506</v>
      </c>
      <c r="J430" s="253">
        <v>0.48200000000000004</v>
      </c>
      <c r="K430" s="253">
        <v>0.342</v>
      </c>
      <c r="L430" s="253">
        <v>0.062</v>
      </c>
      <c r="M430" s="253">
        <v>0.09699999999999999</v>
      </c>
      <c r="N430" s="253">
        <v>0.032</v>
      </c>
      <c r="O430" s="253">
        <v>0.006999999999999999</v>
      </c>
      <c r="P430" s="253">
        <v>0.287</v>
      </c>
      <c r="Q430" s="253">
        <v>0.335</v>
      </c>
      <c r="R430" s="253">
        <v>0.36200000000000004</v>
      </c>
      <c r="S430" s="254" t="s">
        <v>75</v>
      </c>
      <c r="T430" s="254" t="s">
        <v>304</v>
      </c>
      <c r="U430" s="254" t="s">
        <v>48</v>
      </c>
      <c r="V430" s="254" t="s">
        <v>970</v>
      </c>
      <c r="W430" s="254" t="s">
        <v>2484</v>
      </c>
      <c r="X430" s="254" t="s">
        <v>2485</v>
      </c>
      <c r="Y430" s="254" t="s">
        <v>1409</v>
      </c>
      <c r="Z430" s="254" t="s">
        <v>49</v>
      </c>
      <c r="AA430" s="254" t="s">
        <v>1514</v>
      </c>
      <c r="AB430" s="254" t="s">
        <v>2486</v>
      </c>
      <c r="AC430" s="254" t="s">
        <v>75</v>
      </c>
    </row>
    <row r="431">
      <c r="A431" s="199" t="s">
        <v>2488</v>
      </c>
      <c r="B431" s="199" t="s">
        <v>632</v>
      </c>
      <c r="C431" s="203"/>
      <c r="D431" s="203"/>
      <c r="E431" s="203"/>
      <c r="F431" s="253">
        <v>0.521</v>
      </c>
      <c r="G431" s="253">
        <v>0.46</v>
      </c>
      <c r="H431" s="253">
        <v>0.5379999999999999</v>
      </c>
      <c r="I431" s="253">
        <v>0.406</v>
      </c>
      <c r="J431" s="253">
        <v>0.275</v>
      </c>
      <c r="K431" s="253">
        <v>0.273</v>
      </c>
      <c r="L431" s="253">
        <v>0.028999999999999998</v>
      </c>
      <c r="M431" s="253">
        <v>0.414</v>
      </c>
      <c r="N431" s="253">
        <v>0.022000000000000002</v>
      </c>
      <c r="O431" s="253">
        <v>0.008</v>
      </c>
      <c r="P431" s="253">
        <v>0.359</v>
      </c>
      <c r="Q431" s="253">
        <v>0.39</v>
      </c>
      <c r="R431" s="253">
        <v>0.214</v>
      </c>
      <c r="S431" s="254" t="s">
        <v>287</v>
      </c>
      <c r="T431" s="254"/>
      <c r="U431" s="254" t="s">
        <v>48</v>
      </c>
      <c r="V431" s="254" t="s">
        <v>970</v>
      </c>
      <c r="W431" s="254" t="s">
        <v>1496</v>
      </c>
      <c r="X431" s="254" t="s">
        <v>2489</v>
      </c>
      <c r="Y431" s="254" t="s">
        <v>1409</v>
      </c>
      <c r="Z431" s="254" t="s">
        <v>49</v>
      </c>
      <c r="AA431" s="254" t="s">
        <v>1861</v>
      </c>
      <c r="AB431" s="254" t="s">
        <v>2490</v>
      </c>
      <c r="AC431" s="254" t="s">
        <v>917</v>
      </c>
    </row>
    <row r="432">
      <c r="A432" s="199" t="s">
        <v>2492</v>
      </c>
      <c r="B432" s="199" t="s">
        <v>43</v>
      </c>
      <c r="C432" s="203"/>
      <c r="D432" s="203"/>
      <c r="E432" s="203"/>
      <c r="F432" s="253">
        <v>0.545</v>
      </c>
      <c r="G432" s="253">
        <v>0.434</v>
      </c>
      <c r="H432" s="253">
        <v>0.507</v>
      </c>
      <c r="I432" s="253">
        <v>0.433</v>
      </c>
      <c r="J432" s="253">
        <v>0.53</v>
      </c>
      <c r="K432" s="253">
        <v>0.16</v>
      </c>
      <c r="L432" s="253">
        <v>0.024</v>
      </c>
      <c r="M432" s="253">
        <v>0.26899999999999996</v>
      </c>
      <c r="N432" s="253">
        <v>0.018000000000000002</v>
      </c>
      <c r="O432" s="253">
        <v>0.006</v>
      </c>
      <c r="P432" s="253">
        <v>0.565</v>
      </c>
      <c r="Q432" s="253">
        <v>0.5720000000000001</v>
      </c>
      <c r="R432" s="253">
        <v>0.267</v>
      </c>
      <c r="S432" s="254" t="s">
        <v>75</v>
      </c>
      <c r="T432" s="254"/>
      <c r="U432" s="254" t="s">
        <v>48</v>
      </c>
      <c r="V432" s="254" t="s">
        <v>49</v>
      </c>
      <c r="W432" s="254" t="s">
        <v>2493</v>
      </c>
      <c r="X432" s="254" t="s">
        <v>2494</v>
      </c>
      <c r="Y432" s="254" t="s">
        <v>1409</v>
      </c>
      <c r="Z432" s="254" t="s">
        <v>970</v>
      </c>
      <c r="AA432" s="254" t="s">
        <v>348</v>
      </c>
      <c r="AB432" s="254" t="s">
        <v>2495</v>
      </c>
      <c r="AC432" s="254" t="s">
        <v>75</v>
      </c>
    </row>
    <row r="433">
      <c r="A433" s="199" t="s">
        <v>2497</v>
      </c>
      <c r="B433" s="199" t="s">
        <v>43</v>
      </c>
      <c r="C433" s="203"/>
      <c r="D433" s="203"/>
      <c r="E433" s="203"/>
      <c r="F433" s="253">
        <v>0.546</v>
      </c>
      <c r="G433" s="253">
        <v>0.43200000000000005</v>
      </c>
      <c r="H433" s="253">
        <v>0.49700000000000005</v>
      </c>
      <c r="I433" s="253">
        <v>0.441</v>
      </c>
      <c r="J433" s="253">
        <v>0.61</v>
      </c>
      <c r="K433" s="253">
        <v>0.245</v>
      </c>
      <c r="L433" s="253">
        <v>0.033</v>
      </c>
      <c r="M433" s="253">
        <v>0.091</v>
      </c>
      <c r="N433" s="253">
        <v>0.027999999999999997</v>
      </c>
      <c r="O433" s="253">
        <v>0.009000000000000001</v>
      </c>
      <c r="P433" s="253">
        <v>0.456</v>
      </c>
      <c r="Q433" s="253">
        <v>0.5379999999999999</v>
      </c>
      <c r="R433" s="253">
        <v>0.31</v>
      </c>
      <c r="S433" s="254" t="s">
        <v>2499</v>
      </c>
      <c r="T433" s="254"/>
      <c r="U433" s="254" t="s">
        <v>48</v>
      </c>
      <c r="V433" s="254" t="s">
        <v>49</v>
      </c>
      <c r="W433" s="254" t="s">
        <v>95</v>
      </c>
      <c r="X433" s="254" t="s">
        <v>2498</v>
      </c>
      <c r="Y433" s="254" t="s">
        <v>1409</v>
      </c>
      <c r="Z433" s="254" t="s">
        <v>970</v>
      </c>
      <c r="AA433" s="254" t="s">
        <v>1028</v>
      </c>
      <c r="AB433" s="254" t="s">
        <v>2500</v>
      </c>
      <c r="AC433" s="254" t="s">
        <v>75</v>
      </c>
    </row>
    <row r="434">
      <c r="A434" s="199" t="s">
        <v>2502</v>
      </c>
      <c r="B434" s="199" t="s">
        <v>632</v>
      </c>
      <c r="C434" s="203"/>
      <c r="D434" s="203"/>
      <c r="E434" s="203"/>
      <c r="F434" s="253">
        <v>0.447</v>
      </c>
      <c r="G434" s="253">
        <v>0.529</v>
      </c>
      <c r="H434" s="253">
        <v>0.39</v>
      </c>
      <c r="I434" s="253">
        <v>0.531</v>
      </c>
      <c r="J434" s="253">
        <v>0.701</v>
      </c>
      <c r="K434" s="253">
        <v>0.228</v>
      </c>
      <c r="L434" s="253">
        <v>0.015</v>
      </c>
      <c r="M434" s="253">
        <v>0.013999999999999999</v>
      </c>
      <c r="N434" s="253">
        <v>0.049</v>
      </c>
      <c r="O434" s="253">
        <v>0.003</v>
      </c>
      <c r="P434" s="253">
        <v>0.297</v>
      </c>
      <c r="Q434" s="253">
        <v>0.34600000000000003</v>
      </c>
      <c r="R434" s="253">
        <v>0.48700000000000004</v>
      </c>
      <c r="S434" s="254" t="s">
        <v>75</v>
      </c>
      <c r="T434" s="255"/>
      <c r="U434" s="254" t="s">
        <v>48</v>
      </c>
      <c r="V434" s="254" t="s">
        <v>970</v>
      </c>
      <c r="W434" s="254" t="s">
        <v>240</v>
      </c>
      <c r="X434" s="254" t="s">
        <v>2503</v>
      </c>
      <c r="Y434" s="254" t="s">
        <v>1409</v>
      </c>
      <c r="Z434" s="254" t="s">
        <v>49</v>
      </c>
      <c r="AA434" s="254" t="s">
        <v>639</v>
      </c>
      <c r="AB434" s="254" t="s">
        <v>2504</v>
      </c>
      <c r="AC434" s="254" t="s">
        <v>75</v>
      </c>
    </row>
    <row r="435">
      <c r="A435" s="199" t="s">
        <v>2506</v>
      </c>
      <c r="B435" s="199" t="s">
        <v>43</v>
      </c>
      <c r="C435" s="203"/>
      <c r="D435" s="203"/>
      <c r="E435" s="203"/>
      <c r="F435" s="253">
        <v>0.455</v>
      </c>
      <c r="G435" s="253">
        <v>0.516</v>
      </c>
      <c r="H435" s="253">
        <v>0.41600000000000004</v>
      </c>
      <c r="I435" s="253">
        <v>0.506</v>
      </c>
      <c r="J435" s="253">
        <v>0.9229999999999999</v>
      </c>
      <c r="K435" s="253">
        <v>0.013999999999999999</v>
      </c>
      <c r="L435" s="253">
        <v>0.016</v>
      </c>
      <c r="M435" s="253">
        <v>0.012</v>
      </c>
      <c r="N435" s="253">
        <v>0.027000000000000003</v>
      </c>
      <c r="O435" s="253">
        <v>0.001</v>
      </c>
      <c r="P435" s="253">
        <v>0.258</v>
      </c>
      <c r="Q435" s="253">
        <v>0.257</v>
      </c>
      <c r="R435" s="253">
        <v>0.7090000000000001</v>
      </c>
      <c r="S435" s="254" t="s">
        <v>75</v>
      </c>
      <c r="T435" s="254"/>
      <c r="U435" s="254" t="s">
        <v>48</v>
      </c>
      <c r="V435" s="254" t="s">
        <v>49</v>
      </c>
      <c r="W435" s="254" t="s">
        <v>88</v>
      </c>
      <c r="X435" s="254" t="s">
        <v>2507</v>
      </c>
      <c r="Y435" s="254" t="s">
        <v>1409</v>
      </c>
      <c r="Z435" s="254" t="s">
        <v>970</v>
      </c>
      <c r="AA435" s="254" t="s">
        <v>1474</v>
      </c>
      <c r="AB435" s="254" t="s">
        <v>2508</v>
      </c>
      <c r="AC435" s="254" t="s">
        <v>75</v>
      </c>
    </row>
    <row r="436">
      <c r="A436" s="199" t="s">
        <v>2511</v>
      </c>
      <c r="B436" s="199" t="s">
        <v>632</v>
      </c>
      <c r="C436" s="203"/>
      <c r="D436" s="203"/>
      <c r="E436" s="203"/>
      <c r="F436" s="253">
        <v>0.526</v>
      </c>
      <c r="G436" s="253">
        <v>0.452</v>
      </c>
      <c r="H436" s="253">
        <v>0.479</v>
      </c>
      <c r="I436" s="253">
        <v>0.45799999999999996</v>
      </c>
      <c r="J436" s="253">
        <v>0.7909999999999999</v>
      </c>
      <c r="K436" s="253">
        <v>0.047</v>
      </c>
      <c r="L436" s="253">
        <v>0.098</v>
      </c>
      <c r="M436" s="253">
        <v>0.043</v>
      </c>
      <c r="N436" s="253">
        <v>0.02</v>
      </c>
      <c r="O436" s="253">
        <v>0.001</v>
      </c>
      <c r="P436" s="253">
        <v>0.324</v>
      </c>
      <c r="Q436" s="253">
        <v>0.342</v>
      </c>
      <c r="R436" s="253">
        <v>0.556</v>
      </c>
      <c r="S436" s="254" t="s">
        <v>75</v>
      </c>
      <c r="T436" s="254"/>
      <c r="U436" s="254" t="s">
        <v>48</v>
      </c>
      <c r="V436" s="254" t="s">
        <v>159</v>
      </c>
      <c r="W436" s="254" t="s">
        <v>2512</v>
      </c>
      <c r="X436" s="254" t="s">
        <v>2513</v>
      </c>
      <c r="Y436" s="254" t="s">
        <v>1409</v>
      </c>
      <c r="Z436" s="254" t="s">
        <v>159</v>
      </c>
      <c r="AA436" s="254" t="s">
        <v>2514</v>
      </c>
      <c r="AB436" s="254" t="s">
        <v>524</v>
      </c>
      <c r="AC436" s="254" t="s">
        <v>75</v>
      </c>
    </row>
    <row r="437">
      <c r="A437" s="199" t="s">
        <v>2516</v>
      </c>
      <c r="B437" s="199" t="s">
        <v>395</v>
      </c>
      <c r="C437" s="203"/>
      <c r="D437" s="203"/>
      <c r="E437" s="203"/>
      <c r="F437" s="253">
        <v>0.552</v>
      </c>
      <c r="G437" s="253">
        <v>0.42100000000000004</v>
      </c>
      <c r="H437" s="253">
        <v>0.474</v>
      </c>
      <c r="I437" s="253">
        <v>0.40700000000000003</v>
      </c>
      <c r="J437" s="253">
        <v>0.7090000000000001</v>
      </c>
      <c r="K437" s="253">
        <v>0.174</v>
      </c>
      <c r="L437" s="253">
        <v>0.02</v>
      </c>
      <c r="M437" s="253">
        <v>0.051</v>
      </c>
      <c r="N437" s="253">
        <v>0.040999999999999995</v>
      </c>
      <c r="O437" s="253">
        <v>0.011000000000000001</v>
      </c>
      <c r="P437" s="253">
        <v>0.332</v>
      </c>
      <c r="Q437" s="253">
        <v>0.365</v>
      </c>
      <c r="R437" s="253">
        <v>0.507</v>
      </c>
      <c r="S437" s="254" t="s">
        <v>83</v>
      </c>
      <c r="T437" s="254"/>
      <c r="U437" s="254" t="s">
        <v>48</v>
      </c>
      <c r="V437" s="254" t="s">
        <v>159</v>
      </c>
      <c r="W437" s="254" t="s">
        <v>2518</v>
      </c>
      <c r="X437" s="254" t="s">
        <v>2519</v>
      </c>
      <c r="Y437" s="254" t="s">
        <v>1409</v>
      </c>
      <c r="Z437" s="254" t="s">
        <v>159</v>
      </c>
      <c r="AA437" s="254" t="s">
        <v>95</v>
      </c>
      <c r="AB437" s="254" t="s">
        <v>2520</v>
      </c>
      <c r="AC437" s="254" t="s">
        <v>75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1" max="1" width="14.63"/>
    <col customWidth="1" min="2" max="2" width="19.63"/>
    <col customWidth="1" min="3" max="3" width="15.25"/>
    <col customWidth="1" min="4" max="4" width="3.88"/>
    <col customWidth="1" min="5" max="5" width="9.13"/>
    <col customWidth="1" min="6" max="6" width="7.88"/>
    <col customWidth="1" min="7" max="8" width="10.5"/>
    <col customWidth="1" min="9" max="9" width="12.25"/>
    <col customWidth="1" min="10" max="10" width="11.88"/>
    <col customWidth="1" min="11" max="11" width="12.38"/>
    <col customWidth="1" min="12" max="12" width="10.5"/>
    <col customWidth="1" min="13" max="18" width="14.5"/>
    <col customWidth="1" min="19" max="19" width="11.13"/>
    <col customWidth="1" min="20" max="20" width="10.88"/>
    <col customWidth="1" min="21" max="21" width="17.75"/>
    <col customWidth="1" min="22" max="22" width="14.63"/>
    <col customWidth="1" min="23" max="23" width="18.5"/>
    <col customWidth="1" min="24" max="24" width="11.13"/>
    <col customWidth="1" min="25" max="25" width="16.88"/>
    <col customWidth="1" min="26" max="26" width="20.88"/>
    <col customWidth="1" min="27" max="27" width="11.13"/>
    <col customWidth="1" min="28" max="28" width="15.25"/>
    <col customWidth="1" min="29" max="29" width="13.63"/>
    <col customWidth="1" min="30" max="30" width="21.88"/>
    <col customWidth="1" min="31" max="31" width="13.0"/>
    <col customWidth="1" min="32" max="32" width="16.63"/>
    <col customWidth="1" min="33" max="33" width="11.75"/>
    <col customWidth="1" min="34" max="34" width="11.88"/>
    <col customWidth="1" min="35" max="35" width="11.13"/>
    <col customWidth="1" min="36" max="37" width="12.88"/>
    <col customWidth="1" min="38" max="38" width="13.38"/>
    <col customWidth="1" min="39" max="39" width="13.63"/>
    <col customWidth="1" min="40" max="40" width="17.75"/>
    <col customWidth="1" min="41" max="42" width="13.5"/>
    <col customWidth="1" min="43" max="43" width="14.5"/>
    <col customWidth="1" min="44" max="44" width="14.38"/>
    <col customWidth="1" min="45" max="48" width="14.5"/>
    <col customWidth="1" min="49" max="49" width="14.0"/>
    <col customWidth="1" min="50" max="50" width="11.63"/>
    <col customWidth="1" min="51" max="51" width="13.38"/>
    <col customWidth="1" min="52" max="52" width="13.63"/>
    <col customWidth="1" min="53" max="53" width="12.88"/>
    <col customWidth="1" min="54" max="54" width="11.75"/>
    <col customWidth="1" min="55" max="55" width="13.88"/>
    <col customWidth="1" min="56" max="57" width="16.13"/>
    <col customWidth="1" min="58" max="58" width="11.88"/>
    <col customWidth="1" min="59" max="59" width="13.63"/>
    <col customWidth="1" min="60" max="60" width="13.38"/>
    <col customWidth="1" min="61" max="61" width="12.0"/>
    <col customWidth="1" min="62" max="62" width="15.63"/>
    <col customWidth="1" min="63" max="63" width="11.75"/>
    <col customWidth="1" min="64" max="64" width="12.88"/>
    <col customWidth="1" min="65" max="65" width="15.0"/>
    <col customWidth="1" min="66" max="66" width="15.38"/>
    <col customWidth="1" min="67" max="68" width="13.0"/>
    <col customWidth="1" min="69" max="69" width="12.5"/>
    <col customWidth="1" min="70" max="70" width="11.88"/>
    <col customWidth="1" min="71" max="72" width="13.38"/>
    <col customWidth="1" min="73" max="73" width="14.63"/>
    <col customWidth="1" min="74" max="74" width="11.75"/>
    <col customWidth="1" min="75" max="76" width="12.0"/>
    <col customWidth="1" min="77" max="77" width="11.13"/>
    <col customWidth="1" min="78" max="78" width="14.75"/>
    <col customWidth="1" min="79" max="81" width="15.63"/>
    <col customWidth="1" min="82" max="82" width="13.38"/>
    <col customWidth="1" min="83" max="83" width="12.25"/>
    <col customWidth="1" min="84" max="85" width="16.13"/>
    <col customWidth="1" min="86" max="86" width="11.5"/>
    <col customWidth="1" min="87" max="87" width="11.75"/>
    <col customWidth="1" min="88" max="88" width="12.88"/>
    <col customWidth="1" min="89" max="89" width="13.5"/>
    <col customWidth="1" min="90" max="90" width="15.38"/>
    <col customWidth="1" min="91" max="91" width="11.13"/>
    <col customWidth="1" min="92" max="92" width="13.88"/>
    <col customWidth="1" min="93" max="93" width="13.5"/>
    <col customWidth="1" min="94" max="94" width="13.25"/>
    <col customWidth="1" min="95" max="95" width="8.25"/>
    <col customWidth="1" min="96" max="96" width="14.5"/>
    <col customWidth="1" min="97" max="98" width="14.75"/>
    <col customWidth="1" min="99" max="99" width="18.75"/>
    <col customWidth="1" min="100" max="100" width="22.0"/>
    <col customWidth="1" min="101" max="101" width="9.13"/>
    <col customWidth="1" min="102" max="102" width="7.38"/>
    <col customWidth="1" min="103" max="103" width="10.38"/>
    <col customWidth="1" min="104" max="104" width="6.63"/>
    <col customWidth="1" min="105" max="105" width="7.13"/>
    <col customWidth="1" min="106" max="106" width="8.13"/>
    <col customWidth="1" min="107" max="107" width="10.38"/>
    <col customWidth="1" min="108" max="108" width="7.88"/>
    <col customWidth="1" min="109" max="110" width="7.13"/>
    <col customWidth="1" min="111" max="111" width="6.5"/>
    <col customWidth="1" min="112" max="112" width="7.0"/>
    <col customWidth="1" min="113" max="113" width="6.38"/>
    <col customWidth="1" min="114" max="114" width="6.5"/>
    <col customWidth="1" min="115" max="115" width="7.0"/>
    <col customWidth="1" min="116" max="117" width="7.5"/>
    <col customWidth="1" min="118" max="119" width="12.38"/>
    <col customWidth="1" min="120" max="120" width="12.75"/>
  </cols>
  <sheetData>
    <row r="1">
      <c r="A1" s="256" t="s">
        <v>40</v>
      </c>
      <c r="B1" s="256" t="s">
        <v>46</v>
      </c>
      <c r="C1" s="28" t="s">
        <v>1</v>
      </c>
      <c r="D1" s="28" t="s">
        <v>47</v>
      </c>
      <c r="E1" s="257" t="s">
        <v>2643</v>
      </c>
      <c r="F1" s="257" t="s">
        <v>2644</v>
      </c>
      <c r="G1" s="28" t="s">
        <v>2645</v>
      </c>
      <c r="H1" s="28" t="s">
        <v>2646</v>
      </c>
      <c r="I1" s="28" t="s">
        <v>2647</v>
      </c>
      <c r="J1" s="28" t="s">
        <v>2648</v>
      </c>
      <c r="K1" s="28" t="s">
        <v>2649</v>
      </c>
      <c r="L1" s="28" t="s">
        <v>2650</v>
      </c>
      <c r="M1" s="258" t="s">
        <v>2651</v>
      </c>
      <c r="N1" s="258" t="s">
        <v>2652</v>
      </c>
      <c r="O1" s="259" t="s">
        <v>2653</v>
      </c>
      <c r="P1" s="258" t="s">
        <v>2654</v>
      </c>
      <c r="Q1" s="259" t="s">
        <v>2655</v>
      </c>
      <c r="R1" s="258" t="s">
        <v>2656</v>
      </c>
      <c r="S1" s="260" t="s">
        <v>2657</v>
      </c>
      <c r="T1" s="260" t="s">
        <v>2658</v>
      </c>
      <c r="U1" s="260" t="s">
        <v>2659</v>
      </c>
      <c r="V1" s="260" t="s">
        <v>2660</v>
      </c>
      <c r="W1" s="261" t="s">
        <v>2661</v>
      </c>
      <c r="X1" s="262" t="s">
        <v>2662</v>
      </c>
      <c r="Y1" s="261" t="s">
        <v>2663</v>
      </c>
      <c r="Z1" s="263" t="s">
        <v>2664</v>
      </c>
      <c r="AA1" s="264" t="s">
        <v>2666</v>
      </c>
      <c r="AB1" s="264" t="s">
        <v>2667</v>
      </c>
      <c r="AC1" s="263" t="s">
        <v>2668</v>
      </c>
      <c r="AD1" s="263" t="s">
        <v>2669</v>
      </c>
      <c r="AE1" s="265" t="s">
        <v>2670</v>
      </c>
      <c r="AF1" s="265" t="s">
        <v>2671</v>
      </c>
      <c r="AG1" s="265" t="s">
        <v>2672</v>
      </c>
      <c r="AH1" s="265" t="s">
        <v>2673</v>
      </c>
      <c r="AI1" s="266" t="s">
        <v>2674</v>
      </c>
      <c r="AJ1" s="267" t="s">
        <v>2675</v>
      </c>
      <c r="AK1" s="267" t="s">
        <v>2676</v>
      </c>
      <c r="AL1" s="267" t="s">
        <v>2677</v>
      </c>
      <c r="AM1" s="267" t="s">
        <v>2678</v>
      </c>
      <c r="AN1" s="267" t="s">
        <v>2679</v>
      </c>
      <c r="AO1" s="269" t="s">
        <v>2680</v>
      </c>
      <c r="AP1" s="270" t="s">
        <v>2681</v>
      </c>
      <c r="AQ1" s="270" t="s">
        <v>2682</v>
      </c>
      <c r="AR1" s="270" t="s">
        <v>2683</v>
      </c>
      <c r="AS1" s="267" t="s">
        <v>2684</v>
      </c>
      <c r="AT1" s="270" t="s">
        <v>2682</v>
      </c>
      <c r="AU1" s="270" t="s">
        <v>2685</v>
      </c>
      <c r="AV1" s="267" t="s">
        <v>2686</v>
      </c>
      <c r="AW1" s="270" t="s">
        <v>2687</v>
      </c>
      <c r="AX1" s="270" t="s">
        <v>2688</v>
      </c>
      <c r="AY1" s="270" t="s">
        <v>2689</v>
      </c>
      <c r="AZ1" s="270" t="s">
        <v>2690</v>
      </c>
      <c r="BA1" s="267" t="s">
        <v>2692</v>
      </c>
      <c r="BB1" s="270" t="s">
        <v>2693</v>
      </c>
      <c r="BC1" s="267" t="s">
        <v>2676</v>
      </c>
      <c r="BD1" s="271" t="s">
        <v>2694</v>
      </c>
      <c r="BE1" s="270" t="s">
        <v>2695</v>
      </c>
      <c r="BF1" s="270" t="s">
        <v>2696</v>
      </c>
      <c r="BG1" s="272" t="s">
        <v>2697</v>
      </c>
      <c r="BH1" s="270" t="s">
        <v>2698</v>
      </c>
      <c r="BI1" s="270" t="s">
        <v>717</v>
      </c>
      <c r="BJ1" s="270" t="s">
        <v>2699</v>
      </c>
      <c r="BK1" s="270" t="s">
        <v>2700</v>
      </c>
      <c r="BL1" s="267" t="s">
        <v>2701</v>
      </c>
      <c r="BM1" s="273" t="s">
        <v>2702</v>
      </c>
      <c r="BN1" s="270" t="s">
        <v>2703</v>
      </c>
      <c r="BO1" s="271" t="str">
        <f>HYPERLINK("https://jonathancohn.medium.com/these-37-house-democrats-want-a-war-with-iran-b1cff5188b3", "Boost Trump's Iran Policy")</f>
        <v>Boost Trump's Iran Policy</v>
      </c>
      <c r="BP1" s="267" t="s">
        <v>2704</v>
      </c>
      <c r="BQ1" s="260" t="s">
        <v>2705</v>
      </c>
      <c r="BR1" s="270" t="s">
        <v>2706</v>
      </c>
      <c r="BS1" s="274" t="s">
        <v>2707</v>
      </c>
      <c r="BT1" s="270" t="s">
        <v>2708</v>
      </c>
      <c r="BU1" s="270" t="s">
        <v>2710</v>
      </c>
      <c r="BV1" s="270" t="s">
        <v>2711</v>
      </c>
      <c r="BW1" s="275" t="s">
        <v>2712</v>
      </c>
      <c r="BX1" s="270" t="s">
        <v>2713</v>
      </c>
      <c r="BY1" s="270" t="s">
        <v>2714</v>
      </c>
      <c r="BZ1" s="270" t="s">
        <v>2715</v>
      </c>
      <c r="CA1" s="275" t="s">
        <v>2716</v>
      </c>
      <c r="CB1" s="270" t="s">
        <v>2699</v>
      </c>
      <c r="CC1" s="270" t="s">
        <v>2699</v>
      </c>
      <c r="CD1" s="270" t="s">
        <v>2718</v>
      </c>
      <c r="CE1" s="270" t="s">
        <v>2719</v>
      </c>
      <c r="CF1" s="271" t="str">
        <f>HYPERLINK("https://projects.propublica.org/represent/votes/115/house/1/606", "Weaken ACA and Medicare")</f>
        <v>Weaken ACA and Medicare</v>
      </c>
      <c r="CG1" s="270" t="s">
        <v>2720</v>
      </c>
      <c r="CH1" s="270" t="s">
        <v>2721</v>
      </c>
      <c r="CI1" s="270" t="s">
        <v>2722</v>
      </c>
      <c r="CJ1" s="267" t="s">
        <v>2723</v>
      </c>
      <c r="CK1" s="270" t="s">
        <v>2724</v>
      </c>
      <c r="CL1" s="270" t="s">
        <v>2725</v>
      </c>
      <c r="CM1" s="270" t="s">
        <v>2726</v>
      </c>
      <c r="CN1" s="276" t="s">
        <v>2727</v>
      </c>
      <c r="CO1" s="276" t="s">
        <v>2728</v>
      </c>
      <c r="CP1" s="276" t="s">
        <v>2729</v>
      </c>
      <c r="CQ1" s="28"/>
      <c r="CR1" s="28" t="s">
        <v>332</v>
      </c>
      <c r="CS1" s="95" t="s">
        <v>2730</v>
      </c>
      <c r="CT1" s="95" t="s">
        <v>2731</v>
      </c>
      <c r="CU1" s="95" t="s">
        <v>2732</v>
      </c>
      <c r="CV1" s="95" t="s">
        <v>18</v>
      </c>
      <c r="CW1" s="95" t="s">
        <v>2733</v>
      </c>
      <c r="CX1" s="95"/>
      <c r="CY1" s="95" t="s">
        <v>2734</v>
      </c>
      <c r="CZ1" s="95" t="s">
        <v>2735</v>
      </c>
      <c r="DA1" s="95" t="s">
        <v>2736</v>
      </c>
      <c r="DB1" s="95"/>
      <c r="DC1" s="95" t="s">
        <v>2737</v>
      </c>
      <c r="DD1" s="95" t="s">
        <v>2738</v>
      </c>
      <c r="DE1" s="95" t="s">
        <v>2739</v>
      </c>
      <c r="DF1" s="95"/>
      <c r="DG1" s="95" t="s">
        <v>2740</v>
      </c>
      <c r="DH1" s="95" t="s">
        <v>2741</v>
      </c>
      <c r="DI1" s="95" t="s">
        <v>2742</v>
      </c>
      <c r="DJ1" s="95" t="s">
        <v>2743</v>
      </c>
      <c r="DK1" s="95" t="s">
        <v>2744</v>
      </c>
      <c r="DL1" s="95" t="s">
        <v>2745</v>
      </c>
      <c r="DM1" s="95"/>
      <c r="DN1" s="96" t="s">
        <v>2544</v>
      </c>
      <c r="DO1" s="95" t="s">
        <v>2746</v>
      </c>
      <c r="DP1" s="95" t="s">
        <v>2747</v>
      </c>
    </row>
    <row r="2">
      <c r="A2" s="277" t="s">
        <v>2748</v>
      </c>
      <c r="G2" s="278"/>
      <c r="H2" s="278"/>
      <c r="I2" s="278"/>
      <c r="J2" s="278"/>
      <c r="K2" s="278"/>
      <c r="L2" s="278" t="s">
        <v>2749</v>
      </c>
      <c r="M2" s="279" t="s">
        <v>2750</v>
      </c>
      <c r="N2" s="279" t="s">
        <v>2750</v>
      </c>
      <c r="O2" s="279" t="s">
        <v>2750</v>
      </c>
      <c r="P2" s="279" t="s">
        <v>2750</v>
      </c>
      <c r="Q2" s="279" t="s">
        <v>2750</v>
      </c>
      <c r="R2" s="279" t="s">
        <v>2750</v>
      </c>
      <c r="S2" s="280">
        <v>44903.0</v>
      </c>
      <c r="T2" s="280">
        <v>44895.0</v>
      </c>
      <c r="U2" s="280">
        <v>44826.0</v>
      </c>
      <c r="V2" s="280">
        <v>44826.0</v>
      </c>
      <c r="W2" s="281">
        <v>44762.0</v>
      </c>
      <c r="X2" s="281">
        <v>44756.0</v>
      </c>
      <c r="Y2" s="281">
        <v>44755.0</v>
      </c>
      <c r="Z2" s="282">
        <v>44652.0</v>
      </c>
      <c r="AA2" s="283">
        <v>44629.0</v>
      </c>
      <c r="AB2" s="283">
        <v>44595.0</v>
      </c>
      <c r="AC2" s="284">
        <v>44595.0</v>
      </c>
      <c r="AD2" s="284">
        <v>44539.0</v>
      </c>
      <c r="AE2" s="285">
        <v>44537.0</v>
      </c>
      <c r="AF2" s="285">
        <v>44505.0</v>
      </c>
      <c r="AG2" s="285">
        <v>44503.0</v>
      </c>
      <c r="AH2" s="285">
        <v>44503.0</v>
      </c>
      <c r="AI2" s="285">
        <v>44462.0</v>
      </c>
      <c r="AJ2" s="284">
        <v>44462.0</v>
      </c>
      <c r="AK2" s="284">
        <v>44462.0</v>
      </c>
      <c r="AL2" s="284">
        <v>44462.0</v>
      </c>
      <c r="AM2" s="284">
        <v>44462.0</v>
      </c>
      <c r="AN2" s="284">
        <v>44462.0</v>
      </c>
      <c r="AO2" s="284">
        <v>44462.0</v>
      </c>
      <c r="AP2" s="285">
        <v>44462.0</v>
      </c>
      <c r="AQ2" s="285">
        <v>44406.0</v>
      </c>
      <c r="AR2" s="285">
        <v>44405.0</v>
      </c>
      <c r="AS2" s="284">
        <v>44404.0</v>
      </c>
      <c r="AT2" s="285">
        <v>44336.0</v>
      </c>
      <c r="AU2" s="285">
        <v>44329.0</v>
      </c>
      <c r="AV2" s="284">
        <v>44257.0</v>
      </c>
      <c r="AW2" s="285">
        <v>44193.0</v>
      </c>
      <c r="AX2" s="285">
        <v>44186.0</v>
      </c>
      <c r="AY2" s="285">
        <v>44173.0</v>
      </c>
      <c r="AZ2" s="285">
        <v>44098.0</v>
      </c>
      <c r="BA2" s="284">
        <v>44042.0</v>
      </c>
      <c r="BB2" s="285">
        <v>44033.0</v>
      </c>
      <c r="BC2" s="284">
        <v>44033.0</v>
      </c>
      <c r="BD2" s="286">
        <v>44033.0</v>
      </c>
      <c r="BE2" s="285">
        <v>43901.0</v>
      </c>
      <c r="BF2" s="285">
        <v>43818.0</v>
      </c>
      <c r="BG2" s="285">
        <v>43816.0</v>
      </c>
      <c r="BH2" s="285">
        <v>43810.0</v>
      </c>
      <c r="BI2" s="285">
        <v>43669.0</v>
      </c>
      <c r="BJ2" s="285">
        <v>43663.0</v>
      </c>
      <c r="BK2" s="285">
        <v>43658.0</v>
      </c>
      <c r="BL2" s="284">
        <v>43658.0</v>
      </c>
      <c r="BM2" s="284">
        <v>43658.0</v>
      </c>
      <c r="BN2" s="285">
        <v>43643.0</v>
      </c>
      <c r="BO2" s="287">
        <v>43642.0</v>
      </c>
      <c r="BP2" s="284">
        <v>43634.0</v>
      </c>
      <c r="BQ2" s="288">
        <v>43370.0</v>
      </c>
      <c r="BR2" s="285">
        <v>43369.0</v>
      </c>
      <c r="BS2" s="288">
        <v>43351.0</v>
      </c>
      <c r="BT2" s="285">
        <v>43307.0</v>
      </c>
      <c r="BU2" s="285">
        <v>43266.0</v>
      </c>
      <c r="BV2" s="285">
        <v>43244.0</v>
      </c>
      <c r="BW2" s="288">
        <v>43242.0</v>
      </c>
      <c r="BX2" s="285">
        <v>43236.0</v>
      </c>
      <c r="BY2" s="285">
        <v>43203.0</v>
      </c>
      <c r="BZ2" s="285">
        <v>43158.0</v>
      </c>
      <c r="CA2" s="288">
        <v>43146.0</v>
      </c>
      <c r="CB2" s="285">
        <v>43118.0</v>
      </c>
      <c r="CC2" s="285">
        <v>43075.0</v>
      </c>
      <c r="CD2" s="285">
        <v>43046.0</v>
      </c>
      <c r="CE2" s="285">
        <v>43046.0</v>
      </c>
      <c r="CF2" s="287">
        <v>43042.0</v>
      </c>
      <c r="CG2" s="285">
        <v>42944.0</v>
      </c>
      <c r="CH2" s="285">
        <v>42936.0</v>
      </c>
      <c r="CI2" s="285">
        <v>42930.0</v>
      </c>
      <c r="CJ2" s="284">
        <v>42929.0</v>
      </c>
      <c r="CK2" s="285">
        <v>42880.0</v>
      </c>
      <c r="CL2" s="285">
        <v>42802.0</v>
      </c>
      <c r="CM2" s="285">
        <v>42706.0</v>
      </c>
      <c r="CN2" s="289">
        <v>42704.0</v>
      </c>
      <c r="CO2" s="289">
        <v>42639.0</v>
      </c>
      <c r="CP2" s="289">
        <v>42137.0</v>
      </c>
      <c r="CQ2" s="34"/>
    </row>
    <row r="3">
      <c r="G3" s="290"/>
      <c r="H3" s="290"/>
      <c r="I3" s="290"/>
      <c r="J3" s="290"/>
      <c r="K3" s="290"/>
      <c r="L3" s="290" t="s">
        <v>2751</v>
      </c>
      <c r="M3" s="291" t="s">
        <v>2752</v>
      </c>
      <c r="N3" s="291" t="s">
        <v>2753</v>
      </c>
      <c r="O3" s="291" t="s">
        <v>2754</v>
      </c>
      <c r="P3" s="291" t="s">
        <v>2755</v>
      </c>
      <c r="Q3" s="291" t="s">
        <v>2756</v>
      </c>
      <c r="R3" s="291" t="s">
        <v>2757</v>
      </c>
      <c r="S3" s="34" t="s">
        <v>2758</v>
      </c>
      <c r="T3" s="34" t="s">
        <v>2759</v>
      </c>
      <c r="U3" s="34" t="s">
        <v>2760</v>
      </c>
      <c r="V3" s="34" t="s">
        <v>2760</v>
      </c>
      <c r="W3" s="292" t="s">
        <v>2761</v>
      </c>
      <c r="X3" s="293" t="s">
        <v>2762</v>
      </c>
      <c r="Y3" s="292" t="s">
        <v>2763</v>
      </c>
      <c r="Z3" s="294" t="s">
        <v>2764</v>
      </c>
      <c r="AA3" s="34" t="s">
        <v>2762</v>
      </c>
      <c r="AB3" s="295" t="s">
        <v>2765</v>
      </c>
      <c r="AC3" s="296" t="s">
        <v>2766</v>
      </c>
      <c r="AD3" s="294" t="s">
        <v>2767</v>
      </c>
      <c r="AE3" s="34" t="s">
        <v>2768</v>
      </c>
      <c r="AF3" s="34" t="s">
        <v>2769</v>
      </c>
      <c r="AG3" s="34" t="s">
        <v>2758</v>
      </c>
      <c r="AH3" s="34" t="s">
        <v>2758</v>
      </c>
      <c r="AI3" s="34" t="s">
        <v>2770</v>
      </c>
      <c r="AJ3" s="294" t="s">
        <v>2763</v>
      </c>
      <c r="AK3" s="294" t="s">
        <v>2763</v>
      </c>
      <c r="AL3" s="294" t="s">
        <v>2763</v>
      </c>
      <c r="AM3" s="294" t="s">
        <v>2763</v>
      </c>
      <c r="AN3" s="294" t="s">
        <v>2771</v>
      </c>
      <c r="AO3" s="294" t="s">
        <v>2772</v>
      </c>
      <c r="AP3" s="34" t="s">
        <v>2758</v>
      </c>
      <c r="AQ3" s="34" t="s">
        <v>2760</v>
      </c>
      <c r="AR3" s="34" t="s">
        <v>2758</v>
      </c>
      <c r="AS3" s="294" t="s">
        <v>2771</v>
      </c>
      <c r="AT3" s="34" t="s">
        <v>2760</v>
      </c>
      <c r="AU3" s="34" t="s">
        <v>2760</v>
      </c>
      <c r="AV3" s="294" t="s">
        <v>2771</v>
      </c>
      <c r="AW3" s="34" t="s">
        <v>2768</v>
      </c>
      <c r="AX3" s="34" t="s">
        <v>2773</v>
      </c>
      <c r="AY3" s="34" t="s">
        <v>2768</v>
      </c>
      <c r="AZ3" s="34" t="s">
        <v>2774</v>
      </c>
      <c r="BA3" s="294" t="s">
        <v>2763</v>
      </c>
      <c r="BB3" s="34" t="s">
        <v>2768</v>
      </c>
      <c r="BC3" s="296" t="s">
        <v>2763</v>
      </c>
      <c r="BD3" s="297" t="s">
        <v>2775</v>
      </c>
      <c r="BE3" s="295" t="s">
        <v>2776</v>
      </c>
      <c r="BF3" s="295" t="s">
        <v>2777</v>
      </c>
      <c r="BG3" s="295" t="s">
        <v>2778</v>
      </c>
      <c r="BH3" s="34" t="s">
        <v>2768</v>
      </c>
      <c r="BI3" s="34" t="s">
        <v>2779</v>
      </c>
      <c r="BJ3" s="295" t="s">
        <v>2780</v>
      </c>
      <c r="BK3" s="34" t="s">
        <v>2768</v>
      </c>
      <c r="BL3" s="296" t="s">
        <v>2781</v>
      </c>
      <c r="BM3" s="296" t="s">
        <v>2781</v>
      </c>
      <c r="BN3" s="295" t="s">
        <v>2778</v>
      </c>
      <c r="BO3" s="298" t="s">
        <v>2763</v>
      </c>
      <c r="BP3" s="294" t="s">
        <v>2782</v>
      </c>
      <c r="BQ3" s="299" t="s">
        <v>2783</v>
      </c>
      <c r="BR3" s="295" t="s">
        <v>2776</v>
      </c>
      <c r="BS3" s="299" t="s">
        <v>2784</v>
      </c>
      <c r="BT3" s="34" t="s">
        <v>2768</v>
      </c>
      <c r="BU3" s="295" t="s">
        <v>2785</v>
      </c>
      <c r="BV3" s="34" t="s">
        <v>2768</v>
      </c>
      <c r="BW3" s="299" t="s">
        <v>2786</v>
      </c>
      <c r="BX3" s="295" t="s">
        <v>2785</v>
      </c>
      <c r="BY3" s="295" t="s">
        <v>2786</v>
      </c>
      <c r="BZ3" s="295" t="s">
        <v>2785</v>
      </c>
      <c r="CA3" s="299" t="s">
        <v>2787</v>
      </c>
      <c r="CB3" s="295" t="s">
        <v>2780</v>
      </c>
      <c r="CC3" s="295" t="s">
        <v>2780</v>
      </c>
      <c r="CD3" s="34" t="s">
        <v>2768</v>
      </c>
      <c r="CE3" s="295" t="s">
        <v>2786</v>
      </c>
      <c r="CF3" s="298" t="s">
        <v>2788</v>
      </c>
      <c r="CG3" s="295" t="s">
        <v>2776</v>
      </c>
      <c r="CH3" s="295" t="s">
        <v>2778</v>
      </c>
      <c r="CI3" s="34" t="s">
        <v>2768</v>
      </c>
      <c r="CJ3" s="296" t="s">
        <v>2763</v>
      </c>
      <c r="CK3" s="295" t="s">
        <v>2785</v>
      </c>
      <c r="CL3" s="34" t="s">
        <v>2768</v>
      </c>
      <c r="CM3" s="34" t="s">
        <v>2768</v>
      </c>
      <c r="CN3" s="295" t="s">
        <v>2776</v>
      </c>
      <c r="CO3" s="295" t="s">
        <v>2785</v>
      </c>
      <c r="CP3" s="295" t="s">
        <v>2776</v>
      </c>
    </row>
    <row r="4">
      <c r="G4" s="300"/>
      <c r="H4" s="300"/>
      <c r="I4" s="300"/>
      <c r="J4" s="300"/>
      <c r="K4" s="300"/>
      <c r="L4" s="300" t="s">
        <v>683</v>
      </c>
      <c r="M4" s="301">
        <f t="shared" ref="M4:N4" si="1">COUNTIF(M5:M242, "Sponsor")/((COUNTIF(M5:M242, "Sponsor")+(COUNTIF(M5:M242, "Not sponsoring"))))</f>
        <v>0.5511363636</v>
      </c>
      <c r="N4" s="301">
        <f t="shared" si="1"/>
        <v>0.5</v>
      </c>
      <c r="O4" s="301">
        <v>0.468</v>
      </c>
      <c r="P4" s="301">
        <f>COUNTIF(P5:P242, "Sponsor")/((COUNTIF(P5:P242, "Sponsor")+(COUNTIF(P5:P242, "Not sponsoring"))))</f>
        <v>0.2727272727</v>
      </c>
      <c r="Q4" s="301">
        <v>0.259</v>
      </c>
      <c r="R4" s="301">
        <f>COUNTIF(R5:R242, "Sponsor")/((COUNTIF(R5:R242, "Sponsor")+(COUNTIF(R5:R242, "Not sponsoring"))))</f>
        <v>0.1477272727</v>
      </c>
      <c r="S4" s="302" t="str">
        <f t="shared" ref="S4:V4" si="2">COUNTIF(S5:S242, "Nay")/((COUNTIF(S5:S242, "Yea")+(COUNTIF(S5:S242, "Nay"))))</f>
        <v>#DIV/0!</v>
      </c>
      <c r="T4" s="302" t="str">
        <f t="shared" si="2"/>
        <v>#DIV/0!</v>
      </c>
      <c r="U4" s="302" t="str">
        <f t="shared" si="2"/>
        <v>#DIV/0!</v>
      </c>
      <c r="V4" s="301" t="str">
        <f t="shared" si="2"/>
        <v>#DIV/0!</v>
      </c>
      <c r="W4" s="303" t="str">
        <f>COUNTIF(W5:W244, "Yea (Amend)")/((COUNTIF(W5:W244, "Yea (Amend)")+(COUNTIF(W5:W244, "Nay (Amend)"))))</f>
        <v>#DIV/0!</v>
      </c>
      <c r="X4" s="304" t="str">
        <f>COUNTIF(X5:X242, "Nay")/((COUNTIF(X5:X242, "Yea")+(COUNTIF(X5:X242, "Nay"))))</f>
        <v>#DIV/0!</v>
      </c>
      <c r="Y4" s="305" t="str">
        <f>COUNTIF(Y5:Y244, "Yea (Amend)")/((COUNTIF(Y5:Y244, "Yea (Amend)")+(COUNTIF(Y5:Y244, "Nay (Amend)"))))</f>
        <v>#DIV/0!</v>
      </c>
      <c r="Z4" s="301" t="str">
        <f>COUNTIF(Z5:Z242, "Yea (Amend)")/((COUNTIF(Z5:Z242, "Yea (Amend)")+(COUNTIF(Z5:Z242, "Nay (Amend)"))))</f>
        <v>#DIV/0!</v>
      </c>
      <c r="AA4" s="301" t="str">
        <f t="shared" ref="AA4:AB4" si="3">COUNTIF(AA5:AA242, "Nay")/((COUNTIF(AA5:AA242, "Yea")+(COUNTIF(AA5:AA242, "Nay"))))</f>
        <v>#DIV/0!</v>
      </c>
      <c r="AB4" s="301" t="str">
        <f t="shared" si="3"/>
        <v>#DIV/0!</v>
      </c>
      <c r="AC4" s="301" t="str">
        <f t="shared" ref="AC4:AD4" si="4">COUNTIF(AC5:AC242, "Yea (Amend)")/((COUNTIF(AC5:AC242, "Yea (Amend)")+(COUNTIF(AC5:AC242, "Nay (Amend)"))))</f>
        <v>#DIV/0!</v>
      </c>
      <c r="AD4" s="301" t="str">
        <f t="shared" si="4"/>
        <v>#DIV/0!</v>
      </c>
      <c r="AE4" s="301" t="str">
        <f t="shared" ref="AE4:AI4" si="5">COUNTIF(AE5:AE242, "Nay")/((COUNTIF(AE5:AE242, "Yea")+(COUNTIF(AE5:AE242, "Nay"))))</f>
        <v>#DIV/0!</v>
      </c>
      <c r="AF4" s="301" t="str">
        <f t="shared" si="5"/>
        <v>#DIV/0!</v>
      </c>
      <c r="AG4" s="301" t="str">
        <f t="shared" si="5"/>
        <v>#DIV/0!</v>
      </c>
      <c r="AH4" s="301" t="str">
        <f t="shared" si="5"/>
        <v>#DIV/0!</v>
      </c>
      <c r="AI4" s="301" t="str">
        <f t="shared" si="5"/>
        <v>#DIV/0!</v>
      </c>
      <c r="AJ4" s="301" t="str">
        <f t="shared" ref="AJ4:AO4" si="6">COUNTIF(AJ5:AJ242, "Yea (Amend)")/((COUNTIF(AJ5:AJ242, "Yea (Amend)")+(COUNTIF(AJ5:AJ242, "Nay (Amend)"))))</f>
        <v>#DIV/0!</v>
      </c>
      <c r="AK4" s="301" t="str">
        <f t="shared" si="6"/>
        <v>#DIV/0!</v>
      </c>
      <c r="AL4" s="301" t="str">
        <f t="shared" si="6"/>
        <v>#DIV/0!</v>
      </c>
      <c r="AM4" s="301" t="str">
        <f t="shared" si="6"/>
        <v>#DIV/0!</v>
      </c>
      <c r="AN4" s="301" t="str">
        <f t="shared" si="6"/>
        <v>#DIV/0!</v>
      </c>
      <c r="AO4" s="301" t="str">
        <f t="shared" si="6"/>
        <v>#DIV/0!</v>
      </c>
      <c r="AP4" s="301" t="str">
        <f t="shared" ref="AP4:AR4" si="7">COUNTIF(AP5:AP242, "Nay")/((COUNTIF(AP5:AP242, "Yea")+(COUNTIF(AP5:AP242, "Nay"))))</f>
        <v>#DIV/0!</v>
      </c>
      <c r="AQ4" s="301" t="str">
        <f t="shared" si="7"/>
        <v>#DIV/0!</v>
      </c>
      <c r="AR4" s="301" t="str">
        <f t="shared" si="7"/>
        <v>#DIV/0!</v>
      </c>
      <c r="AS4" s="301" t="str">
        <f>COUNTIF(AS5:AS242, "Yea (Amend)")/((COUNTIF(AS5:AS242, "Yea (Amend)")+(COUNTIF(AS5:AS242, "Nay (Amend)"))))</f>
        <v>#DIV/0!</v>
      </c>
      <c r="AT4" s="301" t="str">
        <f t="shared" ref="AT4:AU4" si="8">COUNTIF(AT5:AT242, "Nay")/((COUNTIF(AT5:AT242, "Yea")+(COUNTIF(AT5:AT242, "Nay"))))</f>
        <v>#DIV/0!</v>
      </c>
      <c r="AU4" s="301" t="str">
        <f t="shared" si="8"/>
        <v>#DIV/0!</v>
      </c>
      <c r="AV4" s="301" t="str">
        <f>COUNTIF(AV5:AV242, "Yea (Amend)")/((COUNTIF(AV5:AV242, "Yea (Amend)")+(COUNTIF(AV5:AV242, "Nay (Amend)"))))</f>
        <v>#DIV/0!</v>
      </c>
      <c r="AW4" s="301" t="str">
        <f t="shared" ref="AW4:AZ4" si="9">COUNTIF(AW5:AW242, "Nay")/((COUNTIF(AW5:AW242, "Yea")+(COUNTIF(AW5:AW242, "Nay"))))</f>
        <v>#DIV/0!</v>
      </c>
      <c r="AX4" s="301" t="str">
        <f t="shared" si="9"/>
        <v>#DIV/0!</v>
      </c>
      <c r="AY4" s="301" t="str">
        <f t="shared" si="9"/>
        <v>#DIV/0!</v>
      </c>
      <c r="AZ4" s="301" t="str">
        <f t="shared" si="9"/>
        <v>#DIV/0!</v>
      </c>
      <c r="BA4" s="301" t="str">
        <f>COUNTIF(BA5:BA242, "Yea (Amend)")/((COUNTIF(BA5:BA242, "Yea (Amend)")+(COUNTIF(BA5:BA242, "Nay (Amend)"))))</f>
        <v>#DIV/0!</v>
      </c>
      <c r="BB4" s="301" t="str">
        <f>COUNTIF(BB5:BB242, "Nay")/((COUNTIF(BB5:BB242, "Yea")+(COUNTIF(BB5:BB242, "Nay"))))</f>
        <v>#DIV/0!</v>
      </c>
      <c r="BC4" s="301" t="str">
        <f t="shared" ref="BC4:BD4" si="10">COUNTIF(BC5:BC242, "Yea (Amend)")/((COUNTIF(BC5:BC242, "Yea (Amend)")+(COUNTIF(BC5:BC242, "Nay (Amend)"))))</f>
        <v>#DIV/0!</v>
      </c>
      <c r="BD4" s="301" t="str">
        <f t="shared" si="10"/>
        <v>#DIV/0!</v>
      </c>
      <c r="BE4" s="301" t="str">
        <f t="shared" ref="BE4:BK4" si="11">COUNTIF(BE5:BE242, "Nay")/((COUNTIF(BE5:BE242, "Yea")+(COUNTIF(BE5:BE242, "Nay"))))</f>
        <v>#DIV/0!</v>
      </c>
      <c r="BF4" s="301" t="str">
        <f t="shared" si="11"/>
        <v>#DIV/0!</v>
      </c>
      <c r="BG4" s="301" t="str">
        <f t="shared" si="11"/>
        <v>#DIV/0!</v>
      </c>
      <c r="BH4" s="301" t="str">
        <f t="shared" si="11"/>
        <v>#DIV/0!</v>
      </c>
      <c r="BI4" s="301" t="str">
        <f t="shared" si="11"/>
        <v>#DIV/0!</v>
      </c>
      <c r="BJ4" s="301" t="str">
        <f t="shared" si="11"/>
        <v>#DIV/0!</v>
      </c>
      <c r="BK4" s="301" t="str">
        <f t="shared" si="11"/>
        <v>#DIV/0!</v>
      </c>
      <c r="BL4" s="301" t="str">
        <f t="shared" ref="BL4:BM4" si="12">COUNTIF(BL5:BL242, "Yea (Amend)")/((COUNTIF(BL5:BL242, "Yea (Amend)")+(COUNTIF(BL5:BL242, "Nay (Amend)"))))</f>
        <v>#DIV/0!</v>
      </c>
      <c r="BM4" s="301" t="str">
        <f t="shared" si="12"/>
        <v>#DIV/0!</v>
      </c>
      <c r="BN4" s="301" t="str">
        <f>COUNTIF(BN5:BN242, "Nay")/((COUNTIF(BN5:BN242, "Yea")+(COUNTIF(BN5:BN242, "Nay"))))</f>
        <v>#DIV/0!</v>
      </c>
      <c r="BO4" s="301" t="str">
        <f t="shared" ref="BO4:BP4" si="13">COUNTIF(BO5:BO242, "Yea (Amend)")/((COUNTIF(BO5:BO242, "Yea (Amend)")+(COUNTIF(BO5:BO242, "Nay (Amend)"))))</f>
        <v>#DIV/0!</v>
      </c>
      <c r="BP4" s="301" t="str">
        <f t="shared" si="13"/>
        <v>#DIV/0!</v>
      </c>
      <c r="BQ4" s="307" t="str">
        <f>COUNTIF(BQ5:BQ250, "Nay")/((COUNTIF(BQ5:BQ250, "Yea")+(COUNTIF(BQ5:BQ250, "Nay"))))</f>
        <v>#DIV/0!</v>
      </c>
      <c r="BR4" s="301" t="str">
        <f>COUNTIF(BR5:BR242, "Nay")/((COUNTIF(BR5:BR242, "Yea")+(COUNTIF(BR5:BR242, "Nay"))))</f>
        <v>#DIV/0!</v>
      </c>
      <c r="BS4" s="301" t="str">
        <f>COUNTIF(BS5:BS250, "Nay")/((COUNTIF(BS5:BS250, "Yea")+(COUNTIF(BS5:BS250, "Nay"))))</f>
        <v>#DIV/0!</v>
      </c>
      <c r="BT4" s="301" t="str">
        <f t="shared" ref="BT4:BV4" si="14">COUNTIF(BT5:BT242, "Nay")/((COUNTIF(BT5:BT242, "Yea")+(COUNTIF(BT5:BT242, "Nay"))))</f>
        <v>#DIV/0!</v>
      </c>
      <c r="BU4" s="301" t="str">
        <f t="shared" si="14"/>
        <v>#DIV/0!</v>
      </c>
      <c r="BV4" s="301" t="str">
        <f t="shared" si="14"/>
        <v>#DIV/0!</v>
      </c>
      <c r="BW4" s="308" t="str">
        <f>COUNTIF(BW5:BW250, "Nay")/((COUNTIF(BW5:BW250, "Yea")+(COUNTIF(BW5:BW250, "Nay"))))</f>
        <v>#DIV/0!</v>
      </c>
      <c r="BX4" s="301" t="str">
        <f t="shared" ref="BX4:BZ4" si="15">COUNTIF(BX5:BX242, "Nay")/((COUNTIF(BX5:BX242, "Yea")+(COUNTIF(BX5:BX242, "Nay"))))</f>
        <v>#DIV/0!</v>
      </c>
      <c r="BY4" s="301" t="str">
        <f t="shared" si="15"/>
        <v>#DIV/0!</v>
      </c>
      <c r="BZ4" s="301" t="str">
        <f t="shared" si="15"/>
        <v>#DIV/0!</v>
      </c>
      <c r="CA4" s="309" t="str">
        <f>COUNTIF(CA5:CA250, "Nay")/((COUNTIF(CA5:CA250, "Yea")+(COUNTIF(CA5:CA250, "Nay"))))</f>
        <v>#DIV/0!</v>
      </c>
      <c r="CB4" s="301" t="str">
        <f t="shared" ref="CB4:CE4" si="16">COUNTIF(CB5:CB242, "Nay")/((COUNTIF(CB5:CB242, "Yea")+(COUNTIF(CB5:CB242, "Nay"))))</f>
        <v>#DIV/0!</v>
      </c>
      <c r="CC4" s="301" t="str">
        <f t="shared" si="16"/>
        <v>#DIV/0!</v>
      </c>
      <c r="CD4" s="301" t="str">
        <f t="shared" si="16"/>
        <v>#DIV/0!</v>
      </c>
      <c r="CE4" s="301" t="str">
        <f t="shared" si="16"/>
        <v>#DIV/0!</v>
      </c>
      <c r="CF4" s="310" t="str">
        <f>COUNTIF(CF5:CF250, "Nay")/((COUNTIF(CF5:CF250, "Yea")+(COUNTIF(CF5:CF250, "Nay"))))</f>
        <v>#DIV/0!</v>
      </c>
      <c r="CG4" s="301" t="str">
        <f t="shared" ref="CG4:CI4" si="17">COUNTIF(CG5:CG242, "Nay")/((COUNTIF(CG5:CG242, "Yea")+(COUNTIF(CG5:CG242, "Nay"))))</f>
        <v>#DIV/0!</v>
      </c>
      <c r="CH4" s="301" t="str">
        <f t="shared" si="17"/>
        <v>#DIV/0!</v>
      </c>
      <c r="CI4" s="301" t="str">
        <f t="shared" si="17"/>
        <v>#DIV/0!</v>
      </c>
      <c r="CJ4" s="301" t="str">
        <f>COUNTIF(CJ5:CJ242, "Yea (Amend)")/((COUNTIF(CJ5:CJ242, "Yea (Amend)")+(COUNTIF(CJ5:CJ242, "Nay (Amend)"))))</f>
        <v>#DIV/0!</v>
      </c>
      <c r="CK4" s="301" t="str">
        <f t="shared" ref="CK4:CP4" si="18">COUNTIF(CK5:CK242, "Nay")/((COUNTIF(CK5:CK242, "Yea")+(COUNTIF(CK5:CK242, "Nay"))))</f>
        <v>#DIV/0!</v>
      </c>
      <c r="CL4" s="301" t="str">
        <f t="shared" si="18"/>
        <v>#DIV/0!</v>
      </c>
      <c r="CM4" s="301" t="str">
        <f t="shared" si="18"/>
        <v>#DIV/0!</v>
      </c>
      <c r="CN4" s="301" t="str">
        <f t="shared" si="18"/>
        <v>#DIV/0!</v>
      </c>
      <c r="CO4" s="301" t="str">
        <f t="shared" si="18"/>
        <v>#DIV/0!</v>
      </c>
      <c r="CP4" s="301" t="str">
        <f t="shared" si="18"/>
        <v>#DIV/0!</v>
      </c>
    </row>
    <row r="5">
      <c r="A5" s="311" t="s">
        <v>769</v>
      </c>
      <c r="B5" s="311" t="s">
        <v>770</v>
      </c>
      <c r="C5" s="311" t="s">
        <v>815</v>
      </c>
      <c r="D5" s="311">
        <v>12.0</v>
      </c>
      <c r="E5" s="312">
        <f t="shared" ref="E5:E180" si="19">(COUNTIF(M5:CM5, "Sponsor")/(COUNTIF(M5:CM5, "Sponsor")+COUNTIF(M5:CM5, "Not sponsoring")))</f>
        <v>1</v>
      </c>
      <c r="F5" s="312">
        <f t="shared" ref="F5:F182" si="20">(COUNTIF(M5:CP5, "Nay")+COUNTIF(M5:CP5, "Yea (Amend)")+(0.5*COUNTIF(M5:CP5, "Present")))/(COUNTIF(M5:CP5, "Nay")+COUNTIF(M5:CP5, "Yea (Amend)")+COUNTIF(M5:CP5, "Yea")+COUNTIF(M5:CP5, "Nay (Amend)")+COUNTIF(M5:CP5, "Present"))</f>
        <v>0.5</v>
      </c>
      <c r="G5" s="312" t="str">
        <f t="shared" ref="G5:G182" si="21">AVERAGE(H5,I5,J5)</f>
        <v>#DIV/0!</v>
      </c>
      <c r="H5" s="312">
        <f t="shared" ref="H5:H182" si="22">(COUNTIF(N5:AV5, "Nay")+COUNTIF(N5:AV5, "Yea (Amend)")+(0.5*COUNTIF(N5:AV5, "Present")))/(COUNTIF(N5:AV5, "Nay")+COUNTIF(N5:AV5, "Yea (Amend)")+COUNTIF(N5:AV5, "Yea")+COUNTIF(N5:AV5, "Nay (Amend)")+COUNTIF(N5:AV5, "Present"))</f>
        <v>0.5</v>
      </c>
      <c r="I5" s="312" t="str">
        <f>(COUNTIF(AW5:BP5, "Nay")+COUNTIF(AW5:BP5, "Yea (Amend)")+(0.5*COUNTIF(AW5:BP5, "Present")))/(COUNTIF(AW5:BP5, "Nay")+COUNTIF(AW5:BP5, "Yea (Amend)")+COUNTIF(AW5:BP5, "Yea")+COUNTIF(AW5:BP5, "Nay (Amend)")+COUNTIF(AW5:BP5, "Present"))</f>
        <v>#DIV/0!</v>
      </c>
      <c r="J5" s="315" t="s">
        <v>2794</v>
      </c>
      <c r="K5" s="315" t="s">
        <v>2794</v>
      </c>
      <c r="L5" s="316" t="str">
        <f t="shared" ref="L5:L180" si="23">(E5*0.25)+(G5*0.75)</f>
        <v>#DIV/0!</v>
      </c>
      <c r="M5" s="317" t="s">
        <v>487</v>
      </c>
      <c r="N5" s="317" t="s">
        <v>487</v>
      </c>
      <c r="O5" s="317" t="s">
        <v>487</v>
      </c>
      <c r="P5" s="317" t="s">
        <v>487</v>
      </c>
      <c r="Q5" s="317" t="s">
        <v>487</v>
      </c>
      <c r="R5" s="317" t="s">
        <v>487</v>
      </c>
      <c r="S5" s="318" t="s">
        <v>53</v>
      </c>
      <c r="T5" s="318" t="s">
        <v>53</v>
      </c>
      <c r="U5" s="318" t="s">
        <v>53</v>
      </c>
      <c r="V5" s="318" t="s">
        <v>53</v>
      </c>
      <c r="W5" s="318" t="s">
        <v>2795</v>
      </c>
      <c r="X5" s="318" t="s">
        <v>53</v>
      </c>
      <c r="Y5" s="318" t="s">
        <v>2795</v>
      </c>
      <c r="Z5" s="317" t="s">
        <v>2795</v>
      </c>
      <c r="AA5" s="317" t="s">
        <v>53</v>
      </c>
      <c r="AB5" s="317" t="s">
        <v>53</v>
      </c>
      <c r="AC5" s="317" t="s">
        <v>2795</v>
      </c>
      <c r="AD5" s="317" t="s">
        <v>2795</v>
      </c>
      <c r="AE5" s="317" t="s">
        <v>53</v>
      </c>
      <c r="AF5" s="317" t="s">
        <v>53</v>
      </c>
      <c r="AG5" s="317" t="s">
        <v>53</v>
      </c>
      <c r="AH5" s="317" t="s">
        <v>53</v>
      </c>
      <c r="AI5" s="317" t="s">
        <v>53</v>
      </c>
      <c r="AJ5" s="317" t="s">
        <v>2795</v>
      </c>
      <c r="AK5" s="317" t="s">
        <v>2795</v>
      </c>
      <c r="AL5" s="317" t="s">
        <v>2795</v>
      </c>
      <c r="AM5" s="317" t="s">
        <v>2795</v>
      </c>
      <c r="AN5" s="317" t="s">
        <v>2795</v>
      </c>
      <c r="AO5" s="317" t="s">
        <v>2795</v>
      </c>
      <c r="AP5" s="317" t="s">
        <v>53</v>
      </c>
      <c r="AQ5" s="317" t="s">
        <v>53</v>
      </c>
      <c r="AR5" s="317" t="s">
        <v>53</v>
      </c>
      <c r="AS5" s="317" t="s">
        <v>2795</v>
      </c>
      <c r="AT5" s="317" t="s">
        <v>799</v>
      </c>
      <c r="AU5" s="317" t="s">
        <v>53</v>
      </c>
      <c r="AV5" s="317" t="s">
        <v>2795</v>
      </c>
      <c r="AW5" s="317" t="s">
        <v>53</v>
      </c>
      <c r="AX5" s="317" t="s">
        <v>53</v>
      </c>
      <c r="AY5" s="317" t="s">
        <v>53</v>
      </c>
      <c r="AZ5" s="317" t="s">
        <v>53</v>
      </c>
      <c r="BA5" s="317" t="s">
        <v>2796</v>
      </c>
      <c r="BB5" s="317" t="s">
        <v>53</v>
      </c>
      <c r="BC5" s="317" t="s">
        <v>2796</v>
      </c>
      <c r="BD5" s="317" t="s">
        <v>2795</v>
      </c>
      <c r="BE5" s="317" t="s">
        <v>53</v>
      </c>
      <c r="BF5" s="317" t="s">
        <v>53</v>
      </c>
      <c r="BG5" s="317" t="s">
        <v>53</v>
      </c>
      <c r="BH5" s="317" t="s">
        <v>53</v>
      </c>
      <c r="BI5" s="317" t="s">
        <v>53</v>
      </c>
      <c r="BJ5" s="317" t="s">
        <v>53</v>
      </c>
      <c r="BK5" s="317" t="s">
        <v>53</v>
      </c>
      <c r="BL5" s="317" t="s">
        <v>2796</v>
      </c>
      <c r="BM5" s="317" t="s">
        <v>2796</v>
      </c>
      <c r="BN5" s="317" t="s">
        <v>53</v>
      </c>
      <c r="BO5" s="317" t="s">
        <v>2796</v>
      </c>
      <c r="BP5" s="317" t="s">
        <v>2796</v>
      </c>
      <c r="BQ5" s="317" t="s">
        <v>600</v>
      </c>
      <c r="BR5" s="317" t="s">
        <v>600</v>
      </c>
      <c r="BS5" s="317" t="s">
        <v>600</v>
      </c>
      <c r="BT5" s="317" t="s">
        <v>600</v>
      </c>
      <c r="BU5" s="317" t="s">
        <v>600</v>
      </c>
      <c r="BV5" s="317" t="s">
        <v>600</v>
      </c>
      <c r="BW5" s="317" t="s">
        <v>600</v>
      </c>
      <c r="BX5" s="317" t="s">
        <v>600</v>
      </c>
      <c r="BY5" s="317" t="s">
        <v>600</v>
      </c>
      <c r="BZ5" s="317" t="s">
        <v>600</v>
      </c>
      <c r="CA5" s="317" t="s">
        <v>600</v>
      </c>
      <c r="CB5" s="317" t="s">
        <v>600</v>
      </c>
      <c r="CC5" s="317" t="s">
        <v>600</v>
      </c>
      <c r="CD5" s="317" t="s">
        <v>600</v>
      </c>
      <c r="CE5" s="317" t="s">
        <v>600</v>
      </c>
      <c r="CF5" s="317" t="s">
        <v>600</v>
      </c>
      <c r="CG5" s="317" t="s">
        <v>600</v>
      </c>
      <c r="CH5" s="317" t="s">
        <v>600</v>
      </c>
      <c r="CI5" s="317" t="s">
        <v>600</v>
      </c>
      <c r="CJ5" s="317" t="s">
        <v>600</v>
      </c>
      <c r="CK5" s="317" t="s">
        <v>600</v>
      </c>
      <c r="CL5" s="317" t="s">
        <v>600</v>
      </c>
      <c r="CM5" s="317" t="s">
        <v>600</v>
      </c>
      <c r="CN5" s="317" t="s">
        <v>600</v>
      </c>
      <c r="CO5" s="317" t="s">
        <v>600</v>
      </c>
      <c r="CP5" s="317" t="s">
        <v>600</v>
      </c>
      <c r="CQ5" s="319"/>
      <c r="CR5" s="319">
        <v>2019.0</v>
      </c>
      <c r="CS5" s="320" t="s">
        <v>850</v>
      </c>
      <c r="CT5" s="320" t="s">
        <v>2799</v>
      </c>
      <c r="CU5" s="321" t="s">
        <v>458</v>
      </c>
      <c r="CV5" s="322" t="s">
        <v>823</v>
      </c>
      <c r="CW5" s="319"/>
      <c r="CX5" s="319"/>
      <c r="CY5" s="323">
        <f t="shared" ref="CY5:CY184" si="24">CZ5-DA5</f>
        <v>0.485</v>
      </c>
      <c r="CZ5" s="324">
        <v>0.737</v>
      </c>
      <c r="DA5" s="323">
        <v>0.252</v>
      </c>
      <c r="DB5" s="323"/>
      <c r="DC5" s="323">
        <f t="shared" ref="DC5:DC184" si="25">DD5-DE5</f>
        <v>0.472</v>
      </c>
      <c r="DD5" s="324">
        <v>0.718</v>
      </c>
      <c r="DE5" s="323">
        <v>0.24600000000000002</v>
      </c>
      <c r="DF5" s="323"/>
      <c r="DG5" s="324">
        <v>0.475</v>
      </c>
      <c r="DH5" s="323">
        <v>0.028999999999999998</v>
      </c>
      <c r="DI5" s="323">
        <v>0.457</v>
      </c>
      <c r="DJ5" s="323">
        <v>0.026000000000000002</v>
      </c>
      <c r="DK5" s="323">
        <v>0.016</v>
      </c>
      <c r="DL5" s="323">
        <v>0.001</v>
      </c>
      <c r="DM5" s="323"/>
      <c r="DN5" s="323">
        <v>0.255</v>
      </c>
      <c r="DO5" s="323">
        <v>0.307</v>
      </c>
      <c r="DP5" s="323">
        <v>0.332</v>
      </c>
    </row>
    <row r="6">
      <c r="A6" s="325" t="s">
        <v>865</v>
      </c>
      <c r="B6" s="325" t="s">
        <v>866</v>
      </c>
      <c r="C6" s="311" t="s">
        <v>2800</v>
      </c>
      <c r="D6" s="311">
        <v>1.0</v>
      </c>
      <c r="E6" s="312">
        <f t="shared" si="19"/>
        <v>1</v>
      </c>
      <c r="F6" s="312" t="str">
        <f t="shared" si="20"/>
        <v>#DIV/0!</v>
      </c>
      <c r="G6" s="312" t="str">
        <f t="shared" si="21"/>
        <v>#DIV/0!</v>
      </c>
      <c r="H6" s="312" t="str">
        <f t="shared" si="22"/>
        <v>#DIV/0!</v>
      </c>
      <c r="I6" s="315" t="s">
        <v>2794</v>
      </c>
      <c r="J6" s="315" t="s">
        <v>2794</v>
      </c>
      <c r="K6" s="315" t="s">
        <v>2794</v>
      </c>
      <c r="L6" s="316" t="str">
        <f t="shared" si="23"/>
        <v>#DIV/0!</v>
      </c>
      <c r="M6" s="317" t="s">
        <v>487</v>
      </c>
      <c r="N6" s="317" t="s">
        <v>487</v>
      </c>
      <c r="O6" s="317" t="s">
        <v>487</v>
      </c>
      <c r="P6" s="317" t="s">
        <v>487</v>
      </c>
      <c r="Q6" s="317" t="s">
        <v>487</v>
      </c>
      <c r="R6" s="317" t="s">
        <v>487</v>
      </c>
      <c r="S6" s="318" t="s">
        <v>53</v>
      </c>
      <c r="T6" s="318" t="s">
        <v>561</v>
      </c>
      <c r="U6" s="318" t="s">
        <v>53</v>
      </c>
      <c r="V6" s="318" t="s">
        <v>53</v>
      </c>
      <c r="W6" s="318" t="s">
        <v>2795</v>
      </c>
      <c r="X6" s="318" t="s">
        <v>53</v>
      </c>
      <c r="Y6" s="318" t="s">
        <v>2795</v>
      </c>
      <c r="Z6" s="317" t="s">
        <v>2795</v>
      </c>
      <c r="AA6" s="317" t="s">
        <v>53</v>
      </c>
      <c r="AB6" s="317" t="s">
        <v>53</v>
      </c>
      <c r="AC6" s="317" t="s">
        <v>2795</v>
      </c>
      <c r="AD6" s="317" t="s">
        <v>2795</v>
      </c>
      <c r="AE6" s="317" t="s">
        <v>53</v>
      </c>
      <c r="AF6" s="317" t="s">
        <v>53</v>
      </c>
      <c r="AG6" s="317" t="s">
        <v>53</v>
      </c>
      <c r="AH6" s="317" t="s">
        <v>53</v>
      </c>
      <c r="AI6" s="317" t="s">
        <v>53</v>
      </c>
      <c r="AJ6" s="317" t="s">
        <v>2795</v>
      </c>
      <c r="AK6" s="317" t="s">
        <v>2795</v>
      </c>
      <c r="AL6" s="317" t="s">
        <v>2795</v>
      </c>
      <c r="AM6" s="317" t="s">
        <v>2795</v>
      </c>
      <c r="AN6" s="317" t="s">
        <v>2795</v>
      </c>
      <c r="AO6" s="317" t="s">
        <v>2795</v>
      </c>
      <c r="AP6" s="317" t="s">
        <v>53</v>
      </c>
      <c r="AQ6" s="317" t="s">
        <v>53</v>
      </c>
      <c r="AR6" s="317" t="s">
        <v>53</v>
      </c>
      <c r="AS6" s="317" t="s">
        <v>2795</v>
      </c>
      <c r="AT6" s="317" t="s">
        <v>53</v>
      </c>
      <c r="AU6" s="317" t="s">
        <v>53</v>
      </c>
      <c r="AV6" s="317" t="s">
        <v>2795</v>
      </c>
      <c r="AW6" s="317" t="s">
        <v>600</v>
      </c>
      <c r="AX6" s="317" t="s">
        <v>600</v>
      </c>
      <c r="AY6" s="317" t="s">
        <v>600</v>
      </c>
      <c r="AZ6" s="317" t="s">
        <v>600</v>
      </c>
      <c r="BA6" s="317" t="s">
        <v>600</v>
      </c>
      <c r="BB6" s="317" t="s">
        <v>600</v>
      </c>
      <c r="BC6" s="317" t="s">
        <v>600</v>
      </c>
      <c r="BD6" s="317" t="s">
        <v>600</v>
      </c>
      <c r="BE6" s="317" t="s">
        <v>600</v>
      </c>
      <c r="BF6" s="317" t="s">
        <v>600</v>
      </c>
      <c r="BG6" s="317" t="s">
        <v>600</v>
      </c>
      <c r="BH6" s="317" t="s">
        <v>600</v>
      </c>
      <c r="BI6" s="317" t="s">
        <v>600</v>
      </c>
      <c r="BJ6" s="317" t="s">
        <v>600</v>
      </c>
      <c r="BK6" s="317" t="s">
        <v>600</v>
      </c>
      <c r="BL6" s="317" t="s">
        <v>600</v>
      </c>
      <c r="BM6" s="317" t="s">
        <v>600</v>
      </c>
      <c r="BN6" s="317" t="s">
        <v>600</v>
      </c>
      <c r="BO6" s="317" t="s">
        <v>600</v>
      </c>
      <c r="BP6" s="317" t="s">
        <v>600</v>
      </c>
      <c r="BQ6" s="317" t="s">
        <v>600</v>
      </c>
      <c r="BR6" s="317" t="s">
        <v>600</v>
      </c>
      <c r="BS6" s="317" t="s">
        <v>600</v>
      </c>
      <c r="BT6" s="317" t="s">
        <v>600</v>
      </c>
      <c r="BU6" s="317" t="s">
        <v>600</v>
      </c>
      <c r="BV6" s="317" t="s">
        <v>600</v>
      </c>
      <c r="BW6" s="317" t="s">
        <v>600</v>
      </c>
      <c r="BX6" s="317" t="s">
        <v>600</v>
      </c>
      <c r="BY6" s="317" t="s">
        <v>600</v>
      </c>
      <c r="BZ6" s="317" t="s">
        <v>600</v>
      </c>
      <c r="CA6" s="317" t="s">
        <v>600</v>
      </c>
      <c r="CB6" s="317" t="s">
        <v>600</v>
      </c>
      <c r="CC6" s="317" t="s">
        <v>600</v>
      </c>
      <c r="CD6" s="317" t="s">
        <v>600</v>
      </c>
      <c r="CE6" s="317" t="s">
        <v>600</v>
      </c>
      <c r="CF6" s="317" t="s">
        <v>600</v>
      </c>
      <c r="CG6" s="317" t="s">
        <v>600</v>
      </c>
      <c r="CH6" s="317" t="s">
        <v>600</v>
      </c>
      <c r="CI6" s="317" t="s">
        <v>600</v>
      </c>
      <c r="CJ6" s="317" t="s">
        <v>600</v>
      </c>
      <c r="CK6" s="317" t="s">
        <v>600</v>
      </c>
      <c r="CL6" s="317" t="s">
        <v>600</v>
      </c>
      <c r="CM6" s="317" t="s">
        <v>600</v>
      </c>
      <c r="CN6" s="317" t="s">
        <v>600</v>
      </c>
      <c r="CO6" s="317" t="s">
        <v>600</v>
      </c>
      <c r="CP6" s="317" t="s">
        <v>600</v>
      </c>
      <c r="CQ6" s="319"/>
      <c r="CR6" s="319">
        <v>2021.0</v>
      </c>
      <c r="CS6" s="320" t="s">
        <v>850</v>
      </c>
      <c r="CT6" s="320" t="s">
        <v>2799</v>
      </c>
      <c r="CU6" s="326" t="s">
        <v>600</v>
      </c>
      <c r="CV6" s="327" t="s">
        <v>28</v>
      </c>
      <c r="CW6" s="319"/>
      <c r="CX6" s="319"/>
      <c r="CY6" s="323">
        <f t="shared" si="24"/>
        <v>0.584</v>
      </c>
      <c r="CZ6" s="324">
        <v>0.784</v>
      </c>
      <c r="DA6" s="323">
        <v>0.2</v>
      </c>
      <c r="DB6" s="323"/>
      <c r="DC6" s="323">
        <f t="shared" si="25"/>
        <v>0.54</v>
      </c>
      <c r="DD6" s="324">
        <v>0.7490000000000001</v>
      </c>
      <c r="DE6" s="323">
        <v>0.209</v>
      </c>
      <c r="DF6" s="323"/>
      <c r="DG6" s="323">
        <v>0.44299999999999995</v>
      </c>
      <c r="DH6" s="323">
        <v>0.04</v>
      </c>
      <c r="DI6" s="324">
        <v>0.45399999999999996</v>
      </c>
      <c r="DJ6" s="323">
        <v>0.047</v>
      </c>
      <c r="DK6" s="323">
        <v>0.018000000000000002</v>
      </c>
      <c r="DL6" s="323">
        <v>0.001</v>
      </c>
      <c r="DM6" s="323"/>
      <c r="DN6" s="323">
        <v>0.345</v>
      </c>
      <c r="DO6" s="323">
        <v>0.47200000000000003</v>
      </c>
      <c r="DP6" s="323">
        <v>0.255</v>
      </c>
    </row>
    <row r="7">
      <c r="A7" s="311" t="s">
        <v>995</v>
      </c>
      <c r="B7" s="311" t="s">
        <v>996</v>
      </c>
      <c r="C7" s="311" t="s">
        <v>1530</v>
      </c>
      <c r="D7" s="311">
        <v>14.0</v>
      </c>
      <c r="E7" s="312">
        <f t="shared" si="19"/>
        <v>1</v>
      </c>
      <c r="F7" s="312">
        <f t="shared" si="20"/>
        <v>0.5</v>
      </c>
      <c r="G7" s="312" t="str">
        <f t="shared" si="21"/>
        <v>#DIV/0!</v>
      </c>
      <c r="H7" s="312">
        <f t="shared" si="22"/>
        <v>0.5</v>
      </c>
      <c r="I7" s="312" t="str">
        <f t="shared" ref="I7:I11" si="26">(COUNTIF(AW7:BP7, "Nay")+COUNTIF(AW7:BP7, "Yea (Amend)")+(0.5*COUNTIF(AW7:BP7, "Present")))/(COUNTIF(AW7:BP7, "Nay")+COUNTIF(AW7:BP7, "Yea (Amend)")+COUNTIF(AW7:BP7, "Yea")+COUNTIF(AW7:BP7, "Nay (Amend)")+COUNTIF(AW7:BP7, "Present"))</f>
        <v>#DIV/0!</v>
      </c>
      <c r="J7" s="315" t="s">
        <v>2794</v>
      </c>
      <c r="K7" s="315" t="s">
        <v>2794</v>
      </c>
      <c r="L7" s="316" t="str">
        <f t="shared" si="23"/>
        <v>#DIV/0!</v>
      </c>
      <c r="M7" s="317" t="s">
        <v>487</v>
      </c>
      <c r="N7" s="317" t="s">
        <v>487</v>
      </c>
      <c r="O7" s="317" t="s">
        <v>487</v>
      </c>
      <c r="P7" s="317" t="s">
        <v>487</v>
      </c>
      <c r="Q7" s="317" t="s">
        <v>487</v>
      </c>
      <c r="R7" s="317" t="s">
        <v>487</v>
      </c>
      <c r="S7" s="318" t="s">
        <v>53</v>
      </c>
      <c r="T7" s="318" t="s">
        <v>561</v>
      </c>
      <c r="U7" s="318" t="s">
        <v>53</v>
      </c>
      <c r="V7" s="318" t="s">
        <v>53</v>
      </c>
      <c r="W7" s="318" t="s">
        <v>2795</v>
      </c>
      <c r="X7" s="318" t="s">
        <v>53</v>
      </c>
      <c r="Y7" s="318" t="s">
        <v>2795</v>
      </c>
      <c r="Z7" s="317" t="s">
        <v>2795</v>
      </c>
      <c r="AA7" s="317" t="s">
        <v>53</v>
      </c>
      <c r="AB7" s="317" t="s">
        <v>53</v>
      </c>
      <c r="AC7" s="317" t="s">
        <v>2795</v>
      </c>
      <c r="AD7" s="317" t="s">
        <v>2795</v>
      </c>
      <c r="AE7" s="317" t="s">
        <v>53</v>
      </c>
      <c r="AF7" s="317" t="s">
        <v>53</v>
      </c>
      <c r="AG7" s="317" t="s">
        <v>53</v>
      </c>
      <c r="AH7" s="317" t="s">
        <v>53</v>
      </c>
      <c r="AI7" s="317" t="s">
        <v>53</v>
      </c>
      <c r="AJ7" s="317" t="s">
        <v>2795</v>
      </c>
      <c r="AK7" s="317" t="s">
        <v>2795</v>
      </c>
      <c r="AL7" s="317" t="s">
        <v>2795</v>
      </c>
      <c r="AM7" s="317" t="s">
        <v>2795</v>
      </c>
      <c r="AN7" s="317" t="s">
        <v>2795</v>
      </c>
      <c r="AO7" s="317" t="s">
        <v>2795</v>
      </c>
      <c r="AP7" s="317" t="s">
        <v>799</v>
      </c>
      <c r="AQ7" s="317" t="s">
        <v>53</v>
      </c>
      <c r="AR7" s="317" t="s">
        <v>53</v>
      </c>
      <c r="AS7" s="317" t="s">
        <v>2795</v>
      </c>
      <c r="AT7" s="317" t="s">
        <v>799</v>
      </c>
      <c r="AU7" s="317" t="s">
        <v>53</v>
      </c>
      <c r="AV7" s="317" t="s">
        <v>2795</v>
      </c>
      <c r="AW7" s="317" t="s">
        <v>53</v>
      </c>
      <c r="AX7" s="317" t="s">
        <v>53</v>
      </c>
      <c r="AY7" s="317" t="s">
        <v>53</v>
      </c>
      <c r="AZ7" s="317" t="s">
        <v>53</v>
      </c>
      <c r="BA7" s="317" t="s">
        <v>2796</v>
      </c>
      <c r="BB7" s="317" t="s">
        <v>53</v>
      </c>
      <c r="BC7" s="317" t="s">
        <v>2796</v>
      </c>
      <c r="BD7" s="317" t="s">
        <v>2795</v>
      </c>
      <c r="BE7" s="317" t="s">
        <v>53</v>
      </c>
      <c r="BF7" s="317" t="s">
        <v>53</v>
      </c>
      <c r="BG7" s="317" t="s">
        <v>53</v>
      </c>
      <c r="BH7" s="317" t="s">
        <v>53</v>
      </c>
      <c r="BI7" s="317" t="s">
        <v>53</v>
      </c>
      <c r="BJ7" s="317" t="s">
        <v>53</v>
      </c>
      <c r="BK7" s="317" t="s">
        <v>53</v>
      </c>
      <c r="BL7" s="317" t="s">
        <v>2796</v>
      </c>
      <c r="BM7" s="317" t="s">
        <v>2796</v>
      </c>
      <c r="BN7" s="317" t="s">
        <v>53</v>
      </c>
      <c r="BO7" s="317" t="s">
        <v>2796</v>
      </c>
      <c r="BP7" s="317" t="s">
        <v>2796</v>
      </c>
      <c r="BQ7" s="317" t="s">
        <v>600</v>
      </c>
      <c r="BR7" s="317" t="s">
        <v>600</v>
      </c>
      <c r="BS7" s="317" t="s">
        <v>600</v>
      </c>
      <c r="BT7" s="317" t="s">
        <v>600</v>
      </c>
      <c r="BU7" s="317" t="s">
        <v>600</v>
      </c>
      <c r="BV7" s="317" t="s">
        <v>600</v>
      </c>
      <c r="BW7" s="317" t="s">
        <v>600</v>
      </c>
      <c r="BX7" s="317" t="s">
        <v>600</v>
      </c>
      <c r="BY7" s="317" t="s">
        <v>600</v>
      </c>
      <c r="BZ7" s="317" t="s">
        <v>600</v>
      </c>
      <c r="CA7" s="317" t="s">
        <v>600</v>
      </c>
      <c r="CB7" s="317" t="s">
        <v>600</v>
      </c>
      <c r="CC7" s="317" t="s">
        <v>600</v>
      </c>
      <c r="CD7" s="317" t="s">
        <v>600</v>
      </c>
      <c r="CE7" s="317" t="s">
        <v>600</v>
      </c>
      <c r="CF7" s="317" t="s">
        <v>600</v>
      </c>
      <c r="CG7" s="317" t="s">
        <v>600</v>
      </c>
      <c r="CH7" s="317" t="s">
        <v>600</v>
      </c>
      <c r="CI7" s="317" t="s">
        <v>600</v>
      </c>
      <c r="CJ7" s="317" t="s">
        <v>600</v>
      </c>
      <c r="CK7" s="317" t="s">
        <v>600</v>
      </c>
      <c r="CL7" s="317" t="s">
        <v>600</v>
      </c>
      <c r="CM7" s="317" t="s">
        <v>600</v>
      </c>
      <c r="CN7" s="317" t="s">
        <v>600</v>
      </c>
      <c r="CO7" s="317" t="s">
        <v>600</v>
      </c>
      <c r="CP7" s="317" t="s">
        <v>600</v>
      </c>
      <c r="CQ7" s="319"/>
      <c r="CR7" s="319">
        <v>2019.0</v>
      </c>
      <c r="CS7" s="320" t="s">
        <v>850</v>
      </c>
      <c r="CT7" s="320" t="s">
        <v>2799</v>
      </c>
      <c r="CU7" s="321" t="s">
        <v>458</v>
      </c>
      <c r="CV7" s="320" t="s">
        <v>446</v>
      </c>
      <c r="CW7" s="319"/>
      <c r="CX7" s="319"/>
      <c r="CY7" s="323">
        <f t="shared" si="24"/>
        <v>0.566</v>
      </c>
      <c r="CZ7" s="324">
        <v>0.779</v>
      </c>
      <c r="DA7" s="323">
        <v>0.213</v>
      </c>
      <c r="DB7" s="323"/>
      <c r="DC7" s="323">
        <f t="shared" si="25"/>
        <v>0.665</v>
      </c>
      <c r="DD7" s="324">
        <v>0.8190000000000001</v>
      </c>
      <c r="DE7" s="323">
        <v>0.154</v>
      </c>
      <c r="DF7" s="323"/>
      <c r="DG7" s="323">
        <v>0.196</v>
      </c>
      <c r="DH7" s="324">
        <v>0.49200000000000005</v>
      </c>
      <c r="DI7" s="323">
        <v>0.221</v>
      </c>
      <c r="DJ7" s="323">
        <v>0.127</v>
      </c>
      <c r="DK7" s="323">
        <v>0.031</v>
      </c>
      <c r="DL7" s="323">
        <v>0.003</v>
      </c>
      <c r="DM7" s="323"/>
      <c r="DN7" s="323">
        <v>0.266</v>
      </c>
      <c r="DO7" s="323">
        <v>0.45899999999999996</v>
      </c>
      <c r="DP7" s="323">
        <v>0.129</v>
      </c>
    </row>
    <row r="8">
      <c r="A8" s="311" t="s">
        <v>776</v>
      </c>
      <c r="B8" s="311" t="s">
        <v>777</v>
      </c>
      <c r="C8" s="311" t="s">
        <v>677</v>
      </c>
      <c r="D8" s="311">
        <v>7.0</v>
      </c>
      <c r="E8" s="312">
        <f t="shared" si="19"/>
        <v>1</v>
      </c>
      <c r="F8" s="312">
        <f t="shared" si="20"/>
        <v>0.5</v>
      </c>
      <c r="G8" s="312" t="str">
        <f t="shared" si="21"/>
        <v>#DIV/0!</v>
      </c>
      <c r="H8" s="312">
        <f t="shared" si="22"/>
        <v>0.5</v>
      </c>
      <c r="I8" s="312" t="str">
        <f t="shared" si="26"/>
        <v>#DIV/0!</v>
      </c>
      <c r="J8" s="315" t="s">
        <v>2794</v>
      </c>
      <c r="K8" s="315" t="s">
        <v>2794</v>
      </c>
      <c r="L8" s="316" t="str">
        <f t="shared" si="23"/>
        <v>#DIV/0!</v>
      </c>
      <c r="M8" s="317" t="s">
        <v>487</v>
      </c>
      <c r="N8" s="317" t="s">
        <v>487</v>
      </c>
      <c r="O8" s="317" t="s">
        <v>487</v>
      </c>
      <c r="P8" s="317" t="s">
        <v>487</v>
      </c>
      <c r="Q8" s="317" t="s">
        <v>487</v>
      </c>
      <c r="R8" s="317" t="s">
        <v>487</v>
      </c>
      <c r="S8" s="318" t="s">
        <v>53</v>
      </c>
      <c r="T8" s="318" t="s">
        <v>561</v>
      </c>
      <c r="U8" s="318" t="s">
        <v>53</v>
      </c>
      <c r="V8" s="330" t="s">
        <v>799</v>
      </c>
      <c r="W8" s="318" t="s">
        <v>2795</v>
      </c>
      <c r="X8" s="318" t="s">
        <v>53</v>
      </c>
      <c r="Y8" s="318" t="s">
        <v>2795</v>
      </c>
      <c r="Z8" s="317" t="s">
        <v>2795</v>
      </c>
      <c r="AA8" s="317" t="s">
        <v>53</v>
      </c>
      <c r="AB8" s="317" t="s">
        <v>53</v>
      </c>
      <c r="AC8" s="317" t="s">
        <v>2795</v>
      </c>
      <c r="AD8" s="317" t="s">
        <v>2795</v>
      </c>
      <c r="AE8" s="317" t="s">
        <v>53</v>
      </c>
      <c r="AF8" s="317" t="s">
        <v>53</v>
      </c>
      <c r="AG8" s="317" t="s">
        <v>53</v>
      </c>
      <c r="AH8" s="317" t="s">
        <v>53</v>
      </c>
      <c r="AI8" s="317" t="s">
        <v>53</v>
      </c>
      <c r="AJ8" s="317" t="s">
        <v>2795</v>
      </c>
      <c r="AK8" s="317" t="s">
        <v>2795</v>
      </c>
      <c r="AL8" s="317" t="s">
        <v>2795</v>
      </c>
      <c r="AM8" s="317" t="s">
        <v>2795</v>
      </c>
      <c r="AN8" s="317" t="s">
        <v>2795</v>
      </c>
      <c r="AO8" s="317" t="s">
        <v>2795</v>
      </c>
      <c r="AP8" s="317" t="s">
        <v>53</v>
      </c>
      <c r="AQ8" s="317" t="s">
        <v>53</v>
      </c>
      <c r="AR8" s="317" t="s">
        <v>561</v>
      </c>
      <c r="AS8" s="317" t="s">
        <v>2795</v>
      </c>
      <c r="AT8" s="317" t="s">
        <v>53</v>
      </c>
      <c r="AU8" s="317" t="s">
        <v>53</v>
      </c>
      <c r="AV8" s="317" t="s">
        <v>2795</v>
      </c>
      <c r="AW8" s="317" t="s">
        <v>53</v>
      </c>
      <c r="AX8" s="317" t="s">
        <v>53</v>
      </c>
      <c r="AY8" s="317" t="s">
        <v>53</v>
      </c>
      <c r="AZ8" s="317" t="s">
        <v>53</v>
      </c>
      <c r="BA8" s="317" t="s">
        <v>2796</v>
      </c>
      <c r="BB8" s="317" t="s">
        <v>53</v>
      </c>
      <c r="BC8" s="317" t="s">
        <v>2796</v>
      </c>
      <c r="BD8" s="317" t="s">
        <v>2795</v>
      </c>
      <c r="BE8" s="317" t="s">
        <v>53</v>
      </c>
      <c r="BF8" s="317" t="s">
        <v>53</v>
      </c>
      <c r="BG8" s="317" t="s">
        <v>53</v>
      </c>
      <c r="BH8" s="317" t="s">
        <v>53</v>
      </c>
      <c r="BI8" s="317" t="s">
        <v>561</v>
      </c>
      <c r="BJ8" s="317" t="s">
        <v>53</v>
      </c>
      <c r="BK8" s="317" t="s">
        <v>53</v>
      </c>
      <c r="BL8" s="317" t="s">
        <v>2796</v>
      </c>
      <c r="BM8" s="317" t="s">
        <v>2796</v>
      </c>
      <c r="BN8" s="317" t="s">
        <v>53</v>
      </c>
      <c r="BO8" s="317" t="s">
        <v>2796</v>
      </c>
      <c r="BP8" s="317" t="s">
        <v>2796</v>
      </c>
      <c r="BQ8" s="317" t="s">
        <v>600</v>
      </c>
      <c r="BR8" s="317" t="s">
        <v>600</v>
      </c>
      <c r="BS8" s="317" t="s">
        <v>600</v>
      </c>
      <c r="BT8" s="317" t="s">
        <v>600</v>
      </c>
      <c r="BU8" s="317" t="s">
        <v>600</v>
      </c>
      <c r="BV8" s="317" t="s">
        <v>600</v>
      </c>
      <c r="BW8" s="317" t="s">
        <v>600</v>
      </c>
      <c r="BX8" s="317" t="s">
        <v>600</v>
      </c>
      <c r="BY8" s="317" t="s">
        <v>600</v>
      </c>
      <c r="BZ8" s="317" t="s">
        <v>600</v>
      </c>
      <c r="CA8" s="317" t="s">
        <v>600</v>
      </c>
      <c r="CB8" s="317" t="s">
        <v>600</v>
      </c>
      <c r="CC8" s="317" t="s">
        <v>600</v>
      </c>
      <c r="CD8" s="317" t="s">
        <v>600</v>
      </c>
      <c r="CE8" s="317" t="s">
        <v>600</v>
      </c>
      <c r="CF8" s="317" t="s">
        <v>600</v>
      </c>
      <c r="CG8" s="317" t="s">
        <v>600</v>
      </c>
      <c r="CH8" s="317" t="s">
        <v>600</v>
      </c>
      <c r="CI8" s="317" t="s">
        <v>600</v>
      </c>
      <c r="CJ8" s="317" t="s">
        <v>600</v>
      </c>
      <c r="CK8" s="317" t="s">
        <v>600</v>
      </c>
      <c r="CL8" s="317" t="s">
        <v>600</v>
      </c>
      <c r="CM8" s="317" t="s">
        <v>600</v>
      </c>
      <c r="CN8" s="317" t="s">
        <v>600</v>
      </c>
      <c r="CO8" s="317" t="s">
        <v>600</v>
      </c>
      <c r="CP8" s="317" t="s">
        <v>600</v>
      </c>
      <c r="CQ8" s="319"/>
      <c r="CR8" s="319">
        <v>2019.0</v>
      </c>
      <c r="CS8" s="320" t="s">
        <v>850</v>
      </c>
      <c r="CT8" s="320" t="s">
        <v>940</v>
      </c>
      <c r="CU8" s="319" t="s">
        <v>676</v>
      </c>
      <c r="CV8" s="327" t="s">
        <v>28</v>
      </c>
      <c r="CW8" s="319"/>
      <c r="CX8" s="319"/>
      <c r="CY8" s="323">
        <f t="shared" si="24"/>
        <v>0.724</v>
      </c>
      <c r="CZ8" s="324">
        <v>0.855</v>
      </c>
      <c r="DA8" s="323">
        <v>0.131</v>
      </c>
      <c r="DB8" s="323"/>
      <c r="DC8" s="323">
        <f t="shared" si="25"/>
        <v>0.716</v>
      </c>
      <c r="DD8" s="324">
        <v>0.8320000000000001</v>
      </c>
      <c r="DE8" s="323">
        <v>0.11599999999999999</v>
      </c>
      <c r="DF8" s="323"/>
      <c r="DG8" s="324">
        <v>0.42200000000000004</v>
      </c>
      <c r="DH8" s="323">
        <v>0.19399999999999998</v>
      </c>
      <c r="DI8" s="323">
        <v>0.243</v>
      </c>
      <c r="DJ8" s="323">
        <v>0.138</v>
      </c>
      <c r="DK8" s="323">
        <v>0.013999999999999999</v>
      </c>
      <c r="DL8" s="323">
        <v>0.002</v>
      </c>
      <c r="DM8" s="323"/>
      <c r="DN8" s="323">
        <v>0.466</v>
      </c>
      <c r="DO8" s="324">
        <v>0.6659999999999999</v>
      </c>
      <c r="DP8" s="323">
        <v>0.17</v>
      </c>
    </row>
    <row r="9">
      <c r="A9" s="311" t="s">
        <v>832</v>
      </c>
      <c r="B9" s="311" t="s">
        <v>834</v>
      </c>
      <c r="C9" s="311" t="s">
        <v>878</v>
      </c>
      <c r="D9" s="311">
        <v>5.0</v>
      </c>
      <c r="E9" s="312">
        <f t="shared" si="19"/>
        <v>1</v>
      </c>
      <c r="F9" s="312" t="str">
        <f t="shared" si="20"/>
        <v>#DIV/0!</v>
      </c>
      <c r="G9" s="312" t="str">
        <f t="shared" si="21"/>
        <v>#DIV/0!</v>
      </c>
      <c r="H9" s="312" t="str">
        <f t="shared" si="22"/>
        <v>#DIV/0!</v>
      </c>
      <c r="I9" s="312" t="str">
        <f t="shared" si="26"/>
        <v>#DIV/0!</v>
      </c>
      <c r="J9" s="315" t="s">
        <v>2794</v>
      </c>
      <c r="K9" s="315" t="s">
        <v>2794</v>
      </c>
      <c r="L9" s="316" t="str">
        <f t="shared" si="23"/>
        <v>#DIV/0!</v>
      </c>
      <c r="M9" s="317" t="s">
        <v>487</v>
      </c>
      <c r="N9" s="317" t="s">
        <v>487</v>
      </c>
      <c r="O9" s="317" t="s">
        <v>487</v>
      </c>
      <c r="P9" s="317" t="s">
        <v>487</v>
      </c>
      <c r="Q9" s="317" t="s">
        <v>487</v>
      </c>
      <c r="R9" s="317" t="s">
        <v>487</v>
      </c>
      <c r="S9" s="318" t="s">
        <v>53</v>
      </c>
      <c r="T9" s="318" t="s">
        <v>561</v>
      </c>
      <c r="U9" s="330" t="s">
        <v>561</v>
      </c>
      <c r="V9" s="330" t="s">
        <v>561</v>
      </c>
      <c r="W9" s="318" t="s">
        <v>2795</v>
      </c>
      <c r="X9" s="318" t="s">
        <v>53</v>
      </c>
      <c r="Y9" s="318" t="s">
        <v>2795</v>
      </c>
      <c r="Z9" s="317" t="s">
        <v>2795</v>
      </c>
      <c r="AA9" s="317" t="s">
        <v>53</v>
      </c>
      <c r="AB9" s="317" t="s">
        <v>53</v>
      </c>
      <c r="AC9" s="317" t="s">
        <v>2795</v>
      </c>
      <c r="AD9" s="317" t="s">
        <v>2795</v>
      </c>
      <c r="AE9" s="317" t="s">
        <v>53</v>
      </c>
      <c r="AF9" s="317" t="s">
        <v>53</v>
      </c>
      <c r="AG9" s="317" t="s">
        <v>53</v>
      </c>
      <c r="AH9" s="317" t="s">
        <v>53</v>
      </c>
      <c r="AI9" s="317" t="s">
        <v>53</v>
      </c>
      <c r="AJ9" s="317" t="s">
        <v>2795</v>
      </c>
      <c r="AK9" s="317" t="s">
        <v>2795</v>
      </c>
      <c r="AL9" s="317" t="s">
        <v>2795</v>
      </c>
      <c r="AM9" s="317" t="s">
        <v>2795</v>
      </c>
      <c r="AN9" s="317" t="s">
        <v>2795</v>
      </c>
      <c r="AO9" s="317" t="s">
        <v>2795</v>
      </c>
      <c r="AP9" s="317" t="s">
        <v>53</v>
      </c>
      <c r="AQ9" s="317" t="s">
        <v>53</v>
      </c>
      <c r="AR9" s="317" t="s">
        <v>561</v>
      </c>
      <c r="AS9" s="317" t="s">
        <v>2795</v>
      </c>
      <c r="AT9" s="317" t="s">
        <v>53</v>
      </c>
      <c r="AU9" s="317" t="s">
        <v>53</v>
      </c>
      <c r="AV9" s="317" t="s">
        <v>2795</v>
      </c>
      <c r="AW9" s="317" t="s">
        <v>53</v>
      </c>
      <c r="AX9" s="317" t="s">
        <v>53</v>
      </c>
      <c r="AY9" s="317" t="s">
        <v>53</v>
      </c>
      <c r="AZ9" s="317" t="s">
        <v>53</v>
      </c>
      <c r="BA9" s="317" t="s">
        <v>2796</v>
      </c>
      <c r="BB9" s="317" t="s">
        <v>53</v>
      </c>
      <c r="BC9" s="317" t="s">
        <v>2796</v>
      </c>
      <c r="BD9" s="317" t="s">
        <v>2795</v>
      </c>
      <c r="BE9" s="317" t="s">
        <v>53</v>
      </c>
      <c r="BF9" s="317" t="s">
        <v>53</v>
      </c>
      <c r="BG9" s="317" t="s">
        <v>53</v>
      </c>
      <c r="BH9" s="317" t="s">
        <v>53</v>
      </c>
      <c r="BI9" s="317" t="s">
        <v>53</v>
      </c>
      <c r="BJ9" s="317" t="s">
        <v>53</v>
      </c>
      <c r="BK9" s="317" t="s">
        <v>53</v>
      </c>
      <c r="BL9" s="317" t="s">
        <v>2796</v>
      </c>
      <c r="BM9" s="317" t="s">
        <v>2796</v>
      </c>
      <c r="BN9" s="317" t="s">
        <v>53</v>
      </c>
      <c r="BO9" s="317" t="s">
        <v>2796</v>
      </c>
      <c r="BP9" s="317" t="s">
        <v>2796</v>
      </c>
      <c r="BQ9" s="317" t="s">
        <v>600</v>
      </c>
      <c r="BR9" s="317" t="s">
        <v>600</v>
      </c>
      <c r="BS9" s="317" t="s">
        <v>600</v>
      </c>
      <c r="BT9" s="317" t="s">
        <v>600</v>
      </c>
      <c r="BU9" s="317" t="s">
        <v>600</v>
      </c>
      <c r="BV9" s="317" t="s">
        <v>600</v>
      </c>
      <c r="BW9" s="317" t="s">
        <v>600</v>
      </c>
      <c r="BX9" s="317" t="s">
        <v>600</v>
      </c>
      <c r="BY9" s="317" t="s">
        <v>600</v>
      </c>
      <c r="BZ9" s="317" t="s">
        <v>600</v>
      </c>
      <c r="CA9" s="317" t="s">
        <v>600</v>
      </c>
      <c r="CB9" s="317" t="s">
        <v>600</v>
      </c>
      <c r="CC9" s="317" t="s">
        <v>600</v>
      </c>
      <c r="CD9" s="317" t="s">
        <v>600</v>
      </c>
      <c r="CE9" s="317" t="s">
        <v>600</v>
      </c>
      <c r="CF9" s="317" t="s">
        <v>600</v>
      </c>
      <c r="CG9" s="317" t="s">
        <v>600</v>
      </c>
      <c r="CH9" s="317" t="s">
        <v>600</v>
      </c>
      <c r="CI9" s="317" t="s">
        <v>600</v>
      </c>
      <c r="CJ9" s="317" t="s">
        <v>600</v>
      </c>
      <c r="CK9" s="317" t="s">
        <v>600</v>
      </c>
      <c r="CL9" s="317" t="s">
        <v>600</v>
      </c>
      <c r="CM9" s="317" t="s">
        <v>600</v>
      </c>
      <c r="CN9" s="317" t="s">
        <v>600</v>
      </c>
      <c r="CO9" s="317" t="s">
        <v>600</v>
      </c>
      <c r="CP9" s="317" t="s">
        <v>600</v>
      </c>
      <c r="CQ9" s="319"/>
      <c r="CR9" s="319">
        <v>2019.0</v>
      </c>
      <c r="CS9" s="320" t="s">
        <v>850</v>
      </c>
      <c r="CT9" s="320" t="s">
        <v>940</v>
      </c>
      <c r="CU9" s="321" t="s">
        <v>458</v>
      </c>
      <c r="CV9" s="327" t="s">
        <v>856</v>
      </c>
      <c r="CW9" s="319"/>
      <c r="CX9" s="319"/>
      <c r="CY9" s="323">
        <f t="shared" si="24"/>
        <v>0.632</v>
      </c>
      <c r="CZ9" s="324">
        <v>0.8059999999999999</v>
      </c>
      <c r="DA9" s="323">
        <v>0.174</v>
      </c>
      <c r="DB9" s="323"/>
      <c r="DC9" s="323">
        <f t="shared" si="25"/>
        <v>0.552</v>
      </c>
      <c r="DD9" s="324">
        <v>0.733</v>
      </c>
      <c r="DE9" s="323">
        <v>0.18100000000000002</v>
      </c>
      <c r="DF9" s="323"/>
      <c r="DG9" s="324">
        <v>0.654</v>
      </c>
      <c r="DH9" s="323">
        <v>0.086</v>
      </c>
      <c r="DI9" s="323">
        <v>0.165</v>
      </c>
      <c r="DJ9" s="323">
        <v>0.071</v>
      </c>
      <c r="DK9" s="323">
        <v>0.027999999999999997</v>
      </c>
      <c r="DL9" s="323">
        <v>0.002</v>
      </c>
      <c r="DM9" s="323"/>
      <c r="DN9" s="323">
        <v>0.47700000000000004</v>
      </c>
      <c r="DO9" s="324">
        <v>0.5670000000000001</v>
      </c>
      <c r="DP9" s="323">
        <v>0.316</v>
      </c>
    </row>
    <row r="10">
      <c r="A10" s="311" t="s">
        <v>143</v>
      </c>
      <c r="B10" s="311" t="s">
        <v>144</v>
      </c>
      <c r="C10" s="311" t="s">
        <v>1197</v>
      </c>
      <c r="D10" s="311">
        <v>12.0</v>
      </c>
      <c r="E10" s="312">
        <f t="shared" si="19"/>
        <v>1</v>
      </c>
      <c r="F10" s="312" t="str">
        <f t="shared" si="20"/>
        <v>#DIV/0!</v>
      </c>
      <c r="G10" s="312" t="str">
        <f t="shared" si="21"/>
        <v>#DIV/0!</v>
      </c>
      <c r="H10" s="312" t="str">
        <f t="shared" si="22"/>
        <v>#DIV/0!</v>
      </c>
      <c r="I10" s="312" t="str">
        <f t="shared" si="26"/>
        <v>#DIV/0!</v>
      </c>
      <c r="J10" s="312" t="str">
        <f t="shared" ref="J10:J11" si="27">(COUNTIF(BQ10:CL10, "Nay")+COUNTIF(BQ10:CL10, "Yea (Amend)")+(0.5*COUNTIF(BQ10:CL10, "Present")))/(COUNTIF(BQ10:CL10, "Nay")+COUNTIF(BQ10:CL10, "Yea (Amend)")+COUNTIF(BQ10:CL10, "Yea")+COUNTIF(BQ10:CL10, "Nay (Amend)")+COUNTIF(BQ10:CL10, "Present"))</f>
        <v>#DIV/0!</v>
      </c>
      <c r="K10" s="312" t="str">
        <f>(COUNTIF(CM10:CP10, "Nay")+COUNTIF(CM10:CP10, "Yea (Amend)")+(0.5*COUNTIF(CM10:CP10, "Present")))/(COUNTIF(CM10:CP10, "Nay")+COUNTIF(CM10:CP10, "Yea (Amend)")+COUNTIF(CM10:CP10, "Yea")+COUNTIF(CM10:CP10, "Nay (Amend)")+COUNTIF(CM10:CP10, "Present"))</f>
        <v>#DIV/0!</v>
      </c>
      <c r="L10" s="316" t="str">
        <f t="shared" si="23"/>
        <v>#DIV/0!</v>
      </c>
      <c r="M10" s="317" t="s">
        <v>487</v>
      </c>
      <c r="N10" s="317" t="s">
        <v>487</v>
      </c>
      <c r="O10" s="317" t="s">
        <v>487</v>
      </c>
      <c r="P10" s="317" t="s">
        <v>487</v>
      </c>
      <c r="Q10" s="317" t="s">
        <v>487</v>
      </c>
      <c r="R10" s="317" t="s">
        <v>487</v>
      </c>
      <c r="S10" s="318" t="s">
        <v>53</v>
      </c>
      <c r="T10" s="318" t="s">
        <v>561</v>
      </c>
      <c r="U10" s="330" t="s">
        <v>561</v>
      </c>
      <c r="V10" s="330" t="s">
        <v>561</v>
      </c>
      <c r="W10" s="318" t="s">
        <v>2795</v>
      </c>
      <c r="X10" s="318" t="s">
        <v>53</v>
      </c>
      <c r="Y10" s="318" t="s">
        <v>2795</v>
      </c>
      <c r="Z10" s="317" t="s">
        <v>2795</v>
      </c>
      <c r="AA10" s="317" t="s">
        <v>53</v>
      </c>
      <c r="AB10" s="317" t="s">
        <v>53</v>
      </c>
      <c r="AC10" s="317" t="s">
        <v>2795</v>
      </c>
      <c r="AD10" s="317" t="s">
        <v>2795</v>
      </c>
      <c r="AE10" s="317" t="s">
        <v>53</v>
      </c>
      <c r="AF10" s="317" t="s">
        <v>561</v>
      </c>
      <c r="AG10" s="317" t="s">
        <v>53</v>
      </c>
      <c r="AH10" s="317" t="s">
        <v>53</v>
      </c>
      <c r="AI10" s="317" t="s">
        <v>53</v>
      </c>
      <c r="AJ10" s="317" t="s">
        <v>2795</v>
      </c>
      <c r="AK10" s="317" t="s">
        <v>2795</v>
      </c>
      <c r="AL10" s="317" t="s">
        <v>2795</v>
      </c>
      <c r="AM10" s="317" t="s">
        <v>2795</v>
      </c>
      <c r="AN10" s="317" t="s">
        <v>2795</v>
      </c>
      <c r="AO10" s="317" t="s">
        <v>2795</v>
      </c>
      <c r="AP10" s="317" t="s">
        <v>561</v>
      </c>
      <c r="AQ10" s="317" t="s">
        <v>561</v>
      </c>
      <c r="AR10" s="317" t="s">
        <v>561</v>
      </c>
      <c r="AS10" s="317" t="s">
        <v>2795</v>
      </c>
      <c r="AT10" s="317" t="s">
        <v>561</v>
      </c>
      <c r="AU10" s="317" t="s">
        <v>53</v>
      </c>
      <c r="AV10" s="317" t="s">
        <v>2795</v>
      </c>
      <c r="AW10" s="317" t="s">
        <v>53</v>
      </c>
      <c r="AX10" s="317" t="s">
        <v>53</v>
      </c>
      <c r="AY10" s="317" t="s">
        <v>53</v>
      </c>
      <c r="AZ10" s="317" t="s">
        <v>561</v>
      </c>
      <c r="BA10" s="317" t="s">
        <v>2796</v>
      </c>
      <c r="BB10" s="317" t="s">
        <v>53</v>
      </c>
      <c r="BC10" s="317" t="s">
        <v>2796</v>
      </c>
      <c r="BD10" s="317" t="s">
        <v>2795</v>
      </c>
      <c r="BE10" s="317" t="s">
        <v>53</v>
      </c>
      <c r="BF10" s="317" t="s">
        <v>53</v>
      </c>
      <c r="BG10" s="317" t="s">
        <v>53</v>
      </c>
      <c r="BH10" s="317" t="s">
        <v>53</v>
      </c>
      <c r="BI10" s="317" t="s">
        <v>53</v>
      </c>
      <c r="BJ10" s="317" t="s">
        <v>53</v>
      </c>
      <c r="BK10" s="317" t="s">
        <v>53</v>
      </c>
      <c r="BL10" s="317" t="s">
        <v>2796</v>
      </c>
      <c r="BM10" s="317" t="s">
        <v>2796</v>
      </c>
      <c r="BN10" s="317" t="s">
        <v>53</v>
      </c>
      <c r="BO10" s="317" t="s">
        <v>2796</v>
      </c>
      <c r="BP10" s="317" t="s">
        <v>2796</v>
      </c>
      <c r="BQ10" s="317" t="s">
        <v>53</v>
      </c>
      <c r="BR10" s="317" t="s">
        <v>53</v>
      </c>
      <c r="BS10" s="317" t="s">
        <v>53</v>
      </c>
      <c r="BT10" s="317" t="s">
        <v>53</v>
      </c>
      <c r="BU10" s="317" t="s">
        <v>53</v>
      </c>
      <c r="BV10" s="317" t="s">
        <v>53</v>
      </c>
      <c r="BW10" s="317" t="s">
        <v>53</v>
      </c>
      <c r="BX10" s="317" t="s">
        <v>53</v>
      </c>
      <c r="BY10" s="317" t="s">
        <v>53</v>
      </c>
      <c r="BZ10" s="317" t="s">
        <v>53</v>
      </c>
      <c r="CA10" s="317" t="s">
        <v>53</v>
      </c>
      <c r="CB10" s="317" t="s">
        <v>53</v>
      </c>
      <c r="CC10" s="317" t="s">
        <v>53</v>
      </c>
      <c r="CD10" s="317" t="s">
        <v>53</v>
      </c>
      <c r="CE10" s="317" t="s">
        <v>53</v>
      </c>
      <c r="CF10" s="317" t="s">
        <v>53</v>
      </c>
      <c r="CG10" s="317" t="s">
        <v>53</v>
      </c>
      <c r="CH10" s="317" t="s">
        <v>53</v>
      </c>
      <c r="CI10" s="317" t="s">
        <v>53</v>
      </c>
      <c r="CJ10" s="317" t="s">
        <v>2796</v>
      </c>
      <c r="CK10" s="317" t="s">
        <v>53</v>
      </c>
      <c r="CL10" s="317" t="s">
        <v>53</v>
      </c>
      <c r="CM10" s="317" t="s">
        <v>53</v>
      </c>
      <c r="CN10" s="317" t="s">
        <v>53</v>
      </c>
      <c r="CO10" s="317" t="s">
        <v>53</v>
      </c>
      <c r="CP10" s="317" t="s">
        <v>53</v>
      </c>
      <c r="CQ10" s="319"/>
      <c r="CR10" s="319" t="s">
        <v>1234</v>
      </c>
      <c r="CS10" s="320" t="s">
        <v>850</v>
      </c>
      <c r="CT10" s="319"/>
      <c r="CU10" s="319" t="s">
        <v>1822</v>
      </c>
      <c r="CV10" s="327" t="s">
        <v>28</v>
      </c>
      <c r="CW10" s="319"/>
      <c r="CX10" s="319"/>
      <c r="CY10" s="323">
        <f t="shared" si="24"/>
        <v>0.807</v>
      </c>
      <c r="CZ10" s="324">
        <v>0.893</v>
      </c>
      <c r="DA10" s="323">
        <v>0.086</v>
      </c>
      <c r="DB10" s="323"/>
      <c r="DC10" s="323">
        <f t="shared" si="25"/>
        <v>0.811</v>
      </c>
      <c r="DD10" s="324">
        <v>0.8759999999999999</v>
      </c>
      <c r="DE10" s="323">
        <v>0.065</v>
      </c>
      <c r="DF10" s="323"/>
      <c r="DG10" s="324">
        <v>0.35200000000000004</v>
      </c>
      <c r="DH10" s="323">
        <v>0.212</v>
      </c>
      <c r="DI10" s="323">
        <v>0.18</v>
      </c>
      <c r="DJ10" s="323">
        <v>0.24600000000000002</v>
      </c>
      <c r="DK10" s="323">
        <v>0.031</v>
      </c>
      <c r="DL10" s="323">
        <v>0.009000000000000001</v>
      </c>
      <c r="DM10" s="323"/>
      <c r="DN10" s="324">
        <v>0.518</v>
      </c>
      <c r="DO10" s="324">
        <v>0.737</v>
      </c>
      <c r="DP10" s="323">
        <v>0.11</v>
      </c>
    </row>
    <row r="11">
      <c r="A11" s="311" t="s">
        <v>1200</v>
      </c>
      <c r="B11" s="311" t="s">
        <v>1201</v>
      </c>
      <c r="C11" s="311" t="s">
        <v>1217</v>
      </c>
      <c r="D11" s="311">
        <v>7.0</v>
      </c>
      <c r="E11" s="312">
        <f t="shared" si="19"/>
        <v>1</v>
      </c>
      <c r="F11" s="312" t="str">
        <f t="shared" si="20"/>
        <v>#DIV/0!</v>
      </c>
      <c r="G11" s="312" t="str">
        <f t="shared" si="21"/>
        <v>#DIV/0!</v>
      </c>
      <c r="H11" s="312" t="str">
        <f t="shared" si="22"/>
        <v>#DIV/0!</v>
      </c>
      <c r="I11" s="312" t="str">
        <f t="shared" si="26"/>
        <v>#DIV/0!</v>
      </c>
      <c r="J11" s="312" t="str">
        <f t="shared" si="27"/>
        <v>#DIV/0!</v>
      </c>
      <c r="K11" s="315" t="s">
        <v>2794</v>
      </c>
      <c r="L11" s="316" t="str">
        <f t="shared" si="23"/>
        <v>#DIV/0!</v>
      </c>
      <c r="M11" s="317" t="s">
        <v>487</v>
      </c>
      <c r="N11" s="317" t="s">
        <v>487</v>
      </c>
      <c r="O11" s="317" t="s">
        <v>487</v>
      </c>
      <c r="P11" s="317" t="s">
        <v>487</v>
      </c>
      <c r="Q11" s="317" t="s">
        <v>487</v>
      </c>
      <c r="R11" s="317" t="s">
        <v>487</v>
      </c>
      <c r="S11" s="318" t="s">
        <v>53</v>
      </c>
      <c r="T11" s="318" t="s">
        <v>561</v>
      </c>
      <c r="U11" s="330" t="s">
        <v>561</v>
      </c>
      <c r="V11" s="330" t="s">
        <v>561</v>
      </c>
      <c r="W11" s="318" t="s">
        <v>2795</v>
      </c>
      <c r="X11" s="318" t="s">
        <v>53</v>
      </c>
      <c r="Y11" s="318" t="s">
        <v>2795</v>
      </c>
      <c r="Z11" s="317" t="s">
        <v>2795</v>
      </c>
      <c r="AA11" s="317" t="s">
        <v>53</v>
      </c>
      <c r="AB11" s="317" t="s">
        <v>53</v>
      </c>
      <c r="AC11" s="317" t="s">
        <v>2795</v>
      </c>
      <c r="AD11" s="317" t="s">
        <v>2795</v>
      </c>
      <c r="AE11" s="317" t="s">
        <v>53</v>
      </c>
      <c r="AF11" s="317" t="s">
        <v>561</v>
      </c>
      <c r="AG11" s="317" t="s">
        <v>53</v>
      </c>
      <c r="AH11" s="317" t="s">
        <v>53</v>
      </c>
      <c r="AI11" s="317" t="s">
        <v>53</v>
      </c>
      <c r="AJ11" s="317" t="s">
        <v>2795</v>
      </c>
      <c r="AK11" s="317" t="s">
        <v>2795</v>
      </c>
      <c r="AL11" s="317" t="s">
        <v>2795</v>
      </c>
      <c r="AM11" s="317" t="s">
        <v>801</v>
      </c>
      <c r="AN11" s="317" t="s">
        <v>2795</v>
      </c>
      <c r="AO11" s="317" t="s">
        <v>2795</v>
      </c>
      <c r="AP11" s="317" t="s">
        <v>561</v>
      </c>
      <c r="AQ11" s="317" t="s">
        <v>561</v>
      </c>
      <c r="AR11" s="317" t="s">
        <v>561</v>
      </c>
      <c r="AS11" s="317" t="s">
        <v>2795</v>
      </c>
      <c r="AT11" s="317" t="s">
        <v>561</v>
      </c>
      <c r="AU11" s="317" t="s">
        <v>53</v>
      </c>
      <c r="AV11" s="317" t="s">
        <v>2795</v>
      </c>
      <c r="AW11" s="317" t="s">
        <v>53</v>
      </c>
      <c r="AX11" s="317" t="s">
        <v>53</v>
      </c>
      <c r="AY11" s="317" t="s">
        <v>53</v>
      </c>
      <c r="AZ11" s="317" t="s">
        <v>53</v>
      </c>
      <c r="BA11" s="317" t="s">
        <v>2796</v>
      </c>
      <c r="BB11" s="317" t="s">
        <v>53</v>
      </c>
      <c r="BC11" s="317" t="s">
        <v>2796</v>
      </c>
      <c r="BD11" s="317" t="s">
        <v>2795</v>
      </c>
      <c r="BE11" s="317" t="s">
        <v>53</v>
      </c>
      <c r="BF11" s="317" t="s">
        <v>53</v>
      </c>
      <c r="BG11" s="317" t="s">
        <v>53</v>
      </c>
      <c r="BH11" s="317" t="s">
        <v>53</v>
      </c>
      <c r="BI11" s="317" t="s">
        <v>53</v>
      </c>
      <c r="BJ11" s="317" t="s">
        <v>53</v>
      </c>
      <c r="BK11" s="317" t="s">
        <v>561</v>
      </c>
      <c r="BL11" s="317" t="s">
        <v>2796</v>
      </c>
      <c r="BM11" s="317" t="s">
        <v>2796</v>
      </c>
      <c r="BN11" s="317" t="s">
        <v>53</v>
      </c>
      <c r="BO11" s="317" t="s">
        <v>2796</v>
      </c>
      <c r="BP11" s="317" t="s">
        <v>2796</v>
      </c>
      <c r="BQ11" s="317" t="s">
        <v>53</v>
      </c>
      <c r="BR11" s="317" t="s">
        <v>53</v>
      </c>
      <c r="BS11" s="317" t="s">
        <v>53</v>
      </c>
      <c r="BT11" s="317" t="s">
        <v>53</v>
      </c>
      <c r="BU11" s="317" t="s">
        <v>53</v>
      </c>
      <c r="BV11" s="317" t="s">
        <v>53</v>
      </c>
      <c r="BW11" s="317" t="s">
        <v>53</v>
      </c>
      <c r="BX11" s="317" t="s">
        <v>53</v>
      </c>
      <c r="BY11" s="317" t="s">
        <v>53</v>
      </c>
      <c r="BZ11" s="317" t="s">
        <v>53</v>
      </c>
      <c r="CA11" s="317" t="s">
        <v>53</v>
      </c>
      <c r="CB11" s="317" t="s">
        <v>53</v>
      </c>
      <c r="CC11" s="317" t="s">
        <v>53</v>
      </c>
      <c r="CD11" s="317" t="s">
        <v>53</v>
      </c>
      <c r="CE11" s="317" t="s">
        <v>53</v>
      </c>
      <c r="CF11" s="317" t="s">
        <v>53</v>
      </c>
      <c r="CG11" s="317" t="s">
        <v>53</v>
      </c>
      <c r="CH11" s="317" t="s">
        <v>53</v>
      </c>
      <c r="CI11" s="317" t="s">
        <v>53</v>
      </c>
      <c r="CJ11" s="317" t="s">
        <v>2796</v>
      </c>
      <c r="CK11" s="317" t="s">
        <v>53</v>
      </c>
      <c r="CL11" s="317" t="s">
        <v>53</v>
      </c>
      <c r="CM11" s="317" t="s">
        <v>600</v>
      </c>
      <c r="CN11" s="317" t="s">
        <v>600</v>
      </c>
      <c r="CO11" s="317" t="s">
        <v>600</v>
      </c>
      <c r="CP11" s="317" t="s">
        <v>600</v>
      </c>
      <c r="CQ11" s="319"/>
      <c r="CR11" s="319">
        <v>2017.0</v>
      </c>
      <c r="CS11" s="320" t="s">
        <v>850</v>
      </c>
      <c r="CT11" s="320" t="s">
        <v>940</v>
      </c>
      <c r="CU11" s="321" t="s">
        <v>458</v>
      </c>
      <c r="CV11" s="331" t="s">
        <v>105</v>
      </c>
      <c r="CW11" s="319"/>
      <c r="CX11" s="319"/>
      <c r="CY11" s="323">
        <f t="shared" si="24"/>
        <v>0.755</v>
      </c>
      <c r="CZ11" s="324">
        <v>0.868</v>
      </c>
      <c r="DA11" s="323">
        <v>0.113</v>
      </c>
      <c r="DB11" s="323"/>
      <c r="DC11" s="323">
        <f t="shared" si="25"/>
        <v>0.724</v>
      </c>
      <c r="DD11" s="324">
        <v>0.8340000000000001</v>
      </c>
      <c r="DE11" s="323">
        <v>0.11</v>
      </c>
      <c r="DF11" s="323"/>
      <c r="DG11" s="324">
        <v>0.645</v>
      </c>
      <c r="DH11" s="323">
        <v>0.085</v>
      </c>
      <c r="DI11" s="323">
        <v>0.06</v>
      </c>
      <c r="DJ11" s="323">
        <v>0.182</v>
      </c>
      <c r="DK11" s="323">
        <v>0.024</v>
      </c>
      <c r="DL11" s="323">
        <v>0.008</v>
      </c>
      <c r="DM11" s="323"/>
      <c r="DN11" s="324">
        <v>0.632</v>
      </c>
      <c r="DO11" s="324">
        <v>0.669</v>
      </c>
      <c r="DP11" s="323">
        <v>0.24600000000000002</v>
      </c>
    </row>
    <row r="12">
      <c r="A12" s="311" t="s">
        <v>1041</v>
      </c>
      <c r="B12" s="311" t="s">
        <v>1042</v>
      </c>
      <c r="C12" s="311" t="s">
        <v>1530</v>
      </c>
      <c r="D12" s="311">
        <v>16.0</v>
      </c>
      <c r="E12" s="312">
        <f t="shared" si="19"/>
        <v>1</v>
      </c>
      <c r="F12" s="312">
        <f t="shared" si="20"/>
        <v>0.5</v>
      </c>
      <c r="G12" s="312">
        <f t="shared" si="21"/>
        <v>0.5</v>
      </c>
      <c r="H12" s="312">
        <f t="shared" si="22"/>
        <v>0.5</v>
      </c>
      <c r="I12" s="315" t="s">
        <v>2794</v>
      </c>
      <c r="J12" s="315" t="s">
        <v>2794</v>
      </c>
      <c r="K12" s="315" t="s">
        <v>2794</v>
      </c>
      <c r="L12" s="316">
        <f t="shared" si="23"/>
        <v>0.625</v>
      </c>
      <c r="M12" s="317" t="s">
        <v>487</v>
      </c>
      <c r="N12" s="317" t="s">
        <v>487</v>
      </c>
      <c r="O12" s="317" t="s">
        <v>487</v>
      </c>
      <c r="P12" s="317" t="s">
        <v>487</v>
      </c>
      <c r="Q12" s="317" t="s">
        <v>487</v>
      </c>
      <c r="R12" s="317" t="s">
        <v>487</v>
      </c>
      <c r="S12" s="318" t="s">
        <v>53</v>
      </c>
      <c r="T12" s="318" t="s">
        <v>561</v>
      </c>
      <c r="U12" s="318" t="s">
        <v>53</v>
      </c>
      <c r="V12" s="318" t="s">
        <v>53</v>
      </c>
      <c r="W12" s="318" t="s">
        <v>2795</v>
      </c>
      <c r="X12" s="318" t="s">
        <v>53</v>
      </c>
      <c r="Y12" s="318" t="s">
        <v>2795</v>
      </c>
      <c r="Z12" s="317" t="s">
        <v>2795</v>
      </c>
      <c r="AA12" s="317" t="s">
        <v>53</v>
      </c>
      <c r="AB12" s="317" t="s">
        <v>53</v>
      </c>
      <c r="AC12" s="317" t="s">
        <v>2795</v>
      </c>
      <c r="AD12" s="317" t="s">
        <v>2795</v>
      </c>
      <c r="AE12" s="317" t="s">
        <v>53</v>
      </c>
      <c r="AF12" s="317" t="s">
        <v>53</v>
      </c>
      <c r="AG12" s="317" t="s">
        <v>53</v>
      </c>
      <c r="AH12" s="317" t="s">
        <v>53</v>
      </c>
      <c r="AI12" s="317" t="s">
        <v>53</v>
      </c>
      <c r="AJ12" s="317" t="s">
        <v>2795</v>
      </c>
      <c r="AK12" s="317" t="s">
        <v>2795</v>
      </c>
      <c r="AL12" s="317" t="s">
        <v>2795</v>
      </c>
      <c r="AM12" s="317" t="s">
        <v>2795</v>
      </c>
      <c r="AN12" s="317" t="s">
        <v>2795</v>
      </c>
      <c r="AO12" s="317" t="s">
        <v>2795</v>
      </c>
      <c r="AP12" s="317" t="s">
        <v>561</v>
      </c>
      <c r="AQ12" s="317" t="s">
        <v>53</v>
      </c>
      <c r="AR12" s="317" t="s">
        <v>561</v>
      </c>
      <c r="AS12" s="317" t="s">
        <v>2795</v>
      </c>
      <c r="AT12" s="317" t="s">
        <v>799</v>
      </c>
      <c r="AU12" s="317" t="s">
        <v>53</v>
      </c>
      <c r="AV12" s="317" t="s">
        <v>2795</v>
      </c>
      <c r="AW12" s="317" t="s">
        <v>600</v>
      </c>
      <c r="AX12" s="317" t="s">
        <v>600</v>
      </c>
      <c r="AY12" s="317" t="s">
        <v>600</v>
      </c>
      <c r="AZ12" s="317" t="s">
        <v>600</v>
      </c>
      <c r="BA12" s="317" t="s">
        <v>600</v>
      </c>
      <c r="BB12" s="317" t="s">
        <v>600</v>
      </c>
      <c r="BC12" s="317" t="s">
        <v>600</v>
      </c>
      <c r="BD12" s="317" t="s">
        <v>600</v>
      </c>
      <c r="BE12" s="317" t="s">
        <v>600</v>
      </c>
      <c r="BF12" s="317" t="s">
        <v>600</v>
      </c>
      <c r="BG12" s="317" t="s">
        <v>600</v>
      </c>
      <c r="BH12" s="317" t="s">
        <v>600</v>
      </c>
      <c r="BI12" s="317" t="s">
        <v>600</v>
      </c>
      <c r="BJ12" s="317" t="s">
        <v>600</v>
      </c>
      <c r="BK12" s="317" t="s">
        <v>600</v>
      </c>
      <c r="BL12" s="317" t="s">
        <v>600</v>
      </c>
      <c r="BM12" s="317" t="s">
        <v>600</v>
      </c>
      <c r="BN12" s="317" t="s">
        <v>600</v>
      </c>
      <c r="BO12" s="317" t="s">
        <v>600</v>
      </c>
      <c r="BP12" s="317" t="s">
        <v>600</v>
      </c>
      <c r="BQ12" s="317" t="s">
        <v>600</v>
      </c>
      <c r="BR12" s="317" t="s">
        <v>600</v>
      </c>
      <c r="BS12" s="317" t="s">
        <v>600</v>
      </c>
      <c r="BT12" s="317" t="s">
        <v>600</v>
      </c>
      <c r="BU12" s="317" t="s">
        <v>600</v>
      </c>
      <c r="BV12" s="317" t="s">
        <v>600</v>
      </c>
      <c r="BW12" s="317" t="s">
        <v>600</v>
      </c>
      <c r="BX12" s="317" t="s">
        <v>600</v>
      </c>
      <c r="BY12" s="317" t="s">
        <v>600</v>
      </c>
      <c r="BZ12" s="317" t="s">
        <v>600</v>
      </c>
      <c r="CA12" s="317" t="s">
        <v>600</v>
      </c>
      <c r="CB12" s="317" t="s">
        <v>600</v>
      </c>
      <c r="CC12" s="317" t="s">
        <v>600</v>
      </c>
      <c r="CD12" s="317" t="s">
        <v>600</v>
      </c>
      <c r="CE12" s="317" t="s">
        <v>600</v>
      </c>
      <c r="CF12" s="317" t="s">
        <v>600</v>
      </c>
      <c r="CG12" s="317" t="s">
        <v>600</v>
      </c>
      <c r="CH12" s="317" t="s">
        <v>600</v>
      </c>
      <c r="CI12" s="317" t="s">
        <v>600</v>
      </c>
      <c r="CJ12" s="317" t="s">
        <v>600</v>
      </c>
      <c r="CK12" s="317" t="s">
        <v>600</v>
      </c>
      <c r="CL12" s="317" t="s">
        <v>600</v>
      </c>
      <c r="CM12" s="317" t="s">
        <v>600</v>
      </c>
      <c r="CN12" s="317" t="s">
        <v>600</v>
      </c>
      <c r="CO12" s="317" t="s">
        <v>600</v>
      </c>
      <c r="CP12" s="317" t="s">
        <v>600</v>
      </c>
      <c r="CQ12" s="319"/>
      <c r="CR12" s="319">
        <v>2021.0</v>
      </c>
      <c r="CS12" s="320" t="s">
        <v>850</v>
      </c>
      <c r="CT12" s="320" t="s">
        <v>940</v>
      </c>
      <c r="CU12" s="326" t="s">
        <v>600</v>
      </c>
      <c r="CV12" s="327" t="s">
        <v>28</v>
      </c>
      <c r="CW12" s="319"/>
      <c r="CX12" s="319"/>
      <c r="CY12" s="323">
        <f t="shared" si="24"/>
        <v>0.437</v>
      </c>
      <c r="CZ12" s="324">
        <v>0.7140000000000001</v>
      </c>
      <c r="DA12" s="323">
        <v>0.27699999999999997</v>
      </c>
      <c r="DB12" s="323"/>
      <c r="DC12" s="323">
        <f t="shared" si="25"/>
        <v>0.43</v>
      </c>
      <c r="DD12" s="324">
        <v>0.6970000000000001</v>
      </c>
      <c r="DE12" s="323">
        <v>0.267</v>
      </c>
      <c r="DF12" s="323"/>
      <c r="DG12" s="324">
        <v>0.41700000000000004</v>
      </c>
      <c r="DH12" s="323">
        <v>0.26899999999999996</v>
      </c>
      <c r="DI12" s="323">
        <v>0.249</v>
      </c>
      <c r="DJ12" s="323">
        <v>0.076</v>
      </c>
      <c r="DK12" s="323">
        <v>0.018000000000000002</v>
      </c>
      <c r="DL12" s="323">
        <v>0.002</v>
      </c>
      <c r="DM12" s="323"/>
      <c r="DN12" s="323">
        <v>0.45399999999999996</v>
      </c>
      <c r="DO12" s="324">
        <v>0.599</v>
      </c>
      <c r="DP12" s="323">
        <v>0.198</v>
      </c>
    </row>
    <row r="13">
      <c r="A13" s="311" t="s">
        <v>127</v>
      </c>
      <c r="B13" s="311" t="s">
        <v>1280</v>
      </c>
      <c r="C13" s="311" t="s">
        <v>991</v>
      </c>
      <c r="D13" s="311">
        <v>2.0</v>
      </c>
      <c r="E13" s="312">
        <f t="shared" si="19"/>
        <v>1</v>
      </c>
      <c r="F13" s="312" t="str">
        <f t="shared" si="20"/>
        <v>#DIV/0!</v>
      </c>
      <c r="G13" s="312" t="str">
        <f t="shared" si="21"/>
        <v>#DIV/0!</v>
      </c>
      <c r="H13" s="312" t="str">
        <f t="shared" si="22"/>
        <v>#DIV/0!</v>
      </c>
      <c r="I13" s="312" t="str">
        <f t="shared" ref="I13:I33" si="28">(COUNTIF(AW13:BP13, "Nay")+COUNTIF(AW13:BP13, "Yea (Amend)")+(0.5*COUNTIF(AW13:BP13, "Present")))/(COUNTIF(AW13:BP13, "Nay")+COUNTIF(AW13:BP13, "Yea (Amend)")+COUNTIF(AW13:BP13, "Yea")+COUNTIF(AW13:BP13, "Nay (Amend)")+COUNTIF(AW13:BP13, "Present"))</f>
        <v>#DIV/0!</v>
      </c>
      <c r="J13" s="312" t="str">
        <f>(COUNTIF(BQ13:CL13, "Nay")+COUNTIF(BQ13:CL13, "Yea (Amend)")+(0.5*COUNTIF(BQ13:CL13, "Present")))/(COUNTIF(BQ13:CL13, "Nay")+COUNTIF(BQ13:CL13, "Yea (Amend)")+COUNTIF(BQ13:CL13, "Yea")+COUNTIF(BQ13:CL13, "Nay (Amend)")+COUNTIF(BQ13:CL13, "Present"))</f>
        <v>#DIV/0!</v>
      </c>
      <c r="K13" s="312" t="str">
        <f>(COUNTIF(CM13:CP13, "Nay")+COUNTIF(CM13:CP13, "Yea (Amend)")+(0.5*COUNTIF(CM13:CP13, "Present")))/(COUNTIF(CM13:CP13, "Nay")+COUNTIF(CM13:CP13, "Yea (Amend)")+COUNTIF(CM13:CP13, "Yea")+COUNTIF(CM13:CP13, "Nay (Amend)")+COUNTIF(CM13:CP13, "Present"))</f>
        <v>#DIV/0!</v>
      </c>
      <c r="L13" s="316" t="str">
        <f t="shared" si="23"/>
        <v>#DIV/0!</v>
      </c>
      <c r="M13" s="317" t="s">
        <v>487</v>
      </c>
      <c r="N13" s="317" t="s">
        <v>487</v>
      </c>
      <c r="O13" s="317" t="s">
        <v>487</v>
      </c>
      <c r="P13" s="317" t="s">
        <v>487</v>
      </c>
      <c r="Q13" s="317" t="s">
        <v>487</v>
      </c>
      <c r="R13" s="317" t="s">
        <v>487</v>
      </c>
      <c r="S13" s="318" t="s">
        <v>53</v>
      </c>
      <c r="T13" s="318" t="s">
        <v>53</v>
      </c>
      <c r="U13" s="318" t="s">
        <v>53</v>
      </c>
      <c r="V13" s="330" t="s">
        <v>561</v>
      </c>
      <c r="W13" s="318" t="s">
        <v>2795</v>
      </c>
      <c r="X13" s="318" t="s">
        <v>53</v>
      </c>
      <c r="Y13" s="318" t="s">
        <v>2795</v>
      </c>
      <c r="Z13" s="317" t="s">
        <v>2795</v>
      </c>
      <c r="AA13" s="317" t="s">
        <v>53</v>
      </c>
      <c r="AB13" s="317" t="s">
        <v>53</v>
      </c>
      <c r="AC13" s="317" t="s">
        <v>2795</v>
      </c>
      <c r="AD13" s="317" t="s">
        <v>2795</v>
      </c>
      <c r="AE13" s="317" t="s">
        <v>53</v>
      </c>
      <c r="AF13" s="317" t="s">
        <v>561</v>
      </c>
      <c r="AG13" s="317" t="s">
        <v>53</v>
      </c>
      <c r="AH13" s="317" t="s">
        <v>53</v>
      </c>
      <c r="AI13" s="317" t="s">
        <v>53</v>
      </c>
      <c r="AJ13" s="317" t="s">
        <v>2795</v>
      </c>
      <c r="AK13" s="317" t="s">
        <v>2795</v>
      </c>
      <c r="AL13" s="317" t="s">
        <v>2795</v>
      </c>
      <c r="AM13" s="317" t="s">
        <v>2795</v>
      </c>
      <c r="AN13" s="317" t="s">
        <v>2795</v>
      </c>
      <c r="AO13" s="317" t="s">
        <v>2795</v>
      </c>
      <c r="AP13" s="317" t="s">
        <v>561</v>
      </c>
      <c r="AQ13" s="317" t="s">
        <v>561</v>
      </c>
      <c r="AR13" s="317" t="s">
        <v>561</v>
      </c>
      <c r="AS13" s="317" t="s">
        <v>2795</v>
      </c>
      <c r="AT13" s="317" t="s">
        <v>561</v>
      </c>
      <c r="AU13" s="317" t="s">
        <v>53</v>
      </c>
      <c r="AV13" s="317" t="s">
        <v>2795</v>
      </c>
      <c r="AW13" s="317" t="s">
        <v>53</v>
      </c>
      <c r="AX13" s="317" t="s">
        <v>53</v>
      </c>
      <c r="AY13" s="317" t="s">
        <v>53</v>
      </c>
      <c r="AZ13" s="317" t="s">
        <v>561</v>
      </c>
      <c r="BA13" s="317" t="s">
        <v>2796</v>
      </c>
      <c r="BB13" s="317" t="s">
        <v>53</v>
      </c>
      <c r="BC13" s="317" t="s">
        <v>2796</v>
      </c>
      <c r="BD13" s="317" t="s">
        <v>2795</v>
      </c>
      <c r="BE13" s="317" t="s">
        <v>53</v>
      </c>
      <c r="BF13" s="317" t="s">
        <v>53</v>
      </c>
      <c r="BG13" s="317" t="s">
        <v>53</v>
      </c>
      <c r="BH13" s="317" t="s">
        <v>53</v>
      </c>
      <c r="BI13" s="317" t="s">
        <v>53</v>
      </c>
      <c r="BJ13" s="317" t="s">
        <v>53</v>
      </c>
      <c r="BK13" s="317" t="s">
        <v>53</v>
      </c>
      <c r="BL13" s="317" t="s">
        <v>2796</v>
      </c>
      <c r="BM13" s="317" t="s">
        <v>2796</v>
      </c>
      <c r="BN13" s="317" t="s">
        <v>53</v>
      </c>
      <c r="BO13" s="317" t="s">
        <v>2796</v>
      </c>
      <c r="BP13" s="317" t="s">
        <v>2796</v>
      </c>
      <c r="BQ13" s="317" t="s">
        <v>53</v>
      </c>
      <c r="BR13" s="317" t="s">
        <v>53</v>
      </c>
      <c r="BS13" s="317" t="s">
        <v>53</v>
      </c>
      <c r="BT13" s="317" t="s">
        <v>53</v>
      </c>
      <c r="BU13" s="317" t="s">
        <v>53</v>
      </c>
      <c r="BV13" s="317" t="s">
        <v>53</v>
      </c>
      <c r="BW13" s="317" t="s">
        <v>53</v>
      </c>
      <c r="BX13" s="317" t="s">
        <v>53</v>
      </c>
      <c r="BY13" s="317" t="s">
        <v>53</v>
      </c>
      <c r="BZ13" s="317" t="s">
        <v>561</v>
      </c>
      <c r="CA13" s="317" t="s">
        <v>53</v>
      </c>
      <c r="CB13" s="317" t="s">
        <v>53</v>
      </c>
      <c r="CC13" s="317" t="s">
        <v>801</v>
      </c>
      <c r="CD13" s="317" t="s">
        <v>801</v>
      </c>
      <c r="CE13" s="317" t="s">
        <v>801</v>
      </c>
      <c r="CF13" s="317" t="s">
        <v>53</v>
      </c>
      <c r="CG13" s="317" t="s">
        <v>53</v>
      </c>
      <c r="CH13" s="317" t="s">
        <v>561</v>
      </c>
      <c r="CI13" s="317" t="s">
        <v>53</v>
      </c>
      <c r="CJ13" s="317" t="s">
        <v>2796</v>
      </c>
      <c r="CK13" s="317" t="s">
        <v>53</v>
      </c>
      <c r="CL13" s="317" t="s">
        <v>53</v>
      </c>
      <c r="CM13" s="317" t="s">
        <v>53</v>
      </c>
      <c r="CN13" s="317" t="s">
        <v>53</v>
      </c>
      <c r="CO13" s="317" t="s">
        <v>53</v>
      </c>
      <c r="CP13" s="317" t="s">
        <v>53</v>
      </c>
      <c r="CQ13" s="319"/>
      <c r="CR13" s="319">
        <v>2013.0</v>
      </c>
      <c r="CS13" s="320" t="s">
        <v>850</v>
      </c>
      <c r="CT13" s="319"/>
      <c r="CU13" s="321" t="s">
        <v>458</v>
      </c>
      <c r="CV13" s="332" t="s">
        <v>75</v>
      </c>
      <c r="CW13" s="333" t="s">
        <v>304</v>
      </c>
      <c r="CX13" s="319"/>
      <c r="CY13" s="323">
        <f t="shared" si="24"/>
        <v>0.418</v>
      </c>
      <c r="CZ13" s="324">
        <v>0.7020000000000001</v>
      </c>
      <c r="DA13" s="323">
        <v>0.284</v>
      </c>
      <c r="DB13" s="323"/>
      <c r="DC13" s="323">
        <f t="shared" si="25"/>
        <v>0.377</v>
      </c>
      <c r="DD13" s="324">
        <v>0.6559999999999999</v>
      </c>
      <c r="DE13" s="323">
        <v>0.27899999999999997</v>
      </c>
      <c r="DF13" s="323"/>
      <c r="DG13" s="324">
        <v>0.82</v>
      </c>
      <c r="DH13" s="323">
        <v>0.057</v>
      </c>
      <c r="DI13" s="323">
        <v>0.047</v>
      </c>
      <c r="DJ13" s="323">
        <v>0.057999999999999996</v>
      </c>
      <c r="DK13" s="323">
        <v>0.016</v>
      </c>
      <c r="DL13" s="323">
        <v>0.001</v>
      </c>
      <c r="DM13" s="323"/>
      <c r="DN13" s="323">
        <v>0.452</v>
      </c>
      <c r="DO13" s="323">
        <v>0.457</v>
      </c>
      <c r="DP13" s="323">
        <v>0.48100000000000004</v>
      </c>
    </row>
    <row r="14">
      <c r="A14" s="311" t="s">
        <v>588</v>
      </c>
      <c r="B14" s="311" t="s">
        <v>589</v>
      </c>
      <c r="C14" s="311" t="s">
        <v>848</v>
      </c>
      <c r="D14" s="311">
        <v>4.0</v>
      </c>
      <c r="E14" s="312">
        <f t="shared" si="19"/>
        <v>1</v>
      </c>
      <c r="F14" s="312" t="str">
        <f t="shared" si="20"/>
        <v>#DIV/0!</v>
      </c>
      <c r="G14" s="312" t="str">
        <f t="shared" si="21"/>
        <v>#DIV/0!</v>
      </c>
      <c r="H14" s="312" t="str">
        <f t="shared" si="22"/>
        <v>#DIV/0!</v>
      </c>
      <c r="I14" s="312" t="str">
        <f t="shared" si="28"/>
        <v>#DIV/0!</v>
      </c>
      <c r="J14" s="315" t="s">
        <v>2794</v>
      </c>
      <c r="K14" s="315" t="s">
        <v>2794</v>
      </c>
      <c r="L14" s="316" t="str">
        <f t="shared" si="23"/>
        <v>#DIV/0!</v>
      </c>
      <c r="M14" s="317" t="s">
        <v>487</v>
      </c>
      <c r="N14" s="317" t="s">
        <v>487</v>
      </c>
      <c r="O14" s="317" t="s">
        <v>487</v>
      </c>
      <c r="P14" s="317" t="s">
        <v>487</v>
      </c>
      <c r="Q14" s="317" t="s">
        <v>487</v>
      </c>
      <c r="R14" s="317" t="s">
        <v>487</v>
      </c>
      <c r="S14" s="318" t="s">
        <v>53</v>
      </c>
      <c r="T14" s="318" t="s">
        <v>561</v>
      </c>
      <c r="U14" s="330" t="s">
        <v>801</v>
      </c>
      <c r="V14" s="330" t="s">
        <v>561</v>
      </c>
      <c r="W14" s="318" t="s">
        <v>2795</v>
      </c>
      <c r="X14" s="318" t="s">
        <v>53</v>
      </c>
      <c r="Y14" s="318" t="s">
        <v>2795</v>
      </c>
      <c r="Z14" s="317" t="s">
        <v>2795</v>
      </c>
      <c r="AA14" s="317" t="s">
        <v>53</v>
      </c>
      <c r="AB14" s="317" t="s">
        <v>53</v>
      </c>
      <c r="AC14" s="317" t="s">
        <v>2795</v>
      </c>
      <c r="AD14" s="317" t="s">
        <v>2795</v>
      </c>
      <c r="AE14" s="317" t="s">
        <v>53</v>
      </c>
      <c r="AF14" s="317" t="s">
        <v>53</v>
      </c>
      <c r="AG14" s="317" t="s">
        <v>53</v>
      </c>
      <c r="AH14" s="317" t="s">
        <v>53</v>
      </c>
      <c r="AI14" s="317" t="s">
        <v>53</v>
      </c>
      <c r="AJ14" s="317" t="s">
        <v>2795</v>
      </c>
      <c r="AK14" s="317" t="s">
        <v>2795</v>
      </c>
      <c r="AL14" s="317" t="s">
        <v>2795</v>
      </c>
      <c r="AM14" s="317" t="s">
        <v>2795</v>
      </c>
      <c r="AN14" s="317" t="s">
        <v>2795</v>
      </c>
      <c r="AO14" s="317" t="s">
        <v>2795</v>
      </c>
      <c r="AP14" s="317" t="s">
        <v>53</v>
      </c>
      <c r="AQ14" s="317" t="s">
        <v>561</v>
      </c>
      <c r="AR14" s="317" t="s">
        <v>561</v>
      </c>
      <c r="AS14" s="317" t="s">
        <v>2795</v>
      </c>
      <c r="AT14" s="317" t="s">
        <v>561</v>
      </c>
      <c r="AU14" s="317" t="s">
        <v>561</v>
      </c>
      <c r="AV14" s="317" t="s">
        <v>2795</v>
      </c>
      <c r="AW14" s="317" t="s">
        <v>53</v>
      </c>
      <c r="AX14" s="317" t="s">
        <v>53</v>
      </c>
      <c r="AY14" s="317" t="s">
        <v>53</v>
      </c>
      <c r="AZ14" s="317" t="s">
        <v>53</v>
      </c>
      <c r="BA14" s="317" t="s">
        <v>2796</v>
      </c>
      <c r="BB14" s="317" t="s">
        <v>53</v>
      </c>
      <c r="BC14" s="317" t="s">
        <v>2796</v>
      </c>
      <c r="BD14" s="317" t="s">
        <v>2795</v>
      </c>
      <c r="BE14" s="317" t="s">
        <v>53</v>
      </c>
      <c r="BF14" s="317" t="s">
        <v>53</v>
      </c>
      <c r="BG14" s="317" t="s">
        <v>53</v>
      </c>
      <c r="BH14" s="317" t="s">
        <v>53</v>
      </c>
      <c r="BI14" s="317" t="s">
        <v>53</v>
      </c>
      <c r="BJ14" s="317" t="s">
        <v>53</v>
      </c>
      <c r="BK14" s="317" t="s">
        <v>561</v>
      </c>
      <c r="BL14" s="317" t="s">
        <v>2796</v>
      </c>
      <c r="BM14" s="317" t="s">
        <v>2796</v>
      </c>
      <c r="BN14" s="317" t="s">
        <v>53</v>
      </c>
      <c r="BO14" s="317" t="s">
        <v>2796</v>
      </c>
      <c r="BP14" s="317" t="s">
        <v>2806</v>
      </c>
      <c r="BQ14" s="317" t="s">
        <v>600</v>
      </c>
      <c r="BR14" s="317" t="s">
        <v>600</v>
      </c>
      <c r="BS14" s="317" t="s">
        <v>600</v>
      </c>
      <c r="BT14" s="317" t="s">
        <v>600</v>
      </c>
      <c r="BU14" s="317" t="s">
        <v>600</v>
      </c>
      <c r="BV14" s="317" t="s">
        <v>600</v>
      </c>
      <c r="BW14" s="317" t="s">
        <v>600</v>
      </c>
      <c r="BX14" s="317" t="s">
        <v>600</v>
      </c>
      <c r="BY14" s="317" t="s">
        <v>600</v>
      </c>
      <c r="BZ14" s="317" t="s">
        <v>600</v>
      </c>
      <c r="CA14" s="317" t="s">
        <v>600</v>
      </c>
      <c r="CB14" s="317" t="s">
        <v>600</v>
      </c>
      <c r="CC14" s="317" t="s">
        <v>600</v>
      </c>
      <c r="CD14" s="317" t="s">
        <v>600</v>
      </c>
      <c r="CE14" s="317" t="s">
        <v>600</v>
      </c>
      <c r="CF14" s="317" t="s">
        <v>600</v>
      </c>
      <c r="CG14" s="317" t="s">
        <v>600</v>
      </c>
      <c r="CH14" s="317" t="s">
        <v>600</v>
      </c>
      <c r="CI14" s="317" t="s">
        <v>600</v>
      </c>
      <c r="CJ14" s="317" t="s">
        <v>600</v>
      </c>
      <c r="CK14" s="317" t="s">
        <v>600</v>
      </c>
      <c r="CL14" s="317" t="s">
        <v>600</v>
      </c>
      <c r="CM14" s="317" t="s">
        <v>600</v>
      </c>
      <c r="CN14" s="317" t="s">
        <v>600</v>
      </c>
      <c r="CO14" s="317" t="s">
        <v>600</v>
      </c>
      <c r="CP14" s="317" t="s">
        <v>600</v>
      </c>
      <c r="CQ14" s="319"/>
      <c r="CR14" s="319">
        <v>2019.0</v>
      </c>
      <c r="CS14" s="320" t="s">
        <v>850</v>
      </c>
      <c r="CT14" s="319"/>
      <c r="CU14" s="321" t="s">
        <v>458</v>
      </c>
      <c r="CV14" s="320" t="s">
        <v>83</v>
      </c>
      <c r="CW14" s="319"/>
      <c r="CX14" s="319"/>
      <c r="CY14" s="323">
        <f t="shared" si="24"/>
        <v>0.464</v>
      </c>
      <c r="CZ14" s="324">
        <v>0.723</v>
      </c>
      <c r="DA14" s="323">
        <v>0.259</v>
      </c>
      <c r="DB14" s="323"/>
      <c r="DC14" s="323">
        <f t="shared" si="25"/>
        <v>0.507</v>
      </c>
      <c r="DD14" s="324">
        <v>0.7240000000000001</v>
      </c>
      <c r="DE14" s="323">
        <v>0.217</v>
      </c>
      <c r="DF14" s="323"/>
      <c r="DG14" s="323">
        <v>0.262</v>
      </c>
      <c r="DH14" s="324">
        <v>0.632</v>
      </c>
      <c r="DI14" s="323">
        <v>0.057999999999999996</v>
      </c>
      <c r="DJ14" s="323">
        <v>0.047</v>
      </c>
      <c r="DK14" s="323">
        <v>0.048</v>
      </c>
      <c r="DL14" s="323">
        <v>0.001</v>
      </c>
      <c r="DM14" s="323"/>
      <c r="DN14" s="323">
        <v>0.222</v>
      </c>
      <c r="DO14" s="323">
        <v>0.40700000000000003</v>
      </c>
      <c r="DP14" s="323">
        <v>0.209</v>
      </c>
    </row>
    <row r="15">
      <c r="A15" s="311" t="s">
        <v>127</v>
      </c>
      <c r="B15" s="311" t="s">
        <v>129</v>
      </c>
      <c r="C15" s="311" t="s">
        <v>1197</v>
      </c>
      <c r="D15" s="311">
        <v>10.0</v>
      </c>
      <c r="E15" s="312">
        <f t="shared" si="19"/>
        <v>1</v>
      </c>
      <c r="F15" s="312" t="str">
        <f t="shared" si="20"/>
        <v>#DIV/0!</v>
      </c>
      <c r="G15" s="312" t="str">
        <f t="shared" si="21"/>
        <v>#DIV/0!</v>
      </c>
      <c r="H15" s="312" t="str">
        <f t="shared" si="22"/>
        <v>#DIV/0!</v>
      </c>
      <c r="I15" s="312" t="str">
        <f t="shared" si="28"/>
        <v>#DIV/0!</v>
      </c>
      <c r="J15" s="312" t="str">
        <f t="shared" ref="J15:J33" si="29">(COUNTIF(BQ15:CL15, "Nay")+COUNTIF(BQ15:CL15, "Yea (Amend)")+(0.5*COUNTIF(BQ15:CL15, "Present")))/(COUNTIF(BQ15:CL15, "Nay")+COUNTIF(BQ15:CL15, "Yea (Amend)")+COUNTIF(BQ15:CL15, "Yea")+COUNTIF(BQ15:CL15, "Nay (Amend)")+COUNTIF(BQ15:CL15, "Present"))</f>
        <v>#DIV/0!</v>
      </c>
      <c r="K15" s="312" t="str">
        <f t="shared" ref="K15:K17" si="30">(COUNTIF(CM15:CP15, "Nay")+COUNTIF(CM15:CP15, "Yea (Amend)")+(0.5*COUNTIF(CM15:CP15, "Present")))/(COUNTIF(CM15:CP15, "Nay")+COUNTIF(CM15:CP15, "Yea (Amend)")+COUNTIF(CM15:CP15, "Yea")+COUNTIF(CM15:CP15, "Nay (Amend)")+COUNTIF(CM15:CP15, "Present"))</f>
        <v>#DIV/0!</v>
      </c>
      <c r="L15" s="316" t="str">
        <f t="shared" si="23"/>
        <v>#DIV/0!</v>
      </c>
      <c r="M15" s="317" t="s">
        <v>487</v>
      </c>
      <c r="N15" s="317" t="s">
        <v>487</v>
      </c>
      <c r="O15" s="317" t="s">
        <v>487</v>
      </c>
      <c r="P15" s="317" t="s">
        <v>487</v>
      </c>
      <c r="Q15" s="317" t="s">
        <v>487</v>
      </c>
      <c r="R15" s="317" t="s">
        <v>487</v>
      </c>
      <c r="S15" s="318" t="s">
        <v>53</v>
      </c>
      <c r="T15" s="318" t="s">
        <v>53</v>
      </c>
      <c r="U15" s="330" t="s">
        <v>561</v>
      </c>
      <c r="V15" s="330" t="s">
        <v>561</v>
      </c>
      <c r="W15" s="318" t="s">
        <v>2795</v>
      </c>
      <c r="X15" s="318" t="s">
        <v>53</v>
      </c>
      <c r="Y15" s="318" t="s">
        <v>2795</v>
      </c>
      <c r="Z15" s="317" t="s">
        <v>2795</v>
      </c>
      <c r="AA15" s="317" t="s">
        <v>561</v>
      </c>
      <c r="AB15" s="317" t="s">
        <v>53</v>
      </c>
      <c r="AC15" s="317" t="s">
        <v>2795</v>
      </c>
      <c r="AD15" s="317" t="s">
        <v>2795</v>
      </c>
      <c r="AE15" s="317" t="s">
        <v>561</v>
      </c>
      <c r="AF15" s="317" t="s">
        <v>561</v>
      </c>
      <c r="AG15" s="317" t="s">
        <v>53</v>
      </c>
      <c r="AH15" s="317" t="s">
        <v>53</v>
      </c>
      <c r="AI15" s="317" t="s">
        <v>53</v>
      </c>
      <c r="AJ15" s="317" t="s">
        <v>2795</v>
      </c>
      <c r="AK15" s="317" t="s">
        <v>2795</v>
      </c>
      <c r="AL15" s="317" t="s">
        <v>2795</v>
      </c>
      <c r="AM15" s="317" t="s">
        <v>2795</v>
      </c>
      <c r="AN15" s="317" t="s">
        <v>2795</v>
      </c>
      <c r="AO15" s="317" t="s">
        <v>2795</v>
      </c>
      <c r="AP15" s="317" t="s">
        <v>561</v>
      </c>
      <c r="AQ15" s="317" t="s">
        <v>561</v>
      </c>
      <c r="AR15" s="317" t="s">
        <v>561</v>
      </c>
      <c r="AS15" s="317" t="s">
        <v>2795</v>
      </c>
      <c r="AT15" s="317" t="s">
        <v>561</v>
      </c>
      <c r="AU15" s="317" t="s">
        <v>53</v>
      </c>
      <c r="AV15" s="317" t="s">
        <v>2795</v>
      </c>
      <c r="AW15" s="317" t="s">
        <v>53</v>
      </c>
      <c r="AX15" s="317" t="s">
        <v>53</v>
      </c>
      <c r="AY15" s="317" t="s">
        <v>53</v>
      </c>
      <c r="AZ15" s="317" t="s">
        <v>561</v>
      </c>
      <c r="BA15" s="317" t="s">
        <v>2796</v>
      </c>
      <c r="BB15" s="317" t="s">
        <v>53</v>
      </c>
      <c r="BC15" s="317" t="s">
        <v>2796</v>
      </c>
      <c r="BD15" s="317" t="s">
        <v>2795</v>
      </c>
      <c r="BE15" s="317" t="s">
        <v>53</v>
      </c>
      <c r="BF15" s="317" t="s">
        <v>53</v>
      </c>
      <c r="BG15" s="317" t="s">
        <v>53</v>
      </c>
      <c r="BH15" s="317" t="s">
        <v>53</v>
      </c>
      <c r="BI15" s="317" t="s">
        <v>561</v>
      </c>
      <c r="BJ15" s="317" t="s">
        <v>53</v>
      </c>
      <c r="BK15" s="317" t="s">
        <v>561</v>
      </c>
      <c r="BL15" s="317" t="s">
        <v>2796</v>
      </c>
      <c r="BM15" s="317" t="s">
        <v>2796</v>
      </c>
      <c r="BN15" s="317" t="s">
        <v>53</v>
      </c>
      <c r="BO15" s="317" t="s">
        <v>2796</v>
      </c>
      <c r="BP15" s="317" t="s">
        <v>2796</v>
      </c>
      <c r="BQ15" s="317" t="s">
        <v>53</v>
      </c>
      <c r="BR15" s="317" t="s">
        <v>53</v>
      </c>
      <c r="BS15" s="317" t="s">
        <v>53</v>
      </c>
      <c r="BT15" s="317" t="s">
        <v>53</v>
      </c>
      <c r="BU15" s="317" t="s">
        <v>53</v>
      </c>
      <c r="BV15" s="317" t="s">
        <v>53</v>
      </c>
      <c r="BW15" s="317" t="s">
        <v>53</v>
      </c>
      <c r="BX15" s="317" t="s">
        <v>53</v>
      </c>
      <c r="BY15" s="317" t="s">
        <v>53</v>
      </c>
      <c r="BZ15" s="317" t="s">
        <v>53</v>
      </c>
      <c r="CA15" s="317" t="s">
        <v>53</v>
      </c>
      <c r="CB15" s="317" t="s">
        <v>53</v>
      </c>
      <c r="CC15" s="317" t="s">
        <v>53</v>
      </c>
      <c r="CD15" s="317" t="s">
        <v>53</v>
      </c>
      <c r="CE15" s="317" t="s">
        <v>53</v>
      </c>
      <c r="CF15" s="317" t="s">
        <v>53</v>
      </c>
      <c r="CG15" s="317" t="s">
        <v>561</v>
      </c>
      <c r="CH15" s="317" t="s">
        <v>561</v>
      </c>
      <c r="CI15" s="317" t="s">
        <v>53</v>
      </c>
      <c r="CJ15" s="317" t="s">
        <v>2796</v>
      </c>
      <c r="CK15" s="317" t="s">
        <v>53</v>
      </c>
      <c r="CL15" s="317" t="s">
        <v>53</v>
      </c>
      <c r="CM15" s="317" t="s">
        <v>53</v>
      </c>
      <c r="CN15" s="317" t="s">
        <v>561</v>
      </c>
      <c r="CO15" s="317" t="s">
        <v>53</v>
      </c>
      <c r="CP15" s="317" t="s">
        <v>561</v>
      </c>
      <c r="CQ15" s="319"/>
      <c r="CR15" s="319">
        <v>2015.0</v>
      </c>
      <c r="CS15" s="320" t="s">
        <v>850</v>
      </c>
      <c r="CT15" s="319"/>
      <c r="CU15" s="326" t="s">
        <v>2476</v>
      </c>
      <c r="CV15" s="332" t="s">
        <v>75</v>
      </c>
      <c r="CW15" s="319"/>
      <c r="CX15" s="319"/>
      <c r="CY15" s="323">
        <f t="shared" si="24"/>
        <v>0.393</v>
      </c>
      <c r="CZ15" s="324">
        <v>0.6859999999999999</v>
      </c>
      <c r="DA15" s="323">
        <v>0.293</v>
      </c>
      <c r="DB15" s="323"/>
      <c r="DC15" s="323">
        <f t="shared" si="25"/>
        <v>0.362</v>
      </c>
      <c r="DD15" s="324">
        <v>0.6509999999999999</v>
      </c>
      <c r="DE15" s="323">
        <v>0.289</v>
      </c>
      <c r="DF15" s="323"/>
      <c r="DG15" s="324">
        <v>0.513</v>
      </c>
      <c r="DH15" s="323">
        <v>0.16699999999999998</v>
      </c>
      <c r="DI15" s="323">
        <v>0.057999999999999996</v>
      </c>
      <c r="DJ15" s="323">
        <v>0.245</v>
      </c>
      <c r="DK15" s="323">
        <v>0.023</v>
      </c>
      <c r="DL15" s="323">
        <v>0.009000000000000001</v>
      </c>
      <c r="DM15" s="323"/>
      <c r="DN15" s="324">
        <v>0.5379999999999999</v>
      </c>
      <c r="DO15" s="324">
        <v>0.556</v>
      </c>
      <c r="DP15" s="323">
        <v>0.26899999999999996</v>
      </c>
    </row>
    <row r="16">
      <c r="A16" s="311" t="s">
        <v>960</v>
      </c>
      <c r="B16" s="311" t="s">
        <v>961</v>
      </c>
      <c r="C16" s="311" t="s">
        <v>587</v>
      </c>
      <c r="D16" s="311">
        <v>12.0</v>
      </c>
      <c r="E16" s="312">
        <f t="shared" si="19"/>
        <v>1</v>
      </c>
      <c r="F16" s="312" t="str">
        <f t="shared" si="20"/>
        <v>#DIV/0!</v>
      </c>
      <c r="G16" s="312" t="str">
        <f t="shared" si="21"/>
        <v>#DIV/0!</v>
      </c>
      <c r="H16" s="312" t="str">
        <f t="shared" si="22"/>
        <v>#DIV/0!</v>
      </c>
      <c r="I16" s="312" t="str">
        <f t="shared" si="28"/>
        <v>#DIV/0!</v>
      </c>
      <c r="J16" s="312" t="str">
        <f t="shared" si="29"/>
        <v>#DIV/0!</v>
      </c>
      <c r="K16" s="312" t="str">
        <f t="shared" si="30"/>
        <v>#DIV/0!</v>
      </c>
      <c r="L16" s="316" t="str">
        <f t="shared" si="23"/>
        <v>#DIV/0!</v>
      </c>
      <c r="M16" s="317" t="s">
        <v>487</v>
      </c>
      <c r="N16" s="317" t="s">
        <v>487</v>
      </c>
      <c r="O16" s="317" t="s">
        <v>487</v>
      </c>
      <c r="P16" s="317" t="s">
        <v>487</v>
      </c>
      <c r="Q16" s="317" t="s">
        <v>487</v>
      </c>
      <c r="R16" s="317" t="s">
        <v>487</v>
      </c>
      <c r="S16" s="318" t="s">
        <v>53</v>
      </c>
      <c r="T16" s="318" t="s">
        <v>561</v>
      </c>
      <c r="U16" s="330" t="s">
        <v>561</v>
      </c>
      <c r="V16" s="330" t="s">
        <v>561</v>
      </c>
      <c r="W16" s="318" t="s">
        <v>2795</v>
      </c>
      <c r="X16" s="318" t="s">
        <v>53</v>
      </c>
      <c r="Y16" s="318" t="s">
        <v>2795</v>
      </c>
      <c r="Z16" s="317" t="s">
        <v>2795</v>
      </c>
      <c r="AA16" s="317" t="s">
        <v>53</v>
      </c>
      <c r="AB16" s="317" t="s">
        <v>53</v>
      </c>
      <c r="AC16" s="317" t="s">
        <v>2795</v>
      </c>
      <c r="AD16" s="317" t="s">
        <v>2795</v>
      </c>
      <c r="AE16" s="317" t="s">
        <v>53</v>
      </c>
      <c r="AF16" s="317" t="s">
        <v>561</v>
      </c>
      <c r="AG16" s="317" t="s">
        <v>561</v>
      </c>
      <c r="AH16" s="317" t="s">
        <v>561</v>
      </c>
      <c r="AI16" s="317" t="s">
        <v>53</v>
      </c>
      <c r="AJ16" s="317" t="s">
        <v>2795</v>
      </c>
      <c r="AK16" s="317" t="s">
        <v>2795</v>
      </c>
      <c r="AL16" s="317" t="s">
        <v>2807</v>
      </c>
      <c r="AM16" s="317" t="s">
        <v>2795</v>
      </c>
      <c r="AN16" s="317" t="s">
        <v>2795</v>
      </c>
      <c r="AO16" s="317" t="s">
        <v>2795</v>
      </c>
      <c r="AP16" s="317" t="s">
        <v>561</v>
      </c>
      <c r="AQ16" s="317" t="s">
        <v>561</v>
      </c>
      <c r="AR16" s="317" t="s">
        <v>561</v>
      </c>
      <c r="AS16" s="317" t="s">
        <v>2795</v>
      </c>
      <c r="AT16" s="317" t="s">
        <v>561</v>
      </c>
      <c r="AU16" s="317" t="s">
        <v>53</v>
      </c>
      <c r="AV16" s="317" t="s">
        <v>2795</v>
      </c>
      <c r="AW16" s="317" t="s">
        <v>561</v>
      </c>
      <c r="AX16" s="317" t="s">
        <v>53</v>
      </c>
      <c r="AY16" s="317" t="s">
        <v>53</v>
      </c>
      <c r="AZ16" s="317" t="s">
        <v>561</v>
      </c>
      <c r="BA16" s="317" t="s">
        <v>2796</v>
      </c>
      <c r="BB16" s="317" t="s">
        <v>53</v>
      </c>
      <c r="BC16" s="317" t="s">
        <v>2796</v>
      </c>
      <c r="BD16" s="317" t="s">
        <v>2795</v>
      </c>
      <c r="BE16" s="317" t="s">
        <v>53</v>
      </c>
      <c r="BF16" s="317" t="s">
        <v>53</v>
      </c>
      <c r="BG16" s="317" t="s">
        <v>53</v>
      </c>
      <c r="BH16" s="317" t="s">
        <v>53</v>
      </c>
      <c r="BI16" s="317" t="s">
        <v>53</v>
      </c>
      <c r="BJ16" s="317" t="s">
        <v>53</v>
      </c>
      <c r="BK16" s="317" t="s">
        <v>561</v>
      </c>
      <c r="BL16" s="317" t="s">
        <v>2796</v>
      </c>
      <c r="BM16" s="317" t="s">
        <v>2796</v>
      </c>
      <c r="BN16" s="317" t="s">
        <v>561</v>
      </c>
      <c r="BO16" s="317" t="s">
        <v>2796</v>
      </c>
      <c r="BP16" s="317" t="s">
        <v>2796</v>
      </c>
      <c r="BQ16" s="317" t="s">
        <v>53</v>
      </c>
      <c r="BR16" s="317" t="s">
        <v>53</v>
      </c>
      <c r="BS16" s="317" t="s">
        <v>53</v>
      </c>
      <c r="BT16" s="317" t="s">
        <v>53</v>
      </c>
      <c r="BU16" s="317" t="s">
        <v>53</v>
      </c>
      <c r="BV16" s="317" t="s">
        <v>53</v>
      </c>
      <c r="BW16" s="317" t="s">
        <v>53</v>
      </c>
      <c r="BX16" s="317" t="s">
        <v>53</v>
      </c>
      <c r="BY16" s="317" t="s">
        <v>53</v>
      </c>
      <c r="BZ16" s="317" t="s">
        <v>53</v>
      </c>
      <c r="CA16" s="317" t="s">
        <v>53</v>
      </c>
      <c r="CB16" s="317" t="s">
        <v>53</v>
      </c>
      <c r="CC16" s="317" t="s">
        <v>53</v>
      </c>
      <c r="CD16" s="317" t="s">
        <v>53</v>
      </c>
      <c r="CE16" s="317" t="s">
        <v>53</v>
      </c>
      <c r="CF16" s="317" t="s">
        <v>53</v>
      </c>
      <c r="CG16" s="317" t="s">
        <v>561</v>
      </c>
      <c r="CH16" s="317" t="s">
        <v>561</v>
      </c>
      <c r="CI16" s="317" t="s">
        <v>53</v>
      </c>
      <c r="CJ16" s="317" t="s">
        <v>2796</v>
      </c>
      <c r="CK16" s="317" t="s">
        <v>561</v>
      </c>
      <c r="CL16" s="317" t="s">
        <v>53</v>
      </c>
      <c r="CM16" s="317" t="s">
        <v>53</v>
      </c>
      <c r="CN16" s="317" t="s">
        <v>53</v>
      </c>
      <c r="CO16" s="317" t="s">
        <v>53</v>
      </c>
      <c r="CP16" s="317" t="s">
        <v>53</v>
      </c>
      <c r="CQ16" s="319"/>
      <c r="CR16" s="319">
        <v>2015.0</v>
      </c>
      <c r="CS16" s="320" t="s">
        <v>850</v>
      </c>
      <c r="CT16" s="319"/>
      <c r="CU16" s="319" t="s">
        <v>1463</v>
      </c>
      <c r="CV16" s="327" t="s">
        <v>28</v>
      </c>
      <c r="CW16" s="319"/>
      <c r="CX16" s="319"/>
      <c r="CY16" s="323">
        <f t="shared" si="24"/>
        <v>0.345</v>
      </c>
      <c r="CZ16" s="324">
        <v>0.6659999999999999</v>
      </c>
      <c r="DA16" s="323">
        <v>0.321</v>
      </c>
      <c r="DB16" s="323"/>
      <c r="DC16" s="323">
        <f t="shared" si="25"/>
        <v>0.314</v>
      </c>
      <c r="DD16" s="324">
        <v>0.6409999999999999</v>
      </c>
      <c r="DE16" s="323">
        <v>0.327</v>
      </c>
      <c r="DF16" s="323"/>
      <c r="DG16" s="324">
        <v>0.435</v>
      </c>
      <c r="DH16" s="323">
        <v>0.192</v>
      </c>
      <c r="DI16" s="323">
        <v>0.177</v>
      </c>
      <c r="DJ16" s="323">
        <v>0.195</v>
      </c>
      <c r="DK16" s="323">
        <v>0.013999999999999999</v>
      </c>
      <c r="DL16" s="323">
        <v>0.002</v>
      </c>
      <c r="DM16" s="323"/>
      <c r="DN16" s="323">
        <v>0.47600000000000003</v>
      </c>
      <c r="DO16" s="324">
        <v>0.505</v>
      </c>
      <c r="DP16" s="323">
        <v>0.26899999999999996</v>
      </c>
    </row>
    <row r="17">
      <c r="A17" s="311" t="s">
        <v>1009</v>
      </c>
      <c r="B17" s="311" t="s">
        <v>1010</v>
      </c>
      <c r="C17" s="311" t="s">
        <v>1530</v>
      </c>
      <c r="D17" s="311">
        <v>9.0</v>
      </c>
      <c r="E17" s="312">
        <f t="shared" si="19"/>
        <v>0.8333333333</v>
      </c>
      <c r="F17" s="312" t="str">
        <f t="shared" si="20"/>
        <v>#DIV/0!</v>
      </c>
      <c r="G17" s="312" t="str">
        <f t="shared" si="21"/>
        <v>#DIV/0!</v>
      </c>
      <c r="H17" s="312" t="str">
        <f t="shared" si="22"/>
        <v>#DIV/0!</v>
      </c>
      <c r="I17" s="312" t="str">
        <f t="shared" si="28"/>
        <v>#DIV/0!</v>
      </c>
      <c r="J17" s="312" t="str">
        <f t="shared" si="29"/>
        <v>#DIV/0!</v>
      </c>
      <c r="K17" s="312" t="str">
        <f t="shared" si="30"/>
        <v>#DIV/0!</v>
      </c>
      <c r="L17" s="316" t="str">
        <f t="shared" si="23"/>
        <v>#DIV/0!</v>
      </c>
      <c r="M17" s="317" t="s">
        <v>487</v>
      </c>
      <c r="N17" s="317" t="s">
        <v>487</v>
      </c>
      <c r="O17" s="317" t="s">
        <v>487</v>
      </c>
      <c r="P17" s="317" t="s">
        <v>487</v>
      </c>
      <c r="Q17" s="317" t="s">
        <v>487</v>
      </c>
      <c r="R17" s="317" t="s">
        <v>594</v>
      </c>
      <c r="S17" s="318" t="s">
        <v>53</v>
      </c>
      <c r="T17" s="318" t="s">
        <v>561</v>
      </c>
      <c r="U17" s="330" t="s">
        <v>561</v>
      </c>
      <c r="V17" s="330" t="s">
        <v>561</v>
      </c>
      <c r="W17" s="318" t="s">
        <v>2795</v>
      </c>
      <c r="X17" s="318" t="s">
        <v>53</v>
      </c>
      <c r="Y17" s="318" t="s">
        <v>2795</v>
      </c>
      <c r="Z17" s="317" t="s">
        <v>2795</v>
      </c>
      <c r="AA17" s="317" t="s">
        <v>561</v>
      </c>
      <c r="AB17" s="317" t="s">
        <v>53</v>
      </c>
      <c r="AC17" s="317" t="s">
        <v>2795</v>
      </c>
      <c r="AD17" s="317" t="s">
        <v>2795</v>
      </c>
      <c r="AE17" s="317" t="s">
        <v>53</v>
      </c>
      <c r="AF17" s="317" t="s">
        <v>561</v>
      </c>
      <c r="AG17" s="317" t="s">
        <v>53</v>
      </c>
      <c r="AH17" s="317" t="s">
        <v>53</v>
      </c>
      <c r="AI17" s="317" t="s">
        <v>53</v>
      </c>
      <c r="AJ17" s="317" t="s">
        <v>2795</v>
      </c>
      <c r="AK17" s="317" t="s">
        <v>801</v>
      </c>
      <c r="AL17" s="317" t="s">
        <v>2795</v>
      </c>
      <c r="AM17" s="317" t="s">
        <v>2795</v>
      </c>
      <c r="AN17" s="317" t="s">
        <v>2795</v>
      </c>
      <c r="AO17" s="317" t="s">
        <v>2795</v>
      </c>
      <c r="AP17" s="317" t="s">
        <v>561</v>
      </c>
      <c r="AQ17" s="317" t="s">
        <v>561</v>
      </c>
      <c r="AR17" s="317" t="s">
        <v>561</v>
      </c>
      <c r="AS17" s="317" t="s">
        <v>2795</v>
      </c>
      <c r="AT17" s="317" t="s">
        <v>561</v>
      </c>
      <c r="AU17" s="317" t="s">
        <v>53</v>
      </c>
      <c r="AV17" s="317" t="s">
        <v>2795</v>
      </c>
      <c r="AW17" s="317" t="s">
        <v>53</v>
      </c>
      <c r="AX17" s="317" t="s">
        <v>53</v>
      </c>
      <c r="AY17" s="317" t="s">
        <v>53</v>
      </c>
      <c r="AZ17" s="317" t="s">
        <v>561</v>
      </c>
      <c r="BA17" s="317" t="s">
        <v>2796</v>
      </c>
      <c r="BB17" s="317" t="s">
        <v>53</v>
      </c>
      <c r="BC17" s="317" t="s">
        <v>2796</v>
      </c>
      <c r="BD17" s="317" t="s">
        <v>2795</v>
      </c>
      <c r="BE17" s="317" t="s">
        <v>53</v>
      </c>
      <c r="BF17" s="317" t="s">
        <v>53</v>
      </c>
      <c r="BG17" s="317" t="s">
        <v>53</v>
      </c>
      <c r="BH17" s="317" t="s">
        <v>53</v>
      </c>
      <c r="BI17" s="317" t="s">
        <v>561</v>
      </c>
      <c r="BJ17" s="317" t="s">
        <v>53</v>
      </c>
      <c r="BK17" s="317" t="s">
        <v>561</v>
      </c>
      <c r="BL17" s="317" t="s">
        <v>2796</v>
      </c>
      <c r="BM17" s="317" t="s">
        <v>2796</v>
      </c>
      <c r="BN17" s="317" t="s">
        <v>53</v>
      </c>
      <c r="BO17" s="317" t="s">
        <v>2796</v>
      </c>
      <c r="BP17" s="317" t="s">
        <v>2796</v>
      </c>
      <c r="BQ17" s="317" t="s">
        <v>53</v>
      </c>
      <c r="BR17" s="317" t="s">
        <v>53</v>
      </c>
      <c r="BS17" s="317" t="s">
        <v>53</v>
      </c>
      <c r="BT17" s="317" t="s">
        <v>53</v>
      </c>
      <c r="BU17" s="317" t="s">
        <v>53</v>
      </c>
      <c r="BV17" s="317" t="s">
        <v>53</v>
      </c>
      <c r="BW17" s="317" t="s">
        <v>53</v>
      </c>
      <c r="BX17" s="317" t="s">
        <v>53</v>
      </c>
      <c r="BY17" s="317" t="s">
        <v>561</v>
      </c>
      <c r="BZ17" s="317" t="s">
        <v>561</v>
      </c>
      <c r="CA17" s="317" t="s">
        <v>53</v>
      </c>
      <c r="CB17" s="317" t="s">
        <v>53</v>
      </c>
      <c r="CC17" s="317" t="s">
        <v>53</v>
      </c>
      <c r="CD17" s="317" t="s">
        <v>53</v>
      </c>
      <c r="CE17" s="317" t="s">
        <v>53</v>
      </c>
      <c r="CF17" s="317" t="s">
        <v>53</v>
      </c>
      <c r="CG17" s="317" t="s">
        <v>53</v>
      </c>
      <c r="CH17" s="317" t="s">
        <v>53</v>
      </c>
      <c r="CI17" s="317" t="s">
        <v>53</v>
      </c>
      <c r="CJ17" s="317" t="s">
        <v>2796</v>
      </c>
      <c r="CK17" s="317" t="s">
        <v>53</v>
      </c>
      <c r="CL17" s="317" t="s">
        <v>53</v>
      </c>
      <c r="CM17" s="317" t="s">
        <v>53</v>
      </c>
      <c r="CN17" s="317" t="s">
        <v>53</v>
      </c>
      <c r="CO17" s="317" t="s">
        <v>801</v>
      </c>
      <c r="CP17" s="317" t="s">
        <v>53</v>
      </c>
      <c r="CQ17" s="319"/>
      <c r="CR17" s="319">
        <v>2007.0</v>
      </c>
      <c r="CS17" s="320" t="s">
        <v>850</v>
      </c>
      <c r="CT17" s="334" t="s">
        <v>122</v>
      </c>
      <c r="CU17" s="326" t="s">
        <v>2476</v>
      </c>
      <c r="CV17" s="327" t="s">
        <v>1011</v>
      </c>
      <c r="CW17" s="319"/>
      <c r="CX17" s="319"/>
      <c r="CY17" s="323">
        <f t="shared" si="24"/>
        <v>0.515</v>
      </c>
      <c r="CZ17" s="324">
        <v>0.754</v>
      </c>
      <c r="DA17" s="323">
        <v>0.239</v>
      </c>
      <c r="DB17" s="323"/>
      <c r="DC17" s="323">
        <f t="shared" si="25"/>
        <v>0.593</v>
      </c>
      <c r="DD17" s="324">
        <v>0.7829999999999999</v>
      </c>
      <c r="DE17" s="323">
        <v>0.19</v>
      </c>
      <c r="DF17" s="323"/>
      <c r="DG17" s="323">
        <v>0.307</v>
      </c>
      <c r="DH17" s="323">
        <v>0.11199999999999999</v>
      </c>
      <c r="DI17" s="324">
        <v>0.48700000000000004</v>
      </c>
      <c r="DJ17" s="323">
        <v>0.106</v>
      </c>
      <c r="DK17" s="323">
        <v>0.013000000000000001</v>
      </c>
      <c r="DL17" s="323">
        <v>0.002</v>
      </c>
      <c r="DM17" s="323"/>
      <c r="DN17" s="323">
        <v>0.35200000000000004</v>
      </c>
      <c r="DO17" s="324">
        <v>0.529</v>
      </c>
      <c r="DP17" s="323">
        <v>0.162</v>
      </c>
    </row>
    <row r="18">
      <c r="A18" s="311" t="s">
        <v>191</v>
      </c>
      <c r="B18" s="311" t="s">
        <v>2475</v>
      </c>
      <c r="C18" s="311" t="s">
        <v>1197</v>
      </c>
      <c r="D18" s="311">
        <v>34.0</v>
      </c>
      <c r="E18" s="312">
        <f t="shared" si="19"/>
        <v>0.8333333333</v>
      </c>
      <c r="F18" s="312">
        <f t="shared" si="20"/>
        <v>0.5</v>
      </c>
      <c r="G18" s="312" t="str">
        <f t="shared" si="21"/>
        <v>#DIV/0!</v>
      </c>
      <c r="H18" s="312">
        <f t="shared" si="22"/>
        <v>0.5</v>
      </c>
      <c r="I18" s="312" t="str">
        <f t="shared" si="28"/>
        <v>#DIV/0!</v>
      </c>
      <c r="J18" s="312" t="str">
        <f t="shared" si="29"/>
        <v>#DIV/0!</v>
      </c>
      <c r="K18" s="315" t="s">
        <v>2794</v>
      </c>
      <c r="L18" s="316" t="str">
        <f t="shared" si="23"/>
        <v>#DIV/0!</v>
      </c>
      <c r="M18" s="317" t="s">
        <v>487</v>
      </c>
      <c r="N18" s="317" t="s">
        <v>487</v>
      </c>
      <c r="O18" s="317" t="s">
        <v>487</v>
      </c>
      <c r="P18" s="317" t="s">
        <v>487</v>
      </c>
      <c r="Q18" s="317" t="s">
        <v>487</v>
      </c>
      <c r="R18" s="317" t="s">
        <v>594</v>
      </c>
      <c r="S18" s="318" t="s">
        <v>53</v>
      </c>
      <c r="T18" s="318" t="s">
        <v>561</v>
      </c>
      <c r="U18" s="318" t="s">
        <v>53</v>
      </c>
      <c r="V18" s="330" t="s">
        <v>561</v>
      </c>
      <c r="W18" s="318" t="s">
        <v>2795</v>
      </c>
      <c r="X18" s="318" t="s">
        <v>53</v>
      </c>
      <c r="Y18" s="318" t="s">
        <v>2795</v>
      </c>
      <c r="Z18" s="317" t="s">
        <v>2795</v>
      </c>
      <c r="AA18" s="317" t="s">
        <v>53</v>
      </c>
      <c r="AB18" s="317" t="s">
        <v>53</v>
      </c>
      <c r="AC18" s="317" t="s">
        <v>2795</v>
      </c>
      <c r="AD18" s="317" t="s">
        <v>2795</v>
      </c>
      <c r="AE18" s="317" t="s">
        <v>53</v>
      </c>
      <c r="AF18" s="317" t="s">
        <v>561</v>
      </c>
      <c r="AG18" s="317" t="s">
        <v>799</v>
      </c>
      <c r="AH18" s="317" t="s">
        <v>561</v>
      </c>
      <c r="AI18" s="317" t="s">
        <v>53</v>
      </c>
      <c r="AJ18" s="317" t="s">
        <v>2795</v>
      </c>
      <c r="AK18" s="317" t="s">
        <v>2795</v>
      </c>
      <c r="AL18" s="317" t="s">
        <v>2795</v>
      </c>
      <c r="AM18" s="317" t="s">
        <v>2795</v>
      </c>
      <c r="AN18" s="317" t="s">
        <v>2795</v>
      </c>
      <c r="AO18" s="317" t="s">
        <v>2795</v>
      </c>
      <c r="AP18" s="317" t="s">
        <v>561</v>
      </c>
      <c r="AQ18" s="317" t="s">
        <v>561</v>
      </c>
      <c r="AR18" s="317" t="s">
        <v>561</v>
      </c>
      <c r="AS18" s="317" t="s">
        <v>2795</v>
      </c>
      <c r="AT18" s="317" t="s">
        <v>561</v>
      </c>
      <c r="AU18" s="317" t="s">
        <v>561</v>
      </c>
      <c r="AV18" s="317" t="s">
        <v>2807</v>
      </c>
      <c r="AW18" s="317" t="s">
        <v>53</v>
      </c>
      <c r="AX18" s="317" t="s">
        <v>53</v>
      </c>
      <c r="AY18" s="317" t="s">
        <v>53</v>
      </c>
      <c r="AZ18" s="317" t="s">
        <v>53</v>
      </c>
      <c r="BA18" s="317" t="s">
        <v>2796</v>
      </c>
      <c r="BB18" s="317" t="s">
        <v>53</v>
      </c>
      <c r="BC18" s="317" t="s">
        <v>2796</v>
      </c>
      <c r="BD18" s="317" t="s">
        <v>2795</v>
      </c>
      <c r="BE18" s="317" t="s">
        <v>53</v>
      </c>
      <c r="BF18" s="317" t="s">
        <v>561</v>
      </c>
      <c r="BG18" s="317" t="s">
        <v>53</v>
      </c>
      <c r="BH18" s="317" t="s">
        <v>53</v>
      </c>
      <c r="BI18" s="317" t="s">
        <v>561</v>
      </c>
      <c r="BJ18" s="317" t="s">
        <v>53</v>
      </c>
      <c r="BK18" s="317" t="s">
        <v>561</v>
      </c>
      <c r="BL18" s="317" t="s">
        <v>2796</v>
      </c>
      <c r="BM18" s="317" t="s">
        <v>2796</v>
      </c>
      <c r="BN18" s="317" t="s">
        <v>53</v>
      </c>
      <c r="BO18" s="317" t="s">
        <v>2796</v>
      </c>
      <c r="BP18" s="317" t="s">
        <v>2796</v>
      </c>
      <c r="BQ18" s="317" t="s">
        <v>53</v>
      </c>
      <c r="BR18" s="317" t="s">
        <v>53</v>
      </c>
      <c r="BS18" s="317" t="s">
        <v>53</v>
      </c>
      <c r="BT18" s="317" t="s">
        <v>53</v>
      </c>
      <c r="BU18" s="317" t="s">
        <v>53</v>
      </c>
      <c r="BV18" s="317" t="s">
        <v>53</v>
      </c>
      <c r="BW18" s="317" t="s">
        <v>53</v>
      </c>
      <c r="BX18" s="317" t="s">
        <v>801</v>
      </c>
      <c r="BY18" s="317" t="s">
        <v>53</v>
      </c>
      <c r="BZ18" s="317" t="s">
        <v>561</v>
      </c>
      <c r="CA18" s="317" t="s">
        <v>53</v>
      </c>
      <c r="CB18" s="317" t="s">
        <v>53</v>
      </c>
      <c r="CC18" s="317" t="s">
        <v>53</v>
      </c>
      <c r="CD18" s="317" t="s">
        <v>53</v>
      </c>
      <c r="CE18" s="317" t="s">
        <v>53</v>
      </c>
      <c r="CF18" s="317" t="s">
        <v>53</v>
      </c>
      <c r="CG18" s="317" t="s">
        <v>53</v>
      </c>
      <c r="CH18" s="317" t="s">
        <v>561</v>
      </c>
      <c r="CI18" s="317" t="s">
        <v>53</v>
      </c>
      <c r="CJ18" s="317" t="s">
        <v>2796</v>
      </c>
      <c r="CK18" s="317" t="s">
        <v>600</v>
      </c>
      <c r="CL18" s="317" t="s">
        <v>600</v>
      </c>
      <c r="CM18" s="317" t="s">
        <v>600</v>
      </c>
      <c r="CN18" s="317" t="s">
        <v>600</v>
      </c>
      <c r="CO18" s="317" t="s">
        <v>600</v>
      </c>
      <c r="CP18" s="317" t="s">
        <v>600</v>
      </c>
      <c r="CQ18" s="319"/>
      <c r="CR18" s="319" t="s">
        <v>2808</v>
      </c>
      <c r="CS18" s="320" t="s">
        <v>850</v>
      </c>
      <c r="CT18" s="334" t="s">
        <v>122</v>
      </c>
      <c r="CU18" s="326" t="s">
        <v>2476</v>
      </c>
      <c r="CV18" s="335" t="s">
        <v>83</v>
      </c>
      <c r="CW18" s="336"/>
      <c r="CX18" s="319"/>
      <c r="CY18" s="323">
        <f t="shared" si="24"/>
        <v>0.643</v>
      </c>
      <c r="CZ18" s="337">
        <v>0.81</v>
      </c>
      <c r="DA18" s="338">
        <v>0.16699999999999998</v>
      </c>
      <c r="DB18" s="338"/>
      <c r="DC18" s="323">
        <f t="shared" si="25"/>
        <v>0.737</v>
      </c>
      <c r="DD18" s="337">
        <v>0.84</v>
      </c>
      <c r="DE18" s="338">
        <v>0.10300000000000001</v>
      </c>
      <c r="DF18" s="338"/>
      <c r="DG18" s="338">
        <v>0.124</v>
      </c>
      <c r="DH18" s="337">
        <v>0.616</v>
      </c>
      <c r="DI18" s="338">
        <v>0.057</v>
      </c>
      <c r="DJ18" s="338">
        <v>0.204</v>
      </c>
      <c r="DK18" s="338">
        <v>0.044000000000000004</v>
      </c>
      <c r="DL18" s="338">
        <v>0.003</v>
      </c>
      <c r="DM18" s="338"/>
      <c r="DN18" s="338">
        <v>0.262</v>
      </c>
      <c r="DO18" s="337">
        <v>0.603</v>
      </c>
      <c r="DP18" s="338">
        <v>0.064</v>
      </c>
    </row>
    <row r="19">
      <c r="A19" s="311" t="s">
        <v>1026</v>
      </c>
      <c r="B19" s="311" t="s">
        <v>1027</v>
      </c>
      <c r="C19" s="311" t="s">
        <v>1530</v>
      </c>
      <c r="D19" s="311">
        <v>13.0</v>
      </c>
      <c r="E19" s="312">
        <f t="shared" si="19"/>
        <v>0.8333333333</v>
      </c>
      <c r="F19" s="312" t="str">
        <f t="shared" si="20"/>
        <v>#DIV/0!</v>
      </c>
      <c r="G19" s="312" t="str">
        <f t="shared" si="21"/>
        <v>#DIV/0!</v>
      </c>
      <c r="H19" s="312" t="str">
        <f t="shared" si="22"/>
        <v>#DIV/0!</v>
      </c>
      <c r="I19" s="312" t="str">
        <f t="shared" si="28"/>
        <v>#DIV/0!</v>
      </c>
      <c r="J19" s="312" t="str">
        <f t="shared" si="29"/>
        <v>#DIV/0!</v>
      </c>
      <c r="K19" s="315" t="s">
        <v>2794</v>
      </c>
      <c r="L19" s="316" t="str">
        <f t="shared" si="23"/>
        <v>#DIV/0!</v>
      </c>
      <c r="M19" s="317" t="s">
        <v>487</v>
      </c>
      <c r="N19" s="317" t="s">
        <v>487</v>
      </c>
      <c r="O19" s="317" t="s">
        <v>487</v>
      </c>
      <c r="P19" s="317" t="s">
        <v>487</v>
      </c>
      <c r="Q19" s="317" t="s">
        <v>487</v>
      </c>
      <c r="R19" s="317" t="s">
        <v>594</v>
      </c>
      <c r="S19" s="318" t="s">
        <v>53</v>
      </c>
      <c r="T19" s="318" t="s">
        <v>561</v>
      </c>
      <c r="U19" s="330" t="s">
        <v>561</v>
      </c>
      <c r="V19" s="330" t="s">
        <v>561</v>
      </c>
      <c r="W19" s="318" t="s">
        <v>2795</v>
      </c>
      <c r="X19" s="318" t="s">
        <v>53</v>
      </c>
      <c r="Y19" s="318" t="s">
        <v>2795</v>
      </c>
      <c r="Z19" s="317" t="s">
        <v>2795</v>
      </c>
      <c r="AA19" s="317" t="s">
        <v>561</v>
      </c>
      <c r="AB19" s="317" t="s">
        <v>53</v>
      </c>
      <c r="AC19" s="317" t="s">
        <v>2795</v>
      </c>
      <c r="AD19" s="317" t="s">
        <v>2795</v>
      </c>
      <c r="AE19" s="317" t="s">
        <v>561</v>
      </c>
      <c r="AF19" s="317" t="s">
        <v>561</v>
      </c>
      <c r="AG19" s="317" t="s">
        <v>561</v>
      </c>
      <c r="AH19" s="317" t="s">
        <v>53</v>
      </c>
      <c r="AI19" s="317" t="s">
        <v>53</v>
      </c>
      <c r="AJ19" s="317" t="s">
        <v>2795</v>
      </c>
      <c r="AK19" s="317" t="s">
        <v>2795</v>
      </c>
      <c r="AL19" s="317" t="s">
        <v>2795</v>
      </c>
      <c r="AM19" s="317" t="s">
        <v>2795</v>
      </c>
      <c r="AN19" s="317" t="s">
        <v>2795</v>
      </c>
      <c r="AO19" s="317" t="s">
        <v>2795</v>
      </c>
      <c r="AP19" s="317" t="s">
        <v>561</v>
      </c>
      <c r="AQ19" s="317" t="s">
        <v>561</v>
      </c>
      <c r="AR19" s="317" t="s">
        <v>561</v>
      </c>
      <c r="AS19" s="317" t="s">
        <v>2795</v>
      </c>
      <c r="AT19" s="317" t="s">
        <v>561</v>
      </c>
      <c r="AU19" s="317" t="s">
        <v>53</v>
      </c>
      <c r="AV19" s="317" t="s">
        <v>2795</v>
      </c>
      <c r="AW19" s="317" t="s">
        <v>53</v>
      </c>
      <c r="AX19" s="317" t="s">
        <v>53</v>
      </c>
      <c r="AY19" s="317" t="s">
        <v>53</v>
      </c>
      <c r="AZ19" s="317" t="s">
        <v>53</v>
      </c>
      <c r="BA19" s="317" t="s">
        <v>2796</v>
      </c>
      <c r="BB19" s="317" t="s">
        <v>53</v>
      </c>
      <c r="BC19" s="317" t="s">
        <v>2796</v>
      </c>
      <c r="BD19" s="317" t="s">
        <v>2795</v>
      </c>
      <c r="BE19" s="317" t="s">
        <v>53</v>
      </c>
      <c r="BF19" s="317" t="s">
        <v>53</v>
      </c>
      <c r="BG19" s="317" t="s">
        <v>53</v>
      </c>
      <c r="BH19" s="317" t="s">
        <v>53</v>
      </c>
      <c r="BI19" s="317" t="s">
        <v>561</v>
      </c>
      <c r="BJ19" s="317" t="s">
        <v>53</v>
      </c>
      <c r="BK19" s="317" t="s">
        <v>53</v>
      </c>
      <c r="BL19" s="317" t="s">
        <v>2796</v>
      </c>
      <c r="BM19" s="317" t="s">
        <v>2796</v>
      </c>
      <c r="BN19" s="317" t="s">
        <v>53</v>
      </c>
      <c r="BO19" s="317" t="s">
        <v>2796</v>
      </c>
      <c r="BP19" s="317" t="s">
        <v>2806</v>
      </c>
      <c r="BQ19" s="317" t="s">
        <v>53</v>
      </c>
      <c r="BR19" s="317" t="s">
        <v>53</v>
      </c>
      <c r="BS19" s="317" t="s">
        <v>53</v>
      </c>
      <c r="BT19" s="317" t="s">
        <v>53</v>
      </c>
      <c r="BU19" s="317" t="s">
        <v>53</v>
      </c>
      <c r="BV19" s="317" t="s">
        <v>53</v>
      </c>
      <c r="BW19" s="317" t="s">
        <v>53</v>
      </c>
      <c r="BX19" s="317" t="s">
        <v>561</v>
      </c>
      <c r="BY19" s="317" t="s">
        <v>53</v>
      </c>
      <c r="BZ19" s="317" t="s">
        <v>561</v>
      </c>
      <c r="CA19" s="317" t="s">
        <v>53</v>
      </c>
      <c r="CB19" s="317" t="s">
        <v>53</v>
      </c>
      <c r="CC19" s="317" t="s">
        <v>53</v>
      </c>
      <c r="CD19" s="317" t="s">
        <v>53</v>
      </c>
      <c r="CE19" s="317" t="s">
        <v>53</v>
      </c>
      <c r="CF19" s="317" t="s">
        <v>53</v>
      </c>
      <c r="CG19" s="317" t="s">
        <v>561</v>
      </c>
      <c r="CH19" s="317" t="s">
        <v>53</v>
      </c>
      <c r="CI19" s="317" t="s">
        <v>53</v>
      </c>
      <c r="CJ19" s="317" t="s">
        <v>2796</v>
      </c>
      <c r="CK19" s="317" t="s">
        <v>561</v>
      </c>
      <c r="CL19" s="317" t="s">
        <v>53</v>
      </c>
      <c r="CM19" s="317" t="s">
        <v>600</v>
      </c>
      <c r="CN19" s="317" t="s">
        <v>600</v>
      </c>
      <c r="CO19" s="317" t="s">
        <v>600</v>
      </c>
      <c r="CP19" s="317" t="s">
        <v>600</v>
      </c>
      <c r="CQ19" s="319"/>
      <c r="CR19" s="319">
        <v>2017.0</v>
      </c>
      <c r="CS19" s="320" t="s">
        <v>850</v>
      </c>
      <c r="CT19" s="334" t="s">
        <v>2030</v>
      </c>
      <c r="CU19" s="319" t="s">
        <v>23</v>
      </c>
      <c r="CV19" s="326" t="s">
        <v>2809</v>
      </c>
      <c r="CW19" s="319"/>
      <c r="CX19" s="319"/>
      <c r="CY19" s="323">
        <f t="shared" si="24"/>
        <v>0.77</v>
      </c>
      <c r="CZ19" s="324">
        <v>0.8809999999999999</v>
      </c>
      <c r="DA19" s="323">
        <v>0.111</v>
      </c>
      <c r="DB19" s="323"/>
      <c r="DC19" s="323">
        <f t="shared" si="25"/>
        <v>0.867</v>
      </c>
      <c r="DD19" s="324">
        <v>0.92</v>
      </c>
      <c r="DE19" s="323">
        <v>0.053</v>
      </c>
      <c r="DF19" s="323"/>
      <c r="DG19" s="323">
        <v>0.16899999999999998</v>
      </c>
      <c r="DH19" s="324">
        <v>0.504</v>
      </c>
      <c r="DI19" s="323">
        <v>0.336</v>
      </c>
      <c r="DJ19" s="323">
        <v>0.067</v>
      </c>
      <c r="DK19" s="323">
        <v>0.028999999999999998</v>
      </c>
      <c r="DL19" s="323">
        <v>0.003</v>
      </c>
      <c r="DM19" s="323"/>
      <c r="DN19" s="323">
        <v>0.33</v>
      </c>
      <c r="DO19" s="324">
        <v>0.7709999999999999</v>
      </c>
      <c r="DP19" s="323">
        <v>0.044000000000000004</v>
      </c>
    </row>
    <row r="20">
      <c r="A20" s="311" t="s">
        <v>426</v>
      </c>
      <c r="B20" s="311" t="s">
        <v>735</v>
      </c>
      <c r="C20" s="311" t="s">
        <v>677</v>
      </c>
      <c r="D20" s="311">
        <v>2.0</v>
      </c>
      <c r="E20" s="312">
        <f t="shared" si="19"/>
        <v>0.6666666667</v>
      </c>
      <c r="F20" s="312" t="str">
        <f t="shared" si="20"/>
        <v>#DIV/0!</v>
      </c>
      <c r="G20" s="312" t="str">
        <f t="shared" si="21"/>
        <v>#DIV/0!</v>
      </c>
      <c r="H20" s="312" t="str">
        <f t="shared" si="22"/>
        <v>#DIV/0!</v>
      </c>
      <c r="I20" s="312" t="str">
        <f t="shared" si="28"/>
        <v>#DIV/0!</v>
      </c>
      <c r="J20" s="312" t="str">
        <f t="shared" si="29"/>
        <v>#DIV/0!</v>
      </c>
      <c r="K20" s="312" t="str">
        <f t="shared" ref="K20:K26" si="31">(COUNTIF(CM20:CP20, "Nay")+COUNTIF(CM20:CP20, "Yea (Amend)")+(0.5*COUNTIF(CM20:CP20, "Present")))/(COUNTIF(CM20:CP20, "Nay")+COUNTIF(CM20:CP20, "Yea (Amend)")+COUNTIF(CM20:CP20, "Yea")+COUNTIF(CM20:CP20, "Nay (Amend)")+COUNTIF(CM20:CP20, "Present"))</f>
        <v>#DIV/0!</v>
      </c>
      <c r="L20" s="316" t="str">
        <f t="shared" si="23"/>
        <v>#DIV/0!</v>
      </c>
      <c r="M20" s="317" t="s">
        <v>487</v>
      </c>
      <c r="N20" s="317" t="s">
        <v>487</v>
      </c>
      <c r="O20" s="317" t="s">
        <v>487</v>
      </c>
      <c r="P20" s="317" t="s">
        <v>594</v>
      </c>
      <c r="Q20" s="317" t="s">
        <v>487</v>
      </c>
      <c r="R20" s="317" t="s">
        <v>594</v>
      </c>
      <c r="S20" s="318" t="s">
        <v>53</v>
      </c>
      <c r="T20" s="318" t="s">
        <v>561</v>
      </c>
      <c r="U20" s="330" t="s">
        <v>561</v>
      </c>
      <c r="V20" s="330" t="s">
        <v>561</v>
      </c>
      <c r="W20" s="318" t="s">
        <v>2795</v>
      </c>
      <c r="X20" s="318" t="s">
        <v>53</v>
      </c>
      <c r="Y20" s="318" t="s">
        <v>2795</v>
      </c>
      <c r="Z20" s="317" t="s">
        <v>2795</v>
      </c>
      <c r="AA20" s="317" t="s">
        <v>53</v>
      </c>
      <c r="AB20" s="317" t="s">
        <v>53</v>
      </c>
      <c r="AC20" s="317" t="s">
        <v>2795</v>
      </c>
      <c r="AD20" s="317" t="s">
        <v>2795</v>
      </c>
      <c r="AE20" s="317" t="s">
        <v>53</v>
      </c>
      <c r="AF20" s="317" t="s">
        <v>561</v>
      </c>
      <c r="AG20" s="317" t="s">
        <v>53</v>
      </c>
      <c r="AH20" s="317" t="s">
        <v>53</v>
      </c>
      <c r="AI20" s="317" t="s">
        <v>53</v>
      </c>
      <c r="AJ20" s="317" t="s">
        <v>2795</v>
      </c>
      <c r="AK20" s="317" t="s">
        <v>2795</v>
      </c>
      <c r="AL20" s="317" t="s">
        <v>2795</v>
      </c>
      <c r="AM20" s="317" t="s">
        <v>2795</v>
      </c>
      <c r="AN20" s="317" t="s">
        <v>2795</v>
      </c>
      <c r="AO20" s="317" t="s">
        <v>2795</v>
      </c>
      <c r="AP20" s="317" t="s">
        <v>561</v>
      </c>
      <c r="AQ20" s="317" t="s">
        <v>561</v>
      </c>
      <c r="AR20" s="317" t="s">
        <v>561</v>
      </c>
      <c r="AS20" s="317" t="s">
        <v>2795</v>
      </c>
      <c r="AT20" s="317" t="s">
        <v>561</v>
      </c>
      <c r="AU20" s="317" t="s">
        <v>53</v>
      </c>
      <c r="AV20" s="317" t="s">
        <v>2795</v>
      </c>
      <c r="AW20" s="317" t="s">
        <v>53</v>
      </c>
      <c r="AX20" s="317" t="s">
        <v>53</v>
      </c>
      <c r="AY20" s="317" t="s">
        <v>53</v>
      </c>
      <c r="AZ20" s="317" t="s">
        <v>53</v>
      </c>
      <c r="BA20" s="317" t="s">
        <v>2796</v>
      </c>
      <c r="BB20" s="317" t="s">
        <v>53</v>
      </c>
      <c r="BC20" s="317" t="s">
        <v>2796</v>
      </c>
      <c r="BD20" s="317" t="s">
        <v>2795</v>
      </c>
      <c r="BE20" s="317" t="s">
        <v>53</v>
      </c>
      <c r="BF20" s="317" t="s">
        <v>53</v>
      </c>
      <c r="BG20" s="317" t="s">
        <v>53</v>
      </c>
      <c r="BH20" s="317" t="s">
        <v>53</v>
      </c>
      <c r="BI20" s="317" t="s">
        <v>561</v>
      </c>
      <c r="BJ20" s="317" t="s">
        <v>53</v>
      </c>
      <c r="BK20" s="317" t="s">
        <v>561</v>
      </c>
      <c r="BL20" s="317" t="s">
        <v>2796</v>
      </c>
      <c r="BM20" s="317" t="s">
        <v>2796</v>
      </c>
      <c r="BN20" s="317" t="s">
        <v>561</v>
      </c>
      <c r="BO20" s="317" t="s">
        <v>2796</v>
      </c>
      <c r="BP20" s="317" t="s">
        <v>2796</v>
      </c>
      <c r="BQ20" s="317" t="s">
        <v>53</v>
      </c>
      <c r="BR20" s="317" t="s">
        <v>53</v>
      </c>
      <c r="BS20" s="317" t="s">
        <v>53</v>
      </c>
      <c r="BT20" s="317" t="s">
        <v>53</v>
      </c>
      <c r="BU20" s="317" t="s">
        <v>53</v>
      </c>
      <c r="BV20" s="317" t="s">
        <v>53</v>
      </c>
      <c r="BW20" s="317" t="s">
        <v>53</v>
      </c>
      <c r="BX20" s="317" t="s">
        <v>561</v>
      </c>
      <c r="BY20" s="317" t="s">
        <v>53</v>
      </c>
      <c r="BZ20" s="317" t="s">
        <v>561</v>
      </c>
      <c r="CA20" s="317" t="s">
        <v>53</v>
      </c>
      <c r="CB20" s="317" t="s">
        <v>53</v>
      </c>
      <c r="CC20" s="317" t="s">
        <v>53</v>
      </c>
      <c r="CD20" s="317" t="s">
        <v>801</v>
      </c>
      <c r="CE20" s="317" t="s">
        <v>53</v>
      </c>
      <c r="CF20" s="317" t="s">
        <v>53</v>
      </c>
      <c r="CG20" s="317" t="s">
        <v>53</v>
      </c>
      <c r="CH20" s="317" t="s">
        <v>53</v>
      </c>
      <c r="CI20" s="317" t="s">
        <v>53</v>
      </c>
      <c r="CJ20" s="317" t="s">
        <v>2796</v>
      </c>
      <c r="CK20" s="317" t="s">
        <v>53</v>
      </c>
      <c r="CL20" s="317" t="s">
        <v>53</v>
      </c>
      <c r="CM20" s="317" t="s">
        <v>561</v>
      </c>
      <c r="CN20" s="317" t="s">
        <v>53</v>
      </c>
      <c r="CO20" s="317" t="s">
        <v>801</v>
      </c>
      <c r="CP20" s="317" t="s">
        <v>53</v>
      </c>
      <c r="CQ20" s="319"/>
      <c r="CR20" s="319">
        <v>1997.0</v>
      </c>
      <c r="CS20" s="320" t="s">
        <v>850</v>
      </c>
      <c r="CT20" s="319"/>
      <c r="CU20" s="319" t="s">
        <v>676</v>
      </c>
      <c r="CV20" s="332" t="s">
        <v>75</v>
      </c>
      <c r="CW20" s="319"/>
      <c r="CX20" s="319"/>
      <c r="CY20" s="323">
        <f t="shared" si="24"/>
        <v>0.308</v>
      </c>
      <c r="CZ20" s="324">
        <v>0.643</v>
      </c>
      <c r="DA20" s="323">
        <v>0.335</v>
      </c>
      <c r="DB20" s="323"/>
      <c r="DC20" s="323">
        <f t="shared" si="25"/>
        <v>0.236</v>
      </c>
      <c r="DD20" s="324">
        <v>0.575</v>
      </c>
      <c r="DE20" s="323">
        <v>0.33899999999999997</v>
      </c>
      <c r="DF20" s="323"/>
      <c r="DG20" s="324">
        <v>0.7390000000000001</v>
      </c>
      <c r="DH20" s="323">
        <v>0.096</v>
      </c>
      <c r="DI20" s="323">
        <v>0.065</v>
      </c>
      <c r="DJ20" s="323">
        <v>0.078</v>
      </c>
      <c r="DK20" s="323">
        <v>0.013999999999999999</v>
      </c>
      <c r="DL20" s="323">
        <v>0.001</v>
      </c>
      <c r="DM20" s="323"/>
      <c r="DN20" s="323">
        <v>0.44</v>
      </c>
      <c r="DO20" s="323">
        <v>0.451</v>
      </c>
      <c r="DP20" s="323">
        <v>0.452</v>
      </c>
    </row>
    <row r="21">
      <c r="A21" s="311" t="s">
        <v>999</v>
      </c>
      <c r="B21" s="311" t="s">
        <v>1000</v>
      </c>
      <c r="C21" s="311" t="s">
        <v>1530</v>
      </c>
      <c r="D21" s="311">
        <v>7.0</v>
      </c>
      <c r="E21" s="312">
        <f t="shared" si="19"/>
        <v>0.8333333333</v>
      </c>
      <c r="F21" s="312" t="str">
        <f t="shared" si="20"/>
        <v>#DIV/0!</v>
      </c>
      <c r="G21" s="312" t="str">
        <f t="shared" si="21"/>
        <v>#DIV/0!</v>
      </c>
      <c r="H21" s="312" t="str">
        <f t="shared" si="22"/>
        <v>#DIV/0!</v>
      </c>
      <c r="I21" s="312" t="str">
        <f t="shared" si="28"/>
        <v>#DIV/0!</v>
      </c>
      <c r="J21" s="312" t="str">
        <f t="shared" si="29"/>
        <v>#DIV/0!</v>
      </c>
      <c r="K21" s="312" t="str">
        <f t="shared" si="31"/>
        <v>#DIV/0!</v>
      </c>
      <c r="L21" s="316" t="str">
        <f t="shared" si="23"/>
        <v>#DIV/0!</v>
      </c>
      <c r="M21" s="317" t="s">
        <v>487</v>
      </c>
      <c r="N21" s="317" t="s">
        <v>487</v>
      </c>
      <c r="O21" s="317" t="s">
        <v>487</v>
      </c>
      <c r="P21" s="317" t="s">
        <v>487</v>
      </c>
      <c r="Q21" s="317" t="s">
        <v>487</v>
      </c>
      <c r="R21" s="317" t="s">
        <v>594</v>
      </c>
      <c r="S21" s="318" t="s">
        <v>53</v>
      </c>
      <c r="T21" s="318" t="s">
        <v>561</v>
      </c>
      <c r="U21" s="330" t="s">
        <v>801</v>
      </c>
      <c r="V21" s="330" t="s">
        <v>561</v>
      </c>
      <c r="W21" s="318" t="s">
        <v>2795</v>
      </c>
      <c r="X21" s="339" t="s">
        <v>801</v>
      </c>
      <c r="Y21" s="318" t="s">
        <v>2795</v>
      </c>
      <c r="Z21" s="317" t="s">
        <v>2795</v>
      </c>
      <c r="AA21" s="317" t="s">
        <v>561</v>
      </c>
      <c r="AB21" s="317" t="s">
        <v>53</v>
      </c>
      <c r="AC21" s="317" t="s">
        <v>2795</v>
      </c>
      <c r="AD21" s="317" t="s">
        <v>2795</v>
      </c>
      <c r="AE21" s="317" t="s">
        <v>53</v>
      </c>
      <c r="AF21" s="317" t="s">
        <v>561</v>
      </c>
      <c r="AG21" s="317" t="s">
        <v>53</v>
      </c>
      <c r="AH21" s="317" t="s">
        <v>561</v>
      </c>
      <c r="AI21" s="317" t="s">
        <v>561</v>
      </c>
      <c r="AJ21" s="317" t="s">
        <v>2795</v>
      </c>
      <c r="AK21" s="317" t="s">
        <v>2795</v>
      </c>
      <c r="AL21" s="317" t="s">
        <v>2795</v>
      </c>
      <c r="AM21" s="317" t="s">
        <v>2795</v>
      </c>
      <c r="AN21" s="317" t="s">
        <v>2795</v>
      </c>
      <c r="AO21" s="317" t="s">
        <v>2795</v>
      </c>
      <c r="AP21" s="317" t="s">
        <v>561</v>
      </c>
      <c r="AQ21" s="317" t="s">
        <v>561</v>
      </c>
      <c r="AR21" s="317" t="s">
        <v>561</v>
      </c>
      <c r="AS21" s="317" t="s">
        <v>2795</v>
      </c>
      <c r="AT21" s="317" t="s">
        <v>561</v>
      </c>
      <c r="AU21" s="317" t="s">
        <v>53</v>
      </c>
      <c r="AV21" s="317" t="s">
        <v>2795</v>
      </c>
      <c r="AW21" s="317" t="s">
        <v>561</v>
      </c>
      <c r="AX21" s="317" t="s">
        <v>53</v>
      </c>
      <c r="AY21" s="317" t="s">
        <v>53</v>
      </c>
      <c r="AZ21" s="317" t="s">
        <v>53</v>
      </c>
      <c r="BA21" s="317" t="s">
        <v>2796</v>
      </c>
      <c r="BB21" s="317" t="s">
        <v>801</v>
      </c>
      <c r="BC21" s="317" t="s">
        <v>2796</v>
      </c>
      <c r="BD21" s="317" t="s">
        <v>2795</v>
      </c>
      <c r="BE21" s="317" t="s">
        <v>53</v>
      </c>
      <c r="BF21" s="317" t="s">
        <v>53</v>
      </c>
      <c r="BG21" s="317" t="s">
        <v>53</v>
      </c>
      <c r="BH21" s="317" t="s">
        <v>53</v>
      </c>
      <c r="BI21" s="317" t="s">
        <v>561</v>
      </c>
      <c r="BJ21" s="317" t="s">
        <v>53</v>
      </c>
      <c r="BK21" s="317" t="s">
        <v>561</v>
      </c>
      <c r="BL21" s="317" t="s">
        <v>2796</v>
      </c>
      <c r="BM21" s="317" t="s">
        <v>2796</v>
      </c>
      <c r="BN21" s="317" t="s">
        <v>53</v>
      </c>
      <c r="BO21" s="317" t="s">
        <v>2796</v>
      </c>
      <c r="BP21" s="317" t="s">
        <v>2796</v>
      </c>
      <c r="BQ21" s="317" t="s">
        <v>53</v>
      </c>
      <c r="BR21" s="317" t="s">
        <v>53</v>
      </c>
      <c r="BS21" s="317" t="s">
        <v>53</v>
      </c>
      <c r="BT21" s="317" t="s">
        <v>53</v>
      </c>
      <c r="BU21" s="317" t="s">
        <v>53</v>
      </c>
      <c r="BV21" s="317" t="s">
        <v>53</v>
      </c>
      <c r="BW21" s="317" t="s">
        <v>53</v>
      </c>
      <c r="BX21" s="317" t="s">
        <v>53</v>
      </c>
      <c r="BY21" s="317" t="s">
        <v>53</v>
      </c>
      <c r="BZ21" s="317" t="s">
        <v>561</v>
      </c>
      <c r="CA21" s="317" t="s">
        <v>53</v>
      </c>
      <c r="CB21" s="317" t="s">
        <v>53</v>
      </c>
      <c r="CC21" s="317" t="s">
        <v>561</v>
      </c>
      <c r="CD21" s="317" t="s">
        <v>53</v>
      </c>
      <c r="CE21" s="317" t="s">
        <v>561</v>
      </c>
      <c r="CF21" s="317" t="s">
        <v>53</v>
      </c>
      <c r="CG21" s="317" t="s">
        <v>53</v>
      </c>
      <c r="CH21" s="317" t="s">
        <v>53</v>
      </c>
      <c r="CI21" s="317" t="s">
        <v>53</v>
      </c>
      <c r="CJ21" s="317" t="s">
        <v>2796</v>
      </c>
      <c r="CK21" s="317" t="s">
        <v>561</v>
      </c>
      <c r="CL21" s="317" t="s">
        <v>53</v>
      </c>
      <c r="CM21" s="317" t="s">
        <v>53</v>
      </c>
      <c r="CN21" s="317" t="s">
        <v>561</v>
      </c>
      <c r="CO21" s="317" t="s">
        <v>801</v>
      </c>
      <c r="CP21" s="317" t="s">
        <v>53</v>
      </c>
      <c r="CQ21" s="319"/>
      <c r="CR21" s="319">
        <v>1993.0</v>
      </c>
      <c r="CS21" s="320" t="s">
        <v>850</v>
      </c>
      <c r="CT21" s="319"/>
      <c r="CU21" s="326" t="s">
        <v>2476</v>
      </c>
      <c r="CV21" s="320" t="s">
        <v>446</v>
      </c>
      <c r="CW21" s="319"/>
      <c r="CX21" s="319"/>
      <c r="CY21" s="323">
        <f t="shared" si="24"/>
        <v>0.626</v>
      </c>
      <c r="CZ21" s="324">
        <v>0.8079999999999999</v>
      </c>
      <c r="DA21" s="323">
        <v>0.182</v>
      </c>
      <c r="DB21" s="323"/>
      <c r="DC21" s="323">
        <f t="shared" si="25"/>
        <v>0.727</v>
      </c>
      <c r="DD21" s="324">
        <v>0.846</v>
      </c>
      <c r="DE21" s="323">
        <v>0.11900000000000001</v>
      </c>
      <c r="DF21" s="323"/>
      <c r="DG21" s="324">
        <v>0.37</v>
      </c>
      <c r="DH21" s="323">
        <v>0.341</v>
      </c>
      <c r="DI21" s="323">
        <v>0.14800000000000002</v>
      </c>
      <c r="DJ21" s="323">
        <v>0.155</v>
      </c>
      <c r="DK21" s="323">
        <v>0.024</v>
      </c>
      <c r="DL21" s="323">
        <v>0.003</v>
      </c>
      <c r="DM21" s="323"/>
      <c r="DN21" s="323">
        <v>0.39899999999999997</v>
      </c>
      <c r="DO21" s="324">
        <v>0.58</v>
      </c>
      <c r="DP21" s="323">
        <v>0.17300000000000001</v>
      </c>
    </row>
    <row r="22">
      <c r="A22" s="311" t="s">
        <v>1139</v>
      </c>
      <c r="B22" s="311" t="s">
        <v>1140</v>
      </c>
      <c r="C22" s="311" t="s">
        <v>532</v>
      </c>
      <c r="D22" s="311">
        <v>3.0</v>
      </c>
      <c r="E22" s="312">
        <f t="shared" si="19"/>
        <v>0.8333333333</v>
      </c>
      <c r="F22" s="312" t="str">
        <f t="shared" si="20"/>
        <v>#DIV/0!</v>
      </c>
      <c r="G22" s="312" t="str">
        <f t="shared" si="21"/>
        <v>#DIV/0!</v>
      </c>
      <c r="H22" s="312" t="str">
        <f t="shared" si="22"/>
        <v>#DIV/0!</v>
      </c>
      <c r="I22" s="312" t="str">
        <f t="shared" si="28"/>
        <v>#DIV/0!</v>
      </c>
      <c r="J22" s="312" t="str">
        <f t="shared" si="29"/>
        <v>#DIV/0!</v>
      </c>
      <c r="K22" s="312" t="str">
        <f t="shared" si="31"/>
        <v>#DIV/0!</v>
      </c>
      <c r="L22" s="316" t="str">
        <f t="shared" si="23"/>
        <v>#DIV/0!</v>
      </c>
      <c r="M22" s="317" t="s">
        <v>487</v>
      </c>
      <c r="N22" s="317" t="s">
        <v>487</v>
      </c>
      <c r="O22" s="317" t="s">
        <v>487</v>
      </c>
      <c r="P22" s="317" t="s">
        <v>487</v>
      </c>
      <c r="Q22" s="317" t="s">
        <v>594</v>
      </c>
      <c r="R22" s="317" t="s">
        <v>487</v>
      </c>
      <c r="S22" s="318" t="s">
        <v>53</v>
      </c>
      <c r="T22" s="318" t="s">
        <v>561</v>
      </c>
      <c r="U22" s="330" t="s">
        <v>561</v>
      </c>
      <c r="V22" s="330" t="s">
        <v>561</v>
      </c>
      <c r="W22" s="318" t="s">
        <v>2795</v>
      </c>
      <c r="X22" s="318" t="s">
        <v>53</v>
      </c>
      <c r="Y22" s="318" t="s">
        <v>2795</v>
      </c>
      <c r="Z22" s="317" t="s">
        <v>2795</v>
      </c>
      <c r="AA22" s="317" t="s">
        <v>53</v>
      </c>
      <c r="AB22" s="317" t="s">
        <v>53</v>
      </c>
      <c r="AC22" s="317" t="s">
        <v>2795</v>
      </c>
      <c r="AD22" s="317" t="s">
        <v>2795</v>
      </c>
      <c r="AE22" s="317" t="s">
        <v>53</v>
      </c>
      <c r="AF22" s="317" t="s">
        <v>561</v>
      </c>
      <c r="AG22" s="317" t="s">
        <v>561</v>
      </c>
      <c r="AH22" s="317" t="s">
        <v>561</v>
      </c>
      <c r="AI22" s="317" t="s">
        <v>561</v>
      </c>
      <c r="AJ22" s="317" t="s">
        <v>2795</v>
      </c>
      <c r="AK22" s="317" t="s">
        <v>2795</v>
      </c>
      <c r="AL22" s="317" t="s">
        <v>2795</v>
      </c>
      <c r="AM22" s="317" t="s">
        <v>2795</v>
      </c>
      <c r="AN22" s="317" t="s">
        <v>2795</v>
      </c>
      <c r="AO22" s="317" t="s">
        <v>2795</v>
      </c>
      <c r="AP22" s="317" t="s">
        <v>561</v>
      </c>
      <c r="AQ22" s="317" t="s">
        <v>561</v>
      </c>
      <c r="AR22" s="317" t="s">
        <v>561</v>
      </c>
      <c r="AS22" s="317" t="s">
        <v>2795</v>
      </c>
      <c r="AT22" s="317" t="s">
        <v>561</v>
      </c>
      <c r="AU22" s="317" t="s">
        <v>53</v>
      </c>
      <c r="AV22" s="317" t="s">
        <v>2795</v>
      </c>
      <c r="AW22" s="317" t="s">
        <v>53</v>
      </c>
      <c r="AX22" s="317" t="s">
        <v>53</v>
      </c>
      <c r="AY22" s="317" t="s">
        <v>53</v>
      </c>
      <c r="AZ22" s="317" t="s">
        <v>561</v>
      </c>
      <c r="BA22" s="317" t="s">
        <v>2796</v>
      </c>
      <c r="BB22" s="317" t="s">
        <v>53</v>
      </c>
      <c r="BC22" s="317" t="s">
        <v>2796</v>
      </c>
      <c r="BD22" s="317" t="s">
        <v>2795</v>
      </c>
      <c r="BE22" s="317" t="s">
        <v>53</v>
      </c>
      <c r="BF22" s="317" t="s">
        <v>561</v>
      </c>
      <c r="BG22" s="317" t="s">
        <v>53</v>
      </c>
      <c r="BH22" s="317" t="s">
        <v>53</v>
      </c>
      <c r="BI22" s="317" t="s">
        <v>53</v>
      </c>
      <c r="BJ22" s="317" t="s">
        <v>53</v>
      </c>
      <c r="BK22" s="317" t="s">
        <v>53</v>
      </c>
      <c r="BL22" s="317" t="s">
        <v>2796</v>
      </c>
      <c r="BM22" s="317" t="s">
        <v>2796</v>
      </c>
      <c r="BN22" s="317" t="s">
        <v>53</v>
      </c>
      <c r="BO22" s="317" t="s">
        <v>2796</v>
      </c>
      <c r="BP22" s="317" t="s">
        <v>2806</v>
      </c>
      <c r="BQ22" s="317" t="s">
        <v>53</v>
      </c>
      <c r="BR22" s="317" t="s">
        <v>561</v>
      </c>
      <c r="BS22" s="317" t="s">
        <v>53</v>
      </c>
      <c r="BT22" s="317" t="s">
        <v>53</v>
      </c>
      <c r="BU22" s="317" t="s">
        <v>53</v>
      </c>
      <c r="BV22" s="317" t="s">
        <v>53</v>
      </c>
      <c r="BW22" s="317" t="s">
        <v>53</v>
      </c>
      <c r="BX22" s="317" t="s">
        <v>53</v>
      </c>
      <c r="BY22" s="317" t="s">
        <v>53</v>
      </c>
      <c r="BZ22" s="317" t="s">
        <v>561</v>
      </c>
      <c r="CA22" s="317" t="s">
        <v>53</v>
      </c>
      <c r="CB22" s="317" t="s">
        <v>561</v>
      </c>
      <c r="CC22" s="317" t="s">
        <v>561</v>
      </c>
      <c r="CD22" s="317" t="s">
        <v>53</v>
      </c>
      <c r="CE22" s="317" t="s">
        <v>53</v>
      </c>
      <c r="CF22" s="317" t="s">
        <v>53</v>
      </c>
      <c r="CG22" s="317" t="s">
        <v>53</v>
      </c>
      <c r="CH22" s="317" t="s">
        <v>53</v>
      </c>
      <c r="CI22" s="317" t="s">
        <v>53</v>
      </c>
      <c r="CJ22" s="317" t="s">
        <v>2796</v>
      </c>
      <c r="CK22" s="317" t="s">
        <v>53</v>
      </c>
      <c r="CL22" s="317" t="s">
        <v>53</v>
      </c>
      <c r="CM22" s="317" t="s">
        <v>53</v>
      </c>
      <c r="CN22" s="317" t="s">
        <v>53</v>
      </c>
      <c r="CO22" s="317" t="s">
        <v>53</v>
      </c>
      <c r="CP22" s="317" t="s">
        <v>53</v>
      </c>
      <c r="CQ22" s="319"/>
      <c r="CR22" s="319" t="s">
        <v>1250</v>
      </c>
      <c r="CS22" s="320" t="s">
        <v>850</v>
      </c>
      <c r="CT22" s="319"/>
      <c r="CU22" s="326" t="s">
        <v>2476</v>
      </c>
      <c r="CV22" s="332" t="s">
        <v>75</v>
      </c>
      <c r="CW22" s="319"/>
      <c r="CX22" s="319"/>
      <c r="CY22" s="323">
        <f t="shared" si="24"/>
        <v>0.473</v>
      </c>
      <c r="CZ22" s="324">
        <v>0.725</v>
      </c>
      <c r="DA22" s="323">
        <v>0.252</v>
      </c>
      <c r="DB22" s="323"/>
      <c r="DC22" s="323">
        <f t="shared" si="25"/>
        <v>0.432</v>
      </c>
      <c r="DD22" s="324">
        <v>0.6659999999999999</v>
      </c>
      <c r="DE22" s="323">
        <v>0.23399999999999999</v>
      </c>
      <c r="DF22" s="323"/>
      <c r="DG22" s="324">
        <v>0.679</v>
      </c>
      <c r="DH22" s="323">
        <v>0.12</v>
      </c>
      <c r="DI22" s="323">
        <v>0.067</v>
      </c>
      <c r="DJ22" s="323">
        <v>0.094</v>
      </c>
      <c r="DK22" s="323">
        <v>0.036000000000000004</v>
      </c>
      <c r="DL22" s="323">
        <v>0.011000000000000001</v>
      </c>
      <c r="DM22" s="323"/>
      <c r="DN22" s="323">
        <v>0.381</v>
      </c>
      <c r="DO22" s="323">
        <v>0.424</v>
      </c>
      <c r="DP22" s="323">
        <v>0.442</v>
      </c>
    </row>
    <row r="23">
      <c r="A23" s="311" t="s">
        <v>81</v>
      </c>
      <c r="B23" s="311" t="s">
        <v>82</v>
      </c>
      <c r="C23" s="311" t="s">
        <v>1262</v>
      </c>
      <c r="D23" s="311">
        <v>7.0</v>
      </c>
      <c r="E23" s="312">
        <f t="shared" si="19"/>
        <v>1</v>
      </c>
      <c r="F23" s="312" t="str">
        <f t="shared" si="20"/>
        <v>#DIV/0!</v>
      </c>
      <c r="G23" s="312" t="str">
        <f t="shared" si="21"/>
        <v>#DIV/0!</v>
      </c>
      <c r="H23" s="312" t="str">
        <f t="shared" si="22"/>
        <v>#DIV/0!</v>
      </c>
      <c r="I23" s="312" t="str">
        <f t="shared" si="28"/>
        <v>#DIV/0!</v>
      </c>
      <c r="J23" s="312" t="str">
        <f t="shared" si="29"/>
        <v>#DIV/0!</v>
      </c>
      <c r="K23" s="312" t="str">
        <f t="shared" si="31"/>
        <v>#DIV/0!</v>
      </c>
      <c r="L23" s="316" t="str">
        <f t="shared" si="23"/>
        <v>#DIV/0!</v>
      </c>
      <c r="M23" s="317" t="s">
        <v>487</v>
      </c>
      <c r="N23" s="317" t="s">
        <v>487</v>
      </c>
      <c r="O23" s="317" t="s">
        <v>487</v>
      </c>
      <c r="P23" s="317" t="s">
        <v>487</v>
      </c>
      <c r="Q23" s="317" t="s">
        <v>487</v>
      </c>
      <c r="R23" s="317" t="s">
        <v>487</v>
      </c>
      <c r="S23" s="318" t="s">
        <v>561</v>
      </c>
      <c r="T23" s="318" t="s">
        <v>561</v>
      </c>
      <c r="U23" s="330" t="s">
        <v>561</v>
      </c>
      <c r="V23" s="330" t="s">
        <v>561</v>
      </c>
      <c r="W23" s="318" t="s">
        <v>2795</v>
      </c>
      <c r="X23" s="340" t="s">
        <v>561</v>
      </c>
      <c r="Y23" s="318" t="s">
        <v>2795</v>
      </c>
      <c r="Z23" s="317" t="s">
        <v>2795</v>
      </c>
      <c r="AA23" s="317" t="s">
        <v>561</v>
      </c>
      <c r="AB23" s="317" t="s">
        <v>53</v>
      </c>
      <c r="AC23" s="317" t="s">
        <v>2795</v>
      </c>
      <c r="AD23" s="317" t="s">
        <v>2795</v>
      </c>
      <c r="AE23" s="317" t="s">
        <v>561</v>
      </c>
      <c r="AF23" s="317" t="s">
        <v>561</v>
      </c>
      <c r="AG23" s="317" t="s">
        <v>53</v>
      </c>
      <c r="AH23" s="317" t="s">
        <v>53</v>
      </c>
      <c r="AI23" s="317" t="s">
        <v>561</v>
      </c>
      <c r="AJ23" s="317" t="s">
        <v>2795</v>
      </c>
      <c r="AK23" s="317" t="s">
        <v>2795</v>
      </c>
      <c r="AL23" s="317" t="s">
        <v>2795</v>
      </c>
      <c r="AM23" s="317" t="s">
        <v>2795</v>
      </c>
      <c r="AN23" s="317" t="s">
        <v>2795</v>
      </c>
      <c r="AO23" s="317" t="s">
        <v>2795</v>
      </c>
      <c r="AP23" s="317" t="s">
        <v>53</v>
      </c>
      <c r="AQ23" s="317" t="s">
        <v>561</v>
      </c>
      <c r="AR23" s="317" t="s">
        <v>561</v>
      </c>
      <c r="AS23" s="317" t="s">
        <v>2795</v>
      </c>
      <c r="AT23" s="317" t="s">
        <v>561</v>
      </c>
      <c r="AU23" s="317" t="s">
        <v>561</v>
      </c>
      <c r="AV23" s="317" t="s">
        <v>2795</v>
      </c>
      <c r="AW23" s="317" t="s">
        <v>561</v>
      </c>
      <c r="AX23" s="317" t="s">
        <v>53</v>
      </c>
      <c r="AY23" s="317" t="s">
        <v>561</v>
      </c>
      <c r="AZ23" s="317" t="s">
        <v>561</v>
      </c>
      <c r="BA23" s="317" t="s">
        <v>2796</v>
      </c>
      <c r="BB23" s="317" t="s">
        <v>561</v>
      </c>
      <c r="BC23" s="317" t="s">
        <v>2796</v>
      </c>
      <c r="BD23" s="317" t="s">
        <v>2795</v>
      </c>
      <c r="BE23" s="317" t="s">
        <v>53</v>
      </c>
      <c r="BF23" s="317" t="s">
        <v>561</v>
      </c>
      <c r="BG23" s="317" t="s">
        <v>53</v>
      </c>
      <c r="BH23" s="317" t="s">
        <v>53</v>
      </c>
      <c r="BI23" s="317" t="s">
        <v>53</v>
      </c>
      <c r="BJ23" s="317" t="s">
        <v>53</v>
      </c>
      <c r="BK23" s="317" t="s">
        <v>561</v>
      </c>
      <c r="BL23" s="317" t="s">
        <v>2796</v>
      </c>
      <c r="BM23" s="317" t="s">
        <v>2796</v>
      </c>
      <c r="BN23" s="317" t="s">
        <v>53</v>
      </c>
      <c r="BO23" s="317" t="s">
        <v>2796</v>
      </c>
      <c r="BP23" s="317" t="s">
        <v>2806</v>
      </c>
      <c r="BQ23" s="317" t="s">
        <v>53</v>
      </c>
      <c r="BR23" s="317" t="s">
        <v>561</v>
      </c>
      <c r="BS23" s="317" t="s">
        <v>53</v>
      </c>
      <c r="BT23" s="317" t="s">
        <v>53</v>
      </c>
      <c r="BU23" s="317" t="s">
        <v>53</v>
      </c>
      <c r="BV23" s="317" t="s">
        <v>53</v>
      </c>
      <c r="BW23" s="317" t="s">
        <v>53</v>
      </c>
      <c r="BX23" s="317" t="s">
        <v>561</v>
      </c>
      <c r="BY23" s="317" t="s">
        <v>53</v>
      </c>
      <c r="BZ23" s="317" t="s">
        <v>561</v>
      </c>
      <c r="CA23" s="317" t="s">
        <v>53</v>
      </c>
      <c r="CB23" s="317" t="s">
        <v>53</v>
      </c>
      <c r="CC23" s="317" t="s">
        <v>53</v>
      </c>
      <c r="CD23" s="317" t="s">
        <v>801</v>
      </c>
      <c r="CE23" s="317" t="s">
        <v>53</v>
      </c>
      <c r="CF23" s="317" t="s">
        <v>53</v>
      </c>
      <c r="CG23" s="317" t="s">
        <v>53</v>
      </c>
      <c r="CH23" s="317" t="s">
        <v>53</v>
      </c>
      <c r="CI23" s="317" t="s">
        <v>53</v>
      </c>
      <c r="CJ23" s="317" t="s">
        <v>2796</v>
      </c>
      <c r="CK23" s="317" t="s">
        <v>53</v>
      </c>
      <c r="CL23" s="317" t="s">
        <v>53</v>
      </c>
      <c r="CM23" s="317" t="s">
        <v>53</v>
      </c>
      <c r="CN23" s="317" t="s">
        <v>53</v>
      </c>
      <c r="CO23" s="317" t="s">
        <v>53</v>
      </c>
      <c r="CP23" s="317" t="s">
        <v>53</v>
      </c>
      <c r="CQ23" s="319"/>
      <c r="CR23" s="319">
        <v>2003.0</v>
      </c>
      <c r="CS23" s="320" t="s">
        <v>850</v>
      </c>
      <c r="CT23" s="320" t="s">
        <v>940</v>
      </c>
      <c r="CU23" s="319" t="s">
        <v>676</v>
      </c>
      <c r="CV23" s="320" t="s">
        <v>83</v>
      </c>
      <c r="CW23" s="319"/>
      <c r="CX23" s="319"/>
      <c r="CY23" s="323">
        <f t="shared" si="24"/>
        <v>0.327</v>
      </c>
      <c r="CZ23" s="324">
        <v>0.6559999999999999</v>
      </c>
      <c r="DA23" s="323">
        <v>0.32899999999999996</v>
      </c>
      <c r="DB23" s="323"/>
      <c r="DC23" s="323">
        <f t="shared" si="25"/>
        <v>0.336</v>
      </c>
      <c r="DD23" s="324">
        <v>0.634</v>
      </c>
      <c r="DE23" s="323">
        <v>0.298</v>
      </c>
      <c r="DF23" s="323"/>
      <c r="DG23" s="323">
        <v>0.32899999999999996</v>
      </c>
      <c r="DH23" s="324">
        <v>0.555</v>
      </c>
      <c r="DI23" s="323">
        <v>0.049</v>
      </c>
      <c r="DJ23" s="323">
        <v>0.03</v>
      </c>
      <c r="DK23" s="323">
        <v>0.057999999999999996</v>
      </c>
      <c r="DL23" s="323">
        <v>0.004</v>
      </c>
      <c r="DM23" s="323"/>
      <c r="DN23" s="323">
        <v>0.198</v>
      </c>
      <c r="DO23" s="323">
        <v>0.319</v>
      </c>
      <c r="DP23" s="323">
        <v>0.256</v>
      </c>
    </row>
    <row r="24">
      <c r="A24" s="311" t="s">
        <v>619</v>
      </c>
      <c r="B24" s="311" t="s">
        <v>620</v>
      </c>
      <c r="C24" s="311" t="s">
        <v>848</v>
      </c>
      <c r="D24" s="311">
        <v>9.0</v>
      </c>
      <c r="E24" s="312">
        <f t="shared" si="19"/>
        <v>0.8333333333</v>
      </c>
      <c r="F24" s="312" t="str">
        <f t="shared" si="20"/>
        <v>#DIV/0!</v>
      </c>
      <c r="G24" s="312" t="str">
        <f t="shared" si="21"/>
        <v>#DIV/0!</v>
      </c>
      <c r="H24" s="312" t="str">
        <f t="shared" si="22"/>
        <v>#DIV/0!</v>
      </c>
      <c r="I24" s="312" t="str">
        <f t="shared" si="28"/>
        <v>#DIV/0!</v>
      </c>
      <c r="J24" s="312" t="str">
        <f t="shared" si="29"/>
        <v>#DIV/0!</v>
      </c>
      <c r="K24" s="312" t="str">
        <f t="shared" si="31"/>
        <v>#DIV/0!</v>
      </c>
      <c r="L24" s="316" t="str">
        <f t="shared" si="23"/>
        <v>#DIV/0!</v>
      </c>
      <c r="M24" s="317" t="s">
        <v>487</v>
      </c>
      <c r="N24" s="317" t="s">
        <v>487</v>
      </c>
      <c r="O24" s="317" t="s">
        <v>487</v>
      </c>
      <c r="P24" s="317" t="s">
        <v>487</v>
      </c>
      <c r="Q24" s="317" t="s">
        <v>487</v>
      </c>
      <c r="R24" s="317" t="s">
        <v>594</v>
      </c>
      <c r="S24" s="318" t="s">
        <v>53</v>
      </c>
      <c r="T24" s="318" t="s">
        <v>561</v>
      </c>
      <c r="U24" s="330" t="s">
        <v>561</v>
      </c>
      <c r="V24" s="330" t="s">
        <v>561</v>
      </c>
      <c r="W24" s="339" t="s">
        <v>801</v>
      </c>
      <c r="X24" s="318" t="s">
        <v>53</v>
      </c>
      <c r="Y24" s="318" t="s">
        <v>2795</v>
      </c>
      <c r="Z24" s="317" t="s">
        <v>2795</v>
      </c>
      <c r="AA24" s="317" t="s">
        <v>561</v>
      </c>
      <c r="AB24" s="317" t="s">
        <v>53</v>
      </c>
      <c r="AC24" s="317" t="s">
        <v>2795</v>
      </c>
      <c r="AD24" s="317" t="s">
        <v>2795</v>
      </c>
      <c r="AE24" s="317" t="s">
        <v>53</v>
      </c>
      <c r="AF24" s="317" t="s">
        <v>561</v>
      </c>
      <c r="AG24" s="317" t="s">
        <v>561</v>
      </c>
      <c r="AH24" s="317" t="s">
        <v>561</v>
      </c>
      <c r="AI24" s="317" t="s">
        <v>53</v>
      </c>
      <c r="AJ24" s="317" t="s">
        <v>2795</v>
      </c>
      <c r="AK24" s="317" t="s">
        <v>2795</v>
      </c>
      <c r="AL24" s="317" t="s">
        <v>2795</v>
      </c>
      <c r="AM24" s="317" t="s">
        <v>2795</v>
      </c>
      <c r="AN24" s="317" t="s">
        <v>2795</v>
      </c>
      <c r="AO24" s="317" t="s">
        <v>2795</v>
      </c>
      <c r="AP24" s="317" t="s">
        <v>561</v>
      </c>
      <c r="AQ24" s="317" t="s">
        <v>561</v>
      </c>
      <c r="AR24" s="317" t="s">
        <v>561</v>
      </c>
      <c r="AS24" s="317" t="s">
        <v>2795</v>
      </c>
      <c r="AT24" s="317" t="s">
        <v>561</v>
      </c>
      <c r="AU24" s="317" t="s">
        <v>561</v>
      </c>
      <c r="AV24" s="317" t="s">
        <v>2795</v>
      </c>
      <c r="AW24" s="317" t="s">
        <v>561</v>
      </c>
      <c r="AX24" s="317" t="s">
        <v>53</v>
      </c>
      <c r="AY24" s="317" t="s">
        <v>53</v>
      </c>
      <c r="AZ24" s="317" t="s">
        <v>561</v>
      </c>
      <c r="BA24" s="317" t="s">
        <v>2796</v>
      </c>
      <c r="BB24" s="317" t="s">
        <v>561</v>
      </c>
      <c r="BC24" s="317" t="s">
        <v>2796</v>
      </c>
      <c r="BD24" s="317" t="s">
        <v>2795</v>
      </c>
      <c r="BE24" s="317" t="s">
        <v>53</v>
      </c>
      <c r="BF24" s="317" t="s">
        <v>561</v>
      </c>
      <c r="BG24" s="317" t="s">
        <v>53</v>
      </c>
      <c r="BH24" s="317" t="s">
        <v>53</v>
      </c>
      <c r="BI24" s="317" t="s">
        <v>561</v>
      </c>
      <c r="BJ24" s="317" t="s">
        <v>53</v>
      </c>
      <c r="BK24" s="317" t="s">
        <v>561</v>
      </c>
      <c r="BL24" s="317" t="s">
        <v>2796</v>
      </c>
      <c r="BM24" s="317" t="s">
        <v>2796</v>
      </c>
      <c r="BN24" s="317" t="s">
        <v>53</v>
      </c>
      <c r="BO24" s="317" t="s">
        <v>2796</v>
      </c>
      <c r="BP24" s="317" t="s">
        <v>2796</v>
      </c>
      <c r="BQ24" s="317" t="s">
        <v>53</v>
      </c>
      <c r="BR24" s="317" t="s">
        <v>53</v>
      </c>
      <c r="BS24" s="317" t="s">
        <v>53</v>
      </c>
      <c r="BT24" s="317" t="s">
        <v>53</v>
      </c>
      <c r="BU24" s="317" t="s">
        <v>53</v>
      </c>
      <c r="BV24" s="317" t="s">
        <v>53</v>
      </c>
      <c r="BW24" s="317" t="s">
        <v>53</v>
      </c>
      <c r="BX24" s="317" t="s">
        <v>561</v>
      </c>
      <c r="BY24" s="317" t="s">
        <v>53</v>
      </c>
      <c r="BZ24" s="317" t="s">
        <v>561</v>
      </c>
      <c r="CA24" s="317" t="s">
        <v>53</v>
      </c>
      <c r="CB24" s="317" t="s">
        <v>53</v>
      </c>
      <c r="CC24" s="317" t="s">
        <v>53</v>
      </c>
      <c r="CD24" s="317" t="s">
        <v>53</v>
      </c>
      <c r="CE24" s="317" t="s">
        <v>53</v>
      </c>
      <c r="CF24" s="317" t="s">
        <v>53</v>
      </c>
      <c r="CG24" s="317" t="s">
        <v>53</v>
      </c>
      <c r="CH24" s="317" t="s">
        <v>53</v>
      </c>
      <c r="CI24" s="317" t="s">
        <v>53</v>
      </c>
      <c r="CJ24" s="317" t="s">
        <v>2796</v>
      </c>
      <c r="CK24" s="317" t="s">
        <v>53</v>
      </c>
      <c r="CL24" s="317" t="s">
        <v>53</v>
      </c>
      <c r="CM24" s="317" t="s">
        <v>53</v>
      </c>
      <c r="CN24" s="317" t="s">
        <v>53</v>
      </c>
      <c r="CO24" s="317" t="s">
        <v>53</v>
      </c>
      <c r="CP24" s="317" t="s">
        <v>53</v>
      </c>
      <c r="CQ24" s="319"/>
      <c r="CR24" s="319">
        <v>1999.0</v>
      </c>
      <c r="CS24" s="320" t="s">
        <v>850</v>
      </c>
      <c r="CT24" s="319"/>
      <c r="CU24" s="319" t="s">
        <v>676</v>
      </c>
      <c r="CV24" s="332" t="s">
        <v>75</v>
      </c>
      <c r="CW24" s="319"/>
      <c r="CX24" s="319"/>
      <c r="CY24" s="323">
        <f t="shared" si="24"/>
        <v>0.415</v>
      </c>
      <c r="CZ24" s="324">
        <v>0.6990000000000001</v>
      </c>
      <c r="DA24" s="323">
        <v>0.284</v>
      </c>
      <c r="DB24" s="323"/>
      <c r="DC24" s="323">
        <f t="shared" si="25"/>
        <v>0.424</v>
      </c>
      <c r="DD24" s="324">
        <v>0.682</v>
      </c>
      <c r="DE24" s="323">
        <v>0.258</v>
      </c>
      <c r="DF24" s="323"/>
      <c r="DG24" s="324">
        <v>0.616</v>
      </c>
      <c r="DH24" s="323">
        <v>0.11699999999999999</v>
      </c>
      <c r="DI24" s="323">
        <v>0.09699999999999999</v>
      </c>
      <c r="DJ24" s="323">
        <v>0.16</v>
      </c>
      <c r="DK24" s="323">
        <v>0.015</v>
      </c>
      <c r="DL24" s="323">
        <v>0.001</v>
      </c>
      <c r="DM24" s="323"/>
      <c r="DN24" s="324">
        <v>0.5379999999999999</v>
      </c>
      <c r="DO24" s="324">
        <v>0.591</v>
      </c>
      <c r="DP24" s="323">
        <v>0.285</v>
      </c>
    </row>
    <row r="25">
      <c r="A25" s="311" t="s">
        <v>223</v>
      </c>
      <c r="B25" s="311" t="s">
        <v>224</v>
      </c>
      <c r="C25" s="311" t="s">
        <v>1197</v>
      </c>
      <c r="D25" s="311">
        <v>28.0</v>
      </c>
      <c r="E25" s="312">
        <f t="shared" si="19"/>
        <v>1</v>
      </c>
      <c r="F25" s="312" t="str">
        <f t="shared" si="20"/>
        <v>#DIV/0!</v>
      </c>
      <c r="G25" s="312" t="str">
        <f t="shared" si="21"/>
        <v>#DIV/0!</v>
      </c>
      <c r="H25" s="312" t="str">
        <f t="shared" si="22"/>
        <v>#DIV/0!</v>
      </c>
      <c r="I25" s="312" t="str">
        <f t="shared" si="28"/>
        <v>#DIV/0!</v>
      </c>
      <c r="J25" s="312" t="str">
        <f t="shared" si="29"/>
        <v>#DIV/0!</v>
      </c>
      <c r="K25" s="312" t="str">
        <f t="shared" si="31"/>
        <v>#DIV/0!</v>
      </c>
      <c r="L25" s="316" t="str">
        <f t="shared" si="23"/>
        <v>#DIV/0!</v>
      </c>
      <c r="M25" s="317" t="s">
        <v>487</v>
      </c>
      <c r="N25" s="317" t="s">
        <v>487</v>
      </c>
      <c r="O25" s="317" t="s">
        <v>487</v>
      </c>
      <c r="P25" s="317" t="s">
        <v>487</v>
      </c>
      <c r="Q25" s="317" t="s">
        <v>487</v>
      </c>
      <c r="R25" s="317" t="s">
        <v>487</v>
      </c>
      <c r="S25" s="318" t="s">
        <v>53</v>
      </c>
      <c r="T25" s="318" t="s">
        <v>53</v>
      </c>
      <c r="U25" s="330" t="s">
        <v>561</v>
      </c>
      <c r="V25" s="330" t="s">
        <v>561</v>
      </c>
      <c r="W25" s="318" t="s">
        <v>2795</v>
      </c>
      <c r="X25" s="340" t="s">
        <v>561</v>
      </c>
      <c r="Y25" s="318" t="s">
        <v>2795</v>
      </c>
      <c r="Z25" s="317" t="s">
        <v>2795</v>
      </c>
      <c r="AA25" s="317" t="s">
        <v>561</v>
      </c>
      <c r="AB25" s="317" t="s">
        <v>53</v>
      </c>
      <c r="AC25" s="317" t="s">
        <v>2795</v>
      </c>
      <c r="AD25" s="317" t="s">
        <v>2795</v>
      </c>
      <c r="AE25" s="317" t="s">
        <v>53</v>
      </c>
      <c r="AF25" s="317" t="s">
        <v>561</v>
      </c>
      <c r="AG25" s="317" t="s">
        <v>53</v>
      </c>
      <c r="AH25" s="317" t="s">
        <v>561</v>
      </c>
      <c r="AI25" s="317" t="s">
        <v>561</v>
      </c>
      <c r="AJ25" s="317" t="s">
        <v>2795</v>
      </c>
      <c r="AK25" s="317" t="s">
        <v>2795</v>
      </c>
      <c r="AL25" s="317" t="s">
        <v>2795</v>
      </c>
      <c r="AM25" s="317" t="s">
        <v>2795</v>
      </c>
      <c r="AN25" s="317" t="s">
        <v>2795</v>
      </c>
      <c r="AO25" s="317" t="s">
        <v>2795</v>
      </c>
      <c r="AP25" s="317" t="s">
        <v>561</v>
      </c>
      <c r="AQ25" s="317" t="s">
        <v>561</v>
      </c>
      <c r="AR25" s="317" t="s">
        <v>561</v>
      </c>
      <c r="AS25" s="317" t="s">
        <v>2795</v>
      </c>
      <c r="AT25" s="317" t="s">
        <v>561</v>
      </c>
      <c r="AU25" s="317" t="s">
        <v>53</v>
      </c>
      <c r="AV25" s="317" t="s">
        <v>2795</v>
      </c>
      <c r="AW25" s="317" t="s">
        <v>561</v>
      </c>
      <c r="AX25" s="317" t="s">
        <v>561</v>
      </c>
      <c r="AY25" s="317" t="s">
        <v>53</v>
      </c>
      <c r="AZ25" s="317" t="s">
        <v>561</v>
      </c>
      <c r="BA25" s="317" t="s">
        <v>2796</v>
      </c>
      <c r="BB25" s="317" t="s">
        <v>561</v>
      </c>
      <c r="BC25" s="317" t="s">
        <v>2796</v>
      </c>
      <c r="BD25" s="317" t="s">
        <v>2795</v>
      </c>
      <c r="BE25" s="317" t="s">
        <v>53</v>
      </c>
      <c r="BF25" s="317" t="s">
        <v>561</v>
      </c>
      <c r="BG25" s="317" t="s">
        <v>53</v>
      </c>
      <c r="BH25" s="317" t="s">
        <v>53</v>
      </c>
      <c r="BI25" s="317" t="s">
        <v>561</v>
      </c>
      <c r="BJ25" s="317" t="s">
        <v>561</v>
      </c>
      <c r="BK25" s="317" t="s">
        <v>561</v>
      </c>
      <c r="BL25" s="317" t="s">
        <v>2796</v>
      </c>
      <c r="BM25" s="317" t="s">
        <v>2796</v>
      </c>
      <c r="BN25" s="317" t="s">
        <v>53</v>
      </c>
      <c r="BO25" s="317" t="s">
        <v>2796</v>
      </c>
      <c r="BP25" s="317" t="s">
        <v>2796</v>
      </c>
      <c r="BQ25" s="317" t="s">
        <v>53</v>
      </c>
      <c r="BR25" s="317" t="s">
        <v>53</v>
      </c>
      <c r="BS25" s="317" t="s">
        <v>53</v>
      </c>
      <c r="BT25" s="317" t="s">
        <v>53</v>
      </c>
      <c r="BU25" s="317" t="s">
        <v>53</v>
      </c>
      <c r="BV25" s="317" t="s">
        <v>53</v>
      </c>
      <c r="BW25" s="317" t="s">
        <v>53</v>
      </c>
      <c r="BX25" s="317" t="s">
        <v>561</v>
      </c>
      <c r="BY25" s="317" t="s">
        <v>53</v>
      </c>
      <c r="BZ25" s="317" t="s">
        <v>561</v>
      </c>
      <c r="CA25" s="317" t="s">
        <v>53</v>
      </c>
      <c r="CB25" s="317" t="s">
        <v>561</v>
      </c>
      <c r="CC25" s="317" t="s">
        <v>561</v>
      </c>
      <c r="CD25" s="317" t="s">
        <v>53</v>
      </c>
      <c r="CE25" s="317" t="s">
        <v>53</v>
      </c>
      <c r="CF25" s="317" t="s">
        <v>53</v>
      </c>
      <c r="CG25" s="317" t="s">
        <v>53</v>
      </c>
      <c r="CH25" s="317" t="s">
        <v>561</v>
      </c>
      <c r="CI25" s="317" t="s">
        <v>53</v>
      </c>
      <c r="CJ25" s="317" t="s">
        <v>2796</v>
      </c>
      <c r="CK25" s="317" t="s">
        <v>53</v>
      </c>
      <c r="CL25" s="317" t="s">
        <v>53</v>
      </c>
      <c r="CM25" s="317" t="s">
        <v>53</v>
      </c>
      <c r="CN25" s="317" t="s">
        <v>53</v>
      </c>
      <c r="CO25" s="317" t="s">
        <v>53</v>
      </c>
      <c r="CP25" s="317" t="s">
        <v>561</v>
      </c>
      <c r="CQ25" s="319"/>
      <c r="CR25" s="319" t="s">
        <v>1808</v>
      </c>
      <c r="CS25" s="320" t="s">
        <v>850</v>
      </c>
      <c r="CT25" s="319"/>
      <c r="CU25" s="326" t="s">
        <v>2476</v>
      </c>
      <c r="CV25" s="331" t="s">
        <v>225</v>
      </c>
      <c r="CW25" s="319"/>
      <c r="CX25" s="319"/>
      <c r="CY25" s="323">
        <f t="shared" si="24"/>
        <v>0.342</v>
      </c>
      <c r="CZ25" s="324">
        <v>0.6609999999999999</v>
      </c>
      <c r="DA25" s="323">
        <v>0.319</v>
      </c>
      <c r="DB25" s="323"/>
      <c r="DC25" s="323">
        <f t="shared" si="25"/>
        <v>0.345</v>
      </c>
      <c r="DD25" s="324">
        <v>0.644</v>
      </c>
      <c r="DE25" s="323">
        <v>0.299</v>
      </c>
      <c r="DF25" s="323"/>
      <c r="DG25" s="323">
        <v>0.289</v>
      </c>
      <c r="DH25" s="323">
        <v>0.247</v>
      </c>
      <c r="DI25" s="323">
        <v>0.048</v>
      </c>
      <c r="DJ25" s="324">
        <v>0.414</v>
      </c>
      <c r="DK25" s="323">
        <v>0.023</v>
      </c>
      <c r="DL25" s="323">
        <v>0.004</v>
      </c>
      <c r="DM25" s="323"/>
      <c r="DN25" s="323">
        <v>0.45399999999999996</v>
      </c>
      <c r="DO25" s="324">
        <v>0.56</v>
      </c>
      <c r="DP25" s="323">
        <v>0.15</v>
      </c>
    </row>
    <row r="26">
      <c r="A26" s="311" t="s">
        <v>88</v>
      </c>
      <c r="B26" s="311" t="s">
        <v>89</v>
      </c>
      <c r="C26" s="311" t="s">
        <v>1197</v>
      </c>
      <c r="D26" s="311">
        <v>2.0</v>
      </c>
      <c r="E26" s="312">
        <f t="shared" si="19"/>
        <v>0.6666666667</v>
      </c>
      <c r="F26" s="312">
        <f t="shared" si="20"/>
        <v>0.5</v>
      </c>
      <c r="G26" s="312" t="str">
        <f t="shared" si="21"/>
        <v>#DIV/0!</v>
      </c>
      <c r="H26" s="312" t="str">
        <f t="shared" si="22"/>
        <v>#DIV/0!</v>
      </c>
      <c r="I26" s="312">
        <f t="shared" si="28"/>
        <v>0.5</v>
      </c>
      <c r="J26" s="312" t="str">
        <f t="shared" si="29"/>
        <v>#DIV/0!</v>
      </c>
      <c r="K26" s="312" t="str">
        <f t="shared" si="31"/>
        <v>#DIV/0!</v>
      </c>
      <c r="L26" s="316" t="str">
        <f t="shared" si="23"/>
        <v>#DIV/0!</v>
      </c>
      <c r="M26" s="317" t="s">
        <v>487</v>
      </c>
      <c r="N26" s="317" t="s">
        <v>487</v>
      </c>
      <c r="O26" s="317" t="s">
        <v>487</v>
      </c>
      <c r="P26" s="317" t="s">
        <v>594</v>
      </c>
      <c r="Q26" s="317" t="s">
        <v>594</v>
      </c>
      <c r="R26" s="317" t="s">
        <v>487</v>
      </c>
      <c r="S26" s="318" t="s">
        <v>561</v>
      </c>
      <c r="T26" s="318" t="s">
        <v>561</v>
      </c>
      <c r="U26" s="330" t="s">
        <v>561</v>
      </c>
      <c r="V26" s="330" t="s">
        <v>561</v>
      </c>
      <c r="W26" s="318" t="s">
        <v>2795</v>
      </c>
      <c r="X26" s="340" t="s">
        <v>561</v>
      </c>
      <c r="Y26" s="318" t="s">
        <v>2795</v>
      </c>
      <c r="Z26" s="317" t="s">
        <v>2795</v>
      </c>
      <c r="AA26" s="317" t="s">
        <v>561</v>
      </c>
      <c r="AB26" s="317" t="s">
        <v>53</v>
      </c>
      <c r="AC26" s="317" t="s">
        <v>2795</v>
      </c>
      <c r="AD26" s="317" t="s">
        <v>2795</v>
      </c>
      <c r="AE26" s="317" t="s">
        <v>53</v>
      </c>
      <c r="AF26" s="317" t="s">
        <v>561</v>
      </c>
      <c r="AG26" s="317" t="s">
        <v>53</v>
      </c>
      <c r="AH26" s="317" t="s">
        <v>53</v>
      </c>
      <c r="AI26" s="317" t="s">
        <v>561</v>
      </c>
      <c r="AJ26" s="317" t="s">
        <v>2795</v>
      </c>
      <c r="AK26" s="317" t="s">
        <v>2795</v>
      </c>
      <c r="AL26" s="317" t="s">
        <v>2795</v>
      </c>
      <c r="AM26" s="317" t="s">
        <v>2795</v>
      </c>
      <c r="AN26" s="317" t="s">
        <v>2795</v>
      </c>
      <c r="AO26" s="317" t="s">
        <v>2795</v>
      </c>
      <c r="AP26" s="317" t="s">
        <v>561</v>
      </c>
      <c r="AQ26" s="317" t="s">
        <v>561</v>
      </c>
      <c r="AR26" s="317" t="s">
        <v>561</v>
      </c>
      <c r="AS26" s="317" t="s">
        <v>2795</v>
      </c>
      <c r="AT26" s="317" t="s">
        <v>561</v>
      </c>
      <c r="AU26" s="317" t="s">
        <v>53</v>
      </c>
      <c r="AV26" s="317" t="s">
        <v>2795</v>
      </c>
      <c r="AW26" s="317" t="s">
        <v>53</v>
      </c>
      <c r="AX26" s="317" t="s">
        <v>53</v>
      </c>
      <c r="AY26" s="317" t="s">
        <v>53</v>
      </c>
      <c r="AZ26" s="317" t="s">
        <v>561</v>
      </c>
      <c r="BA26" s="317" t="s">
        <v>2796</v>
      </c>
      <c r="BB26" s="317" t="s">
        <v>561</v>
      </c>
      <c r="BC26" s="317" t="s">
        <v>2796</v>
      </c>
      <c r="BD26" s="317" t="s">
        <v>2795</v>
      </c>
      <c r="BE26" s="317" t="s">
        <v>53</v>
      </c>
      <c r="BF26" s="317" t="s">
        <v>53</v>
      </c>
      <c r="BG26" s="317" t="s">
        <v>53</v>
      </c>
      <c r="BH26" s="317" t="s">
        <v>53</v>
      </c>
      <c r="BI26" s="317" t="s">
        <v>799</v>
      </c>
      <c r="BJ26" s="317" t="s">
        <v>53</v>
      </c>
      <c r="BK26" s="317" t="s">
        <v>561</v>
      </c>
      <c r="BL26" s="317" t="s">
        <v>2796</v>
      </c>
      <c r="BM26" s="317" t="s">
        <v>2796</v>
      </c>
      <c r="BN26" s="317" t="s">
        <v>53</v>
      </c>
      <c r="BO26" s="317" t="s">
        <v>2796</v>
      </c>
      <c r="BP26" s="317" t="s">
        <v>2796</v>
      </c>
      <c r="BQ26" s="317" t="s">
        <v>53</v>
      </c>
      <c r="BR26" s="317" t="s">
        <v>53</v>
      </c>
      <c r="BS26" s="317" t="s">
        <v>53</v>
      </c>
      <c r="BT26" s="317" t="s">
        <v>53</v>
      </c>
      <c r="BU26" s="317" t="s">
        <v>801</v>
      </c>
      <c r="BV26" s="317" t="s">
        <v>53</v>
      </c>
      <c r="BW26" s="317" t="s">
        <v>53</v>
      </c>
      <c r="BX26" s="317" t="s">
        <v>561</v>
      </c>
      <c r="BY26" s="317" t="s">
        <v>53</v>
      </c>
      <c r="BZ26" s="317" t="s">
        <v>53</v>
      </c>
      <c r="CA26" s="317" t="s">
        <v>53</v>
      </c>
      <c r="CB26" s="317" t="s">
        <v>53</v>
      </c>
      <c r="CC26" s="317" t="s">
        <v>53</v>
      </c>
      <c r="CD26" s="317" t="s">
        <v>53</v>
      </c>
      <c r="CE26" s="317" t="s">
        <v>53</v>
      </c>
      <c r="CF26" s="317" t="s">
        <v>53</v>
      </c>
      <c r="CG26" s="317" t="s">
        <v>53</v>
      </c>
      <c r="CH26" s="317" t="s">
        <v>561</v>
      </c>
      <c r="CI26" s="317" t="s">
        <v>53</v>
      </c>
      <c r="CJ26" s="317" t="s">
        <v>2796</v>
      </c>
      <c r="CK26" s="317" t="s">
        <v>53</v>
      </c>
      <c r="CL26" s="317" t="s">
        <v>53</v>
      </c>
      <c r="CM26" s="317" t="s">
        <v>53</v>
      </c>
      <c r="CN26" s="317" t="s">
        <v>561</v>
      </c>
      <c r="CO26" s="317" t="s">
        <v>561</v>
      </c>
      <c r="CP26" s="317" t="s">
        <v>561</v>
      </c>
      <c r="CQ26" s="319"/>
      <c r="CR26" s="319">
        <v>2013.0</v>
      </c>
      <c r="CS26" s="320" t="s">
        <v>850</v>
      </c>
      <c r="CT26" s="319"/>
      <c r="CU26" s="326" t="s">
        <v>2476</v>
      </c>
      <c r="CV26" s="332" t="s">
        <v>75</v>
      </c>
      <c r="CW26" s="319"/>
      <c r="CX26" s="319"/>
      <c r="CY26" s="323">
        <f t="shared" si="24"/>
        <v>0.495</v>
      </c>
      <c r="CZ26" s="324">
        <v>0.735</v>
      </c>
      <c r="DA26" s="323">
        <v>0.24</v>
      </c>
      <c r="DB26" s="323"/>
      <c r="DC26" s="323">
        <f t="shared" si="25"/>
        <v>0.455</v>
      </c>
      <c r="DD26" s="324">
        <v>0.6890000000000001</v>
      </c>
      <c r="DE26" s="323">
        <v>0.23399999999999999</v>
      </c>
      <c r="DF26" s="323"/>
      <c r="DG26" s="324">
        <v>0.684</v>
      </c>
      <c r="DH26" s="323">
        <v>0.179</v>
      </c>
      <c r="DI26" s="323">
        <v>0.026000000000000002</v>
      </c>
      <c r="DJ26" s="323">
        <v>0.059000000000000004</v>
      </c>
      <c r="DK26" s="323">
        <v>0.054000000000000006</v>
      </c>
      <c r="DL26" s="323">
        <v>0.006</v>
      </c>
      <c r="DM26" s="323"/>
      <c r="DN26" s="323">
        <v>0.41700000000000004</v>
      </c>
      <c r="DO26" s="323">
        <v>0.46799999999999997</v>
      </c>
      <c r="DP26" s="323">
        <v>0.415</v>
      </c>
    </row>
    <row r="27">
      <c r="A27" s="311" t="s">
        <v>176</v>
      </c>
      <c r="B27" s="311" t="s">
        <v>178</v>
      </c>
      <c r="C27" s="311" t="s">
        <v>1197</v>
      </c>
      <c r="D27" s="311">
        <v>17.0</v>
      </c>
      <c r="E27" s="312">
        <f t="shared" si="19"/>
        <v>0.6666666667</v>
      </c>
      <c r="F27" s="312" t="str">
        <f t="shared" si="20"/>
        <v>#DIV/0!</v>
      </c>
      <c r="G27" s="312" t="str">
        <f t="shared" si="21"/>
        <v>#DIV/0!</v>
      </c>
      <c r="H27" s="312" t="str">
        <f t="shared" si="22"/>
        <v>#DIV/0!</v>
      </c>
      <c r="I27" s="312" t="str">
        <f t="shared" si="28"/>
        <v>#DIV/0!</v>
      </c>
      <c r="J27" s="312" t="str">
        <f t="shared" si="29"/>
        <v>#DIV/0!</v>
      </c>
      <c r="K27" s="315" t="s">
        <v>2794</v>
      </c>
      <c r="L27" s="316" t="str">
        <f t="shared" si="23"/>
        <v>#DIV/0!</v>
      </c>
      <c r="M27" s="317" t="s">
        <v>487</v>
      </c>
      <c r="N27" s="317" t="s">
        <v>487</v>
      </c>
      <c r="O27" s="317" t="s">
        <v>487</v>
      </c>
      <c r="P27" s="317" t="s">
        <v>487</v>
      </c>
      <c r="Q27" s="317" t="s">
        <v>594</v>
      </c>
      <c r="R27" s="317" t="s">
        <v>594</v>
      </c>
      <c r="S27" s="318" t="s">
        <v>53</v>
      </c>
      <c r="T27" s="318" t="s">
        <v>561</v>
      </c>
      <c r="U27" s="330" t="s">
        <v>561</v>
      </c>
      <c r="V27" s="330" t="s">
        <v>561</v>
      </c>
      <c r="W27" s="339" t="s">
        <v>801</v>
      </c>
      <c r="X27" s="318" t="s">
        <v>53</v>
      </c>
      <c r="Y27" s="318" t="s">
        <v>2795</v>
      </c>
      <c r="Z27" s="317" t="s">
        <v>2795</v>
      </c>
      <c r="AA27" s="317" t="s">
        <v>561</v>
      </c>
      <c r="AB27" s="317" t="s">
        <v>53</v>
      </c>
      <c r="AC27" s="317" t="s">
        <v>2795</v>
      </c>
      <c r="AD27" s="317" t="s">
        <v>2795</v>
      </c>
      <c r="AE27" s="317" t="s">
        <v>53</v>
      </c>
      <c r="AF27" s="317" t="s">
        <v>561</v>
      </c>
      <c r="AG27" s="317" t="s">
        <v>561</v>
      </c>
      <c r="AH27" s="317" t="s">
        <v>561</v>
      </c>
      <c r="AI27" s="317" t="s">
        <v>53</v>
      </c>
      <c r="AJ27" s="317" t="s">
        <v>2795</v>
      </c>
      <c r="AK27" s="317" t="s">
        <v>2795</v>
      </c>
      <c r="AL27" s="317" t="s">
        <v>2795</v>
      </c>
      <c r="AM27" s="317" t="s">
        <v>2795</v>
      </c>
      <c r="AN27" s="317" t="s">
        <v>2795</v>
      </c>
      <c r="AO27" s="317" t="s">
        <v>2795</v>
      </c>
      <c r="AP27" s="317" t="s">
        <v>561</v>
      </c>
      <c r="AQ27" s="317" t="s">
        <v>561</v>
      </c>
      <c r="AR27" s="317" t="s">
        <v>561</v>
      </c>
      <c r="AS27" s="317" t="s">
        <v>2795</v>
      </c>
      <c r="AT27" s="317" t="s">
        <v>561</v>
      </c>
      <c r="AU27" s="317" t="s">
        <v>561</v>
      </c>
      <c r="AV27" s="317" t="s">
        <v>2795</v>
      </c>
      <c r="AW27" s="317" t="s">
        <v>53</v>
      </c>
      <c r="AX27" s="317" t="s">
        <v>53</v>
      </c>
      <c r="AY27" s="317" t="s">
        <v>53</v>
      </c>
      <c r="AZ27" s="317" t="s">
        <v>53</v>
      </c>
      <c r="BA27" s="317" t="s">
        <v>2796</v>
      </c>
      <c r="BB27" s="317" t="s">
        <v>53</v>
      </c>
      <c r="BC27" s="317" t="s">
        <v>2796</v>
      </c>
      <c r="BD27" s="317" t="s">
        <v>2795</v>
      </c>
      <c r="BE27" s="317" t="s">
        <v>53</v>
      </c>
      <c r="BF27" s="317" t="s">
        <v>561</v>
      </c>
      <c r="BG27" s="317" t="s">
        <v>53</v>
      </c>
      <c r="BH27" s="317" t="s">
        <v>53</v>
      </c>
      <c r="BI27" s="317" t="s">
        <v>561</v>
      </c>
      <c r="BJ27" s="317" t="s">
        <v>561</v>
      </c>
      <c r="BK27" s="317" t="s">
        <v>561</v>
      </c>
      <c r="BL27" s="317" t="s">
        <v>2796</v>
      </c>
      <c r="BM27" s="317" t="s">
        <v>2796</v>
      </c>
      <c r="BN27" s="317" t="s">
        <v>53</v>
      </c>
      <c r="BO27" s="317" t="s">
        <v>2796</v>
      </c>
      <c r="BP27" s="317" t="s">
        <v>2796</v>
      </c>
      <c r="BQ27" s="317" t="s">
        <v>53</v>
      </c>
      <c r="BR27" s="317" t="s">
        <v>53</v>
      </c>
      <c r="BS27" s="317" t="s">
        <v>53</v>
      </c>
      <c r="BT27" s="317" t="s">
        <v>53</v>
      </c>
      <c r="BU27" s="317" t="s">
        <v>53</v>
      </c>
      <c r="BV27" s="317" t="s">
        <v>53</v>
      </c>
      <c r="BW27" s="317" t="s">
        <v>53</v>
      </c>
      <c r="BX27" s="317" t="s">
        <v>561</v>
      </c>
      <c r="BY27" s="317" t="s">
        <v>53</v>
      </c>
      <c r="BZ27" s="317" t="s">
        <v>53</v>
      </c>
      <c r="CA27" s="317" t="s">
        <v>53</v>
      </c>
      <c r="CB27" s="317" t="s">
        <v>561</v>
      </c>
      <c r="CC27" s="317" t="s">
        <v>561</v>
      </c>
      <c r="CD27" s="317" t="s">
        <v>53</v>
      </c>
      <c r="CE27" s="317" t="s">
        <v>53</v>
      </c>
      <c r="CF27" s="317" t="s">
        <v>53</v>
      </c>
      <c r="CG27" s="317" t="s">
        <v>53</v>
      </c>
      <c r="CH27" s="317" t="s">
        <v>561</v>
      </c>
      <c r="CI27" s="317" t="s">
        <v>53</v>
      </c>
      <c r="CJ27" s="317" t="s">
        <v>2796</v>
      </c>
      <c r="CK27" s="317" t="s">
        <v>53</v>
      </c>
      <c r="CL27" s="317" t="s">
        <v>801</v>
      </c>
      <c r="CM27" s="317" t="s">
        <v>600</v>
      </c>
      <c r="CN27" s="317" t="s">
        <v>600</v>
      </c>
      <c r="CO27" s="317" t="s">
        <v>600</v>
      </c>
      <c r="CP27" s="317" t="s">
        <v>600</v>
      </c>
      <c r="CQ27" s="319"/>
      <c r="CR27" s="319">
        <v>2017.0</v>
      </c>
      <c r="CS27" s="320" t="s">
        <v>850</v>
      </c>
      <c r="CT27" s="320" t="s">
        <v>940</v>
      </c>
      <c r="CU27" s="321" t="s">
        <v>458</v>
      </c>
      <c r="CV27" s="331" t="s">
        <v>105</v>
      </c>
      <c r="CW27" s="319"/>
      <c r="CX27" s="319"/>
      <c r="CY27" s="323">
        <f t="shared" si="24"/>
        <v>0.474</v>
      </c>
      <c r="CZ27" s="324">
        <v>0.727</v>
      </c>
      <c r="DA27" s="323">
        <v>0.253</v>
      </c>
      <c r="DB27" s="323"/>
      <c r="DC27" s="323">
        <f t="shared" si="25"/>
        <v>0.539</v>
      </c>
      <c r="DD27" s="324">
        <v>0.741</v>
      </c>
      <c r="DE27" s="323">
        <v>0.20199999999999999</v>
      </c>
      <c r="DF27" s="323"/>
      <c r="DG27" s="323">
        <v>0.228</v>
      </c>
      <c r="DH27" s="323">
        <v>0.151</v>
      </c>
      <c r="DI27" s="323">
        <v>0.027000000000000003</v>
      </c>
      <c r="DJ27" s="324">
        <v>0.585</v>
      </c>
      <c r="DK27" s="323">
        <v>0.016</v>
      </c>
      <c r="DL27" s="323">
        <v>0.008</v>
      </c>
      <c r="DM27" s="323"/>
      <c r="DN27" s="324">
        <v>0.598</v>
      </c>
      <c r="DO27" s="324">
        <v>0.565</v>
      </c>
      <c r="DP27" s="323">
        <v>0.141</v>
      </c>
    </row>
    <row r="28">
      <c r="A28" s="311" t="s">
        <v>725</v>
      </c>
      <c r="B28" s="311" t="s">
        <v>726</v>
      </c>
      <c r="C28" s="311" t="s">
        <v>646</v>
      </c>
      <c r="D28" s="311">
        <v>8.0</v>
      </c>
      <c r="E28" s="312">
        <f t="shared" si="19"/>
        <v>0.6666666667</v>
      </c>
      <c r="F28" s="312" t="str">
        <f t="shared" si="20"/>
        <v>#DIV/0!</v>
      </c>
      <c r="G28" s="312" t="str">
        <f t="shared" si="21"/>
        <v>#DIV/0!</v>
      </c>
      <c r="H28" s="312" t="str">
        <f t="shared" si="22"/>
        <v>#DIV/0!</v>
      </c>
      <c r="I28" s="312" t="str">
        <f t="shared" si="28"/>
        <v>#DIV/0!</v>
      </c>
      <c r="J28" s="312" t="str">
        <f t="shared" si="29"/>
        <v>#DIV/0!</v>
      </c>
      <c r="K28" s="315" t="s">
        <v>2794</v>
      </c>
      <c r="L28" s="316" t="str">
        <f t="shared" si="23"/>
        <v>#DIV/0!</v>
      </c>
      <c r="M28" s="317" t="s">
        <v>487</v>
      </c>
      <c r="N28" s="317" t="s">
        <v>487</v>
      </c>
      <c r="O28" s="317" t="s">
        <v>487</v>
      </c>
      <c r="P28" s="317" t="s">
        <v>487</v>
      </c>
      <c r="Q28" s="317" t="s">
        <v>594</v>
      </c>
      <c r="R28" s="317" t="s">
        <v>594</v>
      </c>
      <c r="S28" s="318" t="s">
        <v>53</v>
      </c>
      <c r="T28" s="318" t="s">
        <v>561</v>
      </c>
      <c r="U28" s="330" t="s">
        <v>561</v>
      </c>
      <c r="V28" s="330" t="s">
        <v>561</v>
      </c>
      <c r="W28" s="318" t="s">
        <v>2795</v>
      </c>
      <c r="X28" s="318" t="s">
        <v>53</v>
      </c>
      <c r="Y28" s="318" t="s">
        <v>2795</v>
      </c>
      <c r="Z28" s="317" t="s">
        <v>2795</v>
      </c>
      <c r="AA28" s="317" t="s">
        <v>561</v>
      </c>
      <c r="AB28" s="317" t="s">
        <v>53</v>
      </c>
      <c r="AC28" s="317" t="s">
        <v>2795</v>
      </c>
      <c r="AD28" s="317" t="s">
        <v>2795</v>
      </c>
      <c r="AE28" s="317" t="s">
        <v>53</v>
      </c>
      <c r="AF28" s="317" t="s">
        <v>561</v>
      </c>
      <c r="AG28" s="317" t="s">
        <v>561</v>
      </c>
      <c r="AH28" s="317" t="s">
        <v>561</v>
      </c>
      <c r="AI28" s="317" t="s">
        <v>53</v>
      </c>
      <c r="AJ28" s="317" t="s">
        <v>2795</v>
      </c>
      <c r="AK28" s="317" t="s">
        <v>2795</v>
      </c>
      <c r="AL28" s="317" t="s">
        <v>2795</v>
      </c>
      <c r="AM28" s="317" t="s">
        <v>2795</v>
      </c>
      <c r="AN28" s="317" t="s">
        <v>2795</v>
      </c>
      <c r="AO28" s="317" t="s">
        <v>2795</v>
      </c>
      <c r="AP28" s="317" t="s">
        <v>561</v>
      </c>
      <c r="AQ28" s="317" t="s">
        <v>561</v>
      </c>
      <c r="AR28" s="317" t="s">
        <v>561</v>
      </c>
      <c r="AS28" s="317" t="s">
        <v>2795</v>
      </c>
      <c r="AT28" s="317" t="s">
        <v>561</v>
      </c>
      <c r="AU28" s="317" t="s">
        <v>53</v>
      </c>
      <c r="AV28" s="317" t="s">
        <v>2807</v>
      </c>
      <c r="AW28" s="317" t="s">
        <v>561</v>
      </c>
      <c r="AX28" s="317" t="s">
        <v>53</v>
      </c>
      <c r="AY28" s="317" t="s">
        <v>53</v>
      </c>
      <c r="AZ28" s="317" t="s">
        <v>53</v>
      </c>
      <c r="BA28" s="317" t="s">
        <v>2796</v>
      </c>
      <c r="BB28" s="317" t="s">
        <v>53</v>
      </c>
      <c r="BC28" s="317" t="s">
        <v>2796</v>
      </c>
      <c r="BD28" s="317" t="s">
        <v>2795</v>
      </c>
      <c r="BE28" s="317" t="s">
        <v>53</v>
      </c>
      <c r="BF28" s="317" t="s">
        <v>53</v>
      </c>
      <c r="BG28" s="317" t="s">
        <v>53</v>
      </c>
      <c r="BH28" s="317" t="s">
        <v>53</v>
      </c>
      <c r="BI28" s="317" t="s">
        <v>561</v>
      </c>
      <c r="BJ28" s="317" t="s">
        <v>53</v>
      </c>
      <c r="BK28" s="317" t="s">
        <v>561</v>
      </c>
      <c r="BL28" s="317" t="s">
        <v>2796</v>
      </c>
      <c r="BM28" s="317" t="s">
        <v>2796</v>
      </c>
      <c r="BN28" s="317" t="s">
        <v>53</v>
      </c>
      <c r="BO28" s="317" t="s">
        <v>2796</v>
      </c>
      <c r="BP28" s="317" t="s">
        <v>2796</v>
      </c>
      <c r="BQ28" s="317" t="s">
        <v>53</v>
      </c>
      <c r="BR28" s="317" t="s">
        <v>53</v>
      </c>
      <c r="BS28" s="317" t="s">
        <v>53</v>
      </c>
      <c r="BT28" s="317" t="s">
        <v>53</v>
      </c>
      <c r="BU28" s="317" t="s">
        <v>53</v>
      </c>
      <c r="BV28" s="317" t="s">
        <v>53</v>
      </c>
      <c r="BW28" s="317" t="s">
        <v>53</v>
      </c>
      <c r="BX28" s="317" t="s">
        <v>561</v>
      </c>
      <c r="BY28" s="317" t="s">
        <v>53</v>
      </c>
      <c r="BZ28" s="317" t="s">
        <v>561</v>
      </c>
      <c r="CA28" s="317" t="s">
        <v>53</v>
      </c>
      <c r="CB28" s="317" t="s">
        <v>53</v>
      </c>
      <c r="CC28" s="317" t="s">
        <v>53</v>
      </c>
      <c r="CD28" s="317" t="s">
        <v>53</v>
      </c>
      <c r="CE28" s="317" t="s">
        <v>561</v>
      </c>
      <c r="CF28" s="317" t="s">
        <v>53</v>
      </c>
      <c r="CG28" s="317" t="s">
        <v>561</v>
      </c>
      <c r="CH28" s="317" t="s">
        <v>561</v>
      </c>
      <c r="CI28" s="317" t="s">
        <v>53</v>
      </c>
      <c r="CJ28" s="317" t="s">
        <v>2796</v>
      </c>
      <c r="CK28" s="317" t="s">
        <v>561</v>
      </c>
      <c r="CL28" s="317" t="s">
        <v>53</v>
      </c>
      <c r="CM28" s="317" t="s">
        <v>600</v>
      </c>
      <c r="CN28" s="317" t="s">
        <v>600</v>
      </c>
      <c r="CO28" s="317" t="s">
        <v>600</v>
      </c>
      <c r="CP28" s="317" t="s">
        <v>600</v>
      </c>
      <c r="CQ28" s="319"/>
      <c r="CR28" s="319">
        <v>2017.0</v>
      </c>
      <c r="CS28" s="320" t="s">
        <v>850</v>
      </c>
      <c r="CT28" s="319"/>
      <c r="CU28" s="319" t="s">
        <v>676</v>
      </c>
      <c r="CV28" s="332" t="s">
        <v>75</v>
      </c>
      <c r="CW28" s="336"/>
      <c r="CX28" s="319"/>
      <c r="CY28" s="323">
        <f t="shared" si="24"/>
        <v>0.626</v>
      </c>
      <c r="CZ28" s="324">
        <v>0.805</v>
      </c>
      <c r="DA28" s="323">
        <v>0.179</v>
      </c>
      <c r="DB28" s="323"/>
      <c r="DC28" s="323">
        <f t="shared" si="25"/>
        <v>0.573</v>
      </c>
      <c r="DD28" s="324">
        <v>0.757</v>
      </c>
      <c r="DE28" s="323">
        <v>0.184</v>
      </c>
      <c r="DF28" s="323"/>
      <c r="DG28" s="324">
        <v>0.469</v>
      </c>
      <c r="DH28" s="323">
        <v>0.179</v>
      </c>
      <c r="DI28" s="323">
        <v>0.182</v>
      </c>
      <c r="DJ28" s="323">
        <v>0.16</v>
      </c>
      <c r="DK28" s="323">
        <v>0.017</v>
      </c>
      <c r="DL28" s="323">
        <v>0.002</v>
      </c>
      <c r="DM28" s="323"/>
      <c r="DN28" s="324">
        <v>0.5329999999999999</v>
      </c>
      <c r="DO28" s="324">
        <v>0.575</v>
      </c>
      <c r="DP28" s="323">
        <v>0.24</v>
      </c>
    </row>
    <row r="29">
      <c r="A29" s="311" t="s">
        <v>127</v>
      </c>
      <c r="B29" s="311" t="s">
        <v>303</v>
      </c>
      <c r="C29" s="311" t="s">
        <v>1197</v>
      </c>
      <c r="D29" s="311">
        <v>39.0</v>
      </c>
      <c r="E29" s="312">
        <f t="shared" si="19"/>
        <v>0.8333333333</v>
      </c>
      <c r="F29" s="312" t="str">
        <f t="shared" si="20"/>
        <v>#DIV/0!</v>
      </c>
      <c r="G29" s="312" t="str">
        <f t="shared" si="21"/>
        <v>#DIV/0!</v>
      </c>
      <c r="H29" s="312" t="str">
        <f t="shared" si="22"/>
        <v>#DIV/0!</v>
      </c>
      <c r="I29" s="312" t="str">
        <f t="shared" si="28"/>
        <v>#DIV/0!</v>
      </c>
      <c r="J29" s="312" t="str">
        <f t="shared" si="29"/>
        <v>#DIV/0!</v>
      </c>
      <c r="K29" s="312" t="str">
        <f>(COUNTIF(CM29:CP29, "Nay")+COUNTIF(CM29:CP29, "Yea (Amend)")+(0.5*COUNTIF(CM29:CP29, "Present")))/(COUNTIF(CM29:CP29, "Nay")+COUNTIF(CM29:CP29, "Yea (Amend)")+COUNTIF(CM29:CP29, "Yea")+COUNTIF(CM29:CP29, "Nay (Amend)")+COUNTIF(CM29:CP29, "Present"))</f>
        <v>#DIV/0!</v>
      </c>
      <c r="L29" s="316" t="str">
        <f t="shared" si="23"/>
        <v>#DIV/0!</v>
      </c>
      <c r="M29" s="317" t="s">
        <v>487</v>
      </c>
      <c r="N29" s="317" t="s">
        <v>487</v>
      </c>
      <c r="O29" s="317" t="s">
        <v>487</v>
      </c>
      <c r="P29" s="317" t="s">
        <v>487</v>
      </c>
      <c r="Q29" s="317" t="s">
        <v>487</v>
      </c>
      <c r="R29" s="317" t="s">
        <v>594</v>
      </c>
      <c r="S29" s="318" t="s">
        <v>53</v>
      </c>
      <c r="T29" s="318" t="s">
        <v>561</v>
      </c>
      <c r="U29" s="330" t="s">
        <v>561</v>
      </c>
      <c r="V29" s="330" t="s">
        <v>561</v>
      </c>
      <c r="W29" s="318" t="s">
        <v>2795</v>
      </c>
      <c r="X29" s="318" t="s">
        <v>53</v>
      </c>
      <c r="Y29" s="318" t="s">
        <v>2795</v>
      </c>
      <c r="Z29" s="317" t="s">
        <v>2795</v>
      </c>
      <c r="AA29" s="317" t="s">
        <v>561</v>
      </c>
      <c r="AB29" s="317" t="s">
        <v>53</v>
      </c>
      <c r="AC29" s="317" t="s">
        <v>2795</v>
      </c>
      <c r="AD29" s="317" t="s">
        <v>2795</v>
      </c>
      <c r="AE29" s="317" t="s">
        <v>53</v>
      </c>
      <c r="AF29" s="317" t="s">
        <v>561</v>
      </c>
      <c r="AG29" s="317" t="s">
        <v>53</v>
      </c>
      <c r="AH29" s="317" t="s">
        <v>53</v>
      </c>
      <c r="AI29" s="317" t="s">
        <v>561</v>
      </c>
      <c r="AJ29" s="317" t="s">
        <v>2795</v>
      </c>
      <c r="AK29" s="317" t="s">
        <v>2795</v>
      </c>
      <c r="AL29" s="317" t="s">
        <v>2795</v>
      </c>
      <c r="AM29" s="317" t="s">
        <v>2795</v>
      </c>
      <c r="AN29" s="317" t="s">
        <v>2795</v>
      </c>
      <c r="AO29" s="317" t="s">
        <v>801</v>
      </c>
      <c r="AP29" s="317" t="s">
        <v>561</v>
      </c>
      <c r="AQ29" s="317" t="s">
        <v>561</v>
      </c>
      <c r="AR29" s="317" t="s">
        <v>561</v>
      </c>
      <c r="AS29" s="317" t="s">
        <v>2807</v>
      </c>
      <c r="AT29" s="317" t="s">
        <v>561</v>
      </c>
      <c r="AU29" s="317" t="s">
        <v>561</v>
      </c>
      <c r="AV29" s="317" t="s">
        <v>2795</v>
      </c>
      <c r="AW29" s="317" t="s">
        <v>561</v>
      </c>
      <c r="AX29" s="317" t="s">
        <v>53</v>
      </c>
      <c r="AY29" s="317" t="s">
        <v>561</v>
      </c>
      <c r="AZ29" s="317" t="s">
        <v>561</v>
      </c>
      <c r="BA29" s="317" t="s">
        <v>2796</v>
      </c>
      <c r="BB29" s="317" t="s">
        <v>561</v>
      </c>
      <c r="BC29" s="317" t="s">
        <v>2796</v>
      </c>
      <c r="BD29" s="317" t="s">
        <v>2795</v>
      </c>
      <c r="BE29" s="317" t="s">
        <v>53</v>
      </c>
      <c r="BF29" s="317" t="s">
        <v>561</v>
      </c>
      <c r="BG29" s="317" t="s">
        <v>53</v>
      </c>
      <c r="BH29" s="317" t="s">
        <v>561</v>
      </c>
      <c r="BI29" s="317" t="s">
        <v>561</v>
      </c>
      <c r="BJ29" s="317" t="s">
        <v>561</v>
      </c>
      <c r="BK29" s="317" t="s">
        <v>561</v>
      </c>
      <c r="BL29" s="317" t="s">
        <v>2796</v>
      </c>
      <c r="BM29" s="317" t="s">
        <v>2796</v>
      </c>
      <c r="BN29" s="317" t="s">
        <v>53</v>
      </c>
      <c r="BO29" s="317" t="s">
        <v>2796</v>
      </c>
      <c r="BP29" s="317" t="s">
        <v>2796</v>
      </c>
      <c r="BQ29" s="317" t="s">
        <v>53</v>
      </c>
      <c r="BR29" s="317" t="s">
        <v>53</v>
      </c>
      <c r="BS29" s="317" t="s">
        <v>53</v>
      </c>
      <c r="BT29" s="317" t="s">
        <v>53</v>
      </c>
      <c r="BU29" s="317" t="s">
        <v>53</v>
      </c>
      <c r="BV29" s="317" t="s">
        <v>53</v>
      </c>
      <c r="BW29" s="317" t="s">
        <v>53</v>
      </c>
      <c r="BX29" s="317" t="s">
        <v>561</v>
      </c>
      <c r="BY29" s="317" t="s">
        <v>801</v>
      </c>
      <c r="BZ29" s="317" t="s">
        <v>53</v>
      </c>
      <c r="CA29" s="317" t="s">
        <v>53</v>
      </c>
      <c r="CB29" s="317" t="s">
        <v>561</v>
      </c>
      <c r="CC29" s="317" t="s">
        <v>561</v>
      </c>
      <c r="CD29" s="317" t="s">
        <v>53</v>
      </c>
      <c r="CE29" s="317" t="s">
        <v>561</v>
      </c>
      <c r="CF29" s="317" t="s">
        <v>53</v>
      </c>
      <c r="CG29" s="317" t="s">
        <v>53</v>
      </c>
      <c r="CH29" s="317" t="s">
        <v>53</v>
      </c>
      <c r="CI29" s="317" t="s">
        <v>53</v>
      </c>
      <c r="CJ29" s="317" t="s">
        <v>2796</v>
      </c>
      <c r="CK29" s="317" t="s">
        <v>53</v>
      </c>
      <c r="CL29" s="317" t="s">
        <v>53</v>
      </c>
      <c r="CM29" s="317" t="s">
        <v>53</v>
      </c>
      <c r="CN29" s="317" t="s">
        <v>53</v>
      </c>
      <c r="CO29" s="317" t="s">
        <v>53</v>
      </c>
      <c r="CP29" s="317" t="s">
        <v>53</v>
      </c>
      <c r="CQ29" s="319"/>
      <c r="CR29" s="319">
        <v>2013.0</v>
      </c>
      <c r="CS29" s="320" t="s">
        <v>850</v>
      </c>
      <c r="CT29" s="319"/>
      <c r="CU29" s="321" t="s">
        <v>458</v>
      </c>
      <c r="CV29" s="331" t="s">
        <v>113</v>
      </c>
      <c r="CW29" s="333" t="s">
        <v>304</v>
      </c>
      <c r="CX29" s="319"/>
      <c r="CY29" s="323">
        <f t="shared" si="24"/>
        <v>0.262</v>
      </c>
      <c r="CZ29" s="324">
        <v>0.62</v>
      </c>
      <c r="DA29" s="323">
        <v>0.358</v>
      </c>
      <c r="DB29" s="323"/>
      <c r="DC29" s="323">
        <f t="shared" si="25"/>
        <v>0.287</v>
      </c>
      <c r="DD29" s="324">
        <v>0.614</v>
      </c>
      <c r="DE29" s="323">
        <v>0.327</v>
      </c>
      <c r="DF29" s="323"/>
      <c r="DG29" s="323">
        <v>0.22399999999999998</v>
      </c>
      <c r="DH29" s="324">
        <v>0.585</v>
      </c>
      <c r="DI29" s="323">
        <v>0.10400000000000001</v>
      </c>
      <c r="DJ29" s="323">
        <v>0.079</v>
      </c>
      <c r="DK29" s="323">
        <v>0.039</v>
      </c>
      <c r="DL29" s="323">
        <v>0.006999999999999999</v>
      </c>
      <c r="DM29" s="323"/>
      <c r="DN29" s="323">
        <v>0.183</v>
      </c>
      <c r="DO29" s="323">
        <v>0.263</v>
      </c>
      <c r="DP29" s="323">
        <v>0.207</v>
      </c>
    </row>
    <row r="30">
      <c r="A30" s="311" t="s">
        <v>328</v>
      </c>
      <c r="B30" s="311" t="s">
        <v>329</v>
      </c>
      <c r="C30" s="311" t="s">
        <v>1197</v>
      </c>
      <c r="D30" s="311">
        <v>44.0</v>
      </c>
      <c r="E30" s="312">
        <f t="shared" si="19"/>
        <v>0.8333333333</v>
      </c>
      <c r="F30" s="312" t="str">
        <f t="shared" si="20"/>
        <v>#DIV/0!</v>
      </c>
      <c r="G30" s="312" t="str">
        <f t="shared" si="21"/>
        <v>#DIV/0!</v>
      </c>
      <c r="H30" s="312" t="str">
        <f t="shared" si="22"/>
        <v>#DIV/0!</v>
      </c>
      <c r="I30" s="312" t="str">
        <f t="shared" si="28"/>
        <v>#DIV/0!</v>
      </c>
      <c r="J30" s="312" t="str">
        <f t="shared" si="29"/>
        <v>#DIV/0!</v>
      </c>
      <c r="K30" s="315" t="s">
        <v>2794</v>
      </c>
      <c r="L30" s="316" t="str">
        <f t="shared" si="23"/>
        <v>#DIV/0!</v>
      </c>
      <c r="M30" s="317" t="s">
        <v>487</v>
      </c>
      <c r="N30" s="317" t="s">
        <v>487</v>
      </c>
      <c r="O30" s="317" t="s">
        <v>487</v>
      </c>
      <c r="P30" s="317" t="s">
        <v>487</v>
      </c>
      <c r="Q30" s="317" t="s">
        <v>487</v>
      </c>
      <c r="R30" s="317" t="s">
        <v>594</v>
      </c>
      <c r="S30" s="318" t="s">
        <v>53</v>
      </c>
      <c r="T30" s="318" t="s">
        <v>561</v>
      </c>
      <c r="U30" s="330" t="s">
        <v>561</v>
      </c>
      <c r="V30" s="330" t="s">
        <v>561</v>
      </c>
      <c r="W30" s="318" t="s">
        <v>2795</v>
      </c>
      <c r="X30" s="318" t="s">
        <v>53</v>
      </c>
      <c r="Y30" s="318" t="s">
        <v>2795</v>
      </c>
      <c r="Z30" s="317" t="s">
        <v>2795</v>
      </c>
      <c r="AA30" s="317" t="s">
        <v>561</v>
      </c>
      <c r="AB30" s="317" t="s">
        <v>53</v>
      </c>
      <c r="AC30" s="317" t="s">
        <v>2795</v>
      </c>
      <c r="AD30" s="317" t="s">
        <v>2795</v>
      </c>
      <c r="AE30" s="317" t="s">
        <v>561</v>
      </c>
      <c r="AF30" s="317" t="s">
        <v>561</v>
      </c>
      <c r="AG30" s="317" t="s">
        <v>561</v>
      </c>
      <c r="AH30" s="317" t="s">
        <v>561</v>
      </c>
      <c r="AI30" s="317" t="s">
        <v>561</v>
      </c>
      <c r="AJ30" s="317" t="s">
        <v>2795</v>
      </c>
      <c r="AK30" s="317" t="s">
        <v>2795</v>
      </c>
      <c r="AL30" s="317" t="s">
        <v>2795</v>
      </c>
      <c r="AM30" s="317" t="s">
        <v>2795</v>
      </c>
      <c r="AN30" s="317" t="s">
        <v>2795</v>
      </c>
      <c r="AO30" s="317" t="s">
        <v>2795</v>
      </c>
      <c r="AP30" s="317" t="s">
        <v>561</v>
      </c>
      <c r="AQ30" s="317" t="s">
        <v>561</v>
      </c>
      <c r="AR30" s="317" t="s">
        <v>561</v>
      </c>
      <c r="AS30" s="317" t="s">
        <v>2795</v>
      </c>
      <c r="AT30" s="317" t="s">
        <v>561</v>
      </c>
      <c r="AU30" s="317" t="s">
        <v>53</v>
      </c>
      <c r="AV30" s="317" t="s">
        <v>2795</v>
      </c>
      <c r="AW30" s="317" t="s">
        <v>561</v>
      </c>
      <c r="AX30" s="317" t="s">
        <v>561</v>
      </c>
      <c r="AY30" s="317" t="s">
        <v>53</v>
      </c>
      <c r="AZ30" s="317" t="s">
        <v>561</v>
      </c>
      <c r="BA30" s="317" t="s">
        <v>2796</v>
      </c>
      <c r="BB30" s="317" t="s">
        <v>53</v>
      </c>
      <c r="BC30" s="317" t="s">
        <v>2796</v>
      </c>
      <c r="BD30" s="317" t="s">
        <v>2795</v>
      </c>
      <c r="BE30" s="317" t="s">
        <v>53</v>
      </c>
      <c r="BF30" s="317" t="s">
        <v>53</v>
      </c>
      <c r="BG30" s="317" t="s">
        <v>53</v>
      </c>
      <c r="BH30" s="317" t="s">
        <v>801</v>
      </c>
      <c r="BI30" s="317" t="s">
        <v>561</v>
      </c>
      <c r="BJ30" s="317" t="s">
        <v>53</v>
      </c>
      <c r="BK30" s="317" t="s">
        <v>561</v>
      </c>
      <c r="BL30" s="317" t="s">
        <v>2796</v>
      </c>
      <c r="BM30" s="317" t="s">
        <v>2796</v>
      </c>
      <c r="BN30" s="317" t="s">
        <v>53</v>
      </c>
      <c r="BO30" s="317" t="s">
        <v>2796</v>
      </c>
      <c r="BP30" s="317" t="s">
        <v>2796</v>
      </c>
      <c r="BQ30" s="317" t="s">
        <v>53</v>
      </c>
      <c r="BR30" s="317" t="s">
        <v>53</v>
      </c>
      <c r="BS30" s="317" t="s">
        <v>53</v>
      </c>
      <c r="BT30" s="317" t="s">
        <v>561</v>
      </c>
      <c r="BU30" s="317" t="s">
        <v>53</v>
      </c>
      <c r="BV30" s="317" t="s">
        <v>53</v>
      </c>
      <c r="BW30" s="317" t="s">
        <v>53</v>
      </c>
      <c r="BX30" s="317" t="s">
        <v>53</v>
      </c>
      <c r="BY30" s="317" t="s">
        <v>561</v>
      </c>
      <c r="BZ30" s="317" t="s">
        <v>561</v>
      </c>
      <c r="CA30" s="317" t="s">
        <v>53</v>
      </c>
      <c r="CB30" s="317" t="s">
        <v>53</v>
      </c>
      <c r="CC30" s="317" t="s">
        <v>53</v>
      </c>
      <c r="CD30" s="317" t="s">
        <v>53</v>
      </c>
      <c r="CE30" s="317" t="s">
        <v>561</v>
      </c>
      <c r="CF30" s="317" t="s">
        <v>53</v>
      </c>
      <c r="CG30" s="317" t="s">
        <v>561</v>
      </c>
      <c r="CH30" s="317" t="s">
        <v>561</v>
      </c>
      <c r="CI30" s="317" t="s">
        <v>53</v>
      </c>
      <c r="CJ30" s="317" t="s">
        <v>2796</v>
      </c>
      <c r="CK30" s="317" t="s">
        <v>561</v>
      </c>
      <c r="CL30" s="317" t="s">
        <v>561</v>
      </c>
      <c r="CM30" s="317" t="s">
        <v>600</v>
      </c>
      <c r="CN30" s="317" t="s">
        <v>600</v>
      </c>
      <c r="CO30" s="317" t="s">
        <v>600</v>
      </c>
      <c r="CP30" s="317" t="s">
        <v>600</v>
      </c>
      <c r="CQ30" s="319"/>
      <c r="CR30" s="319">
        <v>2017.0</v>
      </c>
      <c r="CS30" s="320" t="s">
        <v>850</v>
      </c>
      <c r="CT30" s="334" t="s">
        <v>122</v>
      </c>
      <c r="CU30" s="319" t="s">
        <v>1822</v>
      </c>
      <c r="CV30" s="320" t="s">
        <v>83</v>
      </c>
      <c r="CW30" s="319"/>
      <c r="CX30" s="319"/>
      <c r="CY30" s="323">
        <f t="shared" si="24"/>
        <v>0.482</v>
      </c>
      <c r="CZ30" s="324">
        <v>0.7290000000000001</v>
      </c>
      <c r="DA30" s="323">
        <v>0.247</v>
      </c>
      <c r="DB30" s="323"/>
      <c r="DC30" s="323">
        <f t="shared" si="25"/>
        <v>0.565</v>
      </c>
      <c r="DD30" s="324">
        <v>0.7559999999999999</v>
      </c>
      <c r="DE30" s="323">
        <v>0.191</v>
      </c>
      <c r="DF30" s="323"/>
      <c r="DG30" s="323">
        <v>0.14400000000000002</v>
      </c>
      <c r="DH30" s="324">
        <v>0.579</v>
      </c>
      <c r="DI30" s="323">
        <v>0.128</v>
      </c>
      <c r="DJ30" s="323">
        <v>0.142</v>
      </c>
      <c r="DK30" s="323">
        <v>0.039</v>
      </c>
      <c r="DL30" s="323">
        <v>0.013999999999999999</v>
      </c>
      <c r="DM30" s="323"/>
      <c r="DN30" s="323">
        <v>0.209</v>
      </c>
      <c r="DO30" s="323">
        <v>0.341</v>
      </c>
      <c r="DP30" s="323">
        <v>0.122</v>
      </c>
    </row>
    <row r="31">
      <c r="A31" s="311" t="s">
        <v>1019</v>
      </c>
      <c r="B31" s="311" t="s">
        <v>1020</v>
      </c>
      <c r="C31" s="311" t="s">
        <v>1530</v>
      </c>
      <c r="D31" s="311">
        <v>12.0</v>
      </c>
      <c r="E31" s="312">
        <f t="shared" si="19"/>
        <v>0.6666666667</v>
      </c>
      <c r="F31" s="312" t="str">
        <f t="shared" si="20"/>
        <v>#DIV/0!</v>
      </c>
      <c r="G31" s="312" t="str">
        <f t="shared" si="21"/>
        <v>#DIV/0!</v>
      </c>
      <c r="H31" s="312" t="str">
        <f t="shared" si="22"/>
        <v>#DIV/0!</v>
      </c>
      <c r="I31" s="312" t="str">
        <f t="shared" si="28"/>
        <v>#DIV/0!</v>
      </c>
      <c r="J31" s="312" t="str">
        <f t="shared" si="29"/>
        <v>#DIV/0!</v>
      </c>
      <c r="K31" s="312" t="str">
        <f t="shared" ref="K31:K33" si="32">(COUNTIF(CM31:CP31, "Nay")+COUNTIF(CM31:CP31, "Yea (Amend)")+(0.5*COUNTIF(CM31:CP31, "Present")))/(COUNTIF(CM31:CP31, "Nay")+COUNTIF(CM31:CP31, "Yea (Amend)")+COUNTIF(CM31:CP31, "Yea")+COUNTIF(CM31:CP31, "Nay (Amend)")+COUNTIF(CM31:CP31, "Present"))</f>
        <v>#DIV/0!</v>
      </c>
      <c r="L31" s="316" t="str">
        <f t="shared" si="23"/>
        <v>#DIV/0!</v>
      </c>
      <c r="M31" s="317" t="s">
        <v>487</v>
      </c>
      <c r="N31" s="317" t="s">
        <v>487</v>
      </c>
      <c r="O31" s="317" t="s">
        <v>594</v>
      </c>
      <c r="P31" s="317" t="s">
        <v>487</v>
      </c>
      <c r="Q31" s="317" t="s">
        <v>487</v>
      </c>
      <c r="R31" s="317" t="s">
        <v>594</v>
      </c>
      <c r="S31" s="318" t="s">
        <v>53</v>
      </c>
      <c r="T31" s="318" t="s">
        <v>561</v>
      </c>
      <c r="U31" s="330" t="s">
        <v>561</v>
      </c>
      <c r="V31" s="330" t="s">
        <v>561</v>
      </c>
      <c r="W31" s="318" t="s">
        <v>2795</v>
      </c>
      <c r="X31" s="318" t="s">
        <v>53</v>
      </c>
      <c r="Y31" s="318" t="s">
        <v>2795</v>
      </c>
      <c r="Z31" s="317" t="s">
        <v>2795</v>
      </c>
      <c r="AA31" s="317" t="s">
        <v>561</v>
      </c>
      <c r="AB31" s="317" t="s">
        <v>53</v>
      </c>
      <c r="AC31" s="317" t="s">
        <v>2795</v>
      </c>
      <c r="AD31" s="317" t="s">
        <v>2795</v>
      </c>
      <c r="AE31" s="317" t="s">
        <v>53</v>
      </c>
      <c r="AF31" s="317" t="s">
        <v>561</v>
      </c>
      <c r="AG31" s="317" t="s">
        <v>53</v>
      </c>
      <c r="AH31" s="317" t="s">
        <v>561</v>
      </c>
      <c r="AI31" s="317" t="s">
        <v>561</v>
      </c>
      <c r="AJ31" s="317" t="s">
        <v>2795</v>
      </c>
      <c r="AK31" s="317" t="s">
        <v>2795</v>
      </c>
      <c r="AL31" s="317" t="s">
        <v>2795</v>
      </c>
      <c r="AM31" s="317" t="s">
        <v>2795</v>
      </c>
      <c r="AN31" s="317" t="s">
        <v>2795</v>
      </c>
      <c r="AO31" s="317" t="s">
        <v>2795</v>
      </c>
      <c r="AP31" s="317" t="s">
        <v>561</v>
      </c>
      <c r="AQ31" s="317" t="s">
        <v>561</v>
      </c>
      <c r="AR31" s="317" t="s">
        <v>561</v>
      </c>
      <c r="AS31" s="317" t="s">
        <v>2795</v>
      </c>
      <c r="AT31" s="317" t="s">
        <v>561</v>
      </c>
      <c r="AU31" s="317" t="s">
        <v>561</v>
      </c>
      <c r="AV31" s="317" t="s">
        <v>2795</v>
      </c>
      <c r="AW31" s="317" t="s">
        <v>561</v>
      </c>
      <c r="AX31" s="317" t="s">
        <v>561</v>
      </c>
      <c r="AY31" s="317" t="s">
        <v>53</v>
      </c>
      <c r="AZ31" s="317" t="s">
        <v>53</v>
      </c>
      <c r="BA31" s="317" t="s">
        <v>2796</v>
      </c>
      <c r="BB31" s="317" t="s">
        <v>53</v>
      </c>
      <c r="BC31" s="317" t="s">
        <v>2796</v>
      </c>
      <c r="BD31" s="317" t="s">
        <v>2795</v>
      </c>
      <c r="BE31" s="317" t="s">
        <v>561</v>
      </c>
      <c r="BF31" s="317" t="s">
        <v>801</v>
      </c>
      <c r="BG31" s="317" t="s">
        <v>801</v>
      </c>
      <c r="BH31" s="317" t="s">
        <v>53</v>
      </c>
      <c r="BI31" s="317" t="s">
        <v>561</v>
      </c>
      <c r="BJ31" s="317" t="s">
        <v>53</v>
      </c>
      <c r="BK31" s="317" t="s">
        <v>561</v>
      </c>
      <c r="BL31" s="317" t="s">
        <v>2796</v>
      </c>
      <c r="BM31" s="317" t="s">
        <v>2796</v>
      </c>
      <c r="BN31" s="317" t="s">
        <v>53</v>
      </c>
      <c r="BO31" s="317" t="s">
        <v>2796</v>
      </c>
      <c r="BP31" s="317" t="s">
        <v>2796</v>
      </c>
      <c r="BQ31" s="317" t="s">
        <v>53</v>
      </c>
      <c r="BR31" s="317" t="s">
        <v>53</v>
      </c>
      <c r="BS31" s="317" t="s">
        <v>53</v>
      </c>
      <c r="BT31" s="317" t="s">
        <v>53</v>
      </c>
      <c r="BU31" s="317" t="s">
        <v>53</v>
      </c>
      <c r="BV31" s="317" t="s">
        <v>53</v>
      </c>
      <c r="BW31" s="317" t="s">
        <v>53</v>
      </c>
      <c r="BX31" s="317" t="s">
        <v>561</v>
      </c>
      <c r="BY31" s="317" t="s">
        <v>53</v>
      </c>
      <c r="BZ31" s="317" t="s">
        <v>561</v>
      </c>
      <c r="CA31" s="317" t="s">
        <v>53</v>
      </c>
      <c r="CB31" s="317" t="s">
        <v>561</v>
      </c>
      <c r="CC31" s="317" t="s">
        <v>561</v>
      </c>
      <c r="CD31" s="317" t="s">
        <v>53</v>
      </c>
      <c r="CE31" s="317" t="s">
        <v>53</v>
      </c>
      <c r="CF31" s="317" t="s">
        <v>53</v>
      </c>
      <c r="CG31" s="317" t="s">
        <v>561</v>
      </c>
      <c r="CH31" s="317" t="s">
        <v>53</v>
      </c>
      <c r="CI31" s="317" t="s">
        <v>53</v>
      </c>
      <c r="CJ31" s="317" t="s">
        <v>2796</v>
      </c>
      <c r="CK31" s="317" t="s">
        <v>53</v>
      </c>
      <c r="CL31" s="317" t="s">
        <v>561</v>
      </c>
      <c r="CM31" s="317" t="s">
        <v>53</v>
      </c>
      <c r="CN31" s="317" t="s">
        <v>561</v>
      </c>
      <c r="CO31" s="317" t="s">
        <v>801</v>
      </c>
      <c r="CP31" s="317" t="s">
        <v>561</v>
      </c>
      <c r="CQ31" s="319"/>
      <c r="CR31" s="319" t="s">
        <v>2596</v>
      </c>
      <c r="CS31" s="320" t="s">
        <v>850</v>
      </c>
      <c r="CT31" s="334" t="s">
        <v>122</v>
      </c>
      <c r="CU31" s="326" t="s">
        <v>2476</v>
      </c>
      <c r="CV31" s="332" t="s">
        <v>75</v>
      </c>
      <c r="CW31" s="319"/>
      <c r="CX31" s="319"/>
      <c r="CY31" s="323">
        <f t="shared" si="24"/>
        <v>0.714</v>
      </c>
      <c r="CZ31" s="324">
        <v>0.852</v>
      </c>
      <c r="DA31" s="323">
        <v>0.138</v>
      </c>
      <c r="DB31" s="323"/>
      <c r="DC31" s="323">
        <f t="shared" si="25"/>
        <v>0.703</v>
      </c>
      <c r="DD31" s="324">
        <v>0.831</v>
      </c>
      <c r="DE31" s="323">
        <v>0.128</v>
      </c>
      <c r="DF31" s="323"/>
      <c r="DG31" s="324">
        <v>0.6609999999999999</v>
      </c>
      <c r="DH31" s="323">
        <v>0.109</v>
      </c>
      <c r="DI31" s="323">
        <v>0.066</v>
      </c>
      <c r="DJ31" s="323">
        <v>0.158</v>
      </c>
      <c r="DK31" s="323">
        <v>0.009000000000000001</v>
      </c>
      <c r="DL31" s="323">
        <v>0.003</v>
      </c>
      <c r="DM31" s="323"/>
      <c r="DN31" s="324">
        <v>0.79</v>
      </c>
      <c r="DO31" s="324">
        <v>0.85</v>
      </c>
      <c r="DP31" s="323">
        <v>0.11</v>
      </c>
    </row>
    <row r="32">
      <c r="A32" s="311" t="s">
        <v>248</v>
      </c>
      <c r="B32" s="311" t="s">
        <v>990</v>
      </c>
      <c r="C32" s="311" t="s">
        <v>1530</v>
      </c>
      <c r="D32" s="311">
        <v>6.0</v>
      </c>
      <c r="E32" s="312">
        <f t="shared" si="19"/>
        <v>0.8333333333</v>
      </c>
      <c r="F32" s="312" t="str">
        <f t="shared" si="20"/>
        <v>#DIV/0!</v>
      </c>
      <c r="G32" s="312" t="str">
        <f t="shared" si="21"/>
        <v>#DIV/0!</v>
      </c>
      <c r="H32" s="312" t="str">
        <f t="shared" si="22"/>
        <v>#DIV/0!</v>
      </c>
      <c r="I32" s="312" t="str">
        <f t="shared" si="28"/>
        <v>#DIV/0!</v>
      </c>
      <c r="J32" s="312" t="str">
        <f t="shared" si="29"/>
        <v>#DIV/0!</v>
      </c>
      <c r="K32" s="312" t="str">
        <f t="shared" si="32"/>
        <v>#DIV/0!</v>
      </c>
      <c r="L32" s="316" t="str">
        <f t="shared" si="23"/>
        <v>#DIV/0!</v>
      </c>
      <c r="M32" s="317" t="s">
        <v>487</v>
      </c>
      <c r="N32" s="317" t="s">
        <v>487</v>
      </c>
      <c r="O32" s="317" t="s">
        <v>487</v>
      </c>
      <c r="P32" s="317" t="s">
        <v>487</v>
      </c>
      <c r="Q32" s="317" t="s">
        <v>487</v>
      </c>
      <c r="R32" s="317" t="s">
        <v>594</v>
      </c>
      <c r="S32" s="318" t="s">
        <v>561</v>
      </c>
      <c r="T32" s="318" t="s">
        <v>561</v>
      </c>
      <c r="U32" s="330" t="s">
        <v>561</v>
      </c>
      <c r="V32" s="330" t="s">
        <v>561</v>
      </c>
      <c r="W32" s="318" t="s">
        <v>2795</v>
      </c>
      <c r="X32" s="340" t="s">
        <v>561</v>
      </c>
      <c r="Y32" s="318" t="s">
        <v>2795</v>
      </c>
      <c r="Z32" s="317" t="s">
        <v>2795</v>
      </c>
      <c r="AA32" s="317" t="s">
        <v>561</v>
      </c>
      <c r="AB32" s="317" t="s">
        <v>53</v>
      </c>
      <c r="AC32" s="317" t="s">
        <v>2795</v>
      </c>
      <c r="AD32" s="317" t="s">
        <v>2795</v>
      </c>
      <c r="AE32" s="317" t="s">
        <v>53</v>
      </c>
      <c r="AF32" s="317" t="s">
        <v>561</v>
      </c>
      <c r="AG32" s="317" t="s">
        <v>53</v>
      </c>
      <c r="AH32" s="317" t="s">
        <v>561</v>
      </c>
      <c r="AI32" s="317" t="s">
        <v>53</v>
      </c>
      <c r="AJ32" s="317" t="s">
        <v>2795</v>
      </c>
      <c r="AK32" s="317" t="s">
        <v>2795</v>
      </c>
      <c r="AL32" s="317" t="s">
        <v>2795</v>
      </c>
      <c r="AM32" s="317" t="s">
        <v>2795</v>
      </c>
      <c r="AN32" s="317" t="s">
        <v>2795</v>
      </c>
      <c r="AO32" s="317" t="s">
        <v>2795</v>
      </c>
      <c r="AP32" s="317" t="s">
        <v>561</v>
      </c>
      <c r="AQ32" s="317" t="s">
        <v>561</v>
      </c>
      <c r="AR32" s="317" t="s">
        <v>561</v>
      </c>
      <c r="AS32" s="317" t="s">
        <v>2795</v>
      </c>
      <c r="AT32" s="317" t="s">
        <v>561</v>
      </c>
      <c r="AU32" s="317" t="s">
        <v>561</v>
      </c>
      <c r="AV32" s="317" t="s">
        <v>2795</v>
      </c>
      <c r="AW32" s="317" t="s">
        <v>53</v>
      </c>
      <c r="AX32" s="317" t="s">
        <v>53</v>
      </c>
      <c r="AY32" s="317" t="s">
        <v>53</v>
      </c>
      <c r="AZ32" s="317" t="s">
        <v>53</v>
      </c>
      <c r="BA32" s="317" t="s">
        <v>2796</v>
      </c>
      <c r="BB32" s="317" t="s">
        <v>53</v>
      </c>
      <c r="BC32" s="317" t="s">
        <v>2796</v>
      </c>
      <c r="BD32" s="317" t="s">
        <v>2795</v>
      </c>
      <c r="BE32" s="317" t="s">
        <v>53</v>
      </c>
      <c r="BF32" s="317" t="s">
        <v>53</v>
      </c>
      <c r="BG32" s="317" t="s">
        <v>53</v>
      </c>
      <c r="BH32" s="317" t="s">
        <v>53</v>
      </c>
      <c r="BI32" s="317" t="s">
        <v>561</v>
      </c>
      <c r="BJ32" s="317" t="s">
        <v>53</v>
      </c>
      <c r="BK32" s="317" t="s">
        <v>561</v>
      </c>
      <c r="BL32" s="317" t="s">
        <v>2796</v>
      </c>
      <c r="BM32" s="317" t="s">
        <v>2796</v>
      </c>
      <c r="BN32" s="317" t="s">
        <v>53</v>
      </c>
      <c r="BO32" s="317" t="s">
        <v>2796</v>
      </c>
      <c r="BP32" s="317" t="s">
        <v>2796</v>
      </c>
      <c r="BQ32" s="317" t="s">
        <v>53</v>
      </c>
      <c r="BR32" s="317" t="s">
        <v>53</v>
      </c>
      <c r="BS32" s="317" t="s">
        <v>53</v>
      </c>
      <c r="BT32" s="317" t="s">
        <v>561</v>
      </c>
      <c r="BU32" s="317" t="s">
        <v>53</v>
      </c>
      <c r="BV32" s="317" t="s">
        <v>561</v>
      </c>
      <c r="BW32" s="317" t="s">
        <v>53</v>
      </c>
      <c r="BX32" s="317" t="s">
        <v>561</v>
      </c>
      <c r="BY32" s="317" t="s">
        <v>561</v>
      </c>
      <c r="BZ32" s="317" t="s">
        <v>561</v>
      </c>
      <c r="CA32" s="317" t="s">
        <v>53</v>
      </c>
      <c r="CB32" s="317" t="s">
        <v>561</v>
      </c>
      <c r="CC32" s="317" t="s">
        <v>561</v>
      </c>
      <c r="CD32" s="317" t="s">
        <v>561</v>
      </c>
      <c r="CE32" s="317" t="s">
        <v>561</v>
      </c>
      <c r="CF32" s="317" t="s">
        <v>53</v>
      </c>
      <c r="CG32" s="317" t="s">
        <v>561</v>
      </c>
      <c r="CH32" s="317" t="s">
        <v>53</v>
      </c>
      <c r="CI32" s="317" t="s">
        <v>53</v>
      </c>
      <c r="CJ32" s="317" t="s">
        <v>2806</v>
      </c>
      <c r="CK32" s="317" t="s">
        <v>561</v>
      </c>
      <c r="CL32" s="317" t="s">
        <v>561</v>
      </c>
      <c r="CM32" s="317" t="s">
        <v>561</v>
      </c>
      <c r="CN32" s="317" t="s">
        <v>561</v>
      </c>
      <c r="CO32" s="317" t="s">
        <v>801</v>
      </c>
      <c r="CP32" s="317" t="s">
        <v>561</v>
      </c>
      <c r="CQ32" s="319"/>
      <c r="CR32" s="319">
        <v>2013.0</v>
      </c>
      <c r="CS32" s="320" t="s">
        <v>850</v>
      </c>
      <c r="CT32" s="334" t="s">
        <v>2030</v>
      </c>
      <c r="CU32" s="326" t="s">
        <v>2476</v>
      </c>
      <c r="CV32" s="331" t="s">
        <v>287</v>
      </c>
      <c r="CW32" s="319"/>
      <c r="CX32" s="319"/>
      <c r="CY32" s="323">
        <f t="shared" si="24"/>
        <v>0.303</v>
      </c>
      <c r="CZ32" s="324">
        <v>0.647</v>
      </c>
      <c r="DA32" s="323">
        <v>0.344</v>
      </c>
      <c r="DB32" s="323"/>
      <c r="DC32" s="323">
        <f t="shared" si="25"/>
        <v>0.406</v>
      </c>
      <c r="DD32" s="324">
        <v>0.687</v>
      </c>
      <c r="DE32" s="323">
        <v>0.281</v>
      </c>
      <c r="DF32" s="323"/>
      <c r="DG32" s="323">
        <v>0.25</v>
      </c>
      <c r="DH32" s="323">
        <v>0.228</v>
      </c>
      <c r="DI32" s="323">
        <v>0.052000000000000005</v>
      </c>
      <c r="DJ32" s="324">
        <v>0.47200000000000003</v>
      </c>
      <c r="DK32" s="323">
        <v>0.015</v>
      </c>
      <c r="DL32" s="323">
        <v>0.002</v>
      </c>
      <c r="DM32" s="323"/>
      <c r="DN32" s="323">
        <v>0.37</v>
      </c>
      <c r="DO32" s="323">
        <v>0.47100000000000003</v>
      </c>
      <c r="DP32" s="323">
        <v>0.191</v>
      </c>
    </row>
    <row r="33">
      <c r="A33" s="311" t="s">
        <v>2816</v>
      </c>
      <c r="B33" s="311" t="s">
        <v>607</v>
      </c>
      <c r="C33" s="311" t="s">
        <v>848</v>
      </c>
      <c r="D33" s="311">
        <v>7.0</v>
      </c>
      <c r="E33" s="312">
        <f t="shared" si="19"/>
        <v>0.8333333333</v>
      </c>
      <c r="F33" s="312">
        <f t="shared" si="20"/>
        <v>0.5</v>
      </c>
      <c r="G33" s="312" t="str">
        <f t="shared" si="21"/>
        <v>#DIV/0!</v>
      </c>
      <c r="H33" s="312" t="str">
        <f t="shared" si="22"/>
        <v>#DIV/0!</v>
      </c>
      <c r="I33" s="312">
        <f t="shared" si="28"/>
        <v>0.5</v>
      </c>
      <c r="J33" s="312" t="str">
        <f t="shared" si="29"/>
        <v>#DIV/0!</v>
      </c>
      <c r="K33" s="312" t="str">
        <f t="shared" si="32"/>
        <v>#DIV/0!</v>
      </c>
      <c r="L33" s="316" t="str">
        <f t="shared" si="23"/>
        <v>#DIV/0!</v>
      </c>
      <c r="M33" s="317" t="s">
        <v>487</v>
      </c>
      <c r="N33" s="317" t="s">
        <v>487</v>
      </c>
      <c r="O33" s="317" t="s">
        <v>487</v>
      </c>
      <c r="P33" s="317" t="s">
        <v>594</v>
      </c>
      <c r="Q33" s="317" t="s">
        <v>487</v>
      </c>
      <c r="R33" s="317" t="s">
        <v>487</v>
      </c>
      <c r="S33" s="318" t="s">
        <v>53</v>
      </c>
      <c r="T33" s="318" t="s">
        <v>561</v>
      </c>
      <c r="U33" s="330" t="s">
        <v>561</v>
      </c>
      <c r="V33" s="330" t="s">
        <v>561</v>
      </c>
      <c r="W33" s="318" t="s">
        <v>2795</v>
      </c>
      <c r="X33" s="340" t="s">
        <v>561</v>
      </c>
      <c r="Y33" s="318" t="s">
        <v>2795</v>
      </c>
      <c r="Z33" s="317" t="s">
        <v>2795</v>
      </c>
      <c r="AA33" s="317" t="s">
        <v>561</v>
      </c>
      <c r="AB33" s="317" t="s">
        <v>53</v>
      </c>
      <c r="AC33" s="317" t="s">
        <v>2795</v>
      </c>
      <c r="AD33" s="317" t="s">
        <v>2795</v>
      </c>
      <c r="AE33" s="317" t="s">
        <v>53</v>
      </c>
      <c r="AF33" s="317" t="s">
        <v>561</v>
      </c>
      <c r="AG33" s="317" t="s">
        <v>53</v>
      </c>
      <c r="AH33" s="317" t="s">
        <v>561</v>
      </c>
      <c r="AI33" s="317" t="s">
        <v>53</v>
      </c>
      <c r="AJ33" s="317" t="s">
        <v>2795</v>
      </c>
      <c r="AK33" s="317" t="s">
        <v>2795</v>
      </c>
      <c r="AL33" s="317" t="s">
        <v>2795</v>
      </c>
      <c r="AM33" s="317" t="s">
        <v>2807</v>
      </c>
      <c r="AN33" s="317" t="s">
        <v>2795</v>
      </c>
      <c r="AO33" s="317" t="s">
        <v>2795</v>
      </c>
      <c r="AP33" s="317" t="s">
        <v>561</v>
      </c>
      <c r="AQ33" s="317" t="s">
        <v>561</v>
      </c>
      <c r="AR33" s="317" t="s">
        <v>561</v>
      </c>
      <c r="AS33" s="317" t="s">
        <v>2795</v>
      </c>
      <c r="AT33" s="317" t="s">
        <v>561</v>
      </c>
      <c r="AU33" s="317" t="s">
        <v>53</v>
      </c>
      <c r="AV33" s="317" t="s">
        <v>2795</v>
      </c>
      <c r="AW33" s="317" t="s">
        <v>561</v>
      </c>
      <c r="AX33" s="317" t="s">
        <v>561</v>
      </c>
      <c r="AY33" s="317" t="s">
        <v>561</v>
      </c>
      <c r="AZ33" s="317" t="s">
        <v>561</v>
      </c>
      <c r="BA33" s="317" t="s">
        <v>2806</v>
      </c>
      <c r="BB33" s="317" t="s">
        <v>53</v>
      </c>
      <c r="BC33" s="317" t="s">
        <v>2796</v>
      </c>
      <c r="BD33" s="317" t="s">
        <v>2795</v>
      </c>
      <c r="BE33" s="317" t="s">
        <v>53</v>
      </c>
      <c r="BF33" s="317" t="s">
        <v>561</v>
      </c>
      <c r="BG33" s="317" t="s">
        <v>561</v>
      </c>
      <c r="BH33" s="317" t="s">
        <v>53</v>
      </c>
      <c r="BI33" s="317" t="s">
        <v>799</v>
      </c>
      <c r="BJ33" s="317" t="s">
        <v>53</v>
      </c>
      <c r="BK33" s="317" t="s">
        <v>561</v>
      </c>
      <c r="BL33" s="317" t="s">
        <v>2796</v>
      </c>
      <c r="BM33" s="317" t="s">
        <v>2796</v>
      </c>
      <c r="BN33" s="317" t="s">
        <v>53</v>
      </c>
      <c r="BO33" s="317" t="s">
        <v>2796</v>
      </c>
      <c r="BP33" s="317" t="s">
        <v>2796</v>
      </c>
      <c r="BQ33" s="317" t="s">
        <v>53</v>
      </c>
      <c r="BR33" s="317" t="s">
        <v>53</v>
      </c>
      <c r="BS33" s="317" t="s">
        <v>53</v>
      </c>
      <c r="BT33" s="317" t="s">
        <v>801</v>
      </c>
      <c r="BU33" s="317" t="s">
        <v>801</v>
      </c>
      <c r="BV33" s="317" t="s">
        <v>561</v>
      </c>
      <c r="BW33" s="317" t="s">
        <v>561</v>
      </c>
      <c r="BX33" s="317" t="s">
        <v>561</v>
      </c>
      <c r="BY33" s="317" t="s">
        <v>53</v>
      </c>
      <c r="BZ33" s="317" t="s">
        <v>561</v>
      </c>
      <c r="CA33" s="317" t="s">
        <v>53</v>
      </c>
      <c r="CB33" s="317" t="s">
        <v>801</v>
      </c>
      <c r="CC33" s="317" t="s">
        <v>53</v>
      </c>
      <c r="CD33" s="317" t="s">
        <v>53</v>
      </c>
      <c r="CE33" s="317" t="s">
        <v>561</v>
      </c>
      <c r="CF33" s="317" t="s">
        <v>53</v>
      </c>
      <c r="CG33" s="317" t="s">
        <v>561</v>
      </c>
      <c r="CH33" s="317" t="s">
        <v>53</v>
      </c>
      <c r="CI33" s="317" t="s">
        <v>561</v>
      </c>
      <c r="CJ33" s="317" t="s">
        <v>2796</v>
      </c>
      <c r="CK33" s="317" t="s">
        <v>53</v>
      </c>
      <c r="CL33" s="317" t="s">
        <v>53</v>
      </c>
      <c r="CM33" s="317" t="s">
        <v>561</v>
      </c>
      <c r="CN33" s="317" t="s">
        <v>561</v>
      </c>
      <c r="CO33" s="317" t="s">
        <v>53</v>
      </c>
      <c r="CP33" s="317" t="s">
        <v>53</v>
      </c>
      <c r="CQ33" s="319"/>
      <c r="CR33" s="319">
        <v>1997.0</v>
      </c>
      <c r="CS33" s="342" t="s">
        <v>2476</v>
      </c>
      <c r="CT33" s="319"/>
      <c r="CU33" s="319" t="s">
        <v>2817</v>
      </c>
      <c r="CV33" s="327" t="s">
        <v>28</v>
      </c>
      <c r="CW33" s="319"/>
      <c r="CX33" s="319"/>
      <c r="CY33" s="323">
        <f t="shared" si="24"/>
        <v>0.728</v>
      </c>
      <c r="CZ33" s="324">
        <v>0.856</v>
      </c>
      <c r="DA33" s="323">
        <v>0.128</v>
      </c>
      <c r="DB33" s="323"/>
      <c r="DC33" s="323">
        <f t="shared" si="25"/>
        <v>0.76</v>
      </c>
      <c r="DD33" s="324">
        <v>0.858</v>
      </c>
      <c r="DE33" s="323">
        <v>0.098</v>
      </c>
      <c r="DF33" s="323"/>
      <c r="DG33" s="323">
        <v>0.327</v>
      </c>
      <c r="DH33" s="323">
        <v>0.138</v>
      </c>
      <c r="DI33" s="324">
        <v>0.43</v>
      </c>
      <c r="DJ33" s="323">
        <v>0.102</v>
      </c>
      <c r="DK33" s="323">
        <v>0.015</v>
      </c>
      <c r="DL33" s="323">
        <v>0.001</v>
      </c>
      <c r="DM33" s="323"/>
      <c r="DN33" s="323">
        <v>0.45</v>
      </c>
      <c r="DO33" s="324">
        <v>0.7559999999999999</v>
      </c>
      <c r="DP33" s="323">
        <v>0.087</v>
      </c>
    </row>
    <row r="34">
      <c r="A34" s="311" t="s">
        <v>523</v>
      </c>
      <c r="B34" s="311" t="s">
        <v>524</v>
      </c>
      <c r="C34" s="311" t="s">
        <v>910</v>
      </c>
      <c r="D34" s="311">
        <v>5.0</v>
      </c>
      <c r="E34" s="312">
        <f t="shared" si="19"/>
        <v>0.8333333333</v>
      </c>
      <c r="F34" s="312" t="str">
        <f t="shared" si="20"/>
        <v>#DIV/0!</v>
      </c>
      <c r="G34" s="312" t="str">
        <f t="shared" si="21"/>
        <v>#DIV/0!</v>
      </c>
      <c r="H34" s="312" t="str">
        <f t="shared" si="22"/>
        <v>#DIV/0!</v>
      </c>
      <c r="I34" s="315" t="s">
        <v>2794</v>
      </c>
      <c r="J34" s="315" t="s">
        <v>2794</v>
      </c>
      <c r="K34" s="315" t="s">
        <v>2794</v>
      </c>
      <c r="L34" s="316" t="str">
        <f t="shared" si="23"/>
        <v>#DIV/0!</v>
      </c>
      <c r="M34" s="317" t="s">
        <v>487</v>
      </c>
      <c r="N34" s="317" t="s">
        <v>487</v>
      </c>
      <c r="O34" s="317" t="s">
        <v>487</v>
      </c>
      <c r="P34" s="317" t="s">
        <v>487</v>
      </c>
      <c r="Q34" s="317" t="s">
        <v>487</v>
      </c>
      <c r="R34" s="317" t="s">
        <v>594</v>
      </c>
      <c r="S34" s="318" t="s">
        <v>53</v>
      </c>
      <c r="T34" s="318" t="s">
        <v>561</v>
      </c>
      <c r="U34" s="330" t="s">
        <v>561</v>
      </c>
      <c r="V34" s="330" t="s">
        <v>561</v>
      </c>
      <c r="W34" s="318" t="s">
        <v>2795</v>
      </c>
      <c r="X34" s="318" t="s">
        <v>53</v>
      </c>
      <c r="Y34" s="318" t="s">
        <v>2795</v>
      </c>
      <c r="Z34" s="317" t="s">
        <v>2795</v>
      </c>
      <c r="AA34" s="317" t="s">
        <v>561</v>
      </c>
      <c r="AB34" s="317" t="s">
        <v>53</v>
      </c>
      <c r="AC34" s="317" t="s">
        <v>2795</v>
      </c>
      <c r="AD34" s="317" t="s">
        <v>2795</v>
      </c>
      <c r="AE34" s="317" t="s">
        <v>53</v>
      </c>
      <c r="AF34" s="317" t="s">
        <v>561</v>
      </c>
      <c r="AG34" s="317" t="s">
        <v>561</v>
      </c>
      <c r="AH34" s="317" t="s">
        <v>561</v>
      </c>
      <c r="AI34" s="317" t="s">
        <v>53</v>
      </c>
      <c r="AJ34" s="317" t="s">
        <v>2795</v>
      </c>
      <c r="AK34" s="317" t="s">
        <v>2807</v>
      </c>
      <c r="AL34" s="317" t="s">
        <v>2795</v>
      </c>
      <c r="AM34" s="317" t="s">
        <v>2795</v>
      </c>
      <c r="AN34" s="317" t="s">
        <v>2795</v>
      </c>
      <c r="AO34" s="317" t="s">
        <v>2795</v>
      </c>
      <c r="AP34" s="317" t="s">
        <v>561</v>
      </c>
      <c r="AQ34" s="317" t="s">
        <v>561</v>
      </c>
      <c r="AR34" s="317" t="s">
        <v>561</v>
      </c>
      <c r="AS34" s="317" t="s">
        <v>2795</v>
      </c>
      <c r="AT34" s="317" t="s">
        <v>561</v>
      </c>
      <c r="AU34" s="317" t="s">
        <v>53</v>
      </c>
      <c r="AV34" s="317" t="s">
        <v>2795</v>
      </c>
      <c r="AW34" s="317" t="s">
        <v>600</v>
      </c>
      <c r="AX34" s="317" t="s">
        <v>600</v>
      </c>
      <c r="AY34" s="317" t="s">
        <v>600</v>
      </c>
      <c r="AZ34" s="317" t="s">
        <v>600</v>
      </c>
      <c r="BA34" s="317" t="s">
        <v>600</v>
      </c>
      <c r="BB34" s="317" t="s">
        <v>600</v>
      </c>
      <c r="BC34" s="317" t="s">
        <v>600</v>
      </c>
      <c r="BD34" s="317" t="s">
        <v>600</v>
      </c>
      <c r="BE34" s="317" t="s">
        <v>600</v>
      </c>
      <c r="BF34" s="317" t="s">
        <v>600</v>
      </c>
      <c r="BG34" s="317" t="s">
        <v>600</v>
      </c>
      <c r="BH34" s="317" t="s">
        <v>600</v>
      </c>
      <c r="BI34" s="317" t="s">
        <v>600</v>
      </c>
      <c r="BJ34" s="317" t="s">
        <v>600</v>
      </c>
      <c r="BK34" s="317" t="s">
        <v>600</v>
      </c>
      <c r="BL34" s="317" t="s">
        <v>600</v>
      </c>
      <c r="BM34" s="317" t="s">
        <v>600</v>
      </c>
      <c r="BN34" s="317" t="s">
        <v>600</v>
      </c>
      <c r="BO34" s="317" t="s">
        <v>600</v>
      </c>
      <c r="BP34" s="317" t="s">
        <v>600</v>
      </c>
      <c r="BQ34" s="317" t="s">
        <v>600</v>
      </c>
      <c r="BR34" s="317" t="s">
        <v>600</v>
      </c>
      <c r="BS34" s="317" t="s">
        <v>600</v>
      </c>
      <c r="BT34" s="317" t="s">
        <v>600</v>
      </c>
      <c r="BU34" s="317" t="s">
        <v>600</v>
      </c>
      <c r="BV34" s="317" t="s">
        <v>600</v>
      </c>
      <c r="BW34" s="317" t="s">
        <v>600</v>
      </c>
      <c r="BX34" s="317" t="s">
        <v>600</v>
      </c>
      <c r="BY34" s="317" t="s">
        <v>600</v>
      </c>
      <c r="BZ34" s="317" t="s">
        <v>600</v>
      </c>
      <c r="CA34" s="317" t="s">
        <v>600</v>
      </c>
      <c r="CB34" s="317" t="s">
        <v>600</v>
      </c>
      <c r="CC34" s="317" t="s">
        <v>600</v>
      </c>
      <c r="CD34" s="317" t="s">
        <v>600</v>
      </c>
      <c r="CE34" s="317" t="s">
        <v>600</v>
      </c>
      <c r="CF34" s="317" t="s">
        <v>600</v>
      </c>
      <c r="CG34" s="317" t="s">
        <v>600</v>
      </c>
      <c r="CH34" s="317" t="s">
        <v>600</v>
      </c>
      <c r="CI34" s="317" t="s">
        <v>600</v>
      </c>
      <c r="CJ34" s="317" t="s">
        <v>600</v>
      </c>
      <c r="CK34" s="317" t="s">
        <v>600</v>
      </c>
      <c r="CL34" s="317" t="s">
        <v>600</v>
      </c>
      <c r="CM34" s="317" t="s">
        <v>600</v>
      </c>
      <c r="CN34" s="317" t="s">
        <v>600</v>
      </c>
      <c r="CO34" s="317" t="s">
        <v>600</v>
      </c>
      <c r="CP34" s="317" t="s">
        <v>600</v>
      </c>
      <c r="CQ34" s="319"/>
      <c r="CR34" s="319">
        <v>2021.0</v>
      </c>
      <c r="CS34" s="343" t="s">
        <v>1199</v>
      </c>
      <c r="CT34" s="334" t="s">
        <v>122</v>
      </c>
      <c r="CU34" s="326" t="s">
        <v>600</v>
      </c>
      <c r="CV34" s="327" t="s">
        <v>28</v>
      </c>
      <c r="CW34" s="319"/>
      <c r="CX34" s="319"/>
      <c r="CY34" s="323">
        <f t="shared" si="24"/>
        <v>0.664</v>
      </c>
      <c r="CZ34" s="324">
        <v>0.826</v>
      </c>
      <c r="DA34" s="323">
        <v>0.162</v>
      </c>
      <c r="DB34" s="323"/>
      <c r="DC34" s="323">
        <f t="shared" si="25"/>
        <v>0.648</v>
      </c>
      <c r="DD34" s="324">
        <v>0.807</v>
      </c>
      <c r="DE34" s="323">
        <v>0.159</v>
      </c>
      <c r="DF34" s="323"/>
      <c r="DG34" s="323">
        <v>0.379</v>
      </c>
      <c r="DH34" s="323">
        <v>0.067</v>
      </c>
      <c r="DI34" s="324">
        <v>0.496</v>
      </c>
      <c r="DJ34" s="323">
        <v>0.054000000000000006</v>
      </c>
      <c r="DK34" s="323">
        <v>0.013000000000000001</v>
      </c>
      <c r="DL34" s="323">
        <v>0.001</v>
      </c>
      <c r="DM34" s="323"/>
      <c r="DN34" s="324">
        <v>0.503</v>
      </c>
      <c r="DO34" s="324">
        <v>0.77</v>
      </c>
      <c r="DP34" s="323">
        <v>0.091</v>
      </c>
    </row>
    <row r="35">
      <c r="A35" s="311" t="s">
        <v>320</v>
      </c>
      <c r="B35" s="311" t="s">
        <v>321</v>
      </c>
      <c r="C35" s="311" t="s">
        <v>1197</v>
      </c>
      <c r="D35" s="311">
        <v>43.0</v>
      </c>
      <c r="E35" s="312">
        <f t="shared" si="19"/>
        <v>0.8333333333</v>
      </c>
      <c r="F35" s="312" t="str">
        <f t="shared" si="20"/>
        <v>#DIV/0!</v>
      </c>
      <c r="G35" s="312" t="str">
        <f t="shared" si="21"/>
        <v>#DIV/0!</v>
      </c>
      <c r="H35" s="312" t="str">
        <f t="shared" si="22"/>
        <v>#DIV/0!</v>
      </c>
      <c r="I35" s="312" t="str">
        <f>(COUNTIF(AW35:BP35, "Nay")+COUNTIF(AW35:BP35, "Yea (Amend)")+(0.5*COUNTIF(AW35:BP35, "Present")))/(COUNTIF(AW35:BP35, "Nay")+COUNTIF(AW35:BP35, "Yea (Amend)")+COUNTIF(AW35:BP35, "Yea")+COUNTIF(AW35:BP35, "Nay (Amend)")+COUNTIF(AW35:BP35, "Present"))</f>
        <v>#DIV/0!</v>
      </c>
      <c r="J35" s="312" t="str">
        <f>(COUNTIF(BQ35:CL35, "Nay")+COUNTIF(BQ35:CL35, "Yea (Amend)")+(0.5*COUNTIF(BQ35:CL35, "Present")))/(COUNTIF(BQ35:CL35, "Nay")+COUNTIF(BQ35:CL35, "Yea (Amend)")+COUNTIF(BQ35:CL35, "Yea")+COUNTIF(BQ35:CL35, "Nay (Amend)")+COUNTIF(BQ35:CL35, "Present"))</f>
        <v>#DIV/0!</v>
      </c>
      <c r="K35" s="312" t="str">
        <f>(COUNTIF(CM35:CP35, "Nay")+COUNTIF(CM35:CP35, "Yea (Amend)")+(0.5*COUNTIF(CM35:CP35, "Present")))/(COUNTIF(CM35:CP35, "Nay")+COUNTIF(CM35:CP35, "Yea (Amend)")+COUNTIF(CM35:CP35, "Yea")+COUNTIF(CM35:CP35, "Nay (Amend)")+COUNTIF(CM35:CP35, "Present"))</f>
        <v>#DIV/0!</v>
      </c>
      <c r="L35" s="316" t="str">
        <f t="shared" si="23"/>
        <v>#DIV/0!</v>
      </c>
      <c r="M35" s="317" t="s">
        <v>487</v>
      </c>
      <c r="N35" s="317" t="s">
        <v>487</v>
      </c>
      <c r="O35" s="317" t="s">
        <v>487</v>
      </c>
      <c r="P35" s="317" t="s">
        <v>487</v>
      </c>
      <c r="Q35" s="317" t="s">
        <v>487</v>
      </c>
      <c r="R35" s="317" t="s">
        <v>594</v>
      </c>
      <c r="S35" s="318" t="s">
        <v>561</v>
      </c>
      <c r="T35" s="318" t="s">
        <v>561</v>
      </c>
      <c r="U35" s="318" t="s">
        <v>53</v>
      </c>
      <c r="V35" s="330" t="s">
        <v>561</v>
      </c>
      <c r="W35" s="318" t="s">
        <v>2795</v>
      </c>
      <c r="X35" s="340" t="s">
        <v>561</v>
      </c>
      <c r="Y35" s="318" t="s">
        <v>2795</v>
      </c>
      <c r="Z35" s="317" t="s">
        <v>2795</v>
      </c>
      <c r="AA35" s="317" t="s">
        <v>561</v>
      </c>
      <c r="AB35" s="317" t="s">
        <v>53</v>
      </c>
      <c r="AC35" s="317" t="s">
        <v>2795</v>
      </c>
      <c r="AD35" s="317" t="s">
        <v>2795</v>
      </c>
      <c r="AE35" s="317" t="s">
        <v>561</v>
      </c>
      <c r="AF35" s="317" t="s">
        <v>561</v>
      </c>
      <c r="AG35" s="317" t="s">
        <v>53</v>
      </c>
      <c r="AH35" s="317" t="s">
        <v>53</v>
      </c>
      <c r="AI35" s="317" t="s">
        <v>561</v>
      </c>
      <c r="AJ35" s="317" t="s">
        <v>2795</v>
      </c>
      <c r="AK35" s="317" t="s">
        <v>2795</v>
      </c>
      <c r="AL35" s="317" t="s">
        <v>2795</v>
      </c>
      <c r="AM35" s="317" t="s">
        <v>801</v>
      </c>
      <c r="AN35" s="317" t="s">
        <v>2795</v>
      </c>
      <c r="AO35" s="317" t="s">
        <v>2795</v>
      </c>
      <c r="AP35" s="317" t="s">
        <v>561</v>
      </c>
      <c r="AQ35" s="317" t="s">
        <v>561</v>
      </c>
      <c r="AR35" s="317" t="s">
        <v>561</v>
      </c>
      <c r="AS35" s="317" t="s">
        <v>2795</v>
      </c>
      <c r="AT35" s="317" t="s">
        <v>561</v>
      </c>
      <c r="AU35" s="317" t="s">
        <v>53</v>
      </c>
      <c r="AV35" s="317" t="s">
        <v>2807</v>
      </c>
      <c r="AW35" s="317" t="s">
        <v>561</v>
      </c>
      <c r="AX35" s="317" t="s">
        <v>561</v>
      </c>
      <c r="AY35" s="317" t="s">
        <v>561</v>
      </c>
      <c r="AZ35" s="317" t="s">
        <v>561</v>
      </c>
      <c r="BA35" s="317" t="s">
        <v>2796</v>
      </c>
      <c r="BB35" s="317" t="s">
        <v>53</v>
      </c>
      <c r="BC35" s="317" t="s">
        <v>2796</v>
      </c>
      <c r="BD35" s="317" t="s">
        <v>2795</v>
      </c>
      <c r="BE35" s="317" t="s">
        <v>53</v>
      </c>
      <c r="BF35" s="317" t="s">
        <v>561</v>
      </c>
      <c r="BG35" s="317" t="s">
        <v>53</v>
      </c>
      <c r="BH35" s="317" t="s">
        <v>561</v>
      </c>
      <c r="BI35" s="317" t="s">
        <v>561</v>
      </c>
      <c r="BJ35" s="317" t="s">
        <v>53</v>
      </c>
      <c r="BK35" s="317" t="s">
        <v>561</v>
      </c>
      <c r="BL35" s="317" t="s">
        <v>2796</v>
      </c>
      <c r="BM35" s="317" t="s">
        <v>2796</v>
      </c>
      <c r="BN35" s="317" t="s">
        <v>561</v>
      </c>
      <c r="BO35" s="317" t="s">
        <v>2796</v>
      </c>
      <c r="BP35" s="317" t="s">
        <v>2806</v>
      </c>
      <c r="BQ35" s="317" t="s">
        <v>53</v>
      </c>
      <c r="BR35" s="317" t="s">
        <v>53</v>
      </c>
      <c r="BS35" s="317" t="s">
        <v>53</v>
      </c>
      <c r="BT35" s="317" t="s">
        <v>561</v>
      </c>
      <c r="BU35" s="317" t="s">
        <v>53</v>
      </c>
      <c r="BV35" s="317" t="s">
        <v>53</v>
      </c>
      <c r="BW35" s="317" t="s">
        <v>53</v>
      </c>
      <c r="BX35" s="317" t="s">
        <v>53</v>
      </c>
      <c r="BY35" s="317" t="s">
        <v>53</v>
      </c>
      <c r="BZ35" s="317" t="s">
        <v>561</v>
      </c>
      <c r="CA35" s="317" t="s">
        <v>53</v>
      </c>
      <c r="CB35" s="317" t="s">
        <v>53</v>
      </c>
      <c r="CC35" s="317" t="s">
        <v>53</v>
      </c>
      <c r="CD35" s="317" t="s">
        <v>561</v>
      </c>
      <c r="CE35" s="317" t="s">
        <v>561</v>
      </c>
      <c r="CF35" s="317" t="s">
        <v>53</v>
      </c>
      <c r="CG35" s="317" t="s">
        <v>801</v>
      </c>
      <c r="CH35" s="317" t="s">
        <v>53</v>
      </c>
      <c r="CI35" s="317" t="s">
        <v>561</v>
      </c>
      <c r="CJ35" s="317" t="s">
        <v>2796</v>
      </c>
      <c r="CK35" s="317" t="s">
        <v>561</v>
      </c>
      <c r="CL35" s="317" t="s">
        <v>53</v>
      </c>
      <c r="CM35" s="317" t="s">
        <v>561</v>
      </c>
      <c r="CN35" s="317" t="s">
        <v>561</v>
      </c>
      <c r="CO35" s="317" t="s">
        <v>53</v>
      </c>
      <c r="CP35" s="317" t="s">
        <v>53</v>
      </c>
      <c r="CQ35" s="319"/>
      <c r="CR35" s="319">
        <v>1991.0</v>
      </c>
      <c r="CS35" s="320" t="s">
        <v>850</v>
      </c>
      <c r="CT35" s="319"/>
      <c r="CU35" s="326" t="s">
        <v>2476</v>
      </c>
      <c r="CV35" s="327" t="s">
        <v>28</v>
      </c>
      <c r="CW35" s="319"/>
      <c r="CX35" s="319"/>
      <c r="CY35" s="323">
        <f t="shared" si="24"/>
        <v>0.638</v>
      </c>
      <c r="CZ35" s="324">
        <v>0.8079999999999999</v>
      </c>
      <c r="DA35" s="323">
        <v>0.17</v>
      </c>
      <c r="DB35" s="323"/>
      <c r="DC35" s="323">
        <f t="shared" si="25"/>
        <v>0.727</v>
      </c>
      <c r="DD35" s="324">
        <v>0.841</v>
      </c>
      <c r="DE35" s="323">
        <v>0.114</v>
      </c>
      <c r="DF35" s="323"/>
      <c r="DG35" s="323">
        <v>0.08</v>
      </c>
      <c r="DH35" s="324">
        <v>0.541</v>
      </c>
      <c r="DI35" s="323">
        <v>0.27399999999999997</v>
      </c>
      <c r="DJ35" s="323">
        <v>0.106</v>
      </c>
      <c r="DK35" s="323">
        <v>0.035</v>
      </c>
      <c r="DL35" s="323">
        <v>0.006999999999999999</v>
      </c>
      <c r="DM35" s="323"/>
      <c r="DN35" s="323">
        <v>0.2</v>
      </c>
      <c r="DO35" s="323">
        <v>0.415</v>
      </c>
      <c r="DP35" s="323">
        <v>0.06</v>
      </c>
    </row>
    <row r="36">
      <c r="A36" s="311" t="s">
        <v>1036</v>
      </c>
      <c r="B36" s="311" t="s">
        <v>276</v>
      </c>
      <c r="C36" s="311" t="s">
        <v>1530</v>
      </c>
      <c r="D36" s="311">
        <v>15.0</v>
      </c>
      <c r="E36" s="312">
        <f t="shared" si="19"/>
        <v>0.8333333333</v>
      </c>
      <c r="F36" s="312">
        <f t="shared" si="20"/>
        <v>0.5</v>
      </c>
      <c r="G36" s="312">
        <f t="shared" si="21"/>
        <v>0.5</v>
      </c>
      <c r="H36" s="312">
        <f t="shared" si="22"/>
        <v>0.5</v>
      </c>
      <c r="I36" s="315" t="s">
        <v>2794</v>
      </c>
      <c r="J36" s="315" t="s">
        <v>2794</v>
      </c>
      <c r="K36" s="315" t="s">
        <v>2794</v>
      </c>
      <c r="L36" s="316">
        <f t="shared" si="23"/>
        <v>0.5833333333</v>
      </c>
      <c r="M36" s="317" t="s">
        <v>487</v>
      </c>
      <c r="N36" s="317" t="s">
        <v>487</v>
      </c>
      <c r="O36" s="317" t="s">
        <v>487</v>
      </c>
      <c r="P36" s="317" t="s">
        <v>487</v>
      </c>
      <c r="Q36" s="317" t="s">
        <v>487</v>
      </c>
      <c r="R36" s="317" t="s">
        <v>594</v>
      </c>
      <c r="S36" s="318" t="s">
        <v>561</v>
      </c>
      <c r="T36" s="318" t="s">
        <v>561</v>
      </c>
      <c r="U36" s="330" t="s">
        <v>561</v>
      </c>
      <c r="V36" s="330" t="s">
        <v>561</v>
      </c>
      <c r="W36" s="318" t="s">
        <v>2795</v>
      </c>
      <c r="X36" s="340" t="s">
        <v>561</v>
      </c>
      <c r="Y36" s="318" t="s">
        <v>2795</v>
      </c>
      <c r="Z36" s="317" t="s">
        <v>2795</v>
      </c>
      <c r="AA36" s="317" t="s">
        <v>561</v>
      </c>
      <c r="AB36" s="317" t="s">
        <v>53</v>
      </c>
      <c r="AC36" s="317" t="s">
        <v>2795</v>
      </c>
      <c r="AD36" s="317" t="s">
        <v>2795</v>
      </c>
      <c r="AE36" s="317" t="s">
        <v>53</v>
      </c>
      <c r="AF36" s="317" t="s">
        <v>561</v>
      </c>
      <c r="AG36" s="317" t="s">
        <v>561</v>
      </c>
      <c r="AH36" s="317" t="s">
        <v>799</v>
      </c>
      <c r="AI36" s="317" t="s">
        <v>53</v>
      </c>
      <c r="AJ36" s="317" t="s">
        <v>2795</v>
      </c>
      <c r="AK36" s="317" t="s">
        <v>2795</v>
      </c>
      <c r="AL36" s="317" t="s">
        <v>2795</v>
      </c>
      <c r="AM36" s="317" t="s">
        <v>2795</v>
      </c>
      <c r="AN36" s="317" t="s">
        <v>2795</v>
      </c>
      <c r="AO36" s="317" t="s">
        <v>2795</v>
      </c>
      <c r="AP36" s="317" t="s">
        <v>561</v>
      </c>
      <c r="AQ36" s="317" t="s">
        <v>561</v>
      </c>
      <c r="AR36" s="317" t="s">
        <v>561</v>
      </c>
      <c r="AS36" s="317" t="s">
        <v>2795</v>
      </c>
      <c r="AT36" s="317" t="s">
        <v>561</v>
      </c>
      <c r="AU36" s="317" t="s">
        <v>799</v>
      </c>
      <c r="AV36" s="317" t="s">
        <v>2795</v>
      </c>
      <c r="AW36" s="317" t="s">
        <v>600</v>
      </c>
      <c r="AX36" s="317" t="s">
        <v>600</v>
      </c>
      <c r="AY36" s="317" t="s">
        <v>600</v>
      </c>
      <c r="AZ36" s="317" t="s">
        <v>600</v>
      </c>
      <c r="BA36" s="317" t="s">
        <v>600</v>
      </c>
      <c r="BB36" s="317" t="s">
        <v>600</v>
      </c>
      <c r="BC36" s="317" t="s">
        <v>600</v>
      </c>
      <c r="BD36" s="317" t="s">
        <v>600</v>
      </c>
      <c r="BE36" s="317" t="s">
        <v>600</v>
      </c>
      <c r="BF36" s="317" t="s">
        <v>600</v>
      </c>
      <c r="BG36" s="317" t="s">
        <v>600</v>
      </c>
      <c r="BH36" s="317" t="s">
        <v>600</v>
      </c>
      <c r="BI36" s="317" t="s">
        <v>600</v>
      </c>
      <c r="BJ36" s="317" t="s">
        <v>600</v>
      </c>
      <c r="BK36" s="317" t="s">
        <v>600</v>
      </c>
      <c r="BL36" s="317" t="s">
        <v>600</v>
      </c>
      <c r="BM36" s="317" t="s">
        <v>600</v>
      </c>
      <c r="BN36" s="317" t="s">
        <v>600</v>
      </c>
      <c r="BO36" s="317" t="s">
        <v>600</v>
      </c>
      <c r="BP36" s="317" t="s">
        <v>600</v>
      </c>
      <c r="BQ36" s="317" t="s">
        <v>600</v>
      </c>
      <c r="BR36" s="317" t="s">
        <v>600</v>
      </c>
      <c r="BS36" s="317" t="s">
        <v>600</v>
      </c>
      <c r="BT36" s="317" t="s">
        <v>600</v>
      </c>
      <c r="BU36" s="317" t="s">
        <v>600</v>
      </c>
      <c r="BV36" s="317" t="s">
        <v>600</v>
      </c>
      <c r="BW36" s="317" t="s">
        <v>600</v>
      </c>
      <c r="BX36" s="317" t="s">
        <v>600</v>
      </c>
      <c r="BY36" s="317" t="s">
        <v>600</v>
      </c>
      <c r="BZ36" s="317" t="s">
        <v>600</v>
      </c>
      <c r="CA36" s="317" t="s">
        <v>600</v>
      </c>
      <c r="CB36" s="317" t="s">
        <v>600</v>
      </c>
      <c r="CC36" s="317" t="s">
        <v>600</v>
      </c>
      <c r="CD36" s="317" t="s">
        <v>600</v>
      </c>
      <c r="CE36" s="317" t="s">
        <v>600</v>
      </c>
      <c r="CF36" s="317" t="s">
        <v>600</v>
      </c>
      <c r="CG36" s="317" t="s">
        <v>600</v>
      </c>
      <c r="CH36" s="317" t="s">
        <v>600</v>
      </c>
      <c r="CI36" s="317" t="s">
        <v>600</v>
      </c>
      <c r="CJ36" s="317" t="s">
        <v>600</v>
      </c>
      <c r="CK36" s="317" t="s">
        <v>600</v>
      </c>
      <c r="CL36" s="317" t="s">
        <v>600</v>
      </c>
      <c r="CM36" s="317" t="s">
        <v>600</v>
      </c>
      <c r="CN36" s="317" t="s">
        <v>600</v>
      </c>
      <c r="CO36" s="317" t="s">
        <v>600</v>
      </c>
      <c r="CP36" s="317" t="s">
        <v>600</v>
      </c>
      <c r="CQ36" s="319"/>
      <c r="CR36" s="319">
        <v>2021.0</v>
      </c>
      <c r="CS36" s="320" t="s">
        <v>850</v>
      </c>
      <c r="CT36" s="334" t="s">
        <v>2030</v>
      </c>
      <c r="CU36" s="326" t="s">
        <v>600</v>
      </c>
      <c r="CV36" s="326" t="s">
        <v>2818</v>
      </c>
      <c r="CW36" s="333" t="s">
        <v>304</v>
      </c>
      <c r="CX36" s="319"/>
      <c r="CY36" s="323">
        <f t="shared" si="24"/>
        <v>0.7</v>
      </c>
      <c r="CZ36" s="324">
        <v>0.847</v>
      </c>
      <c r="DA36" s="323">
        <v>0.147</v>
      </c>
      <c r="DB36" s="323"/>
      <c r="DC36" s="323">
        <f t="shared" si="25"/>
        <v>0.817</v>
      </c>
      <c r="DD36" s="324">
        <v>0.898</v>
      </c>
      <c r="DE36" s="323">
        <v>0.081</v>
      </c>
      <c r="DF36" s="323"/>
      <c r="DG36" s="323">
        <v>0.10300000000000001</v>
      </c>
      <c r="DH36" s="324">
        <v>0.535</v>
      </c>
      <c r="DI36" s="323">
        <v>0.406</v>
      </c>
      <c r="DJ36" s="323">
        <v>0.042</v>
      </c>
      <c r="DK36" s="323">
        <v>0.028999999999999998</v>
      </c>
      <c r="DL36" s="323">
        <v>0.004</v>
      </c>
      <c r="DM36" s="323"/>
      <c r="DN36" s="323">
        <v>0.204</v>
      </c>
      <c r="DO36" s="323">
        <v>0.486</v>
      </c>
      <c r="DP36" s="323">
        <v>0.064</v>
      </c>
    </row>
    <row r="37">
      <c r="A37" s="311" t="s">
        <v>684</v>
      </c>
      <c r="B37" s="311" t="s">
        <v>685</v>
      </c>
      <c r="C37" s="311" t="s">
        <v>1160</v>
      </c>
      <c r="D37" s="311">
        <v>1.0</v>
      </c>
      <c r="E37" s="312">
        <f t="shared" si="19"/>
        <v>1</v>
      </c>
      <c r="F37" s="312" t="str">
        <f t="shared" si="20"/>
        <v>#DIV/0!</v>
      </c>
      <c r="G37" s="312" t="str">
        <f t="shared" si="21"/>
        <v>#DIV/0!</v>
      </c>
      <c r="H37" s="312" t="str">
        <f t="shared" si="22"/>
        <v>#DIV/0!</v>
      </c>
      <c r="I37" s="312" t="str">
        <f t="shared" ref="I37:I47" si="33">(COUNTIF(AW37:BP37, "Nay")+COUNTIF(AW37:BP37, "Yea (Amend)")+(0.5*COUNTIF(AW37:BP37, "Present")))/(COUNTIF(AW37:BP37, "Nay")+COUNTIF(AW37:BP37, "Yea (Amend)")+COUNTIF(AW37:BP37, "Yea")+COUNTIF(AW37:BP37, "Nay (Amend)")+COUNTIF(AW37:BP37, "Present"))</f>
        <v>#DIV/0!</v>
      </c>
      <c r="J37" s="312" t="str">
        <f t="shared" ref="J37:J47" si="34">(COUNTIF(BQ37:CL37, "Nay")+COUNTIF(BQ37:CL37, "Yea (Amend)")+(0.5*COUNTIF(BQ37:CL37, "Present")))/(COUNTIF(BQ37:CL37, "Nay")+COUNTIF(BQ37:CL37, "Yea (Amend)")+COUNTIF(BQ37:CL37, "Yea")+COUNTIF(BQ37:CL37, "Nay (Amend)")+COUNTIF(BQ37:CL37, "Present"))</f>
        <v>#DIV/0!</v>
      </c>
      <c r="K37" s="312" t="str">
        <f t="shared" ref="K37:K47" si="35">(COUNTIF(CM37:CP37, "Nay")+COUNTIF(CM37:CP37, "Yea (Amend)")+(0.5*COUNTIF(CM37:CP37, "Present")))/(COUNTIF(CM37:CP37, "Nay")+COUNTIF(CM37:CP37, "Yea (Amend)")+COUNTIF(CM37:CP37, "Yea")+COUNTIF(CM37:CP37, "Nay (Amend)")+COUNTIF(CM37:CP37, "Present"))</f>
        <v>#DIV/0!</v>
      </c>
      <c r="L37" s="316" t="str">
        <f t="shared" si="23"/>
        <v>#DIV/0!</v>
      </c>
      <c r="M37" s="317" t="s">
        <v>487</v>
      </c>
      <c r="N37" s="317" t="s">
        <v>487</v>
      </c>
      <c r="O37" s="317" t="s">
        <v>487</v>
      </c>
      <c r="P37" s="317" t="s">
        <v>487</v>
      </c>
      <c r="Q37" s="317" t="s">
        <v>487</v>
      </c>
      <c r="R37" s="317" t="s">
        <v>487</v>
      </c>
      <c r="S37" s="318" t="s">
        <v>561</v>
      </c>
      <c r="T37" s="318" t="s">
        <v>561</v>
      </c>
      <c r="U37" s="330" t="s">
        <v>561</v>
      </c>
      <c r="V37" s="330" t="s">
        <v>561</v>
      </c>
      <c r="W37" s="318" t="s">
        <v>2795</v>
      </c>
      <c r="X37" s="340" t="s">
        <v>561</v>
      </c>
      <c r="Y37" s="340" t="s">
        <v>2807</v>
      </c>
      <c r="Z37" s="317" t="s">
        <v>2795</v>
      </c>
      <c r="AA37" s="317" t="s">
        <v>561</v>
      </c>
      <c r="AB37" s="317" t="s">
        <v>561</v>
      </c>
      <c r="AC37" s="317" t="s">
        <v>2795</v>
      </c>
      <c r="AD37" s="317" t="s">
        <v>2795</v>
      </c>
      <c r="AE37" s="317" t="s">
        <v>561</v>
      </c>
      <c r="AF37" s="317" t="s">
        <v>561</v>
      </c>
      <c r="AG37" s="317" t="s">
        <v>53</v>
      </c>
      <c r="AH37" s="317" t="s">
        <v>561</v>
      </c>
      <c r="AI37" s="317" t="s">
        <v>561</v>
      </c>
      <c r="AJ37" s="317" t="s">
        <v>2807</v>
      </c>
      <c r="AK37" s="317" t="s">
        <v>2795</v>
      </c>
      <c r="AL37" s="317" t="s">
        <v>2795</v>
      </c>
      <c r="AM37" s="317" t="s">
        <v>2795</v>
      </c>
      <c r="AN37" s="317" t="s">
        <v>2795</v>
      </c>
      <c r="AO37" s="317" t="s">
        <v>2795</v>
      </c>
      <c r="AP37" s="317" t="s">
        <v>561</v>
      </c>
      <c r="AQ37" s="317" t="s">
        <v>561</v>
      </c>
      <c r="AR37" s="317" t="s">
        <v>561</v>
      </c>
      <c r="AS37" s="317" t="s">
        <v>2795</v>
      </c>
      <c r="AT37" s="317" t="s">
        <v>561</v>
      </c>
      <c r="AU37" s="317" t="s">
        <v>561</v>
      </c>
      <c r="AV37" s="317" t="s">
        <v>2795</v>
      </c>
      <c r="AW37" s="317" t="s">
        <v>561</v>
      </c>
      <c r="AX37" s="317" t="s">
        <v>561</v>
      </c>
      <c r="AY37" s="317" t="s">
        <v>561</v>
      </c>
      <c r="AZ37" s="317" t="s">
        <v>561</v>
      </c>
      <c r="BA37" s="317" t="s">
        <v>2796</v>
      </c>
      <c r="BB37" s="317" t="s">
        <v>561</v>
      </c>
      <c r="BC37" s="317" t="s">
        <v>2796</v>
      </c>
      <c r="BD37" s="317" t="s">
        <v>2795</v>
      </c>
      <c r="BE37" s="317" t="s">
        <v>53</v>
      </c>
      <c r="BF37" s="317" t="s">
        <v>53</v>
      </c>
      <c r="BG37" s="317" t="s">
        <v>561</v>
      </c>
      <c r="BH37" s="317" t="s">
        <v>561</v>
      </c>
      <c r="BI37" s="317" t="s">
        <v>53</v>
      </c>
      <c r="BJ37" s="317" t="s">
        <v>53</v>
      </c>
      <c r="BK37" s="317" t="s">
        <v>561</v>
      </c>
      <c r="BL37" s="317" t="s">
        <v>2796</v>
      </c>
      <c r="BM37" s="317" t="s">
        <v>2796</v>
      </c>
      <c r="BN37" s="317" t="s">
        <v>561</v>
      </c>
      <c r="BO37" s="317" t="s">
        <v>2796</v>
      </c>
      <c r="BP37" s="317" t="s">
        <v>2796</v>
      </c>
      <c r="BQ37" s="317" t="s">
        <v>53</v>
      </c>
      <c r="BR37" s="317" t="s">
        <v>53</v>
      </c>
      <c r="BS37" s="317" t="s">
        <v>53</v>
      </c>
      <c r="BT37" s="317" t="s">
        <v>561</v>
      </c>
      <c r="BU37" s="317" t="s">
        <v>53</v>
      </c>
      <c r="BV37" s="317" t="s">
        <v>561</v>
      </c>
      <c r="BW37" s="317" t="s">
        <v>53</v>
      </c>
      <c r="BX37" s="317" t="s">
        <v>561</v>
      </c>
      <c r="BY37" s="317" t="s">
        <v>53</v>
      </c>
      <c r="BZ37" s="317" t="s">
        <v>561</v>
      </c>
      <c r="CA37" s="317" t="s">
        <v>53</v>
      </c>
      <c r="CB37" s="317" t="s">
        <v>53</v>
      </c>
      <c r="CC37" s="317" t="s">
        <v>53</v>
      </c>
      <c r="CD37" s="317" t="s">
        <v>561</v>
      </c>
      <c r="CE37" s="317" t="s">
        <v>53</v>
      </c>
      <c r="CF37" s="317" t="s">
        <v>53</v>
      </c>
      <c r="CG37" s="317" t="s">
        <v>561</v>
      </c>
      <c r="CH37" s="317" t="s">
        <v>561</v>
      </c>
      <c r="CI37" s="317" t="s">
        <v>561</v>
      </c>
      <c r="CJ37" s="317" t="s">
        <v>2796</v>
      </c>
      <c r="CK37" s="317" t="s">
        <v>561</v>
      </c>
      <c r="CL37" s="317" t="s">
        <v>561</v>
      </c>
      <c r="CM37" s="317" t="s">
        <v>561</v>
      </c>
      <c r="CN37" s="317" t="s">
        <v>561</v>
      </c>
      <c r="CO37" s="317" t="s">
        <v>53</v>
      </c>
      <c r="CP37" s="317" t="s">
        <v>53</v>
      </c>
      <c r="CQ37" s="319"/>
      <c r="CR37" s="319">
        <v>2009.0</v>
      </c>
      <c r="CS37" s="320" t="s">
        <v>850</v>
      </c>
      <c r="CT37" s="319"/>
      <c r="CU37" s="326" t="s">
        <v>2476</v>
      </c>
      <c r="CV37" s="332" t="s">
        <v>75</v>
      </c>
      <c r="CW37" s="336"/>
      <c r="CX37" s="319"/>
      <c r="CY37" s="323">
        <f t="shared" si="24"/>
        <v>0.228</v>
      </c>
      <c r="CZ37" s="324">
        <v>0.6</v>
      </c>
      <c r="DA37" s="323">
        <v>0.37200000000000005</v>
      </c>
      <c r="DB37" s="323"/>
      <c r="DC37" s="323">
        <f t="shared" si="25"/>
        <v>0.144</v>
      </c>
      <c r="DD37" s="324">
        <v>0.5379999999999999</v>
      </c>
      <c r="DE37" s="323">
        <v>0.39399999999999996</v>
      </c>
      <c r="DF37" s="323"/>
      <c r="DG37" s="324">
        <v>0.91</v>
      </c>
      <c r="DH37" s="323">
        <v>0.018000000000000002</v>
      </c>
      <c r="DI37" s="323">
        <v>0.023</v>
      </c>
      <c r="DJ37" s="323">
        <v>0.021</v>
      </c>
      <c r="DK37" s="323">
        <v>0.018000000000000002</v>
      </c>
      <c r="DL37" s="323">
        <v>0.001</v>
      </c>
      <c r="DM37" s="323"/>
      <c r="DN37" s="323">
        <v>0.392</v>
      </c>
      <c r="DO37" s="323">
        <v>0.395</v>
      </c>
      <c r="DP37" s="324">
        <v>0.573</v>
      </c>
    </row>
    <row r="38">
      <c r="A38" s="311" t="s">
        <v>652</v>
      </c>
      <c r="B38" s="311" t="s">
        <v>927</v>
      </c>
      <c r="C38" s="311" t="s">
        <v>587</v>
      </c>
      <c r="D38" s="311">
        <v>6.0</v>
      </c>
      <c r="E38" s="312">
        <f t="shared" si="19"/>
        <v>0.5</v>
      </c>
      <c r="F38" s="312" t="str">
        <f t="shared" si="20"/>
        <v>#DIV/0!</v>
      </c>
      <c r="G38" s="312" t="str">
        <f t="shared" si="21"/>
        <v>#DIV/0!</v>
      </c>
      <c r="H38" s="312" t="str">
        <f t="shared" si="22"/>
        <v>#DIV/0!</v>
      </c>
      <c r="I38" s="312" t="str">
        <f t="shared" si="33"/>
        <v>#DIV/0!</v>
      </c>
      <c r="J38" s="312" t="str">
        <f t="shared" si="34"/>
        <v>#DIV/0!</v>
      </c>
      <c r="K38" s="312" t="str">
        <f t="shared" si="35"/>
        <v>#DIV/0!</v>
      </c>
      <c r="L38" s="316" t="str">
        <f t="shared" si="23"/>
        <v>#DIV/0!</v>
      </c>
      <c r="M38" s="317" t="s">
        <v>487</v>
      </c>
      <c r="N38" s="317" t="s">
        <v>594</v>
      </c>
      <c r="O38" s="317" t="s">
        <v>487</v>
      </c>
      <c r="P38" s="317" t="s">
        <v>487</v>
      </c>
      <c r="Q38" s="317" t="s">
        <v>594</v>
      </c>
      <c r="R38" s="317" t="s">
        <v>594</v>
      </c>
      <c r="S38" s="318" t="s">
        <v>53</v>
      </c>
      <c r="T38" s="318" t="s">
        <v>561</v>
      </c>
      <c r="U38" s="330" t="s">
        <v>561</v>
      </c>
      <c r="V38" s="330" t="s">
        <v>561</v>
      </c>
      <c r="W38" s="340" t="s">
        <v>2807</v>
      </c>
      <c r="X38" s="318" t="s">
        <v>53</v>
      </c>
      <c r="Y38" s="318" t="s">
        <v>2795</v>
      </c>
      <c r="Z38" s="317" t="s">
        <v>2795</v>
      </c>
      <c r="AA38" s="317" t="s">
        <v>561</v>
      </c>
      <c r="AB38" s="317" t="s">
        <v>53</v>
      </c>
      <c r="AC38" s="317" t="s">
        <v>2795</v>
      </c>
      <c r="AD38" s="317" t="s">
        <v>2795</v>
      </c>
      <c r="AE38" s="317" t="s">
        <v>53</v>
      </c>
      <c r="AF38" s="317" t="s">
        <v>561</v>
      </c>
      <c r="AG38" s="317" t="s">
        <v>561</v>
      </c>
      <c r="AH38" s="317" t="s">
        <v>561</v>
      </c>
      <c r="AI38" s="317" t="s">
        <v>53</v>
      </c>
      <c r="AJ38" s="317" t="s">
        <v>2795</v>
      </c>
      <c r="AK38" s="317" t="s">
        <v>2795</v>
      </c>
      <c r="AL38" s="317" t="s">
        <v>2795</v>
      </c>
      <c r="AM38" s="317" t="s">
        <v>2795</v>
      </c>
      <c r="AN38" s="317" t="s">
        <v>2795</v>
      </c>
      <c r="AO38" s="317" t="s">
        <v>2795</v>
      </c>
      <c r="AP38" s="317" t="s">
        <v>561</v>
      </c>
      <c r="AQ38" s="317" t="s">
        <v>561</v>
      </c>
      <c r="AR38" s="317" t="s">
        <v>561</v>
      </c>
      <c r="AS38" s="317" t="s">
        <v>2795</v>
      </c>
      <c r="AT38" s="317" t="s">
        <v>561</v>
      </c>
      <c r="AU38" s="317" t="s">
        <v>561</v>
      </c>
      <c r="AV38" s="317" t="s">
        <v>2795</v>
      </c>
      <c r="AW38" s="317" t="s">
        <v>561</v>
      </c>
      <c r="AX38" s="317" t="s">
        <v>561</v>
      </c>
      <c r="AY38" s="317" t="s">
        <v>561</v>
      </c>
      <c r="AZ38" s="317" t="s">
        <v>561</v>
      </c>
      <c r="BA38" s="317" t="s">
        <v>2796</v>
      </c>
      <c r="BB38" s="317" t="s">
        <v>561</v>
      </c>
      <c r="BC38" s="317" t="s">
        <v>2796</v>
      </c>
      <c r="BD38" s="317" t="s">
        <v>2795</v>
      </c>
      <c r="BE38" s="317" t="s">
        <v>53</v>
      </c>
      <c r="BF38" s="317" t="s">
        <v>53</v>
      </c>
      <c r="BG38" s="317" t="s">
        <v>53</v>
      </c>
      <c r="BH38" s="317" t="s">
        <v>561</v>
      </c>
      <c r="BI38" s="317" t="s">
        <v>561</v>
      </c>
      <c r="BJ38" s="317" t="s">
        <v>53</v>
      </c>
      <c r="BK38" s="317" t="s">
        <v>561</v>
      </c>
      <c r="BL38" s="317" t="s">
        <v>2796</v>
      </c>
      <c r="BM38" s="317" t="s">
        <v>2796</v>
      </c>
      <c r="BN38" s="317" t="s">
        <v>53</v>
      </c>
      <c r="BO38" s="317" t="s">
        <v>2796</v>
      </c>
      <c r="BP38" s="317" t="s">
        <v>2796</v>
      </c>
      <c r="BQ38" s="317" t="s">
        <v>53</v>
      </c>
      <c r="BR38" s="317" t="s">
        <v>53</v>
      </c>
      <c r="BS38" s="317" t="s">
        <v>53</v>
      </c>
      <c r="BT38" s="317" t="s">
        <v>53</v>
      </c>
      <c r="BU38" s="317" t="s">
        <v>53</v>
      </c>
      <c r="BV38" s="317" t="s">
        <v>53</v>
      </c>
      <c r="BW38" s="317" t="s">
        <v>53</v>
      </c>
      <c r="BX38" s="317" t="s">
        <v>53</v>
      </c>
      <c r="BY38" s="317" t="s">
        <v>53</v>
      </c>
      <c r="BZ38" s="317" t="s">
        <v>561</v>
      </c>
      <c r="CA38" s="317" t="s">
        <v>53</v>
      </c>
      <c r="CB38" s="317" t="s">
        <v>53</v>
      </c>
      <c r="CC38" s="317" t="s">
        <v>53</v>
      </c>
      <c r="CD38" s="317" t="s">
        <v>53</v>
      </c>
      <c r="CE38" s="317" t="s">
        <v>561</v>
      </c>
      <c r="CF38" s="317" t="s">
        <v>53</v>
      </c>
      <c r="CG38" s="317" t="s">
        <v>561</v>
      </c>
      <c r="CH38" s="317" t="s">
        <v>561</v>
      </c>
      <c r="CI38" s="317" t="s">
        <v>53</v>
      </c>
      <c r="CJ38" s="317" t="s">
        <v>2796</v>
      </c>
      <c r="CK38" s="317" t="s">
        <v>53</v>
      </c>
      <c r="CL38" s="317" t="s">
        <v>53</v>
      </c>
      <c r="CM38" s="317" t="s">
        <v>53</v>
      </c>
      <c r="CN38" s="317" t="s">
        <v>561</v>
      </c>
      <c r="CO38" s="317" t="s">
        <v>561</v>
      </c>
      <c r="CP38" s="317" t="s">
        <v>53</v>
      </c>
      <c r="CQ38" s="319"/>
      <c r="CR38" s="319" t="s">
        <v>2717</v>
      </c>
      <c r="CS38" s="320" t="s">
        <v>850</v>
      </c>
      <c r="CT38" s="334" t="s">
        <v>122</v>
      </c>
      <c r="CU38" s="319" t="s">
        <v>1463</v>
      </c>
      <c r="CV38" s="332" t="s">
        <v>75</v>
      </c>
      <c r="CW38" s="319"/>
      <c r="CX38" s="319"/>
      <c r="CY38" s="323">
        <f t="shared" si="24"/>
        <v>0.193</v>
      </c>
      <c r="CZ38" s="324">
        <v>0.59</v>
      </c>
      <c r="DA38" s="323">
        <v>0.397</v>
      </c>
      <c r="DB38" s="323"/>
      <c r="DC38" s="323">
        <f t="shared" si="25"/>
        <v>0.19</v>
      </c>
      <c r="DD38" s="324">
        <v>0.579</v>
      </c>
      <c r="DE38" s="323">
        <v>0.389</v>
      </c>
      <c r="DF38" s="323"/>
      <c r="DG38" s="324">
        <v>0.452</v>
      </c>
      <c r="DH38" s="323">
        <v>0.221</v>
      </c>
      <c r="DI38" s="323">
        <v>0.127</v>
      </c>
      <c r="DJ38" s="323">
        <v>0.19699999999999998</v>
      </c>
      <c r="DK38" s="323">
        <v>0.013999999999999999</v>
      </c>
      <c r="DL38" s="323">
        <v>0.001</v>
      </c>
      <c r="DM38" s="323"/>
      <c r="DN38" s="323">
        <v>0.402</v>
      </c>
      <c r="DO38" s="323">
        <v>0.41</v>
      </c>
      <c r="DP38" s="323">
        <v>0.32899999999999996</v>
      </c>
    </row>
    <row r="39">
      <c r="A39" s="311" t="s">
        <v>1134</v>
      </c>
      <c r="B39" s="311" t="s">
        <v>1135</v>
      </c>
      <c r="C39" s="311" t="s">
        <v>532</v>
      </c>
      <c r="D39" s="311">
        <v>1.0</v>
      </c>
      <c r="E39" s="312">
        <f t="shared" si="19"/>
        <v>0.5</v>
      </c>
      <c r="F39" s="312" t="str">
        <f t="shared" si="20"/>
        <v>#DIV/0!</v>
      </c>
      <c r="G39" s="312" t="str">
        <f t="shared" si="21"/>
        <v>#DIV/0!</v>
      </c>
      <c r="H39" s="312" t="str">
        <f t="shared" si="22"/>
        <v>#DIV/0!</v>
      </c>
      <c r="I39" s="312" t="str">
        <f t="shared" si="33"/>
        <v>#DIV/0!</v>
      </c>
      <c r="J39" s="312" t="str">
        <f t="shared" si="34"/>
        <v>#DIV/0!</v>
      </c>
      <c r="K39" s="312" t="str">
        <f t="shared" si="35"/>
        <v>#DIV/0!</v>
      </c>
      <c r="L39" s="316" t="str">
        <f t="shared" si="23"/>
        <v>#DIV/0!</v>
      </c>
      <c r="M39" s="317" t="s">
        <v>487</v>
      </c>
      <c r="N39" s="317" t="s">
        <v>487</v>
      </c>
      <c r="O39" s="317" t="s">
        <v>487</v>
      </c>
      <c r="P39" s="317" t="s">
        <v>594</v>
      </c>
      <c r="Q39" s="317" t="s">
        <v>594</v>
      </c>
      <c r="R39" s="317" t="s">
        <v>594</v>
      </c>
      <c r="S39" s="318" t="s">
        <v>53</v>
      </c>
      <c r="T39" s="318" t="s">
        <v>561</v>
      </c>
      <c r="U39" s="330" t="s">
        <v>561</v>
      </c>
      <c r="V39" s="330" t="s">
        <v>561</v>
      </c>
      <c r="W39" s="318" t="s">
        <v>2795</v>
      </c>
      <c r="X39" s="318" t="s">
        <v>53</v>
      </c>
      <c r="Y39" s="318" t="s">
        <v>2795</v>
      </c>
      <c r="Z39" s="317" t="s">
        <v>2795</v>
      </c>
      <c r="AA39" s="317" t="s">
        <v>561</v>
      </c>
      <c r="AB39" s="317" t="s">
        <v>53</v>
      </c>
      <c r="AC39" s="317" t="s">
        <v>2795</v>
      </c>
      <c r="AD39" s="317" t="s">
        <v>2795</v>
      </c>
      <c r="AE39" s="317" t="s">
        <v>53</v>
      </c>
      <c r="AF39" s="317" t="s">
        <v>561</v>
      </c>
      <c r="AG39" s="317" t="s">
        <v>561</v>
      </c>
      <c r="AH39" s="317" t="s">
        <v>561</v>
      </c>
      <c r="AI39" s="317" t="s">
        <v>53</v>
      </c>
      <c r="AJ39" s="317" t="s">
        <v>2795</v>
      </c>
      <c r="AK39" s="317" t="s">
        <v>2795</v>
      </c>
      <c r="AL39" s="317" t="s">
        <v>2795</v>
      </c>
      <c r="AM39" s="317" t="s">
        <v>2795</v>
      </c>
      <c r="AN39" s="317" t="s">
        <v>2795</v>
      </c>
      <c r="AO39" s="317" t="s">
        <v>2795</v>
      </c>
      <c r="AP39" s="317" t="s">
        <v>561</v>
      </c>
      <c r="AQ39" s="317" t="s">
        <v>561</v>
      </c>
      <c r="AR39" s="317" t="s">
        <v>561</v>
      </c>
      <c r="AS39" s="317" t="s">
        <v>2795</v>
      </c>
      <c r="AT39" s="317" t="s">
        <v>561</v>
      </c>
      <c r="AU39" s="317" t="s">
        <v>53</v>
      </c>
      <c r="AV39" s="317" t="s">
        <v>2795</v>
      </c>
      <c r="AW39" s="317" t="s">
        <v>53</v>
      </c>
      <c r="AX39" s="317" t="s">
        <v>561</v>
      </c>
      <c r="AY39" s="317" t="s">
        <v>53</v>
      </c>
      <c r="AZ39" s="317" t="s">
        <v>561</v>
      </c>
      <c r="BA39" s="317" t="s">
        <v>2796</v>
      </c>
      <c r="BB39" s="317" t="s">
        <v>53</v>
      </c>
      <c r="BC39" s="317" t="s">
        <v>2796</v>
      </c>
      <c r="BD39" s="317" t="s">
        <v>2795</v>
      </c>
      <c r="BE39" s="317" t="s">
        <v>53</v>
      </c>
      <c r="BF39" s="317" t="s">
        <v>561</v>
      </c>
      <c r="BG39" s="317" t="s">
        <v>53</v>
      </c>
      <c r="BH39" s="317" t="s">
        <v>561</v>
      </c>
      <c r="BI39" s="317" t="s">
        <v>561</v>
      </c>
      <c r="BJ39" s="317" t="s">
        <v>53</v>
      </c>
      <c r="BK39" s="317" t="s">
        <v>561</v>
      </c>
      <c r="BL39" s="317" t="s">
        <v>2796</v>
      </c>
      <c r="BM39" s="317" t="s">
        <v>2796</v>
      </c>
      <c r="BN39" s="317" t="s">
        <v>53</v>
      </c>
      <c r="BO39" s="317" t="s">
        <v>2796</v>
      </c>
      <c r="BP39" s="317" t="s">
        <v>2796</v>
      </c>
      <c r="BQ39" s="317" t="s">
        <v>53</v>
      </c>
      <c r="BR39" s="317" t="s">
        <v>53</v>
      </c>
      <c r="BS39" s="317" t="s">
        <v>53</v>
      </c>
      <c r="BT39" s="317" t="s">
        <v>53</v>
      </c>
      <c r="BU39" s="317" t="s">
        <v>53</v>
      </c>
      <c r="BV39" s="317" t="s">
        <v>53</v>
      </c>
      <c r="BW39" s="317" t="s">
        <v>53</v>
      </c>
      <c r="BX39" s="317" t="s">
        <v>561</v>
      </c>
      <c r="BY39" s="317" t="s">
        <v>53</v>
      </c>
      <c r="BZ39" s="317" t="s">
        <v>561</v>
      </c>
      <c r="CA39" s="317" t="s">
        <v>53</v>
      </c>
      <c r="CB39" s="317" t="s">
        <v>561</v>
      </c>
      <c r="CC39" s="317" t="s">
        <v>561</v>
      </c>
      <c r="CD39" s="317" t="s">
        <v>53</v>
      </c>
      <c r="CE39" s="317" t="s">
        <v>53</v>
      </c>
      <c r="CF39" s="317" t="s">
        <v>53</v>
      </c>
      <c r="CG39" s="317" t="s">
        <v>561</v>
      </c>
      <c r="CH39" s="317" t="s">
        <v>561</v>
      </c>
      <c r="CI39" s="317" t="s">
        <v>561</v>
      </c>
      <c r="CJ39" s="317" t="s">
        <v>2796</v>
      </c>
      <c r="CK39" s="317" t="s">
        <v>53</v>
      </c>
      <c r="CL39" s="317" t="s">
        <v>561</v>
      </c>
      <c r="CM39" s="317" t="s">
        <v>561</v>
      </c>
      <c r="CN39" s="317" t="s">
        <v>561</v>
      </c>
      <c r="CO39" s="317" t="s">
        <v>53</v>
      </c>
      <c r="CP39" s="317" t="s">
        <v>561</v>
      </c>
      <c r="CQ39" s="319"/>
      <c r="CR39" s="319" t="s">
        <v>2367</v>
      </c>
      <c r="CS39" s="320" t="s">
        <v>850</v>
      </c>
      <c r="CT39" s="319"/>
      <c r="CU39" s="326" t="s">
        <v>2476</v>
      </c>
      <c r="CV39" s="332" t="s">
        <v>75</v>
      </c>
      <c r="CW39" s="319"/>
      <c r="CX39" s="319"/>
      <c r="CY39" s="323">
        <f t="shared" si="24"/>
        <v>0.393</v>
      </c>
      <c r="CZ39" s="324">
        <v>0.684</v>
      </c>
      <c r="DA39" s="323">
        <v>0.29100000000000004</v>
      </c>
      <c r="DB39" s="323"/>
      <c r="DC39" s="323">
        <f t="shared" si="25"/>
        <v>0.326</v>
      </c>
      <c r="DD39" s="324">
        <v>0.607</v>
      </c>
      <c r="DE39" s="323">
        <v>0.281</v>
      </c>
      <c r="DF39" s="323"/>
      <c r="DG39" s="324">
        <v>0.69</v>
      </c>
      <c r="DH39" s="323">
        <v>0.127</v>
      </c>
      <c r="DI39" s="323">
        <v>0.03</v>
      </c>
      <c r="DJ39" s="323">
        <v>0.115</v>
      </c>
      <c r="DK39" s="323">
        <v>0.032</v>
      </c>
      <c r="DL39" s="323">
        <v>0.008</v>
      </c>
      <c r="DM39" s="323"/>
      <c r="DN39" s="323">
        <v>0.469</v>
      </c>
      <c r="DO39" s="323">
        <v>0.48200000000000004</v>
      </c>
      <c r="DP39" s="323">
        <v>0.406</v>
      </c>
    </row>
    <row r="40">
      <c r="A40" s="311" t="s">
        <v>1404</v>
      </c>
      <c r="B40" s="311" t="s">
        <v>1405</v>
      </c>
      <c r="C40" s="311" t="s">
        <v>991</v>
      </c>
      <c r="D40" s="311">
        <v>4.0</v>
      </c>
      <c r="E40" s="312">
        <f t="shared" si="19"/>
        <v>0.3333333333</v>
      </c>
      <c r="F40" s="312" t="str">
        <f t="shared" si="20"/>
        <v>#DIV/0!</v>
      </c>
      <c r="G40" s="312" t="str">
        <f t="shared" si="21"/>
        <v>#DIV/0!</v>
      </c>
      <c r="H40" s="312" t="str">
        <f t="shared" si="22"/>
        <v>#DIV/0!</v>
      </c>
      <c r="I40" s="312" t="str">
        <f t="shared" si="33"/>
        <v>#DIV/0!</v>
      </c>
      <c r="J40" s="312" t="str">
        <f t="shared" si="34"/>
        <v>#DIV/0!</v>
      </c>
      <c r="K40" s="312" t="str">
        <f t="shared" si="35"/>
        <v>#DIV/0!</v>
      </c>
      <c r="L40" s="316" t="str">
        <f t="shared" si="23"/>
        <v>#DIV/0!</v>
      </c>
      <c r="M40" s="317" t="s">
        <v>594</v>
      </c>
      <c r="N40" s="317" t="s">
        <v>487</v>
      </c>
      <c r="O40" s="317" t="s">
        <v>487</v>
      </c>
      <c r="P40" s="317" t="s">
        <v>594</v>
      </c>
      <c r="Q40" s="317" t="s">
        <v>594</v>
      </c>
      <c r="R40" s="317" t="s">
        <v>594</v>
      </c>
      <c r="S40" s="318" t="s">
        <v>53</v>
      </c>
      <c r="T40" s="318" t="s">
        <v>561</v>
      </c>
      <c r="U40" s="330" t="s">
        <v>561</v>
      </c>
      <c r="V40" s="330" t="s">
        <v>561</v>
      </c>
      <c r="W40" s="318" t="s">
        <v>2795</v>
      </c>
      <c r="X40" s="318" t="s">
        <v>53</v>
      </c>
      <c r="Y40" s="318" t="s">
        <v>2795</v>
      </c>
      <c r="Z40" s="317" t="s">
        <v>2795</v>
      </c>
      <c r="AA40" s="317" t="s">
        <v>561</v>
      </c>
      <c r="AB40" s="317" t="s">
        <v>53</v>
      </c>
      <c r="AC40" s="317" t="s">
        <v>2795</v>
      </c>
      <c r="AD40" s="317" t="s">
        <v>2795</v>
      </c>
      <c r="AE40" s="317" t="s">
        <v>53</v>
      </c>
      <c r="AF40" s="317" t="s">
        <v>561</v>
      </c>
      <c r="AG40" s="317" t="s">
        <v>53</v>
      </c>
      <c r="AH40" s="317" t="s">
        <v>561</v>
      </c>
      <c r="AI40" s="317" t="s">
        <v>53</v>
      </c>
      <c r="AJ40" s="317" t="s">
        <v>2795</v>
      </c>
      <c r="AK40" s="317" t="s">
        <v>2795</v>
      </c>
      <c r="AL40" s="317" t="s">
        <v>2795</v>
      </c>
      <c r="AM40" s="317" t="s">
        <v>2795</v>
      </c>
      <c r="AN40" s="317" t="s">
        <v>2795</v>
      </c>
      <c r="AO40" s="317" t="s">
        <v>2795</v>
      </c>
      <c r="AP40" s="317" t="s">
        <v>561</v>
      </c>
      <c r="AQ40" s="317" t="s">
        <v>561</v>
      </c>
      <c r="AR40" s="317" t="s">
        <v>561</v>
      </c>
      <c r="AS40" s="317" t="s">
        <v>2795</v>
      </c>
      <c r="AT40" s="317" t="s">
        <v>561</v>
      </c>
      <c r="AU40" s="317" t="s">
        <v>53</v>
      </c>
      <c r="AV40" s="317" t="s">
        <v>2795</v>
      </c>
      <c r="AW40" s="317" t="s">
        <v>561</v>
      </c>
      <c r="AX40" s="317" t="s">
        <v>53</v>
      </c>
      <c r="AY40" s="317" t="s">
        <v>53</v>
      </c>
      <c r="AZ40" s="317" t="s">
        <v>561</v>
      </c>
      <c r="BA40" s="317" t="s">
        <v>2796</v>
      </c>
      <c r="BB40" s="317" t="s">
        <v>53</v>
      </c>
      <c r="BC40" s="317" t="s">
        <v>2796</v>
      </c>
      <c r="BD40" s="317" t="s">
        <v>2795</v>
      </c>
      <c r="BE40" s="317" t="s">
        <v>53</v>
      </c>
      <c r="BF40" s="317" t="s">
        <v>561</v>
      </c>
      <c r="BG40" s="317" t="s">
        <v>53</v>
      </c>
      <c r="BH40" s="317" t="s">
        <v>561</v>
      </c>
      <c r="BI40" s="317" t="s">
        <v>53</v>
      </c>
      <c r="BJ40" s="317" t="s">
        <v>53</v>
      </c>
      <c r="BK40" s="317" t="s">
        <v>561</v>
      </c>
      <c r="BL40" s="317" t="s">
        <v>2796</v>
      </c>
      <c r="BM40" s="317" t="s">
        <v>2796</v>
      </c>
      <c r="BN40" s="317" t="s">
        <v>53</v>
      </c>
      <c r="BO40" s="317" t="s">
        <v>2796</v>
      </c>
      <c r="BP40" s="317" t="s">
        <v>2796</v>
      </c>
      <c r="BQ40" s="317" t="s">
        <v>53</v>
      </c>
      <c r="BR40" s="317" t="s">
        <v>561</v>
      </c>
      <c r="BS40" s="317" t="s">
        <v>53</v>
      </c>
      <c r="BT40" s="317" t="s">
        <v>561</v>
      </c>
      <c r="BU40" s="317" t="s">
        <v>53</v>
      </c>
      <c r="BV40" s="317" t="s">
        <v>53</v>
      </c>
      <c r="BW40" s="317" t="s">
        <v>53</v>
      </c>
      <c r="BX40" s="317" t="s">
        <v>53</v>
      </c>
      <c r="BY40" s="317" t="s">
        <v>801</v>
      </c>
      <c r="BZ40" s="317" t="s">
        <v>561</v>
      </c>
      <c r="CA40" s="317" t="s">
        <v>53</v>
      </c>
      <c r="CB40" s="317" t="s">
        <v>53</v>
      </c>
      <c r="CC40" s="317" t="s">
        <v>53</v>
      </c>
      <c r="CD40" s="317" t="s">
        <v>53</v>
      </c>
      <c r="CE40" s="317" t="s">
        <v>561</v>
      </c>
      <c r="CF40" s="317" t="s">
        <v>53</v>
      </c>
      <c r="CG40" s="317" t="s">
        <v>561</v>
      </c>
      <c r="CH40" s="317" t="s">
        <v>561</v>
      </c>
      <c r="CI40" s="317" t="s">
        <v>53</v>
      </c>
      <c r="CJ40" s="317" t="s">
        <v>801</v>
      </c>
      <c r="CK40" s="317" t="s">
        <v>53</v>
      </c>
      <c r="CL40" s="317" t="s">
        <v>53</v>
      </c>
      <c r="CM40" s="317" t="s">
        <v>561</v>
      </c>
      <c r="CN40" s="317" t="s">
        <v>561</v>
      </c>
      <c r="CO40" s="317" t="s">
        <v>53</v>
      </c>
      <c r="CP40" s="317" t="s">
        <v>561</v>
      </c>
      <c r="CQ40" s="319"/>
      <c r="CR40" s="319">
        <v>2005.0</v>
      </c>
      <c r="CS40" s="320" t="s">
        <v>850</v>
      </c>
      <c r="CT40" s="319"/>
      <c r="CU40" s="326" t="s">
        <v>2476</v>
      </c>
      <c r="CV40" s="327" t="s">
        <v>28</v>
      </c>
      <c r="CW40" s="319"/>
      <c r="CX40" s="319"/>
      <c r="CY40" s="323">
        <f t="shared" si="24"/>
        <v>0.531</v>
      </c>
      <c r="CZ40" s="324">
        <v>0.759</v>
      </c>
      <c r="DA40" s="323">
        <v>0.228</v>
      </c>
      <c r="DB40" s="323"/>
      <c r="DC40" s="323">
        <f t="shared" si="25"/>
        <v>0.497</v>
      </c>
      <c r="DD40" s="324">
        <v>0.72</v>
      </c>
      <c r="DE40" s="323">
        <v>0.223</v>
      </c>
      <c r="DF40" s="323"/>
      <c r="DG40" s="324">
        <v>0.47100000000000003</v>
      </c>
      <c r="DH40" s="323">
        <v>0.153</v>
      </c>
      <c r="DI40" s="323">
        <v>0.315</v>
      </c>
      <c r="DJ40" s="323">
        <v>0.052000000000000005</v>
      </c>
      <c r="DK40" s="323">
        <v>0.021</v>
      </c>
      <c r="DL40" s="323">
        <v>0.001</v>
      </c>
      <c r="DM40" s="323"/>
      <c r="DN40" s="323">
        <v>0.308</v>
      </c>
      <c r="DO40" s="323">
        <v>0.451</v>
      </c>
      <c r="DP40" s="323">
        <v>0.287</v>
      </c>
    </row>
    <row r="41">
      <c r="A41" s="311" t="s">
        <v>1238</v>
      </c>
      <c r="B41" s="311" t="s">
        <v>1239</v>
      </c>
      <c r="C41" s="311" t="s">
        <v>2820</v>
      </c>
      <c r="D41" s="311">
        <v>9.0</v>
      </c>
      <c r="E41" s="312">
        <f t="shared" si="19"/>
        <v>0.6666666667</v>
      </c>
      <c r="F41" s="312">
        <f t="shared" si="20"/>
        <v>0.5</v>
      </c>
      <c r="G41" s="312" t="str">
        <f t="shared" si="21"/>
        <v>#DIV/0!</v>
      </c>
      <c r="H41" s="312">
        <f t="shared" si="22"/>
        <v>0.5</v>
      </c>
      <c r="I41" s="312" t="str">
        <f t="shared" si="33"/>
        <v>#DIV/0!</v>
      </c>
      <c r="J41" s="312" t="str">
        <f t="shared" si="34"/>
        <v>#DIV/0!</v>
      </c>
      <c r="K41" s="312" t="str">
        <f t="shared" si="35"/>
        <v>#DIV/0!</v>
      </c>
      <c r="L41" s="316" t="str">
        <f t="shared" si="23"/>
        <v>#DIV/0!</v>
      </c>
      <c r="M41" s="317" t="s">
        <v>487</v>
      </c>
      <c r="N41" s="317" t="s">
        <v>487</v>
      </c>
      <c r="O41" s="317" t="s">
        <v>487</v>
      </c>
      <c r="P41" s="317" t="s">
        <v>594</v>
      </c>
      <c r="Q41" s="317" t="s">
        <v>487</v>
      </c>
      <c r="R41" s="317" t="s">
        <v>594</v>
      </c>
      <c r="S41" s="318" t="s">
        <v>53</v>
      </c>
      <c r="T41" s="318" t="s">
        <v>561</v>
      </c>
      <c r="U41" s="330" t="s">
        <v>561</v>
      </c>
      <c r="V41" s="330" t="s">
        <v>561</v>
      </c>
      <c r="W41" s="318" t="s">
        <v>2795</v>
      </c>
      <c r="X41" s="318" t="s">
        <v>53</v>
      </c>
      <c r="Y41" s="318" t="s">
        <v>2795</v>
      </c>
      <c r="Z41" s="317" t="s">
        <v>2795</v>
      </c>
      <c r="AA41" s="317" t="s">
        <v>561</v>
      </c>
      <c r="AB41" s="317" t="s">
        <v>53</v>
      </c>
      <c r="AC41" s="317" t="s">
        <v>2795</v>
      </c>
      <c r="AD41" s="317" t="s">
        <v>2795</v>
      </c>
      <c r="AE41" s="317" t="s">
        <v>53</v>
      </c>
      <c r="AF41" s="317" t="s">
        <v>561</v>
      </c>
      <c r="AG41" s="317" t="s">
        <v>799</v>
      </c>
      <c r="AH41" s="317" t="s">
        <v>799</v>
      </c>
      <c r="AI41" s="317" t="s">
        <v>53</v>
      </c>
      <c r="AJ41" s="317" t="s">
        <v>2795</v>
      </c>
      <c r="AK41" s="317" t="s">
        <v>2795</v>
      </c>
      <c r="AL41" s="317" t="s">
        <v>2795</v>
      </c>
      <c r="AM41" s="317" t="s">
        <v>2795</v>
      </c>
      <c r="AN41" s="317" t="s">
        <v>2795</v>
      </c>
      <c r="AO41" s="317" t="s">
        <v>2795</v>
      </c>
      <c r="AP41" s="317" t="s">
        <v>561</v>
      </c>
      <c r="AQ41" s="317" t="s">
        <v>561</v>
      </c>
      <c r="AR41" s="317" t="s">
        <v>561</v>
      </c>
      <c r="AS41" s="317" t="s">
        <v>2795</v>
      </c>
      <c r="AT41" s="317" t="s">
        <v>561</v>
      </c>
      <c r="AU41" s="317" t="s">
        <v>561</v>
      </c>
      <c r="AV41" s="317" t="s">
        <v>2795</v>
      </c>
      <c r="AW41" s="317" t="s">
        <v>561</v>
      </c>
      <c r="AX41" s="317" t="s">
        <v>561</v>
      </c>
      <c r="AY41" s="317" t="s">
        <v>561</v>
      </c>
      <c r="AZ41" s="317" t="s">
        <v>561</v>
      </c>
      <c r="BA41" s="317" t="s">
        <v>2796</v>
      </c>
      <c r="BB41" s="317" t="s">
        <v>561</v>
      </c>
      <c r="BC41" s="317" t="s">
        <v>2796</v>
      </c>
      <c r="BD41" s="317" t="s">
        <v>2795</v>
      </c>
      <c r="BE41" s="317" t="s">
        <v>561</v>
      </c>
      <c r="BF41" s="317" t="s">
        <v>561</v>
      </c>
      <c r="BG41" s="317" t="s">
        <v>53</v>
      </c>
      <c r="BH41" s="317" t="s">
        <v>53</v>
      </c>
      <c r="BI41" s="317" t="s">
        <v>561</v>
      </c>
      <c r="BJ41" s="317" t="s">
        <v>561</v>
      </c>
      <c r="BK41" s="317" t="s">
        <v>561</v>
      </c>
      <c r="BL41" s="317" t="s">
        <v>2796</v>
      </c>
      <c r="BM41" s="317" t="s">
        <v>2796</v>
      </c>
      <c r="BN41" s="317" t="s">
        <v>561</v>
      </c>
      <c r="BO41" s="317" t="s">
        <v>2796</v>
      </c>
      <c r="BP41" s="317" t="s">
        <v>2806</v>
      </c>
      <c r="BQ41" s="317" t="s">
        <v>53</v>
      </c>
      <c r="BR41" s="317" t="s">
        <v>53</v>
      </c>
      <c r="BS41" s="317" t="s">
        <v>53</v>
      </c>
      <c r="BT41" s="317" t="s">
        <v>53</v>
      </c>
      <c r="BU41" s="317" t="s">
        <v>53</v>
      </c>
      <c r="BV41" s="317" t="s">
        <v>53</v>
      </c>
      <c r="BW41" s="317" t="s">
        <v>53</v>
      </c>
      <c r="BX41" s="317" t="s">
        <v>561</v>
      </c>
      <c r="BY41" s="317" t="s">
        <v>53</v>
      </c>
      <c r="BZ41" s="317" t="s">
        <v>561</v>
      </c>
      <c r="CA41" s="317" t="s">
        <v>53</v>
      </c>
      <c r="CB41" s="317" t="s">
        <v>53</v>
      </c>
      <c r="CC41" s="317" t="s">
        <v>53</v>
      </c>
      <c r="CD41" s="317" t="s">
        <v>53</v>
      </c>
      <c r="CE41" s="317" t="s">
        <v>561</v>
      </c>
      <c r="CF41" s="317" t="s">
        <v>53</v>
      </c>
      <c r="CG41" s="317" t="s">
        <v>561</v>
      </c>
      <c r="CH41" s="317" t="s">
        <v>561</v>
      </c>
      <c r="CI41" s="317" t="s">
        <v>53</v>
      </c>
      <c r="CJ41" s="317" t="s">
        <v>2796</v>
      </c>
      <c r="CK41" s="317" t="s">
        <v>561</v>
      </c>
      <c r="CL41" s="317" t="s">
        <v>53</v>
      </c>
      <c r="CM41" s="317" t="s">
        <v>53</v>
      </c>
      <c r="CN41" s="317" t="s">
        <v>561</v>
      </c>
      <c r="CO41" s="317" t="s">
        <v>53</v>
      </c>
      <c r="CP41" s="317" t="s">
        <v>561</v>
      </c>
      <c r="CQ41" s="319"/>
      <c r="CR41" s="319">
        <v>2007.0</v>
      </c>
      <c r="CS41" s="320" t="s">
        <v>850</v>
      </c>
      <c r="CT41" s="319"/>
      <c r="CU41" s="326" t="s">
        <v>2476</v>
      </c>
      <c r="CV41" s="332" t="s">
        <v>75</v>
      </c>
      <c r="CW41" s="319"/>
      <c r="CX41" s="319"/>
      <c r="CY41" s="323">
        <f t="shared" si="24"/>
        <v>0.482</v>
      </c>
      <c r="CZ41" s="324">
        <v>0.733</v>
      </c>
      <c r="DA41" s="323">
        <v>0.251</v>
      </c>
      <c r="DB41" s="323"/>
      <c r="DC41" s="323">
        <f t="shared" si="25"/>
        <v>0.468</v>
      </c>
      <c r="DD41" s="324">
        <v>0.718</v>
      </c>
      <c r="DE41" s="323">
        <v>0.25</v>
      </c>
      <c r="DF41" s="323"/>
      <c r="DG41" s="323">
        <v>0.285</v>
      </c>
      <c r="DH41" s="323">
        <v>0.077</v>
      </c>
      <c r="DI41" s="324">
        <v>0.603</v>
      </c>
      <c r="DJ41" s="323">
        <v>0.026000000000000002</v>
      </c>
      <c r="DK41" s="323">
        <v>0.015</v>
      </c>
      <c r="DL41" s="323">
        <v>0.001</v>
      </c>
      <c r="DM41" s="323"/>
      <c r="DN41" s="323">
        <v>0.26</v>
      </c>
      <c r="DO41" s="323">
        <v>0.389</v>
      </c>
      <c r="DP41" s="323">
        <v>0.191</v>
      </c>
    </row>
    <row r="42">
      <c r="A42" s="311" t="s">
        <v>911</v>
      </c>
      <c r="B42" s="311" t="s">
        <v>947</v>
      </c>
      <c r="C42" s="311" t="s">
        <v>587</v>
      </c>
      <c r="D42" s="311">
        <v>10.0</v>
      </c>
      <c r="E42" s="312">
        <f t="shared" si="19"/>
        <v>0.8333333333</v>
      </c>
      <c r="F42" s="312" t="str">
        <f t="shared" si="20"/>
        <v>#DIV/0!</v>
      </c>
      <c r="G42" s="312" t="str">
        <f t="shared" si="21"/>
        <v>#DIV/0!</v>
      </c>
      <c r="H42" s="312" t="str">
        <f t="shared" si="22"/>
        <v>#DIV/0!</v>
      </c>
      <c r="I42" s="312" t="str">
        <f t="shared" si="33"/>
        <v>#DIV/0!</v>
      </c>
      <c r="J42" s="312" t="str">
        <f t="shared" si="34"/>
        <v>#DIV/0!</v>
      </c>
      <c r="K42" s="312" t="str">
        <f t="shared" si="35"/>
        <v>#DIV/0!</v>
      </c>
      <c r="L42" s="316" t="str">
        <f t="shared" si="23"/>
        <v>#DIV/0!</v>
      </c>
      <c r="M42" s="317" t="s">
        <v>487</v>
      </c>
      <c r="N42" s="317" t="s">
        <v>594</v>
      </c>
      <c r="O42" s="317" t="s">
        <v>487</v>
      </c>
      <c r="P42" s="317" t="s">
        <v>487</v>
      </c>
      <c r="Q42" s="317" t="s">
        <v>487</v>
      </c>
      <c r="R42" s="317" t="s">
        <v>487</v>
      </c>
      <c r="S42" s="318" t="s">
        <v>53</v>
      </c>
      <c r="T42" s="318" t="s">
        <v>561</v>
      </c>
      <c r="U42" s="330" t="s">
        <v>561</v>
      </c>
      <c r="V42" s="330" t="s">
        <v>561</v>
      </c>
      <c r="W42" s="340" t="s">
        <v>2807</v>
      </c>
      <c r="X42" s="340" t="s">
        <v>561</v>
      </c>
      <c r="Y42" s="318" t="s">
        <v>2795</v>
      </c>
      <c r="Z42" s="317" t="s">
        <v>2795</v>
      </c>
      <c r="AA42" s="317" t="s">
        <v>561</v>
      </c>
      <c r="AB42" s="317" t="s">
        <v>53</v>
      </c>
      <c r="AC42" s="317" t="s">
        <v>2795</v>
      </c>
      <c r="AD42" s="317" t="s">
        <v>2795</v>
      </c>
      <c r="AE42" s="317" t="s">
        <v>53</v>
      </c>
      <c r="AF42" s="317" t="s">
        <v>561</v>
      </c>
      <c r="AG42" s="317" t="s">
        <v>53</v>
      </c>
      <c r="AH42" s="317" t="s">
        <v>561</v>
      </c>
      <c r="AI42" s="317" t="s">
        <v>561</v>
      </c>
      <c r="AJ42" s="317" t="s">
        <v>2795</v>
      </c>
      <c r="AK42" s="317" t="s">
        <v>2795</v>
      </c>
      <c r="AL42" s="317" t="s">
        <v>2795</v>
      </c>
      <c r="AM42" s="317" t="s">
        <v>2795</v>
      </c>
      <c r="AN42" s="317" t="s">
        <v>2795</v>
      </c>
      <c r="AO42" s="317" t="s">
        <v>2795</v>
      </c>
      <c r="AP42" s="317" t="s">
        <v>561</v>
      </c>
      <c r="AQ42" s="317" t="s">
        <v>561</v>
      </c>
      <c r="AR42" s="317" t="s">
        <v>561</v>
      </c>
      <c r="AS42" s="317" t="s">
        <v>2795</v>
      </c>
      <c r="AT42" s="317" t="s">
        <v>561</v>
      </c>
      <c r="AU42" s="317" t="s">
        <v>53</v>
      </c>
      <c r="AV42" s="317" t="s">
        <v>2795</v>
      </c>
      <c r="AW42" s="317" t="s">
        <v>561</v>
      </c>
      <c r="AX42" s="317" t="s">
        <v>561</v>
      </c>
      <c r="AY42" s="317" t="s">
        <v>561</v>
      </c>
      <c r="AZ42" s="317" t="s">
        <v>561</v>
      </c>
      <c r="BA42" s="317" t="s">
        <v>2806</v>
      </c>
      <c r="BB42" s="317" t="s">
        <v>561</v>
      </c>
      <c r="BC42" s="317" t="s">
        <v>2796</v>
      </c>
      <c r="BD42" s="317" t="s">
        <v>2795</v>
      </c>
      <c r="BE42" s="317" t="s">
        <v>561</v>
      </c>
      <c r="BF42" s="317" t="s">
        <v>561</v>
      </c>
      <c r="BG42" s="317" t="s">
        <v>561</v>
      </c>
      <c r="BH42" s="317" t="s">
        <v>561</v>
      </c>
      <c r="BI42" s="317" t="s">
        <v>561</v>
      </c>
      <c r="BJ42" s="317" t="s">
        <v>53</v>
      </c>
      <c r="BK42" s="317" t="s">
        <v>561</v>
      </c>
      <c r="BL42" s="317" t="s">
        <v>2796</v>
      </c>
      <c r="BM42" s="317" t="s">
        <v>2796</v>
      </c>
      <c r="BN42" s="317" t="s">
        <v>561</v>
      </c>
      <c r="BO42" s="317" t="s">
        <v>2796</v>
      </c>
      <c r="BP42" s="317" t="s">
        <v>2796</v>
      </c>
      <c r="BQ42" s="317" t="s">
        <v>53</v>
      </c>
      <c r="BR42" s="317" t="s">
        <v>53</v>
      </c>
      <c r="BS42" s="317" t="s">
        <v>53</v>
      </c>
      <c r="BT42" s="317" t="s">
        <v>561</v>
      </c>
      <c r="BU42" s="317" t="s">
        <v>53</v>
      </c>
      <c r="BV42" s="317" t="s">
        <v>53</v>
      </c>
      <c r="BW42" s="317" t="s">
        <v>53</v>
      </c>
      <c r="BX42" s="317" t="s">
        <v>53</v>
      </c>
      <c r="BY42" s="317" t="s">
        <v>53</v>
      </c>
      <c r="BZ42" s="317" t="s">
        <v>561</v>
      </c>
      <c r="CA42" s="317" t="s">
        <v>53</v>
      </c>
      <c r="CB42" s="317" t="s">
        <v>53</v>
      </c>
      <c r="CC42" s="317" t="s">
        <v>801</v>
      </c>
      <c r="CD42" s="317" t="s">
        <v>53</v>
      </c>
      <c r="CE42" s="317" t="s">
        <v>561</v>
      </c>
      <c r="CF42" s="317" t="s">
        <v>53</v>
      </c>
      <c r="CG42" s="317" t="s">
        <v>561</v>
      </c>
      <c r="CH42" s="317" t="s">
        <v>561</v>
      </c>
      <c r="CI42" s="317" t="s">
        <v>53</v>
      </c>
      <c r="CJ42" s="317" t="s">
        <v>2806</v>
      </c>
      <c r="CK42" s="317" t="s">
        <v>53</v>
      </c>
      <c r="CL42" s="317" t="s">
        <v>561</v>
      </c>
      <c r="CM42" s="317" t="s">
        <v>561</v>
      </c>
      <c r="CN42" s="317" t="s">
        <v>561</v>
      </c>
      <c r="CO42" s="317" t="s">
        <v>53</v>
      </c>
      <c r="CP42" s="317" t="s">
        <v>561</v>
      </c>
      <c r="CQ42" s="319"/>
      <c r="CR42" s="319" t="s">
        <v>2367</v>
      </c>
      <c r="CS42" s="342" t="s">
        <v>2476</v>
      </c>
      <c r="CT42" s="319"/>
      <c r="CU42" s="319" t="s">
        <v>2822</v>
      </c>
      <c r="CV42" s="327" t="s">
        <v>28</v>
      </c>
      <c r="CW42" s="319"/>
      <c r="CX42" s="319"/>
      <c r="CY42" s="323">
        <f t="shared" si="24"/>
        <v>0.62</v>
      </c>
      <c r="CZ42" s="324">
        <v>0.8059999999999999</v>
      </c>
      <c r="DA42" s="323">
        <v>0.18600000000000003</v>
      </c>
      <c r="DB42" s="323"/>
      <c r="DC42" s="323">
        <f t="shared" si="25"/>
        <v>0.654</v>
      </c>
      <c r="DD42" s="324">
        <v>0.8170000000000001</v>
      </c>
      <c r="DE42" s="323">
        <v>0.163</v>
      </c>
      <c r="DF42" s="323"/>
      <c r="DG42" s="323">
        <v>0.203</v>
      </c>
      <c r="DH42" s="323">
        <v>0.201</v>
      </c>
      <c r="DI42" s="324">
        <v>0.527</v>
      </c>
      <c r="DJ42" s="323">
        <v>0.075</v>
      </c>
      <c r="DK42" s="323">
        <v>0.015</v>
      </c>
      <c r="DL42" s="323">
        <v>0.002</v>
      </c>
      <c r="DM42" s="323"/>
      <c r="DN42" s="323">
        <v>0.302</v>
      </c>
      <c r="DO42" s="323">
        <v>0.47700000000000004</v>
      </c>
      <c r="DP42" s="323">
        <v>0.125</v>
      </c>
    </row>
    <row r="43">
      <c r="A43" s="311" t="s">
        <v>285</v>
      </c>
      <c r="B43" s="311" t="s">
        <v>286</v>
      </c>
      <c r="C43" s="311" t="s">
        <v>1197</v>
      </c>
      <c r="D43" s="311">
        <v>36.0</v>
      </c>
      <c r="E43" s="312">
        <f t="shared" si="19"/>
        <v>0.8333333333</v>
      </c>
      <c r="F43" s="312" t="str">
        <f t="shared" si="20"/>
        <v>#DIV/0!</v>
      </c>
      <c r="G43" s="312" t="str">
        <f t="shared" si="21"/>
        <v>#DIV/0!</v>
      </c>
      <c r="H43" s="312" t="str">
        <f t="shared" si="22"/>
        <v>#DIV/0!</v>
      </c>
      <c r="I43" s="312" t="str">
        <f t="shared" si="33"/>
        <v>#DIV/0!</v>
      </c>
      <c r="J43" s="312" t="str">
        <f t="shared" si="34"/>
        <v>#DIV/0!</v>
      </c>
      <c r="K43" s="312" t="str">
        <f t="shared" si="35"/>
        <v>#DIV/0!</v>
      </c>
      <c r="L43" s="316" t="str">
        <f t="shared" si="23"/>
        <v>#DIV/0!</v>
      </c>
      <c r="M43" s="317" t="s">
        <v>487</v>
      </c>
      <c r="N43" s="317" t="s">
        <v>487</v>
      </c>
      <c r="O43" s="317" t="s">
        <v>487</v>
      </c>
      <c r="P43" s="317" t="s">
        <v>487</v>
      </c>
      <c r="Q43" s="317" t="s">
        <v>487</v>
      </c>
      <c r="R43" s="317" t="s">
        <v>594</v>
      </c>
      <c r="S43" s="318" t="s">
        <v>561</v>
      </c>
      <c r="T43" s="318" t="s">
        <v>561</v>
      </c>
      <c r="U43" s="330" t="s">
        <v>561</v>
      </c>
      <c r="V43" s="330" t="s">
        <v>561</v>
      </c>
      <c r="W43" s="318" t="s">
        <v>2795</v>
      </c>
      <c r="X43" s="340" t="s">
        <v>561</v>
      </c>
      <c r="Y43" s="318" t="s">
        <v>2795</v>
      </c>
      <c r="Z43" s="317" t="s">
        <v>2795</v>
      </c>
      <c r="AA43" s="317" t="s">
        <v>561</v>
      </c>
      <c r="AB43" s="317" t="s">
        <v>561</v>
      </c>
      <c r="AC43" s="317" t="s">
        <v>2795</v>
      </c>
      <c r="AD43" s="317" t="s">
        <v>2795</v>
      </c>
      <c r="AE43" s="317" t="s">
        <v>561</v>
      </c>
      <c r="AF43" s="317" t="s">
        <v>561</v>
      </c>
      <c r="AG43" s="317" t="s">
        <v>561</v>
      </c>
      <c r="AH43" s="317" t="s">
        <v>561</v>
      </c>
      <c r="AI43" s="317" t="s">
        <v>561</v>
      </c>
      <c r="AJ43" s="317" t="s">
        <v>2795</v>
      </c>
      <c r="AK43" s="317" t="s">
        <v>2795</v>
      </c>
      <c r="AL43" s="317" t="s">
        <v>2807</v>
      </c>
      <c r="AM43" s="317" t="s">
        <v>2795</v>
      </c>
      <c r="AN43" s="317" t="s">
        <v>2795</v>
      </c>
      <c r="AO43" s="317" t="s">
        <v>2795</v>
      </c>
      <c r="AP43" s="317" t="s">
        <v>561</v>
      </c>
      <c r="AQ43" s="317" t="s">
        <v>561</v>
      </c>
      <c r="AR43" s="317" t="s">
        <v>561</v>
      </c>
      <c r="AS43" s="317" t="s">
        <v>2795</v>
      </c>
      <c r="AT43" s="317" t="s">
        <v>561</v>
      </c>
      <c r="AU43" s="317" t="s">
        <v>561</v>
      </c>
      <c r="AV43" s="317" t="s">
        <v>2795</v>
      </c>
      <c r="AW43" s="317" t="s">
        <v>561</v>
      </c>
      <c r="AX43" s="317" t="s">
        <v>561</v>
      </c>
      <c r="AY43" s="317" t="s">
        <v>561</v>
      </c>
      <c r="AZ43" s="317" t="s">
        <v>561</v>
      </c>
      <c r="BA43" s="317" t="s">
        <v>2806</v>
      </c>
      <c r="BB43" s="317" t="s">
        <v>53</v>
      </c>
      <c r="BC43" s="317" t="s">
        <v>2796</v>
      </c>
      <c r="BD43" s="317" t="s">
        <v>2795</v>
      </c>
      <c r="BE43" s="317" t="s">
        <v>53</v>
      </c>
      <c r="BF43" s="317" t="s">
        <v>53</v>
      </c>
      <c r="BG43" s="317" t="s">
        <v>53</v>
      </c>
      <c r="BH43" s="317" t="s">
        <v>801</v>
      </c>
      <c r="BI43" s="317" t="s">
        <v>561</v>
      </c>
      <c r="BJ43" s="317" t="s">
        <v>53</v>
      </c>
      <c r="BK43" s="317" t="s">
        <v>561</v>
      </c>
      <c r="BL43" s="317" t="s">
        <v>2796</v>
      </c>
      <c r="BM43" s="317" t="s">
        <v>2796</v>
      </c>
      <c r="BN43" s="317" t="s">
        <v>53</v>
      </c>
      <c r="BO43" s="317" t="s">
        <v>2796</v>
      </c>
      <c r="BP43" s="317" t="s">
        <v>2796</v>
      </c>
      <c r="BQ43" s="317" t="s">
        <v>53</v>
      </c>
      <c r="BR43" s="317" t="s">
        <v>53</v>
      </c>
      <c r="BS43" s="317" t="s">
        <v>53</v>
      </c>
      <c r="BT43" s="317" t="s">
        <v>561</v>
      </c>
      <c r="BU43" s="317" t="s">
        <v>53</v>
      </c>
      <c r="BV43" s="317" t="s">
        <v>561</v>
      </c>
      <c r="BW43" s="317" t="s">
        <v>53</v>
      </c>
      <c r="BX43" s="317" t="s">
        <v>561</v>
      </c>
      <c r="BY43" s="317" t="s">
        <v>53</v>
      </c>
      <c r="BZ43" s="317" t="s">
        <v>561</v>
      </c>
      <c r="CA43" s="317" t="s">
        <v>53</v>
      </c>
      <c r="CB43" s="317" t="s">
        <v>53</v>
      </c>
      <c r="CC43" s="317" t="s">
        <v>53</v>
      </c>
      <c r="CD43" s="317" t="s">
        <v>561</v>
      </c>
      <c r="CE43" s="317" t="s">
        <v>53</v>
      </c>
      <c r="CF43" s="317" t="s">
        <v>53</v>
      </c>
      <c r="CG43" s="317" t="s">
        <v>561</v>
      </c>
      <c r="CH43" s="317" t="s">
        <v>561</v>
      </c>
      <c r="CI43" s="317" t="s">
        <v>561</v>
      </c>
      <c r="CJ43" s="317" t="s">
        <v>801</v>
      </c>
      <c r="CK43" s="317" t="s">
        <v>561</v>
      </c>
      <c r="CL43" s="317" t="s">
        <v>561</v>
      </c>
      <c r="CM43" s="317" t="s">
        <v>561</v>
      </c>
      <c r="CN43" s="317" t="s">
        <v>53</v>
      </c>
      <c r="CO43" s="317" t="s">
        <v>801</v>
      </c>
      <c r="CP43" s="317" t="s">
        <v>53</v>
      </c>
      <c r="CQ43" s="319"/>
      <c r="CR43" s="319">
        <v>2015.0</v>
      </c>
      <c r="CS43" s="320" t="s">
        <v>850</v>
      </c>
      <c r="CT43" s="334" t="s">
        <v>2030</v>
      </c>
      <c r="CU43" s="319" t="s">
        <v>1822</v>
      </c>
      <c r="CV43" s="331" t="s">
        <v>287</v>
      </c>
      <c r="CW43" s="319"/>
      <c r="CX43" s="319"/>
      <c r="CY43" s="323">
        <f t="shared" si="24"/>
        <v>0.441</v>
      </c>
      <c r="CZ43" s="324">
        <v>0.71</v>
      </c>
      <c r="DA43" s="323">
        <v>0.26899999999999996</v>
      </c>
      <c r="DB43" s="323"/>
      <c r="DC43" s="323">
        <f t="shared" si="25"/>
        <v>0.444</v>
      </c>
      <c r="DD43" s="324">
        <v>0.6920000000000001</v>
      </c>
      <c r="DE43" s="323">
        <v>0.248</v>
      </c>
      <c r="DF43" s="323"/>
      <c r="DG43" s="324">
        <v>0.575</v>
      </c>
      <c r="DH43" s="323">
        <v>0.155</v>
      </c>
      <c r="DI43" s="323">
        <v>0.048</v>
      </c>
      <c r="DJ43" s="323">
        <v>0.205</v>
      </c>
      <c r="DK43" s="323">
        <v>0.018000000000000002</v>
      </c>
      <c r="DL43" s="323">
        <v>0.005</v>
      </c>
      <c r="DM43" s="323"/>
      <c r="DN43" s="324">
        <v>0.6409999999999999</v>
      </c>
      <c r="DO43" s="324">
        <v>0.6809999999999999</v>
      </c>
      <c r="DP43" s="323">
        <v>0.19899999999999998</v>
      </c>
    </row>
    <row r="44">
      <c r="A44" s="311" t="s">
        <v>761</v>
      </c>
      <c r="B44" s="311" t="s">
        <v>762</v>
      </c>
      <c r="C44" s="311" t="s">
        <v>677</v>
      </c>
      <c r="D44" s="311">
        <v>5.0</v>
      </c>
      <c r="E44" s="312">
        <f t="shared" si="19"/>
        <v>0.5</v>
      </c>
      <c r="F44" s="312" t="str">
        <f t="shared" si="20"/>
        <v>#DIV/0!</v>
      </c>
      <c r="G44" s="312" t="str">
        <f t="shared" si="21"/>
        <v>#DIV/0!</v>
      </c>
      <c r="H44" s="312" t="str">
        <f t="shared" si="22"/>
        <v>#DIV/0!</v>
      </c>
      <c r="I44" s="312" t="str">
        <f t="shared" si="33"/>
        <v>#DIV/0!</v>
      </c>
      <c r="J44" s="312" t="str">
        <f t="shared" si="34"/>
        <v>#DIV/0!</v>
      </c>
      <c r="K44" s="312" t="str">
        <f t="shared" si="35"/>
        <v>#DIV/0!</v>
      </c>
      <c r="L44" s="316" t="str">
        <f t="shared" si="23"/>
        <v>#DIV/0!</v>
      </c>
      <c r="M44" s="317" t="s">
        <v>487</v>
      </c>
      <c r="N44" s="317" t="s">
        <v>487</v>
      </c>
      <c r="O44" s="317" t="s">
        <v>487</v>
      </c>
      <c r="P44" s="317" t="s">
        <v>594</v>
      </c>
      <c r="Q44" s="317" t="s">
        <v>594</v>
      </c>
      <c r="R44" s="317" t="s">
        <v>594</v>
      </c>
      <c r="S44" s="318" t="s">
        <v>561</v>
      </c>
      <c r="T44" s="318" t="s">
        <v>561</v>
      </c>
      <c r="U44" s="330" t="s">
        <v>561</v>
      </c>
      <c r="V44" s="330" t="s">
        <v>561</v>
      </c>
      <c r="W44" s="318" t="s">
        <v>2795</v>
      </c>
      <c r="X44" s="340" t="s">
        <v>561</v>
      </c>
      <c r="Y44" s="318" t="s">
        <v>2795</v>
      </c>
      <c r="Z44" s="317" t="s">
        <v>2795</v>
      </c>
      <c r="AA44" s="317" t="s">
        <v>561</v>
      </c>
      <c r="AB44" s="317" t="s">
        <v>53</v>
      </c>
      <c r="AC44" s="317" t="s">
        <v>2795</v>
      </c>
      <c r="AD44" s="317" t="s">
        <v>2795</v>
      </c>
      <c r="AE44" s="317" t="s">
        <v>53</v>
      </c>
      <c r="AF44" s="317" t="s">
        <v>561</v>
      </c>
      <c r="AG44" s="317" t="s">
        <v>561</v>
      </c>
      <c r="AH44" s="317" t="s">
        <v>561</v>
      </c>
      <c r="AI44" s="317" t="s">
        <v>53</v>
      </c>
      <c r="AJ44" s="317" t="s">
        <v>2795</v>
      </c>
      <c r="AK44" s="317" t="s">
        <v>2795</v>
      </c>
      <c r="AL44" s="317" t="s">
        <v>2795</v>
      </c>
      <c r="AM44" s="317" t="s">
        <v>2795</v>
      </c>
      <c r="AN44" s="317" t="s">
        <v>2795</v>
      </c>
      <c r="AO44" s="317" t="s">
        <v>2795</v>
      </c>
      <c r="AP44" s="317" t="s">
        <v>561</v>
      </c>
      <c r="AQ44" s="317" t="s">
        <v>561</v>
      </c>
      <c r="AR44" s="317" t="s">
        <v>561</v>
      </c>
      <c r="AS44" s="317" t="s">
        <v>2795</v>
      </c>
      <c r="AT44" s="317" t="s">
        <v>561</v>
      </c>
      <c r="AU44" s="317" t="s">
        <v>561</v>
      </c>
      <c r="AV44" s="317" t="s">
        <v>2795</v>
      </c>
      <c r="AW44" s="317" t="s">
        <v>561</v>
      </c>
      <c r="AX44" s="317" t="s">
        <v>561</v>
      </c>
      <c r="AY44" s="317" t="s">
        <v>561</v>
      </c>
      <c r="AZ44" s="317" t="s">
        <v>561</v>
      </c>
      <c r="BA44" s="317" t="s">
        <v>2796</v>
      </c>
      <c r="BB44" s="317" t="s">
        <v>53</v>
      </c>
      <c r="BC44" s="317" t="s">
        <v>2796</v>
      </c>
      <c r="BD44" s="317" t="s">
        <v>2795</v>
      </c>
      <c r="BE44" s="317" t="s">
        <v>53</v>
      </c>
      <c r="BF44" s="317" t="s">
        <v>561</v>
      </c>
      <c r="BG44" s="317" t="s">
        <v>561</v>
      </c>
      <c r="BH44" s="317" t="s">
        <v>561</v>
      </c>
      <c r="BI44" s="317" t="s">
        <v>561</v>
      </c>
      <c r="BJ44" s="317" t="s">
        <v>53</v>
      </c>
      <c r="BK44" s="317" t="s">
        <v>561</v>
      </c>
      <c r="BL44" s="317" t="s">
        <v>2796</v>
      </c>
      <c r="BM44" s="317" t="s">
        <v>2796</v>
      </c>
      <c r="BN44" s="317" t="s">
        <v>53</v>
      </c>
      <c r="BO44" s="317" t="s">
        <v>2796</v>
      </c>
      <c r="BP44" s="317" t="s">
        <v>2796</v>
      </c>
      <c r="BQ44" s="317" t="s">
        <v>53</v>
      </c>
      <c r="BR44" s="317" t="s">
        <v>53</v>
      </c>
      <c r="BS44" s="317" t="s">
        <v>53</v>
      </c>
      <c r="BT44" s="317" t="s">
        <v>53</v>
      </c>
      <c r="BU44" s="317" t="s">
        <v>53</v>
      </c>
      <c r="BV44" s="317" t="s">
        <v>53</v>
      </c>
      <c r="BW44" s="317" t="s">
        <v>53</v>
      </c>
      <c r="BX44" s="317" t="s">
        <v>561</v>
      </c>
      <c r="BY44" s="317" t="s">
        <v>53</v>
      </c>
      <c r="BZ44" s="317" t="s">
        <v>561</v>
      </c>
      <c r="CA44" s="317" t="s">
        <v>53</v>
      </c>
      <c r="CB44" s="317" t="s">
        <v>53</v>
      </c>
      <c r="CC44" s="317" t="s">
        <v>53</v>
      </c>
      <c r="CD44" s="317" t="s">
        <v>53</v>
      </c>
      <c r="CE44" s="317" t="s">
        <v>561</v>
      </c>
      <c r="CF44" s="317" t="s">
        <v>53</v>
      </c>
      <c r="CG44" s="317" t="s">
        <v>53</v>
      </c>
      <c r="CH44" s="317" t="s">
        <v>561</v>
      </c>
      <c r="CI44" s="317" t="s">
        <v>53</v>
      </c>
      <c r="CJ44" s="317" t="s">
        <v>2796</v>
      </c>
      <c r="CK44" s="317" t="s">
        <v>561</v>
      </c>
      <c r="CL44" s="317" t="s">
        <v>53</v>
      </c>
      <c r="CM44" s="317" t="s">
        <v>53</v>
      </c>
      <c r="CN44" s="317" t="s">
        <v>561</v>
      </c>
      <c r="CO44" s="317" t="s">
        <v>561</v>
      </c>
      <c r="CP44" s="317" t="s">
        <v>53</v>
      </c>
      <c r="CQ44" s="319"/>
      <c r="CR44" s="319" t="s">
        <v>743</v>
      </c>
      <c r="CS44" s="320" t="s">
        <v>850</v>
      </c>
      <c r="CT44" s="334" t="s">
        <v>122</v>
      </c>
      <c r="CU44" s="319" t="s">
        <v>676</v>
      </c>
      <c r="CV44" s="332" t="s">
        <v>75</v>
      </c>
      <c r="CW44" s="319"/>
      <c r="CX44" s="319"/>
      <c r="CY44" s="323">
        <f t="shared" si="24"/>
        <v>0.512</v>
      </c>
      <c r="CZ44" s="324">
        <v>0.748</v>
      </c>
      <c r="DA44" s="323">
        <v>0.23600000000000002</v>
      </c>
      <c r="DB44" s="323"/>
      <c r="DC44" s="323">
        <f t="shared" si="25"/>
        <v>0.437</v>
      </c>
      <c r="DD44" s="324">
        <v>0.6859999999999999</v>
      </c>
      <c r="DE44" s="323">
        <v>0.249</v>
      </c>
      <c r="DF44" s="323"/>
      <c r="DG44" s="324">
        <v>0.669</v>
      </c>
      <c r="DH44" s="323">
        <v>0.094</v>
      </c>
      <c r="DI44" s="323">
        <v>0.063</v>
      </c>
      <c r="DJ44" s="323">
        <v>0.138</v>
      </c>
      <c r="DK44" s="323">
        <v>0.009000000000000001</v>
      </c>
      <c r="DL44" s="323">
        <v>0.001</v>
      </c>
      <c r="DM44" s="323"/>
      <c r="DN44" s="324">
        <v>0.591</v>
      </c>
      <c r="DO44" s="324">
        <v>0.612</v>
      </c>
      <c r="DP44" s="323">
        <v>0.305</v>
      </c>
    </row>
    <row r="45">
      <c r="A45" s="311" t="s">
        <v>248</v>
      </c>
      <c r="B45" s="311" t="s">
        <v>249</v>
      </c>
      <c r="C45" s="311" t="s">
        <v>1197</v>
      </c>
      <c r="D45" s="311">
        <v>31.0</v>
      </c>
      <c r="E45" s="312">
        <f t="shared" si="19"/>
        <v>0.6666666667</v>
      </c>
      <c r="F45" s="312" t="str">
        <f t="shared" si="20"/>
        <v>#DIV/0!</v>
      </c>
      <c r="G45" s="312" t="str">
        <f t="shared" si="21"/>
        <v>#DIV/0!</v>
      </c>
      <c r="H45" s="312" t="str">
        <f t="shared" si="22"/>
        <v>#DIV/0!</v>
      </c>
      <c r="I45" s="312" t="str">
        <f t="shared" si="33"/>
        <v>#DIV/0!</v>
      </c>
      <c r="J45" s="312" t="str">
        <f t="shared" si="34"/>
        <v>#DIV/0!</v>
      </c>
      <c r="K45" s="312" t="str">
        <f t="shared" si="35"/>
        <v>#DIV/0!</v>
      </c>
      <c r="L45" s="316" t="str">
        <f t="shared" si="23"/>
        <v>#DIV/0!</v>
      </c>
      <c r="M45" s="317" t="s">
        <v>487</v>
      </c>
      <c r="N45" s="317" t="s">
        <v>487</v>
      </c>
      <c r="O45" s="317" t="s">
        <v>594</v>
      </c>
      <c r="P45" s="317" t="s">
        <v>487</v>
      </c>
      <c r="Q45" s="317" t="s">
        <v>487</v>
      </c>
      <c r="R45" s="317" t="s">
        <v>594</v>
      </c>
      <c r="S45" s="318" t="s">
        <v>561</v>
      </c>
      <c r="T45" s="318" t="s">
        <v>561</v>
      </c>
      <c r="U45" s="330" t="s">
        <v>561</v>
      </c>
      <c r="V45" s="330" t="s">
        <v>561</v>
      </c>
      <c r="W45" s="318" t="s">
        <v>2795</v>
      </c>
      <c r="X45" s="340" t="s">
        <v>561</v>
      </c>
      <c r="Y45" s="318" t="s">
        <v>2795</v>
      </c>
      <c r="Z45" s="317" t="s">
        <v>2795</v>
      </c>
      <c r="AA45" s="317" t="s">
        <v>561</v>
      </c>
      <c r="AB45" s="317" t="s">
        <v>53</v>
      </c>
      <c r="AC45" s="317" t="s">
        <v>2795</v>
      </c>
      <c r="AD45" s="317" t="s">
        <v>2795</v>
      </c>
      <c r="AE45" s="317" t="s">
        <v>561</v>
      </c>
      <c r="AF45" s="317" t="s">
        <v>561</v>
      </c>
      <c r="AG45" s="317" t="s">
        <v>561</v>
      </c>
      <c r="AH45" s="317" t="s">
        <v>561</v>
      </c>
      <c r="AI45" s="317" t="s">
        <v>561</v>
      </c>
      <c r="AJ45" s="317" t="s">
        <v>2795</v>
      </c>
      <c r="AK45" s="317" t="s">
        <v>2795</v>
      </c>
      <c r="AL45" s="317" t="s">
        <v>2795</v>
      </c>
      <c r="AM45" s="317" t="s">
        <v>2795</v>
      </c>
      <c r="AN45" s="317" t="s">
        <v>2795</v>
      </c>
      <c r="AO45" s="317" t="s">
        <v>2795</v>
      </c>
      <c r="AP45" s="317" t="s">
        <v>561</v>
      </c>
      <c r="AQ45" s="317" t="s">
        <v>561</v>
      </c>
      <c r="AR45" s="317" t="s">
        <v>561</v>
      </c>
      <c r="AS45" s="317" t="s">
        <v>2795</v>
      </c>
      <c r="AT45" s="317" t="s">
        <v>561</v>
      </c>
      <c r="AU45" s="317" t="s">
        <v>561</v>
      </c>
      <c r="AV45" s="317" t="s">
        <v>2795</v>
      </c>
      <c r="AW45" s="317" t="s">
        <v>561</v>
      </c>
      <c r="AX45" s="317" t="s">
        <v>561</v>
      </c>
      <c r="AY45" s="317" t="s">
        <v>561</v>
      </c>
      <c r="AZ45" s="317" t="s">
        <v>561</v>
      </c>
      <c r="BA45" s="317" t="s">
        <v>2796</v>
      </c>
      <c r="BB45" s="317" t="s">
        <v>561</v>
      </c>
      <c r="BC45" s="317" t="s">
        <v>2796</v>
      </c>
      <c r="BD45" s="317" t="s">
        <v>2795</v>
      </c>
      <c r="BE45" s="317" t="s">
        <v>561</v>
      </c>
      <c r="BF45" s="317" t="s">
        <v>561</v>
      </c>
      <c r="BG45" s="317" t="s">
        <v>53</v>
      </c>
      <c r="BH45" s="317" t="s">
        <v>53</v>
      </c>
      <c r="BI45" s="317" t="s">
        <v>561</v>
      </c>
      <c r="BJ45" s="317" t="s">
        <v>53</v>
      </c>
      <c r="BK45" s="317" t="s">
        <v>561</v>
      </c>
      <c r="BL45" s="317" t="s">
        <v>2796</v>
      </c>
      <c r="BM45" s="317" t="s">
        <v>2796</v>
      </c>
      <c r="BN45" s="317" t="s">
        <v>53</v>
      </c>
      <c r="BO45" s="317" t="s">
        <v>2796</v>
      </c>
      <c r="BP45" s="317" t="s">
        <v>2806</v>
      </c>
      <c r="BQ45" s="317" t="s">
        <v>53</v>
      </c>
      <c r="BR45" s="317" t="s">
        <v>53</v>
      </c>
      <c r="BS45" s="317" t="s">
        <v>53</v>
      </c>
      <c r="BT45" s="317" t="s">
        <v>53</v>
      </c>
      <c r="BU45" s="317" t="s">
        <v>561</v>
      </c>
      <c r="BV45" s="317" t="s">
        <v>53</v>
      </c>
      <c r="BW45" s="317" t="s">
        <v>53</v>
      </c>
      <c r="BX45" s="317" t="s">
        <v>561</v>
      </c>
      <c r="BY45" s="317" t="s">
        <v>53</v>
      </c>
      <c r="BZ45" s="317" t="s">
        <v>561</v>
      </c>
      <c r="CA45" s="317" t="s">
        <v>53</v>
      </c>
      <c r="CB45" s="317" t="s">
        <v>53</v>
      </c>
      <c r="CC45" s="317" t="s">
        <v>53</v>
      </c>
      <c r="CD45" s="317" t="s">
        <v>53</v>
      </c>
      <c r="CE45" s="317" t="s">
        <v>561</v>
      </c>
      <c r="CF45" s="317" t="s">
        <v>53</v>
      </c>
      <c r="CG45" s="317" t="s">
        <v>801</v>
      </c>
      <c r="CH45" s="317" t="s">
        <v>801</v>
      </c>
      <c r="CI45" s="317" t="s">
        <v>801</v>
      </c>
      <c r="CJ45" s="317" t="s">
        <v>801</v>
      </c>
      <c r="CK45" s="317" t="s">
        <v>561</v>
      </c>
      <c r="CL45" s="317" t="s">
        <v>53</v>
      </c>
      <c r="CM45" s="317" t="s">
        <v>561</v>
      </c>
      <c r="CN45" s="317" t="s">
        <v>561</v>
      </c>
      <c r="CO45" s="317" t="s">
        <v>53</v>
      </c>
      <c r="CP45" s="317" t="s">
        <v>561</v>
      </c>
      <c r="CQ45" s="319"/>
      <c r="CR45" s="319">
        <v>1999.0</v>
      </c>
      <c r="CS45" s="320" t="s">
        <v>850</v>
      </c>
      <c r="CT45" s="334" t="s">
        <v>122</v>
      </c>
      <c r="CU45" s="326" t="s">
        <v>2476</v>
      </c>
      <c r="CV45" s="320" t="s">
        <v>83</v>
      </c>
      <c r="CW45" s="319"/>
      <c r="CX45" s="319"/>
      <c r="CY45" s="323">
        <f t="shared" si="24"/>
        <v>0.311</v>
      </c>
      <c r="CZ45" s="324">
        <v>0.645</v>
      </c>
      <c r="DA45" s="323">
        <v>0.33399999999999996</v>
      </c>
      <c r="DB45" s="323"/>
      <c r="DC45" s="323">
        <f t="shared" si="25"/>
        <v>0.372</v>
      </c>
      <c r="DD45" s="324">
        <v>0.657</v>
      </c>
      <c r="DE45" s="323">
        <v>0.285</v>
      </c>
      <c r="DF45" s="323"/>
      <c r="DG45" s="323">
        <v>0.16699999999999998</v>
      </c>
      <c r="DH45" s="324">
        <v>0.574</v>
      </c>
      <c r="DI45" s="323">
        <v>0.033</v>
      </c>
      <c r="DJ45" s="323">
        <v>0.225</v>
      </c>
      <c r="DK45" s="323">
        <v>0.037000000000000005</v>
      </c>
      <c r="DL45" s="323">
        <v>0.004</v>
      </c>
      <c r="DM45" s="323"/>
      <c r="DN45" s="323">
        <v>0.23600000000000002</v>
      </c>
      <c r="DO45" s="323">
        <v>0.33899999999999997</v>
      </c>
      <c r="DP45" s="323">
        <v>0.136</v>
      </c>
    </row>
    <row r="46">
      <c r="A46" s="311" t="s">
        <v>371</v>
      </c>
      <c r="B46" s="311" t="s">
        <v>372</v>
      </c>
      <c r="C46" s="311" t="s">
        <v>1291</v>
      </c>
      <c r="D46" s="311">
        <v>1.0</v>
      </c>
      <c r="E46" s="312">
        <f t="shared" si="19"/>
        <v>0.6666666667</v>
      </c>
      <c r="F46" s="312" t="str">
        <f t="shared" si="20"/>
        <v>#DIV/0!</v>
      </c>
      <c r="G46" s="312" t="str">
        <f t="shared" si="21"/>
        <v>#DIV/0!</v>
      </c>
      <c r="H46" s="312" t="str">
        <f t="shared" si="22"/>
        <v>#DIV/0!</v>
      </c>
      <c r="I46" s="312" t="str">
        <f t="shared" si="33"/>
        <v>#DIV/0!</v>
      </c>
      <c r="J46" s="312" t="str">
        <f t="shared" si="34"/>
        <v>#DIV/0!</v>
      </c>
      <c r="K46" s="312" t="str">
        <f t="shared" si="35"/>
        <v>#DIV/0!</v>
      </c>
      <c r="L46" s="316" t="str">
        <f t="shared" si="23"/>
        <v>#DIV/0!</v>
      </c>
      <c r="M46" s="317" t="s">
        <v>487</v>
      </c>
      <c r="N46" s="317" t="s">
        <v>594</v>
      </c>
      <c r="O46" s="317" t="s">
        <v>487</v>
      </c>
      <c r="P46" s="317" t="s">
        <v>487</v>
      </c>
      <c r="Q46" s="317" t="s">
        <v>487</v>
      </c>
      <c r="R46" s="317" t="s">
        <v>594</v>
      </c>
      <c r="S46" s="318" t="s">
        <v>561</v>
      </c>
      <c r="T46" s="318" t="s">
        <v>561</v>
      </c>
      <c r="U46" s="330" t="s">
        <v>561</v>
      </c>
      <c r="V46" s="330" t="s">
        <v>561</v>
      </c>
      <c r="W46" s="318" t="s">
        <v>2795</v>
      </c>
      <c r="X46" s="340" t="s">
        <v>561</v>
      </c>
      <c r="Y46" s="318" t="s">
        <v>2795</v>
      </c>
      <c r="Z46" s="317" t="s">
        <v>2795</v>
      </c>
      <c r="AA46" s="317" t="s">
        <v>561</v>
      </c>
      <c r="AB46" s="317" t="s">
        <v>53</v>
      </c>
      <c r="AC46" s="317" t="s">
        <v>2795</v>
      </c>
      <c r="AD46" s="317" t="s">
        <v>2795</v>
      </c>
      <c r="AE46" s="317" t="s">
        <v>53</v>
      </c>
      <c r="AF46" s="317" t="s">
        <v>561</v>
      </c>
      <c r="AG46" s="317" t="s">
        <v>53</v>
      </c>
      <c r="AH46" s="317" t="s">
        <v>561</v>
      </c>
      <c r="AI46" s="317" t="s">
        <v>561</v>
      </c>
      <c r="AJ46" s="317" t="s">
        <v>2795</v>
      </c>
      <c r="AK46" s="317" t="s">
        <v>2807</v>
      </c>
      <c r="AL46" s="317" t="s">
        <v>2795</v>
      </c>
      <c r="AM46" s="317" t="s">
        <v>2795</v>
      </c>
      <c r="AN46" s="317" t="s">
        <v>2795</v>
      </c>
      <c r="AO46" s="317" t="s">
        <v>2795</v>
      </c>
      <c r="AP46" s="317" t="s">
        <v>561</v>
      </c>
      <c r="AQ46" s="317" t="s">
        <v>561</v>
      </c>
      <c r="AR46" s="317" t="s">
        <v>561</v>
      </c>
      <c r="AS46" s="317" t="s">
        <v>2795</v>
      </c>
      <c r="AT46" s="317" t="s">
        <v>561</v>
      </c>
      <c r="AU46" s="317" t="s">
        <v>561</v>
      </c>
      <c r="AV46" s="317" t="s">
        <v>2807</v>
      </c>
      <c r="AW46" s="317" t="s">
        <v>561</v>
      </c>
      <c r="AX46" s="317" t="s">
        <v>561</v>
      </c>
      <c r="AY46" s="317" t="s">
        <v>53</v>
      </c>
      <c r="AZ46" s="317" t="s">
        <v>561</v>
      </c>
      <c r="BA46" s="317" t="s">
        <v>2796</v>
      </c>
      <c r="BB46" s="317" t="s">
        <v>561</v>
      </c>
      <c r="BC46" s="317" t="s">
        <v>2806</v>
      </c>
      <c r="BD46" s="317" t="s">
        <v>2795</v>
      </c>
      <c r="BE46" s="317" t="s">
        <v>53</v>
      </c>
      <c r="BF46" s="317" t="s">
        <v>561</v>
      </c>
      <c r="BG46" s="317" t="s">
        <v>53</v>
      </c>
      <c r="BH46" s="317" t="s">
        <v>53</v>
      </c>
      <c r="BI46" s="317" t="s">
        <v>561</v>
      </c>
      <c r="BJ46" s="317" t="s">
        <v>53</v>
      </c>
      <c r="BK46" s="317" t="s">
        <v>561</v>
      </c>
      <c r="BL46" s="317" t="s">
        <v>2796</v>
      </c>
      <c r="BM46" s="317" t="s">
        <v>2796</v>
      </c>
      <c r="BN46" s="317" t="s">
        <v>53</v>
      </c>
      <c r="BO46" s="317" t="s">
        <v>2796</v>
      </c>
      <c r="BP46" s="317" t="s">
        <v>2796</v>
      </c>
      <c r="BQ46" s="317" t="s">
        <v>53</v>
      </c>
      <c r="BR46" s="317" t="s">
        <v>53</v>
      </c>
      <c r="BS46" s="317" t="s">
        <v>53</v>
      </c>
      <c r="BT46" s="317" t="s">
        <v>53</v>
      </c>
      <c r="BU46" s="317" t="s">
        <v>53</v>
      </c>
      <c r="BV46" s="317" t="s">
        <v>53</v>
      </c>
      <c r="BW46" s="317" t="s">
        <v>53</v>
      </c>
      <c r="BX46" s="317" t="s">
        <v>801</v>
      </c>
      <c r="BY46" s="317" t="s">
        <v>53</v>
      </c>
      <c r="BZ46" s="317" t="s">
        <v>561</v>
      </c>
      <c r="CA46" s="317" t="s">
        <v>53</v>
      </c>
      <c r="CB46" s="317" t="s">
        <v>561</v>
      </c>
      <c r="CC46" s="317" t="s">
        <v>561</v>
      </c>
      <c r="CD46" s="317" t="s">
        <v>53</v>
      </c>
      <c r="CE46" s="317" t="s">
        <v>561</v>
      </c>
      <c r="CF46" s="317" t="s">
        <v>53</v>
      </c>
      <c r="CG46" s="317" t="s">
        <v>561</v>
      </c>
      <c r="CH46" s="317" t="s">
        <v>561</v>
      </c>
      <c r="CI46" s="317" t="s">
        <v>53</v>
      </c>
      <c r="CJ46" s="317" t="s">
        <v>2806</v>
      </c>
      <c r="CK46" s="317" t="s">
        <v>561</v>
      </c>
      <c r="CL46" s="317" t="s">
        <v>53</v>
      </c>
      <c r="CM46" s="317" t="s">
        <v>561</v>
      </c>
      <c r="CN46" s="317" t="s">
        <v>561</v>
      </c>
      <c r="CO46" s="317" t="s">
        <v>561</v>
      </c>
      <c r="CP46" s="317" t="s">
        <v>53</v>
      </c>
      <c r="CQ46" s="319"/>
      <c r="CR46" s="319">
        <v>1997.0</v>
      </c>
      <c r="CS46" s="320" t="s">
        <v>850</v>
      </c>
      <c r="CT46" s="334" t="s">
        <v>122</v>
      </c>
      <c r="CU46" s="326" t="s">
        <v>2476</v>
      </c>
      <c r="CV46" s="332" t="s">
        <v>75</v>
      </c>
      <c r="CW46" s="319"/>
      <c r="CX46" s="319"/>
      <c r="CY46" s="323">
        <f t="shared" si="24"/>
        <v>0.613</v>
      </c>
      <c r="CZ46" s="324">
        <v>0.795</v>
      </c>
      <c r="DA46" s="323">
        <v>0.182</v>
      </c>
      <c r="DB46" s="323"/>
      <c r="DC46" s="323">
        <f t="shared" si="25"/>
        <v>0.547</v>
      </c>
      <c r="DD46" s="324">
        <v>0.736</v>
      </c>
      <c r="DE46" s="323">
        <v>0.18899999999999997</v>
      </c>
      <c r="DF46" s="323"/>
      <c r="DG46" s="324">
        <v>0.588</v>
      </c>
      <c r="DH46" s="323">
        <v>0.244</v>
      </c>
      <c r="DI46" s="323">
        <v>0.09699999999999999</v>
      </c>
      <c r="DJ46" s="323">
        <v>0.052000000000000005</v>
      </c>
      <c r="DK46" s="323">
        <v>0.033</v>
      </c>
      <c r="DL46" s="323">
        <v>0.004</v>
      </c>
      <c r="DM46" s="323"/>
      <c r="DN46" s="324">
        <v>0.504</v>
      </c>
      <c r="DO46" s="324">
        <v>0.6609999999999999</v>
      </c>
      <c r="DP46" s="323">
        <v>0.218</v>
      </c>
    </row>
    <row r="47">
      <c r="A47" s="311" t="s">
        <v>183</v>
      </c>
      <c r="B47" s="311" t="s">
        <v>184</v>
      </c>
      <c r="C47" s="311" t="s">
        <v>1197</v>
      </c>
      <c r="D47" s="311">
        <v>18.0</v>
      </c>
      <c r="E47" s="312">
        <f t="shared" si="19"/>
        <v>0.5</v>
      </c>
      <c r="F47" s="312">
        <f t="shared" si="20"/>
        <v>0.5</v>
      </c>
      <c r="G47" s="312" t="str">
        <f t="shared" si="21"/>
        <v>#DIV/0!</v>
      </c>
      <c r="H47" s="312" t="str">
        <f t="shared" si="22"/>
        <v>#DIV/0!</v>
      </c>
      <c r="I47" s="312" t="str">
        <f t="shared" si="33"/>
        <v>#DIV/0!</v>
      </c>
      <c r="J47" s="312">
        <f t="shared" si="34"/>
        <v>0.5</v>
      </c>
      <c r="K47" s="312" t="str">
        <f t="shared" si="35"/>
        <v>#DIV/0!</v>
      </c>
      <c r="L47" s="316" t="str">
        <f t="shared" si="23"/>
        <v>#DIV/0!</v>
      </c>
      <c r="M47" s="317" t="s">
        <v>487</v>
      </c>
      <c r="N47" s="317" t="s">
        <v>487</v>
      </c>
      <c r="O47" s="317" t="s">
        <v>487</v>
      </c>
      <c r="P47" s="317" t="s">
        <v>594</v>
      </c>
      <c r="Q47" s="317" t="s">
        <v>594</v>
      </c>
      <c r="R47" s="317" t="s">
        <v>594</v>
      </c>
      <c r="S47" s="318" t="s">
        <v>561</v>
      </c>
      <c r="T47" s="318" t="s">
        <v>561</v>
      </c>
      <c r="U47" s="330" t="s">
        <v>561</v>
      </c>
      <c r="V47" s="330" t="s">
        <v>561</v>
      </c>
      <c r="W47" s="318" t="s">
        <v>2795</v>
      </c>
      <c r="X47" s="340" t="s">
        <v>561</v>
      </c>
      <c r="Y47" s="318" t="s">
        <v>2795</v>
      </c>
      <c r="Z47" s="317" t="s">
        <v>2795</v>
      </c>
      <c r="AA47" s="317" t="s">
        <v>561</v>
      </c>
      <c r="AB47" s="317" t="s">
        <v>53</v>
      </c>
      <c r="AC47" s="317" t="s">
        <v>2795</v>
      </c>
      <c r="AD47" s="317" t="s">
        <v>2795</v>
      </c>
      <c r="AE47" s="317" t="s">
        <v>561</v>
      </c>
      <c r="AF47" s="317" t="s">
        <v>561</v>
      </c>
      <c r="AG47" s="317" t="s">
        <v>561</v>
      </c>
      <c r="AH47" s="317" t="s">
        <v>561</v>
      </c>
      <c r="AI47" s="317" t="s">
        <v>561</v>
      </c>
      <c r="AJ47" s="317" t="s">
        <v>2795</v>
      </c>
      <c r="AK47" s="317" t="s">
        <v>2795</v>
      </c>
      <c r="AL47" s="317" t="s">
        <v>2795</v>
      </c>
      <c r="AM47" s="317" t="s">
        <v>2795</v>
      </c>
      <c r="AN47" s="317" t="s">
        <v>2795</v>
      </c>
      <c r="AO47" s="317" t="s">
        <v>2795</v>
      </c>
      <c r="AP47" s="317" t="s">
        <v>561</v>
      </c>
      <c r="AQ47" s="317" t="s">
        <v>561</v>
      </c>
      <c r="AR47" s="317" t="s">
        <v>561</v>
      </c>
      <c r="AS47" s="317" t="s">
        <v>2807</v>
      </c>
      <c r="AT47" s="317" t="s">
        <v>561</v>
      </c>
      <c r="AU47" s="317" t="s">
        <v>561</v>
      </c>
      <c r="AV47" s="317" t="s">
        <v>2795</v>
      </c>
      <c r="AW47" s="317" t="s">
        <v>561</v>
      </c>
      <c r="AX47" s="317" t="s">
        <v>53</v>
      </c>
      <c r="AY47" s="317" t="s">
        <v>561</v>
      </c>
      <c r="AZ47" s="317" t="s">
        <v>561</v>
      </c>
      <c r="BA47" s="317" t="s">
        <v>2796</v>
      </c>
      <c r="BB47" s="317" t="s">
        <v>53</v>
      </c>
      <c r="BC47" s="317" t="s">
        <v>2796</v>
      </c>
      <c r="BD47" s="317" t="s">
        <v>2795</v>
      </c>
      <c r="BE47" s="317" t="s">
        <v>53</v>
      </c>
      <c r="BF47" s="317" t="s">
        <v>561</v>
      </c>
      <c r="BG47" s="317" t="s">
        <v>53</v>
      </c>
      <c r="BH47" s="317" t="s">
        <v>561</v>
      </c>
      <c r="BI47" s="317" t="s">
        <v>561</v>
      </c>
      <c r="BJ47" s="317" t="s">
        <v>53</v>
      </c>
      <c r="BK47" s="317" t="s">
        <v>561</v>
      </c>
      <c r="BL47" s="317" t="s">
        <v>2796</v>
      </c>
      <c r="BM47" s="317" t="s">
        <v>2796</v>
      </c>
      <c r="BN47" s="317" t="s">
        <v>53</v>
      </c>
      <c r="BO47" s="317" t="s">
        <v>2796</v>
      </c>
      <c r="BP47" s="317" t="s">
        <v>2796</v>
      </c>
      <c r="BQ47" s="317" t="s">
        <v>53</v>
      </c>
      <c r="BR47" s="317" t="s">
        <v>53</v>
      </c>
      <c r="BS47" s="317" t="s">
        <v>799</v>
      </c>
      <c r="BT47" s="317" t="s">
        <v>53</v>
      </c>
      <c r="BU47" s="317" t="s">
        <v>53</v>
      </c>
      <c r="BV47" s="317" t="s">
        <v>53</v>
      </c>
      <c r="BW47" s="317" t="s">
        <v>53</v>
      </c>
      <c r="BX47" s="317" t="s">
        <v>561</v>
      </c>
      <c r="BY47" s="317" t="s">
        <v>53</v>
      </c>
      <c r="BZ47" s="317" t="s">
        <v>53</v>
      </c>
      <c r="CA47" s="317" t="s">
        <v>53</v>
      </c>
      <c r="CB47" s="317" t="s">
        <v>561</v>
      </c>
      <c r="CC47" s="317" t="s">
        <v>561</v>
      </c>
      <c r="CD47" s="317" t="s">
        <v>53</v>
      </c>
      <c r="CE47" s="317" t="s">
        <v>561</v>
      </c>
      <c r="CF47" s="317" t="s">
        <v>53</v>
      </c>
      <c r="CG47" s="317" t="s">
        <v>53</v>
      </c>
      <c r="CH47" s="317" t="s">
        <v>561</v>
      </c>
      <c r="CI47" s="317" t="s">
        <v>53</v>
      </c>
      <c r="CJ47" s="317" t="s">
        <v>2796</v>
      </c>
      <c r="CK47" s="317" t="s">
        <v>561</v>
      </c>
      <c r="CL47" s="317" t="s">
        <v>53</v>
      </c>
      <c r="CM47" s="317" t="s">
        <v>801</v>
      </c>
      <c r="CN47" s="317" t="s">
        <v>53</v>
      </c>
      <c r="CO47" s="317" t="s">
        <v>53</v>
      </c>
      <c r="CP47" s="317" t="s">
        <v>561</v>
      </c>
      <c r="CQ47" s="319"/>
      <c r="CR47" s="319">
        <v>1995.0</v>
      </c>
      <c r="CS47" s="320" t="s">
        <v>850</v>
      </c>
      <c r="CT47" s="319"/>
      <c r="CU47" s="326" t="s">
        <v>2476</v>
      </c>
      <c r="CV47" s="332" t="s">
        <v>75</v>
      </c>
      <c r="CW47" s="319"/>
      <c r="CX47" s="319"/>
      <c r="CY47" s="323">
        <f t="shared" si="24"/>
        <v>0.441</v>
      </c>
      <c r="CZ47" s="324">
        <v>0.71</v>
      </c>
      <c r="DA47" s="323">
        <v>0.26899999999999996</v>
      </c>
      <c r="DB47" s="323"/>
      <c r="DC47" s="323">
        <f t="shared" si="25"/>
        <v>0.488</v>
      </c>
      <c r="DD47" s="324">
        <v>0.715</v>
      </c>
      <c r="DE47" s="323">
        <v>0.22699999999999998</v>
      </c>
      <c r="DF47" s="323"/>
      <c r="DG47" s="323">
        <v>0.213</v>
      </c>
      <c r="DH47" s="324">
        <v>0.608</v>
      </c>
      <c r="DI47" s="323">
        <v>0.03</v>
      </c>
      <c r="DJ47" s="323">
        <v>0.14300000000000002</v>
      </c>
      <c r="DK47" s="323">
        <v>0.049</v>
      </c>
      <c r="DL47" s="323">
        <v>0.006999999999999999</v>
      </c>
      <c r="DM47" s="323"/>
      <c r="DN47" s="323">
        <v>0.231</v>
      </c>
      <c r="DO47" s="323">
        <v>0.395</v>
      </c>
      <c r="DP47" s="323">
        <v>0.183</v>
      </c>
    </row>
    <row r="48">
      <c r="A48" s="311" t="s">
        <v>356</v>
      </c>
      <c r="B48" s="311" t="s">
        <v>357</v>
      </c>
      <c r="C48" s="311" t="s">
        <v>1197</v>
      </c>
      <c r="D48" s="311">
        <v>51.0</v>
      </c>
      <c r="E48" s="312">
        <f t="shared" si="19"/>
        <v>0.5</v>
      </c>
      <c r="F48" s="312" t="str">
        <f t="shared" si="20"/>
        <v>#DIV/0!</v>
      </c>
      <c r="G48" s="312" t="str">
        <f t="shared" si="21"/>
        <v>#DIV/0!</v>
      </c>
      <c r="H48" s="312" t="str">
        <f t="shared" si="22"/>
        <v>#DIV/0!</v>
      </c>
      <c r="I48" s="315" t="s">
        <v>2794</v>
      </c>
      <c r="J48" s="315" t="s">
        <v>2794</v>
      </c>
      <c r="K48" s="315" t="s">
        <v>2794</v>
      </c>
      <c r="L48" s="316" t="str">
        <f t="shared" si="23"/>
        <v>#DIV/0!</v>
      </c>
      <c r="M48" s="317" t="s">
        <v>487</v>
      </c>
      <c r="N48" s="317" t="s">
        <v>487</v>
      </c>
      <c r="O48" s="317" t="s">
        <v>487</v>
      </c>
      <c r="P48" s="317" t="s">
        <v>594</v>
      </c>
      <c r="Q48" s="317" t="s">
        <v>594</v>
      </c>
      <c r="R48" s="317" t="s">
        <v>594</v>
      </c>
      <c r="S48" s="318" t="s">
        <v>561</v>
      </c>
      <c r="T48" s="318" t="s">
        <v>561</v>
      </c>
      <c r="U48" s="330" t="s">
        <v>561</v>
      </c>
      <c r="V48" s="330" t="s">
        <v>561</v>
      </c>
      <c r="W48" s="339" t="s">
        <v>801</v>
      </c>
      <c r="X48" s="340" t="s">
        <v>561</v>
      </c>
      <c r="Y48" s="318" t="s">
        <v>2795</v>
      </c>
      <c r="Z48" s="317" t="s">
        <v>2795</v>
      </c>
      <c r="AA48" s="317" t="s">
        <v>53</v>
      </c>
      <c r="AB48" s="317" t="s">
        <v>53</v>
      </c>
      <c r="AC48" s="317" t="s">
        <v>2795</v>
      </c>
      <c r="AD48" s="317" t="s">
        <v>2795</v>
      </c>
      <c r="AE48" s="317" t="s">
        <v>53</v>
      </c>
      <c r="AF48" s="317" t="s">
        <v>561</v>
      </c>
      <c r="AG48" s="317" t="s">
        <v>53</v>
      </c>
      <c r="AH48" s="317" t="s">
        <v>53</v>
      </c>
      <c r="AI48" s="317" t="s">
        <v>53</v>
      </c>
      <c r="AJ48" s="317" t="s">
        <v>2795</v>
      </c>
      <c r="AK48" s="317" t="s">
        <v>2807</v>
      </c>
      <c r="AL48" s="317" t="s">
        <v>2795</v>
      </c>
      <c r="AM48" s="317" t="s">
        <v>2795</v>
      </c>
      <c r="AN48" s="317" t="s">
        <v>801</v>
      </c>
      <c r="AO48" s="317" t="s">
        <v>2795</v>
      </c>
      <c r="AP48" s="317" t="s">
        <v>561</v>
      </c>
      <c r="AQ48" s="317" t="s">
        <v>561</v>
      </c>
      <c r="AR48" s="317" t="s">
        <v>561</v>
      </c>
      <c r="AS48" s="317" t="s">
        <v>2795</v>
      </c>
      <c r="AT48" s="317" t="s">
        <v>561</v>
      </c>
      <c r="AU48" s="317" t="s">
        <v>561</v>
      </c>
      <c r="AV48" s="317" t="s">
        <v>2795</v>
      </c>
      <c r="AW48" s="317" t="s">
        <v>600</v>
      </c>
      <c r="AX48" s="317" t="s">
        <v>600</v>
      </c>
      <c r="AY48" s="317" t="s">
        <v>600</v>
      </c>
      <c r="AZ48" s="317" t="s">
        <v>600</v>
      </c>
      <c r="BA48" s="317" t="s">
        <v>600</v>
      </c>
      <c r="BB48" s="317" t="s">
        <v>600</v>
      </c>
      <c r="BC48" s="317" t="s">
        <v>600</v>
      </c>
      <c r="BD48" s="317" t="s">
        <v>600</v>
      </c>
      <c r="BE48" s="317" t="s">
        <v>600</v>
      </c>
      <c r="BF48" s="317" t="s">
        <v>600</v>
      </c>
      <c r="BG48" s="317" t="s">
        <v>600</v>
      </c>
      <c r="BH48" s="317" t="s">
        <v>600</v>
      </c>
      <c r="BI48" s="317" t="s">
        <v>600</v>
      </c>
      <c r="BJ48" s="317" t="s">
        <v>600</v>
      </c>
      <c r="BK48" s="317" t="s">
        <v>600</v>
      </c>
      <c r="BL48" s="317" t="s">
        <v>600</v>
      </c>
      <c r="BM48" s="317" t="s">
        <v>600</v>
      </c>
      <c r="BN48" s="317" t="s">
        <v>600</v>
      </c>
      <c r="BO48" s="317" t="s">
        <v>600</v>
      </c>
      <c r="BP48" s="317" t="s">
        <v>600</v>
      </c>
      <c r="BQ48" s="317" t="s">
        <v>600</v>
      </c>
      <c r="BR48" s="317" t="s">
        <v>600</v>
      </c>
      <c r="BS48" s="317" t="s">
        <v>600</v>
      </c>
      <c r="BT48" s="317" t="s">
        <v>600</v>
      </c>
      <c r="BU48" s="317" t="s">
        <v>600</v>
      </c>
      <c r="BV48" s="317" t="s">
        <v>600</v>
      </c>
      <c r="BW48" s="317" t="s">
        <v>600</v>
      </c>
      <c r="BX48" s="317" t="s">
        <v>600</v>
      </c>
      <c r="BY48" s="317" t="s">
        <v>600</v>
      </c>
      <c r="BZ48" s="317" t="s">
        <v>600</v>
      </c>
      <c r="CA48" s="317" t="s">
        <v>600</v>
      </c>
      <c r="CB48" s="317" t="s">
        <v>600</v>
      </c>
      <c r="CC48" s="317" t="s">
        <v>600</v>
      </c>
      <c r="CD48" s="317" t="s">
        <v>600</v>
      </c>
      <c r="CE48" s="317" t="s">
        <v>600</v>
      </c>
      <c r="CF48" s="317" t="s">
        <v>600</v>
      </c>
      <c r="CG48" s="317" t="s">
        <v>600</v>
      </c>
      <c r="CH48" s="317" t="s">
        <v>600</v>
      </c>
      <c r="CI48" s="317" t="s">
        <v>600</v>
      </c>
      <c r="CJ48" s="317" t="s">
        <v>600</v>
      </c>
      <c r="CK48" s="317" t="s">
        <v>600</v>
      </c>
      <c r="CL48" s="317" t="s">
        <v>600</v>
      </c>
      <c r="CM48" s="317" t="s">
        <v>600</v>
      </c>
      <c r="CN48" s="317" t="s">
        <v>600</v>
      </c>
      <c r="CO48" s="317" t="s">
        <v>600</v>
      </c>
      <c r="CP48" s="317" t="s">
        <v>600</v>
      </c>
      <c r="CQ48" s="319"/>
      <c r="CR48" s="319">
        <v>2021.0</v>
      </c>
      <c r="CS48" s="343" t="s">
        <v>1569</v>
      </c>
      <c r="CT48" s="319"/>
      <c r="CU48" s="326" t="s">
        <v>600</v>
      </c>
      <c r="CV48" s="332" t="s">
        <v>75</v>
      </c>
      <c r="CW48" s="319"/>
      <c r="CX48" s="319"/>
      <c r="CY48" s="323">
        <f t="shared" si="24"/>
        <v>0.273</v>
      </c>
      <c r="CZ48" s="324">
        <v>0.625</v>
      </c>
      <c r="DA48" s="323">
        <v>0.35200000000000004</v>
      </c>
      <c r="DB48" s="323"/>
      <c r="DC48" s="323">
        <f t="shared" si="25"/>
        <v>0.23</v>
      </c>
      <c r="DD48" s="324">
        <v>0.584</v>
      </c>
      <c r="DE48" s="323">
        <v>0.354</v>
      </c>
      <c r="DF48" s="323"/>
      <c r="DG48" s="324">
        <v>0.486</v>
      </c>
      <c r="DH48" s="323">
        <v>0.226</v>
      </c>
      <c r="DI48" s="323">
        <v>0.075</v>
      </c>
      <c r="DJ48" s="323">
        <v>0.19899999999999998</v>
      </c>
      <c r="DK48" s="323">
        <v>0.025</v>
      </c>
      <c r="DL48" s="323">
        <v>0.011000000000000001</v>
      </c>
      <c r="DM48" s="323"/>
      <c r="DN48" s="323">
        <v>0.43</v>
      </c>
      <c r="DO48" s="323">
        <v>0.47600000000000003</v>
      </c>
      <c r="DP48" s="323">
        <v>0.29</v>
      </c>
    </row>
    <row r="49">
      <c r="A49" s="311" t="s">
        <v>363</v>
      </c>
      <c r="B49" s="311" t="s">
        <v>364</v>
      </c>
      <c r="C49" s="311" t="s">
        <v>1197</v>
      </c>
      <c r="D49" s="311">
        <v>52.0</v>
      </c>
      <c r="E49" s="312">
        <f t="shared" si="19"/>
        <v>0.6666666667</v>
      </c>
      <c r="F49" s="312" t="str">
        <f t="shared" si="20"/>
        <v>#DIV/0!</v>
      </c>
      <c r="G49" s="312" t="str">
        <f t="shared" si="21"/>
        <v>#DIV/0!</v>
      </c>
      <c r="H49" s="312" t="str">
        <f t="shared" si="22"/>
        <v>#DIV/0!</v>
      </c>
      <c r="I49" s="312" t="str">
        <f t="shared" ref="I49:I53" si="36">(COUNTIF(AW49:BP49, "Nay")+COUNTIF(AW49:BP49, "Yea (Amend)")+(0.5*COUNTIF(AW49:BP49, "Present")))/(COUNTIF(AW49:BP49, "Nay")+COUNTIF(AW49:BP49, "Yea (Amend)")+COUNTIF(AW49:BP49, "Yea")+COUNTIF(AW49:BP49, "Nay (Amend)")+COUNTIF(AW49:BP49, "Present"))</f>
        <v>#DIV/0!</v>
      </c>
      <c r="J49" s="312" t="str">
        <f t="shared" ref="J49:J50" si="37">(COUNTIF(BQ49:CL49, "Nay")+COUNTIF(BQ49:CL49, "Yea (Amend)")+(0.5*COUNTIF(BQ49:CL49, "Present")))/(COUNTIF(BQ49:CL49, "Nay")+COUNTIF(BQ49:CL49, "Yea (Amend)")+COUNTIF(BQ49:CL49, "Yea")+COUNTIF(BQ49:CL49, "Nay (Amend)")+COUNTIF(BQ49:CL49, "Present"))</f>
        <v>#DIV/0!</v>
      </c>
      <c r="K49" s="312" t="str">
        <f t="shared" ref="K49:K50" si="38">(COUNTIF(CM49:CP49, "Nay")+COUNTIF(CM49:CP49, "Yea (Amend)")+(0.5*COUNTIF(CM49:CP49, "Present")))/(COUNTIF(CM49:CP49, "Nay")+COUNTIF(CM49:CP49, "Yea (Amend)")+COUNTIF(CM49:CP49, "Yea")+COUNTIF(CM49:CP49, "Nay (Amend)")+COUNTIF(CM49:CP49, "Present"))</f>
        <v>#DIV/0!</v>
      </c>
      <c r="L49" s="316" t="str">
        <f t="shared" si="23"/>
        <v>#DIV/0!</v>
      </c>
      <c r="M49" s="317" t="s">
        <v>487</v>
      </c>
      <c r="N49" s="317" t="s">
        <v>487</v>
      </c>
      <c r="O49" s="317" t="s">
        <v>487</v>
      </c>
      <c r="P49" s="317" t="s">
        <v>487</v>
      </c>
      <c r="Q49" s="317" t="s">
        <v>594</v>
      </c>
      <c r="R49" s="317" t="s">
        <v>594</v>
      </c>
      <c r="S49" s="318" t="s">
        <v>561</v>
      </c>
      <c r="T49" s="318" t="s">
        <v>561</v>
      </c>
      <c r="U49" s="330" t="s">
        <v>561</v>
      </c>
      <c r="V49" s="330" t="s">
        <v>561</v>
      </c>
      <c r="W49" s="318" t="s">
        <v>2795</v>
      </c>
      <c r="X49" s="340" t="s">
        <v>561</v>
      </c>
      <c r="Y49" s="318" t="s">
        <v>2795</v>
      </c>
      <c r="Z49" s="317" t="s">
        <v>2795</v>
      </c>
      <c r="AA49" s="317" t="s">
        <v>561</v>
      </c>
      <c r="AB49" s="317" t="s">
        <v>53</v>
      </c>
      <c r="AC49" s="317" t="s">
        <v>2795</v>
      </c>
      <c r="AD49" s="317" t="s">
        <v>2795</v>
      </c>
      <c r="AE49" s="317" t="s">
        <v>561</v>
      </c>
      <c r="AF49" s="317" t="s">
        <v>561</v>
      </c>
      <c r="AG49" s="317" t="s">
        <v>561</v>
      </c>
      <c r="AH49" s="317" t="s">
        <v>561</v>
      </c>
      <c r="AI49" s="317" t="s">
        <v>561</v>
      </c>
      <c r="AJ49" s="317" t="s">
        <v>2795</v>
      </c>
      <c r="AK49" s="317" t="s">
        <v>2795</v>
      </c>
      <c r="AL49" s="317" t="s">
        <v>2795</v>
      </c>
      <c r="AM49" s="317" t="s">
        <v>2795</v>
      </c>
      <c r="AN49" s="317" t="s">
        <v>2795</v>
      </c>
      <c r="AO49" s="317" t="s">
        <v>2795</v>
      </c>
      <c r="AP49" s="317" t="s">
        <v>561</v>
      </c>
      <c r="AQ49" s="317" t="s">
        <v>561</v>
      </c>
      <c r="AR49" s="317" t="s">
        <v>561</v>
      </c>
      <c r="AS49" s="317" t="s">
        <v>2795</v>
      </c>
      <c r="AT49" s="317" t="s">
        <v>561</v>
      </c>
      <c r="AU49" s="317" t="s">
        <v>561</v>
      </c>
      <c r="AV49" s="317" t="s">
        <v>2795</v>
      </c>
      <c r="AW49" s="317" t="s">
        <v>561</v>
      </c>
      <c r="AX49" s="317" t="s">
        <v>53</v>
      </c>
      <c r="AY49" s="317" t="s">
        <v>561</v>
      </c>
      <c r="AZ49" s="317" t="s">
        <v>561</v>
      </c>
      <c r="BA49" s="317" t="s">
        <v>2796</v>
      </c>
      <c r="BB49" s="317" t="s">
        <v>53</v>
      </c>
      <c r="BC49" s="317" t="s">
        <v>2796</v>
      </c>
      <c r="BD49" s="317" t="s">
        <v>2795</v>
      </c>
      <c r="BE49" s="317" t="s">
        <v>561</v>
      </c>
      <c r="BF49" s="317" t="s">
        <v>561</v>
      </c>
      <c r="BG49" s="317" t="s">
        <v>801</v>
      </c>
      <c r="BH49" s="317" t="s">
        <v>561</v>
      </c>
      <c r="BI49" s="317" t="s">
        <v>561</v>
      </c>
      <c r="BJ49" s="317" t="s">
        <v>53</v>
      </c>
      <c r="BK49" s="317" t="s">
        <v>561</v>
      </c>
      <c r="BL49" s="317" t="s">
        <v>2796</v>
      </c>
      <c r="BM49" s="317" t="s">
        <v>2796</v>
      </c>
      <c r="BN49" s="317" t="s">
        <v>53</v>
      </c>
      <c r="BO49" s="317" t="s">
        <v>2796</v>
      </c>
      <c r="BP49" s="317" t="s">
        <v>2796</v>
      </c>
      <c r="BQ49" s="317" t="s">
        <v>53</v>
      </c>
      <c r="BR49" s="317" t="s">
        <v>561</v>
      </c>
      <c r="BS49" s="317" t="s">
        <v>53</v>
      </c>
      <c r="BT49" s="317" t="s">
        <v>561</v>
      </c>
      <c r="BU49" s="317" t="s">
        <v>53</v>
      </c>
      <c r="BV49" s="317" t="s">
        <v>561</v>
      </c>
      <c r="BW49" s="317" t="s">
        <v>53</v>
      </c>
      <c r="BX49" s="317" t="s">
        <v>561</v>
      </c>
      <c r="BY49" s="317" t="s">
        <v>561</v>
      </c>
      <c r="BZ49" s="317" t="s">
        <v>561</v>
      </c>
      <c r="CA49" s="317" t="s">
        <v>53</v>
      </c>
      <c r="CB49" s="317" t="s">
        <v>53</v>
      </c>
      <c r="CC49" s="317" t="s">
        <v>53</v>
      </c>
      <c r="CD49" s="317" t="s">
        <v>53</v>
      </c>
      <c r="CE49" s="317" t="s">
        <v>561</v>
      </c>
      <c r="CF49" s="317" t="s">
        <v>53</v>
      </c>
      <c r="CG49" s="317" t="s">
        <v>561</v>
      </c>
      <c r="CH49" s="317" t="s">
        <v>53</v>
      </c>
      <c r="CI49" s="317" t="s">
        <v>53</v>
      </c>
      <c r="CJ49" s="317" t="s">
        <v>2806</v>
      </c>
      <c r="CK49" s="317" t="s">
        <v>561</v>
      </c>
      <c r="CL49" s="317" t="s">
        <v>561</v>
      </c>
      <c r="CM49" s="317" t="s">
        <v>561</v>
      </c>
      <c r="CN49" s="317" t="s">
        <v>561</v>
      </c>
      <c r="CO49" s="317" t="s">
        <v>53</v>
      </c>
      <c r="CP49" s="317" t="s">
        <v>561</v>
      </c>
      <c r="CQ49" s="319"/>
      <c r="CR49" s="319">
        <v>2013.0</v>
      </c>
      <c r="CS49" s="343" t="s">
        <v>1199</v>
      </c>
      <c r="CT49" s="334" t="s">
        <v>2030</v>
      </c>
      <c r="CU49" s="319" t="s">
        <v>2823</v>
      </c>
      <c r="CV49" s="320" t="s">
        <v>83</v>
      </c>
      <c r="CW49" s="319"/>
      <c r="CX49" s="319"/>
      <c r="CY49" s="323">
        <f t="shared" si="24"/>
        <v>0.369</v>
      </c>
      <c r="CZ49" s="324">
        <v>0.674</v>
      </c>
      <c r="DA49" s="323">
        <v>0.305</v>
      </c>
      <c r="DB49" s="323"/>
      <c r="DC49" s="323">
        <f t="shared" si="25"/>
        <v>0.466</v>
      </c>
      <c r="DD49" s="324">
        <v>0.7070000000000001</v>
      </c>
      <c r="DE49" s="323">
        <v>0.24100000000000002</v>
      </c>
      <c r="DF49" s="323"/>
      <c r="DG49" s="323">
        <v>0.153</v>
      </c>
      <c r="DH49" s="324">
        <v>0.5720000000000001</v>
      </c>
      <c r="DI49" s="323">
        <v>0.094</v>
      </c>
      <c r="DJ49" s="323">
        <v>0.183</v>
      </c>
      <c r="DK49" s="323">
        <v>0.033</v>
      </c>
      <c r="DL49" s="323">
        <v>0.011000000000000001</v>
      </c>
      <c r="DM49" s="323"/>
      <c r="DN49" s="323">
        <v>0.21600000000000003</v>
      </c>
      <c r="DO49" s="323">
        <v>0.34</v>
      </c>
      <c r="DP49" s="323">
        <v>0.134</v>
      </c>
    </row>
    <row r="50">
      <c r="A50" s="311" t="s">
        <v>1054</v>
      </c>
      <c r="B50" s="311" t="s">
        <v>1055</v>
      </c>
      <c r="C50" s="311" t="s">
        <v>1530</v>
      </c>
      <c r="D50" s="311">
        <v>20.0</v>
      </c>
      <c r="E50" s="312">
        <f t="shared" si="19"/>
        <v>0.5</v>
      </c>
      <c r="F50" s="312" t="str">
        <f t="shared" si="20"/>
        <v>#DIV/0!</v>
      </c>
      <c r="G50" s="312" t="str">
        <f t="shared" si="21"/>
        <v>#DIV/0!</v>
      </c>
      <c r="H50" s="312" t="str">
        <f t="shared" si="22"/>
        <v>#DIV/0!</v>
      </c>
      <c r="I50" s="312" t="str">
        <f t="shared" si="36"/>
        <v>#DIV/0!</v>
      </c>
      <c r="J50" s="312" t="str">
        <f t="shared" si="37"/>
        <v>#DIV/0!</v>
      </c>
      <c r="K50" s="312" t="str">
        <f t="shared" si="38"/>
        <v>#DIV/0!</v>
      </c>
      <c r="L50" s="316" t="str">
        <f t="shared" si="23"/>
        <v>#DIV/0!</v>
      </c>
      <c r="M50" s="317" t="s">
        <v>487</v>
      </c>
      <c r="N50" s="317" t="s">
        <v>594</v>
      </c>
      <c r="O50" s="317" t="s">
        <v>487</v>
      </c>
      <c r="P50" s="317" t="s">
        <v>594</v>
      </c>
      <c r="Q50" s="317" t="s">
        <v>594</v>
      </c>
      <c r="R50" s="317" t="s">
        <v>487</v>
      </c>
      <c r="S50" s="318" t="s">
        <v>561</v>
      </c>
      <c r="T50" s="318" t="s">
        <v>561</v>
      </c>
      <c r="U50" s="330" t="s">
        <v>561</v>
      </c>
      <c r="V50" s="330" t="s">
        <v>561</v>
      </c>
      <c r="W50" s="318" t="s">
        <v>2795</v>
      </c>
      <c r="X50" s="340" t="s">
        <v>561</v>
      </c>
      <c r="Y50" s="318" t="s">
        <v>2795</v>
      </c>
      <c r="Z50" s="317" t="s">
        <v>2795</v>
      </c>
      <c r="AA50" s="317" t="s">
        <v>561</v>
      </c>
      <c r="AB50" s="317" t="s">
        <v>53</v>
      </c>
      <c r="AC50" s="317" t="s">
        <v>2795</v>
      </c>
      <c r="AD50" s="317" t="s">
        <v>2795</v>
      </c>
      <c r="AE50" s="317" t="s">
        <v>561</v>
      </c>
      <c r="AF50" s="317" t="s">
        <v>561</v>
      </c>
      <c r="AG50" s="317" t="s">
        <v>561</v>
      </c>
      <c r="AH50" s="317" t="s">
        <v>561</v>
      </c>
      <c r="AI50" s="317" t="s">
        <v>561</v>
      </c>
      <c r="AJ50" s="317" t="s">
        <v>2795</v>
      </c>
      <c r="AK50" s="317" t="s">
        <v>2795</v>
      </c>
      <c r="AL50" s="317" t="s">
        <v>2795</v>
      </c>
      <c r="AM50" s="317" t="s">
        <v>2795</v>
      </c>
      <c r="AN50" s="317" t="s">
        <v>2795</v>
      </c>
      <c r="AO50" s="317" t="s">
        <v>2795</v>
      </c>
      <c r="AP50" s="317" t="s">
        <v>561</v>
      </c>
      <c r="AQ50" s="317" t="s">
        <v>561</v>
      </c>
      <c r="AR50" s="317" t="s">
        <v>561</v>
      </c>
      <c r="AS50" s="317" t="s">
        <v>2795</v>
      </c>
      <c r="AT50" s="317" t="s">
        <v>561</v>
      </c>
      <c r="AU50" s="317" t="s">
        <v>561</v>
      </c>
      <c r="AV50" s="317" t="s">
        <v>2795</v>
      </c>
      <c r="AW50" s="317" t="s">
        <v>561</v>
      </c>
      <c r="AX50" s="317" t="s">
        <v>561</v>
      </c>
      <c r="AY50" s="317" t="s">
        <v>561</v>
      </c>
      <c r="AZ50" s="317" t="s">
        <v>561</v>
      </c>
      <c r="BA50" s="317" t="s">
        <v>2796</v>
      </c>
      <c r="BB50" s="317" t="s">
        <v>53</v>
      </c>
      <c r="BC50" s="317" t="s">
        <v>2796</v>
      </c>
      <c r="BD50" s="317" t="s">
        <v>2795</v>
      </c>
      <c r="BE50" s="317" t="s">
        <v>53</v>
      </c>
      <c r="BF50" s="317" t="s">
        <v>53</v>
      </c>
      <c r="BG50" s="317" t="s">
        <v>53</v>
      </c>
      <c r="BH50" s="317" t="s">
        <v>53</v>
      </c>
      <c r="BI50" s="317" t="s">
        <v>561</v>
      </c>
      <c r="BJ50" s="317" t="s">
        <v>53</v>
      </c>
      <c r="BK50" s="317" t="s">
        <v>561</v>
      </c>
      <c r="BL50" s="317" t="s">
        <v>2796</v>
      </c>
      <c r="BM50" s="317" t="s">
        <v>2796</v>
      </c>
      <c r="BN50" s="317" t="s">
        <v>53</v>
      </c>
      <c r="BO50" s="317" t="s">
        <v>2796</v>
      </c>
      <c r="BP50" s="317" t="s">
        <v>2796</v>
      </c>
      <c r="BQ50" s="317" t="s">
        <v>53</v>
      </c>
      <c r="BR50" s="317" t="s">
        <v>53</v>
      </c>
      <c r="BS50" s="317" t="s">
        <v>53</v>
      </c>
      <c r="BT50" s="317" t="s">
        <v>561</v>
      </c>
      <c r="BU50" s="317" t="s">
        <v>801</v>
      </c>
      <c r="BV50" s="317" t="s">
        <v>561</v>
      </c>
      <c r="BW50" s="317" t="s">
        <v>53</v>
      </c>
      <c r="BX50" s="317" t="s">
        <v>53</v>
      </c>
      <c r="BY50" s="317" t="s">
        <v>53</v>
      </c>
      <c r="BZ50" s="317" t="s">
        <v>561</v>
      </c>
      <c r="CA50" s="317" t="s">
        <v>53</v>
      </c>
      <c r="CB50" s="317" t="s">
        <v>561</v>
      </c>
      <c r="CC50" s="317" t="s">
        <v>561</v>
      </c>
      <c r="CD50" s="317" t="s">
        <v>53</v>
      </c>
      <c r="CE50" s="317" t="s">
        <v>561</v>
      </c>
      <c r="CF50" s="317" t="s">
        <v>53</v>
      </c>
      <c r="CG50" s="317" t="s">
        <v>561</v>
      </c>
      <c r="CH50" s="317" t="s">
        <v>561</v>
      </c>
      <c r="CI50" s="317" t="s">
        <v>53</v>
      </c>
      <c r="CJ50" s="317" t="s">
        <v>2796</v>
      </c>
      <c r="CK50" s="317" t="s">
        <v>561</v>
      </c>
      <c r="CL50" s="317" t="s">
        <v>561</v>
      </c>
      <c r="CM50" s="317" t="s">
        <v>561</v>
      </c>
      <c r="CN50" s="317" t="s">
        <v>561</v>
      </c>
      <c r="CO50" s="317" t="s">
        <v>801</v>
      </c>
      <c r="CP50" s="317" t="s">
        <v>561</v>
      </c>
      <c r="CQ50" s="319"/>
      <c r="CR50" s="319">
        <v>2009.0</v>
      </c>
      <c r="CS50" s="342" t="s">
        <v>2476</v>
      </c>
      <c r="CT50" s="319"/>
      <c r="CU50" s="326" t="s">
        <v>2476</v>
      </c>
      <c r="CV50" s="332" t="s">
        <v>75</v>
      </c>
      <c r="CW50" s="319"/>
      <c r="CX50" s="319"/>
      <c r="CY50" s="323">
        <f t="shared" si="24"/>
        <v>0.192</v>
      </c>
      <c r="CZ50" s="324">
        <v>0.586</v>
      </c>
      <c r="DA50" s="323">
        <v>0.39399999999999996</v>
      </c>
      <c r="DB50" s="323"/>
      <c r="DC50" s="323">
        <f t="shared" si="25"/>
        <v>0.118</v>
      </c>
      <c r="DD50" s="324">
        <v>0.524</v>
      </c>
      <c r="DE50" s="323">
        <v>0.406</v>
      </c>
      <c r="DF50" s="323"/>
      <c r="DG50" s="324">
        <v>0.755</v>
      </c>
      <c r="DH50" s="323">
        <v>0.054000000000000006</v>
      </c>
      <c r="DI50" s="323">
        <v>0.10400000000000001</v>
      </c>
      <c r="DJ50" s="323">
        <v>0.063</v>
      </c>
      <c r="DK50" s="323">
        <v>0.019</v>
      </c>
      <c r="DL50" s="323">
        <v>0.002</v>
      </c>
      <c r="DM50" s="323"/>
      <c r="DN50" s="323">
        <v>0.397</v>
      </c>
      <c r="DO50" s="323">
        <v>0.414</v>
      </c>
      <c r="DP50" s="323">
        <v>0.484</v>
      </c>
    </row>
    <row r="51">
      <c r="A51" s="311" t="s">
        <v>1257</v>
      </c>
      <c r="B51" s="311" t="s">
        <v>1258</v>
      </c>
      <c r="C51" s="311" t="s">
        <v>2824</v>
      </c>
      <c r="D51" s="311">
        <v>16.0</v>
      </c>
      <c r="E51" s="312">
        <f t="shared" si="19"/>
        <v>0.6666666667</v>
      </c>
      <c r="F51" s="312" t="str">
        <f t="shared" si="20"/>
        <v>#DIV/0!</v>
      </c>
      <c r="G51" s="312" t="str">
        <f t="shared" si="21"/>
        <v>#DIV/0!</v>
      </c>
      <c r="H51" s="312" t="str">
        <f t="shared" si="22"/>
        <v>#DIV/0!</v>
      </c>
      <c r="I51" s="312" t="str">
        <f t="shared" si="36"/>
        <v>#DIV/0!</v>
      </c>
      <c r="J51" s="315" t="s">
        <v>2794</v>
      </c>
      <c r="K51" s="315" t="s">
        <v>2794</v>
      </c>
      <c r="L51" s="316" t="str">
        <f t="shared" si="23"/>
        <v>#DIV/0!</v>
      </c>
      <c r="M51" s="317" t="s">
        <v>487</v>
      </c>
      <c r="N51" s="317" t="s">
        <v>487</v>
      </c>
      <c r="O51" s="317" t="s">
        <v>487</v>
      </c>
      <c r="P51" s="317" t="s">
        <v>594</v>
      </c>
      <c r="Q51" s="317" t="s">
        <v>487</v>
      </c>
      <c r="R51" s="317" t="s">
        <v>594</v>
      </c>
      <c r="S51" s="318" t="s">
        <v>561</v>
      </c>
      <c r="T51" s="318" t="s">
        <v>561</v>
      </c>
      <c r="U51" s="330" t="s">
        <v>561</v>
      </c>
      <c r="V51" s="330" t="s">
        <v>561</v>
      </c>
      <c r="W51" s="318" t="s">
        <v>2795</v>
      </c>
      <c r="X51" s="340" t="s">
        <v>561</v>
      </c>
      <c r="Y51" s="318" t="s">
        <v>2795</v>
      </c>
      <c r="Z51" s="317" t="s">
        <v>2795</v>
      </c>
      <c r="AA51" s="317" t="s">
        <v>561</v>
      </c>
      <c r="AB51" s="317" t="s">
        <v>53</v>
      </c>
      <c r="AC51" s="317" t="s">
        <v>2795</v>
      </c>
      <c r="AD51" s="317" t="s">
        <v>2795</v>
      </c>
      <c r="AE51" s="317" t="s">
        <v>561</v>
      </c>
      <c r="AF51" s="317" t="s">
        <v>561</v>
      </c>
      <c r="AG51" s="317" t="s">
        <v>561</v>
      </c>
      <c r="AH51" s="317" t="s">
        <v>561</v>
      </c>
      <c r="AI51" s="317" t="s">
        <v>561</v>
      </c>
      <c r="AJ51" s="317" t="s">
        <v>2795</v>
      </c>
      <c r="AK51" s="317" t="s">
        <v>2795</v>
      </c>
      <c r="AL51" s="317" t="s">
        <v>2795</v>
      </c>
      <c r="AM51" s="317" t="s">
        <v>2795</v>
      </c>
      <c r="AN51" s="317" t="s">
        <v>2795</v>
      </c>
      <c r="AO51" s="317" t="s">
        <v>2795</v>
      </c>
      <c r="AP51" s="317" t="s">
        <v>561</v>
      </c>
      <c r="AQ51" s="317" t="s">
        <v>561</v>
      </c>
      <c r="AR51" s="317" t="s">
        <v>561</v>
      </c>
      <c r="AS51" s="317" t="s">
        <v>2795</v>
      </c>
      <c r="AT51" s="317" t="s">
        <v>561</v>
      </c>
      <c r="AU51" s="317" t="s">
        <v>53</v>
      </c>
      <c r="AV51" s="317" t="s">
        <v>2795</v>
      </c>
      <c r="AW51" s="317" t="s">
        <v>561</v>
      </c>
      <c r="AX51" s="317" t="s">
        <v>53</v>
      </c>
      <c r="AY51" s="317" t="s">
        <v>561</v>
      </c>
      <c r="AZ51" s="317" t="s">
        <v>561</v>
      </c>
      <c r="BA51" s="317" t="s">
        <v>2796</v>
      </c>
      <c r="BB51" s="317" t="s">
        <v>561</v>
      </c>
      <c r="BC51" s="317" t="s">
        <v>2806</v>
      </c>
      <c r="BD51" s="317" t="s">
        <v>2795</v>
      </c>
      <c r="BE51" s="317" t="s">
        <v>561</v>
      </c>
      <c r="BF51" s="317" t="s">
        <v>561</v>
      </c>
      <c r="BG51" s="317" t="s">
        <v>53</v>
      </c>
      <c r="BH51" s="317" t="s">
        <v>561</v>
      </c>
      <c r="BI51" s="317" t="s">
        <v>561</v>
      </c>
      <c r="BJ51" s="317" t="s">
        <v>53</v>
      </c>
      <c r="BK51" s="317" t="s">
        <v>561</v>
      </c>
      <c r="BL51" s="317" t="s">
        <v>2796</v>
      </c>
      <c r="BM51" s="317" t="s">
        <v>2796</v>
      </c>
      <c r="BN51" s="317" t="s">
        <v>53</v>
      </c>
      <c r="BO51" s="317" t="s">
        <v>2796</v>
      </c>
      <c r="BP51" s="317" t="s">
        <v>2796</v>
      </c>
      <c r="BQ51" s="317" t="s">
        <v>600</v>
      </c>
      <c r="BR51" s="317" t="s">
        <v>600</v>
      </c>
      <c r="BS51" s="317" t="s">
        <v>600</v>
      </c>
      <c r="BT51" s="317" t="s">
        <v>600</v>
      </c>
      <c r="BU51" s="317" t="s">
        <v>600</v>
      </c>
      <c r="BV51" s="317" t="s">
        <v>600</v>
      </c>
      <c r="BW51" s="317" t="s">
        <v>600</v>
      </c>
      <c r="BX51" s="317" t="s">
        <v>600</v>
      </c>
      <c r="BY51" s="317" t="s">
        <v>600</v>
      </c>
      <c r="BZ51" s="317" t="s">
        <v>600</v>
      </c>
      <c r="CA51" s="317" t="s">
        <v>600</v>
      </c>
      <c r="CB51" s="317" t="s">
        <v>600</v>
      </c>
      <c r="CC51" s="317" t="s">
        <v>600</v>
      </c>
      <c r="CD51" s="317" t="s">
        <v>600</v>
      </c>
      <c r="CE51" s="317" t="s">
        <v>600</v>
      </c>
      <c r="CF51" s="317" t="s">
        <v>600</v>
      </c>
      <c r="CG51" s="317" t="s">
        <v>600</v>
      </c>
      <c r="CH51" s="317" t="s">
        <v>600</v>
      </c>
      <c r="CI51" s="317" t="s">
        <v>600</v>
      </c>
      <c r="CJ51" s="317" t="s">
        <v>600</v>
      </c>
      <c r="CK51" s="317" t="s">
        <v>600</v>
      </c>
      <c r="CL51" s="317" t="s">
        <v>600</v>
      </c>
      <c r="CM51" s="317" t="s">
        <v>600</v>
      </c>
      <c r="CN51" s="317" t="s">
        <v>600</v>
      </c>
      <c r="CO51" s="317" t="s">
        <v>600</v>
      </c>
      <c r="CP51" s="317" t="s">
        <v>600</v>
      </c>
      <c r="CQ51" s="319"/>
      <c r="CR51" s="319">
        <v>2019.0</v>
      </c>
      <c r="CS51" s="343" t="s">
        <v>1199</v>
      </c>
      <c r="CT51" s="334" t="s">
        <v>122</v>
      </c>
      <c r="CU51" s="319" t="s">
        <v>2825</v>
      </c>
      <c r="CV51" s="320" t="s">
        <v>83</v>
      </c>
      <c r="CW51" s="319"/>
      <c r="CX51" s="319"/>
      <c r="CY51" s="323">
        <f t="shared" si="24"/>
        <v>0.355</v>
      </c>
      <c r="CZ51" s="324">
        <v>0.67</v>
      </c>
      <c r="DA51" s="323">
        <v>0.315</v>
      </c>
      <c r="DB51" s="323"/>
      <c r="DC51" s="323">
        <f t="shared" si="25"/>
        <v>0.419</v>
      </c>
      <c r="DD51" s="324">
        <v>0.68</v>
      </c>
      <c r="DE51" s="323">
        <v>0.261</v>
      </c>
      <c r="DF51" s="323"/>
      <c r="DG51" s="323">
        <v>0.13</v>
      </c>
      <c r="DH51" s="324">
        <v>0.8079999999999999</v>
      </c>
      <c r="DI51" s="323">
        <v>0.040999999999999995</v>
      </c>
      <c r="DJ51" s="323">
        <v>0.021</v>
      </c>
      <c r="DK51" s="323">
        <v>0.024</v>
      </c>
      <c r="DL51" s="323">
        <v>0.003</v>
      </c>
      <c r="DM51" s="323"/>
      <c r="DN51" s="323">
        <v>0.252</v>
      </c>
      <c r="DO51" s="323">
        <v>0.419</v>
      </c>
      <c r="DP51" s="323">
        <v>0.091</v>
      </c>
    </row>
    <row r="52">
      <c r="A52" s="311" t="s">
        <v>516</v>
      </c>
      <c r="B52" s="311" t="s">
        <v>517</v>
      </c>
      <c r="C52" s="311" t="s">
        <v>910</v>
      </c>
      <c r="D52" s="311">
        <v>4.0</v>
      </c>
      <c r="E52" s="312">
        <f t="shared" si="19"/>
        <v>0.6666666667</v>
      </c>
      <c r="F52" s="312">
        <f t="shared" si="20"/>
        <v>0.5</v>
      </c>
      <c r="G52" s="312" t="str">
        <f t="shared" si="21"/>
        <v>#DIV/0!</v>
      </c>
      <c r="H52" s="312">
        <f t="shared" si="22"/>
        <v>0.5</v>
      </c>
      <c r="I52" s="312">
        <f t="shared" si="36"/>
        <v>0.5</v>
      </c>
      <c r="J52" s="312" t="str">
        <f t="shared" ref="J52:J53" si="39">(COUNTIF(BQ52:CL52, "Nay")+COUNTIF(BQ52:CL52, "Yea (Amend)")+(0.5*COUNTIF(BQ52:CL52, "Present")))/(COUNTIF(BQ52:CL52, "Nay")+COUNTIF(BQ52:CL52, "Yea (Amend)")+COUNTIF(BQ52:CL52, "Yea")+COUNTIF(BQ52:CL52, "Nay (Amend)")+COUNTIF(BQ52:CL52, "Present"))</f>
        <v>#DIV/0!</v>
      </c>
      <c r="K52" s="312" t="str">
        <f t="shared" ref="K52:K53" si="40">(COUNTIF(CM52:CP52, "Nay")+COUNTIF(CM52:CP52, "Yea (Amend)")+(0.5*COUNTIF(CM52:CP52, "Present")))/(COUNTIF(CM52:CP52, "Nay")+COUNTIF(CM52:CP52, "Yea (Amend)")+COUNTIF(CM52:CP52, "Yea")+COUNTIF(CM52:CP52, "Nay (Amend)")+COUNTIF(CM52:CP52, "Present"))</f>
        <v>#DIV/0!</v>
      </c>
      <c r="L52" s="316" t="str">
        <f t="shared" si="23"/>
        <v>#DIV/0!</v>
      </c>
      <c r="M52" s="317" t="s">
        <v>487</v>
      </c>
      <c r="N52" s="317" t="s">
        <v>594</v>
      </c>
      <c r="O52" s="317" t="s">
        <v>487</v>
      </c>
      <c r="P52" s="317" t="s">
        <v>487</v>
      </c>
      <c r="Q52" s="317" t="s">
        <v>487</v>
      </c>
      <c r="R52" s="317" t="s">
        <v>594</v>
      </c>
      <c r="S52" s="318" t="s">
        <v>561</v>
      </c>
      <c r="T52" s="318" t="s">
        <v>561</v>
      </c>
      <c r="U52" s="330" t="s">
        <v>561</v>
      </c>
      <c r="V52" s="330" t="s">
        <v>561</v>
      </c>
      <c r="W52" s="339" t="s">
        <v>801</v>
      </c>
      <c r="X52" s="340" t="s">
        <v>561</v>
      </c>
      <c r="Y52" s="318" t="s">
        <v>2795</v>
      </c>
      <c r="Z52" s="317" t="s">
        <v>2795</v>
      </c>
      <c r="AA52" s="317" t="s">
        <v>561</v>
      </c>
      <c r="AB52" s="317" t="s">
        <v>53</v>
      </c>
      <c r="AC52" s="317" t="s">
        <v>2795</v>
      </c>
      <c r="AD52" s="317" t="s">
        <v>2795</v>
      </c>
      <c r="AE52" s="317" t="s">
        <v>53</v>
      </c>
      <c r="AF52" s="317" t="s">
        <v>561</v>
      </c>
      <c r="AG52" s="317" t="s">
        <v>53</v>
      </c>
      <c r="AH52" s="317" t="s">
        <v>53</v>
      </c>
      <c r="AI52" s="317" t="s">
        <v>561</v>
      </c>
      <c r="AJ52" s="317" t="s">
        <v>2795</v>
      </c>
      <c r="AK52" s="317" t="s">
        <v>2795</v>
      </c>
      <c r="AL52" s="317" t="s">
        <v>2795</v>
      </c>
      <c r="AM52" s="317" t="s">
        <v>2795</v>
      </c>
      <c r="AN52" s="317" t="s">
        <v>2795</v>
      </c>
      <c r="AO52" s="317" t="s">
        <v>2795</v>
      </c>
      <c r="AP52" s="317" t="s">
        <v>799</v>
      </c>
      <c r="AQ52" s="317" t="s">
        <v>561</v>
      </c>
      <c r="AR52" s="317" t="s">
        <v>561</v>
      </c>
      <c r="AS52" s="317" t="s">
        <v>2795</v>
      </c>
      <c r="AT52" s="317" t="s">
        <v>561</v>
      </c>
      <c r="AU52" s="317" t="s">
        <v>561</v>
      </c>
      <c r="AV52" s="317" t="s">
        <v>2807</v>
      </c>
      <c r="AW52" s="317" t="s">
        <v>561</v>
      </c>
      <c r="AX52" s="317" t="s">
        <v>561</v>
      </c>
      <c r="AY52" s="317" t="s">
        <v>561</v>
      </c>
      <c r="AZ52" s="317" t="s">
        <v>561</v>
      </c>
      <c r="BA52" s="317" t="s">
        <v>2796</v>
      </c>
      <c r="BB52" s="317" t="s">
        <v>53</v>
      </c>
      <c r="BC52" s="317" t="s">
        <v>2796</v>
      </c>
      <c r="BD52" s="317" t="s">
        <v>2795</v>
      </c>
      <c r="BE52" s="317" t="s">
        <v>561</v>
      </c>
      <c r="BF52" s="317" t="s">
        <v>561</v>
      </c>
      <c r="BG52" s="317" t="s">
        <v>561</v>
      </c>
      <c r="BH52" s="317" t="s">
        <v>561</v>
      </c>
      <c r="BI52" s="317" t="s">
        <v>799</v>
      </c>
      <c r="BJ52" s="317" t="s">
        <v>561</v>
      </c>
      <c r="BK52" s="317" t="s">
        <v>561</v>
      </c>
      <c r="BL52" s="317" t="s">
        <v>2796</v>
      </c>
      <c r="BM52" s="317" t="s">
        <v>2796</v>
      </c>
      <c r="BN52" s="317" t="s">
        <v>561</v>
      </c>
      <c r="BO52" s="317" t="s">
        <v>2796</v>
      </c>
      <c r="BP52" s="317" t="s">
        <v>2796</v>
      </c>
      <c r="BQ52" s="317" t="s">
        <v>53</v>
      </c>
      <c r="BR52" s="317" t="s">
        <v>53</v>
      </c>
      <c r="BS52" s="317" t="s">
        <v>53</v>
      </c>
      <c r="BT52" s="317" t="s">
        <v>561</v>
      </c>
      <c r="BU52" s="317" t="s">
        <v>53</v>
      </c>
      <c r="BV52" s="317" t="s">
        <v>561</v>
      </c>
      <c r="BW52" s="317" t="s">
        <v>53</v>
      </c>
      <c r="BX52" s="317" t="s">
        <v>561</v>
      </c>
      <c r="BY52" s="317" t="s">
        <v>561</v>
      </c>
      <c r="BZ52" s="317" t="s">
        <v>561</v>
      </c>
      <c r="CA52" s="317" t="s">
        <v>53</v>
      </c>
      <c r="CB52" s="317" t="s">
        <v>561</v>
      </c>
      <c r="CC52" s="317" t="s">
        <v>561</v>
      </c>
      <c r="CD52" s="317" t="s">
        <v>561</v>
      </c>
      <c r="CE52" s="317" t="s">
        <v>561</v>
      </c>
      <c r="CF52" s="317" t="s">
        <v>53</v>
      </c>
      <c r="CG52" s="317" t="s">
        <v>53</v>
      </c>
      <c r="CH52" s="317" t="s">
        <v>53</v>
      </c>
      <c r="CI52" s="317" t="s">
        <v>53</v>
      </c>
      <c r="CJ52" s="317" t="s">
        <v>2806</v>
      </c>
      <c r="CK52" s="317" t="s">
        <v>53</v>
      </c>
      <c r="CL52" s="317" t="s">
        <v>561</v>
      </c>
      <c r="CM52" s="317" t="s">
        <v>561</v>
      </c>
      <c r="CN52" s="317" t="s">
        <v>561</v>
      </c>
      <c r="CO52" s="317" t="s">
        <v>53</v>
      </c>
      <c r="CP52" s="317" t="s">
        <v>561</v>
      </c>
      <c r="CQ52" s="319"/>
      <c r="CR52" s="319">
        <v>2007.0</v>
      </c>
      <c r="CS52" s="320" t="s">
        <v>850</v>
      </c>
      <c r="CT52" s="319"/>
      <c r="CU52" s="319" t="s">
        <v>23</v>
      </c>
      <c r="CV52" s="327" t="s">
        <v>28</v>
      </c>
      <c r="CW52" s="319"/>
      <c r="CX52" s="319"/>
      <c r="CY52" s="323">
        <f t="shared" si="24"/>
        <v>0.577</v>
      </c>
      <c r="CZ52" s="324">
        <v>0.7829999999999999</v>
      </c>
      <c r="DA52" s="323">
        <v>0.20600000000000002</v>
      </c>
      <c r="DB52" s="323"/>
      <c r="DC52" s="323">
        <f t="shared" si="25"/>
        <v>0.523</v>
      </c>
      <c r="DD52" s="324">
        <v>0.747</v>
      </c>
      <c r="DE52" s="323">
        <v>0.22399999999999998</v>
      </c>
      <c r="DF52" s="323"/>
      <c r="DG52" s="323">
        <v>0.28300000000000003</v>
      </c>
      <c r="DH52" s="323">
        <v>0.10099999999999999</v>
      </c>
      <c r="DI52" s="324">
        <v>0.545</v>
      </c>
      <c r="DJ52" s="323">
        <v>0.067</v>
      </c>
      <c r="DK52" s="323">
        <v>0.017</v>
      </c>
      <c r="DL52" s="323">
        <v>0.001</v>
      </c>
      <c r="DM52" s="323"/>
      <c r="DN52" s="323">
        <v>0.405</v>
      </c>
      <c r="DO52" s="324">
        <v>0.591</v>
      </c>
      <c r="DP52" s="323">
        <v>0.134</v>
      </c>
    </row>
    <row r="53">
      <c r="A53" s="311" t="s">
        <v>852</v>
      </c>
      <c r="B53" s="311" t="s">
        <v>853</v>
      </c>
      <c r="C53" s="311" t="s">
        <v>878</v>
      </c>
      <c r="D53" s="311">
        <v>4.0</v>
      </c>
      <c r="E53" s="312">
        <f t="shared" si="19"/>
        <v>0.6666666667</v>
      </c>
      <c r="F53" s="312" t="str">
        <f t="shared" si="20"/>
        <v>#DIV/0!</v>
      </c>
      <c r="G53" s="312" t="str">
        <f t="shared" si="21"/>
        <v>#DIV/0!</v>
      </c>
      <c r="H53" s="312" t="str">
        <f t="shared" si="22"/>
        <v>#DIV/0!</v>
      </c>
      <c r="I53" s="312" t="str">
        <f t="shared" si="36"/>
        <v>#DIV/0!</v>
      </c>
      <c r="J53" s="312" t="str">
        <f t="shared" si="39"/>
        <v>#DIV/0!</v>
      </c>
      <c r="K53" s="312" t="str">
        <f t="shared" si="40"/>
        <v>#DIV/0!</v>
      </c>
      <c r="L53" s="316" t="str">
        <f t="shared" si="23"/>
        <v>#DIV/0!</v>
      </c>
      <c r="M53" s="317" t="s">
        <v>487</v>
      </c>
      <c r="N53" s="317" t="s">
        <v>487</v>
      </c>
      <c r="O53" s="317" t="s">
        <v>487</v>
      </c>
      <c r="P53" s="317" t="s">
        <v>594</v>
      </c>
      <c r="Q53" s="317" t="s">
        <v>594</v>
      </c>
      <c r="R53" s="317" t="s">
        <v>487</v>
      </c>
      <c r="S53" s="318" t="s">
        <v>561</v>
      </c>
      <c r="T53" s="318" t="s">
        <v>561</v>
      </c>
      <c r="U53" s="330" t="s">
        <v>561</v>
      </c>
      <c r="V53" s="330" t="s">
        <v>561</v>
      </c>
      <c r="W53" s="318" t="s">
        <v>2795</v>
      </c>
      <c r="X53" s="340" t="s">
        <v>561</v>
      </c>
      <c r="Y53" s="318" t="s">
        <v>2795</v>
      </c>
      <c r="Z53" s="317" t="s">
        <v>2795</v>
      </c>
      <c r="AA53" s="317" t="s">
        <v>561</v>
      </c>
      <c r="AB53" s="317" t="s">
        <v>53</v>
      </c>
      <c r="AC53" s="317" t="s">
        <v>2795</v>
      </c>
      <c r="AD53" s="317" t="s">
        <v>2795</v>
      </c>
      <c r="AE53" s="317" t="s">
        <v>561</v>
      </c>
      <c r="AF53" s="317" t="s">
        <v>561</v>
      </c>
      <c r="AG53" s="317" t="s">
        <v>53</v>
      </c>
      <c r="AH53" s="317" t="s">
        <v>53</v>
      </c>
      <c r="AI53" s="317" t="s">
        <v>561</v>
      </c>
      <c r="AJ53" s="317" t="s">
        <v>2795</v>
      </c>
      <c r="AK53" s="317" t="s">
        <v>2807</v>
      </c>
      <c r="AL53" s="317" t="s">
        <v>2795</v>
      </c>
      <c r="AM53" s="317" t="s">
        <v>2807</v>
      </c>
      <c r="AN53" s="317" t="s">
        <v>2795</v>
      </c>
      <c r="AO53" s="317" t="s">
        <v>2795</v>
      </c>
      <c r="AP53" s="317" t="s">
        <v>561</v>
      </c>
      <c r="AQ53" s="317" t="s">
        <v>561</v>
      </c>
      <c r="AR53" s="317" t="s">
        <v>561</v>
      </c>
      <c r="AS53" s="317" t="s">
        <v>2807</v>
      </c>
      <c r="AT53" s="317" t="s">
        <v>561</v>
      </c>
      <c r="AU53" s="317" t="s">
        <v>561</v>
      </c>
      <c r="AV53" s="317" t="s">
        <v>801</v>
      </c>
      <c r="AW53" s="317" t="s">
        <v>561</v>
      </c>
      <c r="AX53" s="317" t="s">
        <v>561</v>
      </c>
      <c r="AY53" s="317" t="s">
        <v>561</v>
      </c>
      <c r="AZ53" s="317" t="s">
        <v>561</v>
      </c>
      <c r="BA53" s="317" t="s">
        <v>2796</v>
      </c>
      <c r="BB53" s="317" t="s">
        <v>561</v>
      </c>
      <c r="BC53" s="317" t="s">
        <v>2806</v>
      </c>
      <c r="BD53" s="317" t="s">
        <v>2795</v>
      </c>
      <c r="BE53" s="317" t="s">
        <v>53</v>
      </c>
      <c r="BF53" s="317" t="s">
        <v>561</v>
      </c>
      <c r="BG53" s="317" t="s">
        <v>561</v>
      </c>
      <c r="BH53" s="317" t="s">
        <v>561</v>
      </c>
      <c r="BI53" s="317" t="s">
        <v>53</v>
      </c>
      <c r="BJ53" s="317" t="s">
        <v>53</v>
      </c>
      <c r="BK53" s="317" t="s">
        <v>561</v>
      </c>
      <c r="BL53" s="317" t="s">
        <v>2796</v>
      </c>
      <c r="BM53" s="317" t="s">
        <v>2796</v>
      </c>
      <c r="BN53" s="317" t="s">
        <v>53</v>
      </c>
      <c r="BO53" s="317" t="s">
        <v>2796</v>
      </c>
      <c r="BP53" s="317" t="s">
        <v>2796</v>
      </c>
      <c r="BQ53" s="317" t="s">
        <v>53</v>
      </c>
      <c r="BR53" s="317" t="s">
        <v>53</v>
      </c>
      <c r="BS53" s="317" t="s">
        <v>53</v>
      </c>
      <c r="BT53" s="317" t="s">
        <v>53</v>
      </c>
      <c r="BU53" s="317" t="s">
        <v>53</v>
      </c>
      <c r="BV53" s="317" t="s">
        <v>53</v>
      </c>
      <c r="BW53" s="317" t="s">
        <v>53</v>
      </c>
      <c r="BX53" s="317" t="s">
        <v>561</v>
      </c>
      <c r="BY53" s="317" t="s">
        <v>53</v>
      </c>
      <c r="BZ53" s="317" t="s">
        <v>561</v>
      </c>
      <c r="CA53" s="317" t="s">
        <v>53</v>
      </c>
      <c r="CB53" s="317" t="s">
        <v>53</v>
      </c>
      <c r="CC53" s="317" t="s">
        <v>53</v>
      </c>
      <c r="CD53" s="317" t="s">
        <v>561</v>
      </c>
      <c r="CE53" s="317" t="s">
        <v>561</v>
      </c>
      <c r="CF53" s="317" t="s">
        <v>53</v>
      </c>
      <c r="CG53" s="317" t="s">
        <v>561</v>
      </c>
      <c r="CH53" s="317" t="s">
        <v>561</v>
      </c>
      <c r="CI53" s="317" t="s">
        <v>561</v>
      </c>
      <c r="CJ53" s="317" t="s">
        <v>2806</v>
      </c>
      <c r="CK53" s="317" t="s">
        <v>561</v>
      </c>
      <c r="CL53" s="317" t="s">
        <v>561</v>
      </c>
      <c r="CM53" s="317" t="s">
        <v>561</v>
      </c>
      <c r="CN53" s="317" t="s">
        <v>561</v>
      </c>
      <c r="CO53" s="317" t="s">
        <v>53</v>
      </c>
      <c r="CP53" s="317" t="s">
        <v>561</v>
      </c>
      <c r="CQ53" s="319"/>
      <c r="CR53" s="319">
        <v>2001.0</v>
      </c>
      <c r="CS53" s="342" t="s">
        <v>2476</v>
      </c>
      <c r="CT53" s="319"/>
      <c r="CU53" s="319" t="s">
        <v>1132</v>
      </c>
      <c r="CV53" s="332" t="s">
        <v>75</v>
      </c>
      <c r="CW53" s="319"/>
      <c r="CX53" s="319"/>
      <c r="CY53" s="323">
        <f t="shared" si="24"/>
        <v>0.376</v>
      </c>
      <c r="CZ53" s="324">
        <v>0.6779999999999999</v>
      </c>
      <c r="DA53" s="323">
        <v>0.302</v>
      </c>
      <c r="DB53" s="323"/>
      <c r="DC53" s="323">
        <f t="shared" si="25"/>
        <v>0.311</v>
      </c>
      <c r="DD53" s="324">
        <v>0.611</v>
      </c>
      <c r="DE53" s="323">
        <v>0.3</v>
      </c>
      <c r="DF53" s="323"/>
      <c r="DG53" s="324">
        <v>0.679</v>
      </c>
      <c r="DH53" s="323">
        <v>0.062</v>
      </c>
      <c r="DI53" s="323">
        <v>0.11</v>
      </c>
      <c r="DJ53" s="323">
        <v>0.128</v>
      </c>
      <c r="DK53" s="323">
        <v>0.021</v>
      </c>
      <c r="DL53" s="323">
        <v>0.002</v>
      </c>
      <c r="DM53" s="323"/>
      <c r="DN53" s="323">
        <v>0.445</v>
      </c>
      <c r="DO53" s="324">
        <v>0.501</v>
      </c>
      <c r="DP53" s="323">
        <v>0.375</v>
      </c>
    </row>
    <row r="54">
      <c r="A54" s="311" t="s">
        <v>965</v>
      </c>
      <c r="B54" s="311" t="s">
        <v>966</v>
      </c>
      <c r="C54" s="311" t="s">
        <v>932</v>
      </c>
      <c r="D54" s="311">
        <v>1.0</v>
      </c>
      <c r="E54" s="312">
        <f t="shared" si="19"/>
        <v>0.5</v>
      </c>
      <c r="F54" s="312" t="str">
        <f t="shared" si="20"/>
        <v>#DIV/0!</v>
      </c>
      <c r="G54" s="312" t="str">
        <f t="shared" si="21"/>
        <v>#DIV/0!</v>
      </c>
      <c r="H54" s="312" t="str">
        <f t="shared" si="22"/>
        <v>#DIV/0!</v>
      </c>
      <c r="I54" s="315" t="s">
        <v>2794</v>
      </c>
      <c r="J54" s="315" t="s">
        <v>2794</v>
      </c>
      <c r="K54" s="315" t="s">
        <v>2794</v>
      </c>
      <c r="L54" s="316" t="str">
        <f t="shared" si="23"/>
        <v>#DIV/0!</v>
      </c>
      <c r="M54" s="317" t="s">
        <v>487</v>
      </c>
      <c r="N54" s="317" t="s">
        <v>487</v>
      </c>
      <c r="O54" s="317" t="s">
        <v>594</v>
      </c>
      <c r="P54" s="317" t="s">
        <v>487</v>
      </c>
      <c r="Q54" s="317" t="s">
        <v>594</v>
      </c>
      <c r="R54" s="317" t="s">
        <v>594</v>
      </c>
      <c r="S54" s="318" t="s">
        <v>561</v>
      </c>
      <c r="T54" s="318" t="s">
        <v>561</v>
      </c>
      <c r="U54" s="330" t="s">
        <v>561</v>
      </c>
      <c r="V54" s="330" t="s">
        <v>561</v>
      </c>
      <c r="W54" s="318" t="s">
        <v>2795</v>
      </c>
      <c r="X54" s="340" t="s">
        <v>561</v>
      </c>
      <c r="Y54" s="318" t="s">
        <v>2795</v>
      </c>
      <c r="Z54" s="317" t="s">
        <v>2795</v>
      </c>
      <c r="AA54" s="317" t="s">
        <v>561</v>
      </c>
      <c r="AB54" s="317" t="s">
        <v>53</v>
      </c>
      <c r="AC54" s="317" t="s">
        <v>2795</v>
      </c>
      <c r="AD54" s="317" t="s">
        <v>2795</v>
      </c>
      <c r="AE54" s="317" t="s">
        <v>561</v>
      </c>
      <c r="AF54" s="317" t="s">
        <v>561</v>
      </c>
      <c r="AG54" s="317" t="s">
        <v>53</v>
      </c>
      <c r="AH54" s="317" t="s">
        <v>53</v>
      </c>
      <c r="AI54" s="317" t="s">
        <v>561</v>
      </c>
      <c r="AJ54" s="317" t="s">
        <v>2795</v>
      </c>
      <c r="AK54" s="317" t="s">
        <v>2795</v>
      </c>
      <c r="AL54" s="317" t="s">
        <v>2795</v>
      </c>
      <c r="AM54" s="317" t="s">
        <v>2807</v>
      </c>
      <c r="AN54" s="317" t="s">
        <v>2795</v>
      </c>
      <c r="AO54" s="317" t="s">
        <v>2795</v>
      </c>
      <c r="AP54" s="317" t="s">
        <v>561</v>
      </c>
      <c r="AQ54" s="317" t="s">
        <v>561</v>
      </c>
      <c r="AR54" s="317" t="s">
        <v>561</v>
      </c>
      <c r="AS54" s="317" t="s">
        <v>2795</v>
      </c>
      <c r="AT54" s="317" t="s">
        <v>600</v>
      </c>
      <c r="AU54" s="317" t="s">
        <v>600</v>
      </c>
      <c r="AV54" s="317" t="s">
        <v>600</v>
      </c>
      <c r="AW54" s="317" t="s">
        <v>600</v>
      </c>
      <c r="AX54" s="317" t="s">
        <v>600</v>
      </c>
      <c r="AY54" s="317" t="s">
        <v>600</v>
      </c>
      <c r="AZ54" s="317" t="s">
        <v>600</v>
      </c>
      <c r="BA54" s="317" t="s">
        <v>600</v>
      </c>
      <c r="BB54" s="317" t="s">
        <v>600</v>
      </c>
      <c r="BC54" s="317" t="s">
        <v>600</v>
      </c>
      <c r="BD54" s="317" t="s">
        <v>600</v>
      </c>
      <c r="BE54" s="317" t="s">
        <v>600</v>
      </c>
      <c r="BF54" s="317" t="s">
        <v>600</v>
      </c>
      <c r="BG54" s="317" t="s">
        <v>600</v>
      </c>
      <c r="BH54" s="317" t="s">
        <v>600</v>
      </c>
      <c r="BI54" s="317" t="s">
        <v>600</v>
      </c>
      <c r="BJ54" s="317" t="s">
        <v>600</v>
      </c>
      <c r="BK54" s="317" t="s">
        <v>600</v>
      </c>
      <c r="BL54" s="317" t="s">
        <v>600</v>
      </c>
      <c r="BM54" s="317" t="s">
        <v>600</v>
      </c>
      <c r="BN54" s="317" t="s">
        <v>600</v>
      </c>
      <c r="BO54" s="317" t="s">
        <v>600</v>
      </c>
      <c r="BP54" s="317" t="s">
        <v>600</v>
      </c>
      <c r="BQ54" s="317" t="s">
        <v>600</v>
      </c>
      <c r="BR54" s="317" t="s">
        <v>600</v>
      </c>
      <c r="BS54" s="317" t="s">
        <v>600</v>
      </c>
      <c r="BT54" s="317" t="s">
        <v>600</v>
      </c>
      <c r="BU54" s="317" t="s">
        <v>600</v>
      </c>
      <c r="BV54" s="317" t="s">
        <v>600</v>
      </c>
      <c r="BW54" s="317" t="s">
        <v>600</v>
      </c>
      <c r="BX54" s="317" t="s">
        <v>600</v>
      </c>
      <c r="BY54" s="317" t="s">
        <v>600</v>
      </c>
      <c r="BZ54" s="317" t="s">
        <v>600</v>
      </c>
      <c r="CA54" s="317" t="s">
        <v>600</v>
      </c>
      <c r="CB54" s="317" t="s">
        <v>600</v>
      </c>
      <c r="CC54" s="317" t="s">
        <v>600</v>
      </c>
      <c r="CD54" s="317" t="s">
        <v>600</v>
      </c>
      <c r="CE54" s="317" t="s">
        <v>600</v>
      </c>
      <c r="CF54" s="317" t="s">
        <v>600</v>
      </c>
      <c r="CG54" s="317" t="s">
        <v>600</v>
      </c>
      <c r="CH54" s="317" t="s">
        <v>600</v>
      </c>
      <c r="CI54" s="317" t="s">
        <v>600</v>
      </c>
      <c r="CJ54" s="317" t="s">
        <v>600</v>
      </c>
      <c r="CK54" s="317" t="s">
        <v>600</v>
      </c>
      <c r="CL54" s="317" t="s">
        <v>600</v>
      </c>
      <c r="CM54" s="317" t="s">
        <v>600</v>
      </c>
      <c r="CN54" s="317" t="s">
        <v>600</v>
      </c>
      <c r="CO54" s="317" t="s">
        <v>600</v>
      </c>
      <c r="CP54" s="317" t="s">
        <v>600</v>
      </c>
      <c r="CQ54" s="319"/>
      <c r="CR54" s="319" t="s">
        <v>2572</v>
      </c>
      <c r="CS54" s="320" t="s">
        <v>850</v>
      </c>
      <c r="CT54" s="319"/>
      <c r="CU54" s="345" t="s">
        <v>600</v>
      </c>
      <c r="CV54" s="332" t="s">
        <v>75</v>
      </c>
      <c r="CW54" s="319"/>
      <c r="CX54" s="319"/>
      <c r="CY54" s="323">
        <f t="shared" si="24"/>
        <v>0.144</v>
      </c>
      <c r="CZ54" s="324">
        <v>0.5589999999999999</v>
      </c>
      <c r="DA54" s="323">
        <v>0.415</v>
      </c>
      <c r="DB54" s="323"/>
      <c r="DC54" s="323">
        <f t="shared" si="25"/>
        <v>0.079</v>
      </c>
      <c r="DD54" s="324">
        <v>0.474</v>
      </c>
      <c r="DE54" s="323">
        <v>0.395</v>
      </c>
      <c r="DF54" s="323"/>
      <c r="DG54" s="324">
        <v>0.494</v>
      </c>
      <c r="DH54" s="323">
        <v>0.376</v>
      </c>
      <c r="DI54" s="323">
        <v>0.037000000000000005</v>
      </c>
      <c r="DJ54" s="323">
        <v>0.039</v>
      </c>
      <c r="DK54" s="323">
        <v>0.07200000000000001</v>
      </c>
      <c r="DL54" s="323">
        <v>0.003</v>
      </c>
      <c r="DM54" s="323"/>
      <c r="DN54" s="323">
        <v>0.37</v>
      </c>
      <c r="DO54" s="323">
        <v>0.45799999999999996</v>
      </c>
      <c r="DP54" s="323">
        <v>0.28300000000000003</v>
      </c>
    </row>
    <row r="55">
      <c r="A55" s="311" t="s">
        <v>1312</v>
      </c>
      <c r="B55" s="311" t="s">
        <v>1313</v>
      </c>
      <c r="C55" s="311" t="s">
        <v>2824</v>
      </c>
      <c r="D55" s="311">
        <v>37.0</v>
      </c>
      <c r="E55" s="312">
        <f t="shared" si="19"/>
        <v>0.3333333333</v>
      </c>
      <c r="F55" s="312" t="str">
        <f t="shared" si="20"/>
        <v>#DIV/0!</v>
      </c>
      <c r="G55" s="312" t="str">
        <f t="shared" si="21"/>
        <v>#DIV/0!</v>
      </c>
      <c r="H55" s="312" t="str">
        <f t="shared" si="22"/>
        <v>#DIV/0!</v>
      </c>
      <c r="I55" s="312" t="str">
        <f t="shared" ref="I55:I62" si="41">(COUNTIF(AW55:BP55, "Nay")+COUNTIF(AW55:BP55, "Yea (Amend)")+(0.5*COUNTIF(AW55:BP55, "Present")))/(COUNTIF(AW55:BP55, "Nay")+COUNTIF(AW55:BP55, "Yea (Amend)")+COUNTIF(AW55:BP55, "Yea")+COUNTIF(AW55:BP55, "Nay (Amend)")+COUNTIF(AW55:BP55, "Present"))</f>
        <v>#DIV/0!</v>
      </c>
      <c r="J55" s="312" t="str">
        <f t="shared" ref="J55:J56" si="42">(COUNTIF(BQ55:CL55, "Nay")+COUNTIF(BQ55:CL55, "Yea (Amend)")+(0.5*COUNTIF(BQ55:CL55, "Present")))/(COUNTIF(BQ55:CL55, "Nay")+COUNTIF(BQ55:CL55, "Yea (Amend)")+COUNTIF(BQ55:CL55, "Yea")+COUNTIF(BQ55:CL55, "Nay (Amend)")+COUNTIF(BQ55:CL55, "Present"))</f>
        <v>#DIV/0!</v>
      </c>
      <c r="K55" s="312" t="str">
        <f t="shared" ref="K55:K56" si="43">(COUNTIF(CM55:CP55, "Nay")+COUNTIF(CM55:CP55, "Yea (Amend)")+(0.5*COUNTIF(CM55:CP55, "Present")))/(COUNTIF(CM55:CP55, "Nay")+COUNTIF(CM55:CP55, "Yea (Amend)")+COUNTIF(CM55:CP55, "Yea")+COUNTIF(CM55:CP55, "Nay (Amend)")+COUNTIF(CM55:CP55, "Present"))</f>
        <v>#DIV/0!</v>
      </c>
      <c r="L55" s="316" t="str">
        <f t="shared" si="23"/>
        <v>#DIV/0!</v>
      </c>
      <c r="M55" s="317" t="s">
        <v>487</v>
      </c>
      <c r="N55" s="317" t="s">
        <v>487</v>
      </c>
      <c r="O55" s="317" t="s">
        <v>594</v>
      </c>
      <c r="P55" s="317" t="s">
        <v>594</v>
      </c>
      <c r="Q55" s="317" t="s">
        <v>594</v>
      </c>
      <c r="R55" s="317" t="s">
        <v>594</v>
      </c>
      <c r="S55" s="318" t="s">
        <v>561</v>
      </c>
      <c r="T55" s="318" t="s">
        <v>561</v>
      </c>
      <c r="U55" s="330" t="s">
        <v>561</v>
      </c>
      <c r="V55" s="330" t="s">
        <v>561</v>
      </c>
      <c r="W55" s="318" t="s">
        <v>2795</v>
      </c>
      <c r="X55" s="340" t="s">
        <v>561</v>
      </c>
      <c r="Y55" s="318" t="s">
        <v>2795</v>
      </c>
      <c r="Z55" s="317" t="s">
        <v>2795</v>
      </c>
      <c r="AA55" s="317" t="s">
        <v>561</v>
      </c>
      <c r="AB55" s="317" t="s">
        <v>53</v>
      </c>
      <c r="AC55" s="317" t="s">
        <v>2795</v>
      </c>
      <c r="AD55" s="317" t="s">
        <v>2795</v>
      </c>
      <c r="AE55" s="317" t="s">
        <v>53</v>
      </c>
      <c r="AF55" s="317" t="s">
        <v>561</v>
      </c>
      <c r="AG55" s="317" t="s">
        <v>561</v>
      </c>
      <c r="AH55" s="317" t="s">
        <v>561</v>
      </c>
      <c r="AI55" s="317" t="s">
        <v>561</v>
      </c>
      <c r="AJ55" s="317" t="s">
        <v>2795</v>
      </c>
      <c r="AK55" s="317" t="s">
        <v>2795</v>
      </c>
      <c r="AL55" s="317" t="s">
        <v>2795</v>
      </c>
      <c r="AM55" s="317" t="s">
        <v>2795</v>
      </c>
      <c r="AN55" s="317" t="s">
        <v>2795</v>
      </c>
      <c r="AO55" s="317" t="s">
        <v>2795</v>
      </c>
      <c r="AP55" s="317" t="s">
        <v>561</v>
      </c>
      <c r="AQ55" s="317" t="s">
        <v>561</v>
      </c>
      <c r="AR55" s="317" t="s">
        <v>561</v>
      </c>
      <c r="AS55" s="317" t="s">
        <v>2795</v>
      </c>
      <c r="AT55" s="317" t="s">
        <v>561</v>
      </c>
      <c r="AU55" s="317" t="s">
        <v>561</v>
      </c>
      <c r="AV55" s="317" t="s">
        <v>2807</v>
      </c>
      <c r="AW55" s="317" t="s">
        <v>561</v>
      </c>
      <c r="AX55" s="317" t="s">
        <v>53</v>
      </c>
      <c r="AY55" s="317" t="s">
        <v>561</v>
      </c>
      <c r="AZ55" s="317" t="s">
        <v>53</v>
      </c>
      <c r="BA55" s="317" t="s">
        <v>2796</v>
      </c>
      <c r="BB55" s="317" t="s">
        <v>53</v>
      </c>
      <c r="BC55" s="317" t="s">
        <v>2796</v>
      </c>
      <c r="BD55" s="317" t="s">
        <v>2795</v>
      </c>
      <c r="BE55" s="317" t="s">
        <v>53</v>
      </c>
      <c r="BF55" s="317" t="s">
        <v>561</v>
      </c>
      <c r="BG55" s="317" t="s">
        <v>53</v>
      </c>
      <c r="BH55" s="317" t="s">
        <v>561</v>
      </c>
      <c r="BI55" s="317" t="s">
        <v>561</v>
      </c>
      <c r="BJ55" s="317" t="s">
        <v>53</v>
      </c>
      <c r="BK55" s="317" t="s">
        <v>561</v>
      </c>
      <c r="BL55" s="317" t="s">
        <v>2796</v>
      </c>
      <c r="BM55" s="317" t="s">
        <v>2796</v>
      </c>
      <c r="BN55" s="317" t="s">
        <v>53</v>
      </c>
      <c r="BO55" s="317" t="s">
        <v>2796</v>
      </c>
      <c r="BP55" s="317" t="s">
        <v>2796</v>
      </c>
      <c r="BQ55" s="317" t="s">
        <v>53</v>
      </c>
      <c r="BR55" s="317" t="s">
        <v>53</v>
      </c>
      <c r="BS55" s="317" t="s">
        <v>53</v>
      </c>
      <c r="BT55" s="317" t="s">
        <v>801</v>
      </c>
      <c r="BU55" s="317" t="s">
        <v>53</v>
      </c>
      <c r="BV55" s="317" t="s">
        <v>801</v>
      </c>
      <c r="BW55" s="317" t="s">
        <v>53</v>
      </c>
      <c r="BX55" s="317" t="s">
        <v>561</v>
      </c>
      <c r="BY55" s="317" t="s">
        <v>53</v>
      </c>
      <c r="BZ55" s="317" t="s">
        <v>561</v>
      </c>
      <c r="CA55" s="317" t="s">
        <v>53</v>
      </c>
      <c r="CB55" s="317" t="s">
        <v>53</v>
      </c>
      <c r="CC55" s="317" t="s">
        <v>53</v>
      </c>
      <c r="CD55" s="317" t="s">
        <v>561</v>
      </c>
      <c r="CE55" s="317" t="s">
        <v>561</v>
      </c>
      <c r="CF55" s="317" t="s">
        <v>53</v>
      </c>
      <c r="CG55" s="317" t="s">
        <v>561</v>
      </c>
      <c r="CH55" s="317" t="s">
        <v>53</v>
      </c>
      <c r="CI55" s="317" t="s">
        <v>561</v>
      </c>
      <c r="CJ55" s="317" t="s">
        <v>2806</v>
      </c>
      <c r="CK55" s="317" t="s">
        <v>561</v>
      </c>
      <c r="CL55" s="317" t="s">
        <v>561</v>
      </c>
      <c r="CM55" s="317" t="s">
        <v>561</v>
      </c>
      <c r="CN55" s="317" t="s">
        <v>561</v>
      </c>
      <c r="CO55" s="317" t="s">
        <v>53</v>
      </c>
      <c r="CP55" s="317" t="s">
        <v>53</v>
      </c>
      <c r="CQ55" s="319"/>
      <c r="CR55" s="319">
        <v>1995.0</v>
      </c>
      <c r="CS55" s="320" t="s">
        <v>850</v>
      </c>
      <c r="CT55" s="319"/>
      <c r="CU55" s="326" t="s">
        <v>2476</v>
      </c>
      <c r="CV55" s="332" t="s">
        <v>75</v>
      </c>
      <c r="CW55" s="319"/>
      <c r="CX55" s="319"/>
      <c r="CY55" s="323">
        <f t="shared" si="24"/>
        <v>0.528</v>
      </c>
      <c r="CZ55" s="324">
        <v>0.755</v>
      </c>
      <c r="DA55" s="323">
        <v>0.22699999999999998</v>
      </c>
      <c r="DB55" s="323"/>
      <c r="DC55" s="323">
        <f t="shared" si="25"/>
        <v>0.451</v>
      </c>
      <c r="DD55" s="324">
        <v>0.688</v>
      </c>
      <c r="DE55" s="323">
        <v>0.237</v>
      </c>
      <c r="DF55" s="323"/>
      <c r="DG55" s="324">
        <v>0.5529999999999999</v>
      </c>
      <c r="DH55" s="323">
        <v>0.251</v>
      </c>
      <c r="DI55" s="323">
        <v>0.068</v>
      </c>
      <c r="DJ55" s="323">
        <v>0.11199999999999999</v>
      </c>
      <c r="DK55" s="323">
        <v>0.026000000000000002</v>
      </c>
      <c r="DL55" s="323">
        <v>0.002</v>
      </c>
      <c r="DM55" s="323"/>
      <c r="DN55" s="324">
        <v>0.578</v>
      </c>
      <c r="DO55" s="324">
        <v>0.6679999999999999</v>
      </c>
      <c r="DP55" s="323">
        <v>0.209</v>
      </c>
    </row>
    <row r="56">
      <c r="A56" s="311" t="s">
        <v>2826</v>
      </c>
      <c r="B56" s="311" t="s">
        <v>1263</v>
      </c>
      <c r="C56" s="311" t="s">
        <v>2824</v>
      </c>
      <c r="D56" s="311">
        <v>18.0</v>
      </c>
      <c r="E56" s="312">
        <f t="shared" si="19"/>
        <v>0.5</v>
      </c>
      <c r="F56" s="312" t="str">
        <f t="shared" si="20"/>
        <v>#DIV/0!</v>
      </c>
      <c r="G56" s="312" t="str">
        <f t="shared" si="21"/>
        <v>#DIV/0!</v>
      </c>
      <c r="H56" s="312" t="str">
        <f t="shared" si="22"/>
        <v>#DIV/0!</v>
      </c>
      <c r="I56" s="312" t="str">
        <f t="shared" si="41"/>
        <v>#DIV/0!</v>
      </c>
      <c r="J56" s="312" t="str">
        <f t="shared" si="42"/>
        <v>#DIV/0!</v>
      </c>
      <c r="K56" s="312" t="str">
        <f t="shared" si="43"/>
        <v>#DIV/0!</v>
      </c>
      <c r="L56" s="316" t="str">
        <f t="shared" si="23"/>
        <v>#DIV/0!</v>
      </c>
      <c r="M56" s="317" t="s">
        <v>487</v>
      </c>
      <c r="N56" s="317" t="s">
        <v>487</v>
      </c>
      <c r="O56" s="317" t="s">
        <v>594</v>
      </c>
      <c r="P56" s="317" t="s">
        <v>594</v>
      </c>
      <c r="Q56" s="317" t="s">
        <v>487</v>
      </c>
      <c r="R56" s="317" t="s">
        <v>594</v>
      </c>
      <c r="S56" s="318" t="s">
        <v>561</v>
      </c>
      <c r="T56" s="318" t="s">
        <v>561</v>
      </c>
      <c r="U56" s="330" t="s">
        <v>561</v>
      </c>
      <c r="V56" s="330" t="s">
        <v>561</v>
      </c>
      <c r="W56" s="318" t="s">
        <v>2795</v>
      </c>
      <c r="X56" s="340" t="s">
        <v>561</v>
      </c>
      <c r="Y56" s="318" t="s">
        <v>2795</v>
      </c>
      <c r="Z56" s="317" t="s">
        <v>2795</v>
      </c>
      <c r="AA56" s="317" t="s">
        <v>561</v>
      </c>
      <c r="AB56" s="317" t="s">
        <v>53</v>
      </c>
      <c r="AC56" s="317" t="s">
        <v>2795</v>
      </c>
      <c r="AD56" s="317" t="s">
        <v>2795</v>
      </c>
      <c r="AE56" s="317" t="s">
        <v>561</v>
      </c>
      <c r="AF56" s="317" t="s">
        <v>561</v>
      </c>
      <c r="AG56" s="317" t="s">
        <v>561</v>
      </c>
      <c r="AH56" s="317" t="s">
        <v>561</v>
      </c>
      <c r="AI56" s="317" t="s">
        <v>561</v>
      </c>
      <c r="AJ56" s="317" t="s">
        <v>2795</v>
      </c>
      <c r="AK56" s="317" t="s">
        <v>2795</v>
      </c>
      <c r="AL56" s="317" t="s">
        <v>2795</v>
      </c>
      <c r="AM56" s="317" t="s">
        <v>2795</v>
      </c>
      <c r="AN56" s="317" t="s">
        <v>2795</v>
      </c>
      <c r="AO56" s="317" t="s">
        <v>2795</v>
      </c>
      <c r="AP56" s="317" t="s">
        <v>561</v>
      </c>
      <c r="AQ56" s="317" t="s">
        <v>561</v>
      </c>
      <c r="AR56" s="317" t="s">
        <v>561</v>
      </c>
      <c r="AS56" s="317" t="s">
        <v>2795</v>
      </c>
      <c r="AT56" s="317" t="s">
        <v>561</v>
      </c>
      <c r="AU56" s="317" t="s">
        <v>53</v>
      </c>
      <c r="AV56" s="317" t="s">
        <v>2795</v>
      </c>
      <c r="AW56" s="317" t="s">
        <v>561</v>
      </c>
      <c r="AX56" s="317" t="s">
        <v>561</v>
      </c>
      <c r="AY56" s="317" t="s">
        <v>561</v>
      </c>
      <c r="AZ56" s="317" t="s">
        <v>561</v>
      </c>
      <c r="BA56" s="317" t="s">
        <v>2796</v>
      </c>
      <c r="BB56" s="317" t="s">
        <v>561</v>
      </c>
      <c r="BC56" s="317" t="s">
        <v>2796</v>
      </c>
      <c r="BD56" s="317" t="s">
        <v>2795</v>
      </c>
      <c r="BE56" s="317" t="s">
        <v>561</v>
      </c>
      <c r="BF56" s="317" t="s">
        <v>561</v>
      </c>
      <c r="BG56" s="317" t="s">
        <v>53</v>
      </c>
      <c r="BH56" s="317" t="s">
        <v>561</v>
      </c>
      <c r="BI56" s="317" t="s">
        <v>561</v>
      </c>
      <c r="BJ56" s="317" t="s">
        <v>53</v>
      </c>
      <c r="BK56" s="317" t="s">
        <v>561</v>
      </c>
      <c r="BL56" s="317" t="s">
        <v>2796</v>
      </c>
      <c r="BM56" s="317" t="s">
        <v>2796</v>
      </c>
      <c r="BN56" s="317" t="s">
        <v>53</v>
      </c>
      <c r="BO56" s="317" t="s">
        <v>2796</v>
      </c>
      <c r="BP56" s="317" t="s">
        <v>2796</v>
      </c>
      <c r="BQ56" s="317" t="s">
        <v>53</v>
      </c>
      <c r="BR56" s="317" t="s">
        <v>53</v>
      </c>
      <c r="BS56" s="317" t="s">
        <v>53</v>
      </c>
      <c r="BT56" s="317" t="s">
        <v>561</v>
      </c>
      <c r="BU56" s="317" t="s">
        <v>53</v>
      </c>
      <c r="BV56" s="317" t="s">
        <v>561</v>
      </c>
      <c r="BW56" s="317" t="s">
        <v>53</v>
      </c>
      <c r="BX56" s="317" t="s">
        <v>561</v>
      </c>
      <c r="BY56" s="317" t="s">
        <v>561</v>
      </c>
      <c r="BZ56" s="317" t="s">
        <v>561</v>
      </c>
      <c r="CA56" s="317" t="s">
        <v>53</v>
      </c>
      <c r="CB56" s="317" t="s">
        <v>53</v>
      </c>
      <c r="CC56" s="317" t="s">
        <v>53</v>
      </c>
      <c r="CD56" s="317" t="s">
        <v>561</v>
      </c>
      <c r="CE56" s="317" t="s">
        <v>561</v>
      </c>
      <c r="CF56" s="317" t="s">
        <v>53</v>
      </c>
      <c r="CG56" s="317" t="s">
        <v>561</v>
      </c>
      <c r="CH56" s="317" t="s">
        <v>561</v>
      </c>
      <c r="CI56" s="317" t="s">
        <v>561</v>
      </c>
      <c r="CJ56" s="317" t="s">
        <v>2796</v>
      </c>
      <c r="CK56" s="317" t="s">
        <v>53</v>
      </c>
      <c r="CL56" s="317" t="s">
        <v>561</v>
      </c>
      <c r="CM56" s="317" t="s">
        <v>561</v>
      </c>
      <c r="CN56" s="317" t="s">
        <v>561</v>
      </c>
      <c r="CO56" s="317" t="s">
        <v>801</v>
      </c>
      <c r="CP56" s="317" t="s">
        <v>561</v>
      </c>
      <c r="CQ56" s="319"/>
      <c r="CR56" s="319">
        <v>1995.0</v>
      </c>
      <c r="CS56" s="320" t="s">
        <v>850</v>
      </c>
      <c r="CT56" s="334" t="s">
        <v>122</v>
      </c>
      <c r="CU56" s="319" t="s">
        <v>23</v>
      </c>
      <c r="CV56" s="327" t="s">
        <v>1011</v>
      </c>
      <c r="CW56" s="319"/>
      <c r="CX56" s="319"/>
      <c r="CY56" s="323">
        <f t="shared" si="24"/>
        <v>0.485</v>
      </c>
      <c r="CZ56" s="324">
        <v>0.736</v>
      </c>
      <c r="DA56" s="323">
        <v>0.251</v>
      </c>
      <c r="DB56" s="323"/>
      <c r="DC56" s="323">
        <f t="shared" si="25"/>
        <v>0.516</v>
      </c>
      <c r="DD56" s="324">
        <v>0.738</v>
      </c>
      <c r="DE56" s="323">
        <v>0.222</v>
      </c>
      <c r="DF56" s="323"/>
      <c r="DG56" s="323">
        <v>0.19399999999999998</v>
      </c>
      <c r="DH56" s="324">
        <v>0.39799999999999996</v>
      </c>
      <c r="DI56" s="323">
        <v>0.344</v>
      </c>
      <c r="DJ56" s="323">
        <v>0.062</v>
      </c>
      <c r="DK56" s="323">
        <v>0.026000000000000002</v>
      </c>
      <c r="DL56" s="323">
        <v>0.003</v>
      </c>
      <c r="DM56" s="323"/>
      <c r="DN56" s="323">
        <v>0.26</v>
      </c>
      <c r="DO56" s="324">
        <v>0.532</v>
      </c>
      <c r="DP56" s="323">
        <v>0.114</v>
      </c>
    </row>
    <row r="57">
      <c r="A57" s="311" t="s">
        <v>377</v>
      </c>
      <c r="B57" s="311" t="s">
        <v>378</v>
      </c>
      <c r="C57" s="311" t="s">
        <v>1291</v>
      </c>
      <c r="D57" s="311">
        <v>2.0</v>
      </c>
      <c r="E57" s="312">
        <f t="shared" si="19"/>
        <v>0.3333333333</v>
      </c>
      <c r="F57" s="312" t="str">
        <f t="shared" si="20"/>
        <v>#DIV/0!</v>
      </c>
      <c r="G57" s="312" t="str">
        <f t="shared" si="21"/>
        <v>#DIV/0!</v>
      </c>
      <c r="H57" s="312" t="str">
        <f t="shared" si="22"/>
        <v>#DIV/0!</v>
      </c>
      <c r="I57" s="312" t="str">
        <f t="shared" si="41"/>
        <v>#DIV/0!</v>
      </c>
      <c r="J57" s="315" t="s">
        <v>2794</v>
      </c>
      <c r="K57" s="315" t="s">
        <v>2794</v>
      </c>
      <c r="L57" s="316" t="str">
        <f t="shared" si="23"/>
        <v>#DIV/0!</v>
      </c>
      <c r="M57" s="317" t="s">
        <v>487</v>
      </c>
      <c r="N57" s="317" t="s">
        <v>487</v>
      </c>
      <c r="O57" s="317" t="s">
        <v>594</v>
      </c>
      <c r="P57" s="317" t="s">
        <v>594</v>
      </c>
      <c r="Q57" s="317" t="s">
        <v>594</v>
      </c>
      <c r="R57" s="317" t="s">
        <v>594</v>
      </c>
      <c r="S57" s="318" t="s">
        <v>561</v>
      </c>
      <c r="T57" s="318" t="s">
        <v>561</v>
      </c>
      <c r="U57" s="330" t="s">
        <v>561</v>
      </c>
      <c r="V57" s="330" t="s">
        <v>561</v>
      </c>
      <c r="W57" s="318" t="s">
        <v>2795</v>
      </c>
      <c r="X57" s="340" t="s">
        <v>561</v>
      </c>
      <c r="Y57" s="318" t="s">
        <v>2795</v>
      </c>
      <c r="Z57" s="317" t="s">
        <v>2795</v>
      </c>
      <c r="AA57" s="317" t="s">
        <v>561</v>
      </c>
      <c r="AB57" s="317" t="s">
        <v>561</v>
      </c>
      <c r="AC57" s="317" t="s">
        <v>2795</v>
      </c>
      <c r="AD57" s="317" t="s">
        <v>2795</v>
      </c>
      <c r="AE57" s="317" t="s">
        <v>53</v>
      </c>
      <c r="AF57" s="317" t="s">
        <v>561</v>
      </c>
      <c r="AG57" s="317" t="s">
        <v>561</v>
      </c>
      <c r="AH57" s="317" t="s">
        <v>561</v>
      </c>
      <c r="AI57" s="317" t="s">
        <v>561</v>
      </c>
      <c r="AJ57" s="317" t="s">
        <v>2795</v>
      </c>
      <c r="AK57" s="317" t="s">
        <v>2795</v>
      </c>
      <c r="AL57" s="317" t="s">
        <v>2795</v>
      </c>
      <c r="AM57" s="317" t="s">
        <v>2795</v>
      </c>
      <c r="AN57" s="317" t="s">
        <v>2795</v>
      </c>
      <c r="AO57" s="317" t="s">
        <v>2795</v>
      </c>
      <c r="AP57" s="317" t="s">
        <v>561</v>
      </c>
      <c r="AQ57" s="317" t="s">
        <v>561</v>
      </c>
      <c r="AR57" s="317" t="s">
        <v>561</v>
      </c>
      <c r="AS57" s="317" t="s">
        <v>2795</v>
      </c>
      <c r="AT57" s="317" t="s">
        <v>561</v>
      </c>
      <c r="AU57" s="317" t="s">
        <v>561</v>
      </c>
      <c r="AV57" s="317" t="s">
        <v>2807</v>
      </c>
      <c r="AW57" s="317" t="s">
        <v>561</v>
      </c>
      <c r="AX57" s="317" t="s">
        <v>561</v>
      </c>
      <c r="AY57" s="317" t="s">
        <v>53</v>
      </c>
      <c r="AZ57" s="317" t="s">
        <v>561</v>
      </c>
      <c r="BA57" s="317" t="s">
        <v>2796</v>
      </c>
      <c r="BB57" s="317" t="s">
        <v>561</v>
      </c>
      <c r="BC57" s="317" t="s">
        <v>2796</v>
      </c>
      <c r="BD57" s="317" t="s">
        <v>2795</v>
      </c>
      <c r="BE57" s="317" t="s">
        <v>53</v>
      </c>
      <c r="BF57" s="317" t="s">
        <v>561</v>
      </c>
      <c r="BG57" s="317" t="s">
        <v>53</v>
      </c>
      <c r="BH57" s="317" t="s">
        <v>53</v>
      </c>
      <c r="BI57" s="317" t="s">
        <v>561</v>
      </c>
      <c r="BJ57" s="317" t="s">
        <v>53</v>
      </c>
      <c r="BK57" s="317" t="s">
        <v>561</v>
      </c>
      <c r="BL57" s="317" t="s">
        <v>2796</v>
      </c>
      <c r="BM57" s="317" t="s">
        <v>2796</v>
      </c>
      <c r="BN57" s="317" t="s">
        <v>53</v>
      </c>
      <c r="BO57" s="317" t="s">
        <v>2796</v>
      </c>
      <c r="BP57" s="317" t="s">
        <v>2796</v>
      </c>
      <c r="BQ57" s="317" t="s">
        <v>600</v>
      </c>
      <c r="BR57" s="317" t="s">
        <v>600</v>
      </c>
      <c r="BS57" s="317" t="s">
        <v>600</v>
      </c>
      <c r="BT57" s="317" t="s">
        <v>600</v>
      </c>
      <c r="BU57" s="317" t="s">
        <v>600</v>
      </c>
      <c r="BV57" s="317" t="s">
        <v>600</v>
      </c>
      <c r="BW57" s="317" t="s">
        <v>600</v>
      </c>
      <c r="BX57" s="317" t="s">
        <v>600</v>
      </c>
      <c r="BY57" s="317" t="s">
        <v>600</v>
      </c>
      <c r="BZ57" s="317" t="s">
        <v>600</v>
      </c>
      <c r="CA57" s="317" t="s">
        <v>600</v>
      </c>
      <c r="CB57" s="317" t="s">
        <v>600</v>
      </c>
      <c r="CC57" s="317" t="s">
        <v>600</v>
      </c>
      <c r="CD57" s="317" t="s">
        <v>600</v>
      </c>
      <c r="CE57" s="317" t="s">
        <v>600</v>
      </c>
      <c r="CF57" s="317" t="s">
        <v>600</v>
      </c>
      <c r="CG57" s="317" t="s">
        <v>600</v>
      </c>
      <c r="CH57" s="317" t="s">
        <v>600</v>
      </c>
      <c r="CI57" s="317" t="s">
        <v>600</v>
      </c>
      <c r="CJ57" s="317" t="s">
        <v>600</v>
      </c>
      <c r="CK57" s="317" t="s">
        <v>600</v>
      </c>
      <c r="CL57" s="317" t="s">
        <v>600</v>
      </c>
      <c r="CM57" s="317" t="s">
        <v>600</v>
      </c>
      <c r="CN57" s="317" t="s">
        <v>600</v>
      </c>
      <c r="CO57" s="317" t="s">
        <v>600</v>
      </c>
      <c r="CP57" s="317" t="s">
        <v>600</v>
      </c>
      <c r="CQ57" s="319"/>
      <c r="CR57" s="319">
        <v>2019.0</v>
      </c>
      <c r="CS57" s="320" t="s">
        <v>850</v>
      </c>
      <c r="CT57" s="334" t="s">
        <v>122</v>
      </c>
      <c r="CU57" s="326" t="s">
        <v>2476</v>
      </c>
      <c r="CV57" s="327" t="s">
        <v>379</v>
      </c>
      <c r="CW57" s="319"/>
      <c r="CX57" s="319"/>
      <c r="CY57" s="323">
        <f t="shared" si="24"/>
        <v>0.399</v>
      </c>
      <c r="CZ57" s="324">
        <v>0.687</v>
      </c>
      <c r="DA57" s="323">
        <v>0.28800000000000003</v>
      </c>
      <c r="DB57" s="323"/>
      <c r="DC57" s="323">
        <f t="shared" si="25"/>
        <v>0.305</v>
      </c>
      <c r="DD57" s="324">
        <v>0.609</v>
      </c>
      <c r="DE57" s="323">
        <v>0.304</v>
      </c>
      <c r="DF57" s="323"/>
      <c r="DG57" s="324">
        <v>0.787</v>
      </c>
      <c r="DH57" s="323">
        <v>0.122</v>
      </c>
      <c r="DI57" s="323">
        <v>0.016</v>
      </c>
      <c r="DJ57" s="323">
        <v>0.048</v>
      </c>
      <c r="DK57" s="323">
        <v>0.023</v>
      </c>
      <c r="DL57" s="323">
        <v>0.003</v>
      </c>
      <c r="DM57" s="323"/>
      <c r="DN57" s="324">
        <v>0.5710000000000001</v>
      </c>
      <c r="DO57" s="324">
        <v>0.607</v>
      </c>
      <c r="DP57" s="323">
        <v>0.335</v>
      </c>
    </row>
    <row r="58">
      <c r="A58" s="311" t="s">
        <v>240</v>
      </c>
      <c r="B58" s="311" t="s">
        <v>877</v>
      </c>
      <c r="C58" s="311" t="s">
        <v>1217</v>
      </c>
      <c r="D58" s="311">
        <v>9.0</v>
      </c>
      <c r="E58" s="312">
        <f t="shared" si="19"/>
        <v>0.5</v>
      </c>
      <c r="F58" s="312" t="str">
        <f t="shared" si="20"/>
        <v>#DIV/0!</v>
      </c>
      <c r="G58" s="312" t="str">
        <f t="shared" si="21"/>
        <v>#DIV/0!</v>
      </c>
      <c r="H58" s="312" t="str">
        <f t="shared" si="22"/>
        <v>#DIV/0!</v>
      </c>
      <c r="I58" s="312" t="str">
        <f t="shared" si="41"/>
        <v>#DIV/0!</v>
      </c>
      <c r="J58" s="312" t="str">
        <f t="shared" ref="J58:J62" si="44">(COUNTIF(BQ58:CL58, "Nay")+COUNTIF(BQ58:CL58, "Yea (Amend)")+(0.5*COUNTIF(BQ58:CL58, "Present")))/(COUNTIF(BQ58:CL58, "Nay")+COUNTIF(BQ58:CL58, "Yea (Amend)")+COUNTIF(BQ58:CL58, "Yea")+COUNTIF(BQ58:CL58, "Nay (Amend)")+COUNTIF(BQ58:CL58, "Present"))</f>
        <v>#DIV/0!</v>
      </c>
      <c r="K58" s="312" t="str">
        <f t="shared" ref="K58:K62" si="45">(COUNTIF(CM58:CP58, "Nay")+COUNTIF(CM58:CP58, "Yea (Amend)")+(0.5*COUNTIF(CM58:CP58, "Present")))/(COUNTIF(CM58:CP58, "Nay")+COUNTIF(CM58:CP58, "Yea (Amend)")+COUNTIF(CM58:CP58, "Yea")+COUNTIF(CM58:CP58, "Nay (Amend)")+COUNTIF(CM58:CP58, "Present"))</f>
        <v>#DIV/0!</v>
      </c>
      <c r="L58" s="316" t="str">
        <f t="shared" si="23"/>
        <v>#DIV/0!</v>
      </c>
      <c r="M58" s="317" t="s">
        <v>487</v>
      </c>
      <c r="N58" s="317" t="s">
        <v>487</v>
      </c>
      <c r="O58" s="317" t="s">
        <v>487</v>
      </c>
      <c r="P58" s="317" t="s">
        <v>594</v>
      </c>
      <c r="Q58" s="317" t="s">
        <v>594</v>
      </c>
      <c r="R58" s="317" t="s">
        <v>594</v>
      </c>
      <c r="S58" s="318" t="s">
        <v>561</v>
      </c>
      <c r="T58" s="318" t="s">
        <v>561</v>
      </c>
      <c r="U58" s="330" t="s">
        <v>801</v>
      </c>
      <c r="V58" s="330" t="s">
        <v>561</v>
      </c>
      <c r="W58" s="318" t="s">
        <v>2795</v>
      </c>
      <c r="X58" s="340" t="s">
        <v>561</v>
      </c>
      <c r="Y58" s="318" t="s">
        <v>2795</v>
      </c>
      <c r="Z58" s="317" t="s">
        <v>2795</v>
      </c>
      <c r="AA58" s="317" t="s">
        <v>561</v>
      </c>
      <c r="AB58" s="317" t="s">
        <v>53</v>
      </c>
      <c r="AC58" s="317" t="s">
        <v>2795</v>
      </c>
      <c r="AD58" s="317" t="s">
        <v>2795</v>
      </c>
      <c r="AE58" s="317" t="s">
        <v>561</v>
      </c>
      <c r="AF58" s="317" t="s">
        <v>561</v>
      </c>
      <c r="AG58" s="317" t="s">
        <v>561</v>
      </c>
      <c r="AH58" s="317" t="s">
        <v>53</v>
      </c>
      <c r="AI58" s="317" t="s">
        <v>561</v>
      </c>
      <c r="AJ58" s="317" t="s">
        <v>2795</v>
      </c>
      <c r="AK58" s="317" t="s">
        <v>2807</v>
      </c>
      <c r="AL58" s="317" t="s">
        <v>2795</v>
      </c>
      <c r="AM58" s="317" t="s">
        <v>2795</v>
      </c>
      <c r="AN58" s="317" t="s">
        <v>2795</v>
      </c>
      <c r="AO58" s="317" t="s">
        <v>2807</v>
      </c>
      <c r="AP58" s="317" t="s">
        <v>561</v>
      </c>
      <c r="AQ58" s="317" t="s">
        <v>561</v>
      </c>
      <c r="AR58" s="317" t="s">
        <v>561</v>
      </c>
      <c r="AS58" s="317" t="s">
        <v>2795</v>
      </c>
      <c r="AT58" s="317" t="s">
        <v>561</v>
      </c>
      <c r="AU58" s="317" t="s">
        <v>53</v>
      </c>
      <c r="AV58" s="317" t="s">
        <v>2795</v>
      </c>
      <c r="AW58" s="317" t="s">
        <v>561</v>
      </c>
      <c r="AX58" s="317" t="s">
        <v>561</v>
      </c>
      <c r="AY58" s="317" t="s">
        <v>561</v>
      </c>
      <c r="AZ58" s="317" t="s">
        <v>561</v>
      </c>
      <c r="BA58" s="317" t="s">
        <v>2806</v>
      </c>
      <c r="BB58" s="317" t="s">
        <v>561</v>
      </c>
      <c r="BC58" s="317" t="s">
        <v>2806</v>
      </c>
      <c r="BD58" s="317" t="s">
        <v>2795</v>
      </c>
      <c r="BE58" s="317" t="s">
        <v>53</v>
      </c>
      <c r="BF58" s="317" t="s">
        <v>561</v>
      </c>
      <c r="BG58" s="317" t="s">
        <v>53</v>
      </c>
      <c r="BH58" s="317" t="s">
        <v>561</v>
      </c>
      <c r="BI58" s="317" t="s">
        <v>561</v>
      </c>
      <c r="BJ58" s="317" t="s">
        <v>561</v>
      </c>
      <c r="BK58" s="317" t="s">
        <v>561</v>
      </c>
      <c r="BL58" s="317" t="s">
        <v>2796</v>
      </c>
      <c r="BM58" s="317" t="s">
        <v>2796</v>
      </c>
      <c r="BN58" s="317" t="s">
        <v>53</v>
      </c>
      <c r="BO58" s="317" t="s">
        <v>2796</v>
      </c>
      <c r="BP58" s="317" t="s">
        <v>2796</v>
      </c>
      <c r="BQ58" s="317" t="s">
        <v>53</v>
      </c>
      <c r="BR58" s="317" t="s">
        <v>53</v>
      </c>
      <c r="BS58" s="317" t="s">
        <v>53</v>
      </c>
      <c r="BT58" s="317" t="s">
        <v>561</v>
      </c>
      <c r="BU58" s="317" t="s">
        <v>801</v>
      </c>
      <c r="BV58" s="317" t="s">
        <v>561</v>
      </c>
      <c r="BW58" s="317" t="s">
        <v>53</v>
      </c>
      <c r="BX58" s="317" t="s">
        <v>53</v>
      </c>
      <c r="BY58" s="317" t="s">
        <v>53</v>
      </c>
      <c r="BZ58" s="317" t="s">
        <v>561</v>
      </c>
      <c r="CA58" s="317" t="s">
        <v>53</v>
      </c>
      <c r="CB58" s="317" t="s">
        <v>561</v>
      </c>
      <c r="CC58" s="317" t="s">
        <v>561</v>
      </c>
      <c r="CD58" s="317" t="s">
        <v>561</v>
      </c>
      <c r="CE58" s="317" t="s">
        <v>53</v>
      </c>
      <c r="CF58" s="317" t="s">
        <v>53</v>
      </c>
      <c r="CG58" s="317" t="s">
        <v>53</v>
      </c>
      <c r="CH58" s="317" t="s">
        <v>561</v>
      </c>
      <c r="CI58" s="317" t="s">
        <v>561</v>
      </c>
      <c r="CJ58" s="317" t="s">
        <v>2796</v>
      </c>
      <c r="CK58" s="317" t="s">
        <v>53</v>
      </c>
      <c r="CL58" s="317" t="s">
        <v>561</v>
      </c>
      <c r="CM58" s="317" t="s">
        <v>561</v>
      </c>
      <c r="CN58" s="317" t="s">
        <v>561</v>
      </c>
      <c r="CO58" s="317" t="s">
        <v>53</v>
      </c>
      <c r="CP58" s="317" t="s">
        <v>561</v>
      </c>
      <c r="CQ58" s="319"/>
      <c r="CR58" s="319">
        <v>1997.0</v>
      </c>
      <c r="CS58" s="343" t="s">
        <v>1199</v>
      </c>
      <c r="CT58" s="334" t="s">
        <v>2030</v>
      </c>
      <c r="CU58" s="326" t="s">
        <v>2476</v>
      </c>
      <c r="CV58" s="332" t="s">
        <v>75</v>
      </c>
      <c r="CW58" s="319"/>
      <c r="CX58" s="319"/>
      <c r="CY58" s="323">
        <f t="shared" si="24"/>
        <v>0.452</v>
      </c>
      <c r="CZ58" s="324">
        <v>0.715</v>
      </c>
      <c r="DA58" s="323">
        <v>0.263</v>
      </c>
      <c r="DB58" s="323"/>
      <c r="DC58" s="323">
        <f t="shared" si="25"/>
        <v>0.438</v>
      </c>
      <c r="DD58" s="324">
        <v>0.687</v>
      </c>
      <c r="DE58" s="323">
        <v>0.249</v>
      </c>
      <c r="DF58" s="323"/>
      <c r="DG58" s="324">
        <v>0.444</v>
      </c>
      <c r="DH58" s="323">
        <v>0.12300000000000001</v>
      </c>
      <c r="DI58" s="323">
        <v>0.133</v>
      </c>
      <c r="DJ58" s="323">
        <v>0.267</v>
      </c>
      <c r="DK58" s="323">
        <v>0.027999999999999997</v>
      </c>
      <c r="DL58" s="323">
        <v>0.022000000000000002</v>
      </c>
      <c r="DM58" s="323"/>
      <c r="DN58" s="323">
        <v>0.386</v>
      </c>
      <c r="DO58" s="323">
        <v>0.44299999999999995</v>
      </c>
      <c r="DP58" s="323">
        <v>0.306</v>
      </c>
    </row>
    <row r="59">
      <c r="A59" s="311" t="s">
        <v>1161</v>
      </c>
      <c r="B59" s="311" t="s">
        <v>1162</v>
      </c>
      <c r="C59" s="311" t="s">
        <v>1661</v>
      </c>
      <c r="D59" s="311">
        <v>3.0</v>
      </c>
      <c r="E59" s="312">
        <f t="shared" si="19"/>
        <v>0.5</v>
      </c>
      <c r="F59" s="312" t="str">
        <f t="shared" si="20"/>
        <v>#DIV/0!</v>
      </c>
      <c r="G59" s="312" t="str">
        <f t="shared" si="21"/>
        <v>#DIV/0!</v>
      </c>
      <c r="H59" s="312" t="str">
        <f t="shared" si="22"/>
        <v>#DIV/0!</v>
      </c>
      <c r="I59" s="312" t="str">
        <f t="shared" si="41"/>
        <v>#DIV/0!</v>
      </c>
      <c r="J59" s="312" t="str">
        <f t="shared" si="44"/>
        <v>#DIV/0!</v>
      </c>
      <c r="K59" s="312" t="str">
        <f t="shared" si="45"/>
        <v>#DIV/0!</v>
      </c>
      <c r="L59" s="316" t="str">
        <f t="shared" si="23"/>
        <v>#DIV/0!</v>
      </c>
      <c r="M59" s="317" t="s">
        <v>594</v>
      </c>
      <c r="N59" s="317" t="s">
        <v>594</v>
      </c>
      <c r="O59" s="317" t="s">
        <v>487</v>
      </c>
      <c r="P59" s="317" t="s">
        <v>487</v>
      </c>
      <c r="Q59" s="317" t="s">
        <v>594</v>
      </c>
      <c r="R59" s="317" t="s">
        <v>487</v>
      </c>
      <c r="S59" s="318" t="s">
        <v>561</v>
      </c>
      <c r="T59" s="318" t="s">
        <v>561</v>
      </c>
      <c r="U59" s="330" t="s">
        <v>561</v>
      </c>
      <c r="V59" s="330" t="s">
        <v>561</v>
      </c>
      <c r="W59" s="318" t="s">
        <v>2795</v>
      </c>
      <c r="X59" s="340" t="s">
        <v>561</v>
      </c>
      <c r="Y59" s="340" t="s">
        <v>2807</v>
      </c>
      <c r="Z59" s="317" t="s">
        <v>2795</v>
      </c>
      <c r="AA59" s="317" t="s">
        <v>561</v>
      </c>
      <c r="AB59" s="317" t="s">
        <v>53</v>
      </c>
      <c r="AC59" s="317" t="s">
        <v>2795</v>
      </c>
      <c r="AD59" s="317" t="s">
        <v>2795</v>
      </c>
      <c r="AE59" s="317" t="s">
        <v>561</v>
      </c>
      <c r="AF59" s="317" t="s">
        <v>561</v>
      </c>
      <c r="AG59" s="317" t="s">
        <v>53</v>
      </c>
      <c r="AH59" s="317" t="s">
        <v>53</v>
      </c>
      <c r="AI59" s="317" t="s">
        <v>561</v>
      </c>
      <c r="AJ59" s="317" t="s">
        <v>2795</v>
      </c>
      <c r="AK59" s="317" t="s">
        <v>2807</v>
      </c>
      <c r="AL59" s="317" t="s">
        <v>2795</v>
      </c>
      <c r="AM59" s="317" t="s">
        <v>2795</v>
      </c>
      <c r="AN59" s="317" t="s">
        <v>2795</v>
      </c>
      <c r="AO59" s="317" t="s">
        <v>2795</v>
      </c>
      <c r="AP59" s="317" t="s">
        <v>561</v>
      </c>
      <c r="AQ59" s="317" t="s">
        <v>561</v>
      </c>
      <c r="AR59" s="317" t="s">
        <v>561</v>
      </c>
      <c r="AS59" s="317" t="s">
        <v>2795</v>
      </c>
      <c r="AT59" s="317" t="s">
        <v>561</v>
      </c>
      <c r="AU59" s="317" t="s">
        <v>53</v>
      </c>
      <c r="AV59" s="317" t="s">
        <v>2795</v>
      </c>
      <c r="AW59" s="317" t="s">
        <v>561</v>
      </c>
      <c r="AX59" s="317" t="s">
        <v>561</v>
      </c>
      <c r="AY59" s="317" t="s">
        <v>561</v>
      </c>
      <c r="AZ59" s="317" t="s">
        <v>561</v>
      </c>
      <c r="BA59" s="317" t="s">
        <v>2796</v>
      </c>
      <c r="BB59" s="317" t="s">
        <v>561</v>
      </c>
      <c r="BC59" s="317" t="s">
        <v>2796</v>
      </c>
      <c r="BD59" s="317" t="s">
        <v>2795</v>
      </c>
      <c r="BE59" s="317" t="s">
        <v>561</v>
      </c>
      <c r="BF59" s="317" t="s">
        <v>561</v>
      </c>
      <c r="BG59" s="317" t="s">
        <v>561</v>
      </c>
      <c r="BH59" s="317" t="s">
        <v>561</v>
      </c>
      <c r="BI59" s="317" t="s">
        <v>561</v>
      </c>
      <c r="BJ59" s="317" t="s">
        <v>53</v>
      </c>
      <c r="BK59" s="317" t="s">
        <v>561</v>
      </c>
      <c r="BL59" s="317" t="s">
        <v>2796</v>
      </c>
      <c r="BM59" s="317" t="s">
        <v>2796</v>
      </c>
      <c r="BN59" s="317" t="s">
        <v>53</v>
      </c>
      <c r="BO59" s="317" t="s">
        <v>2796</v>
      </c>
      <c r="BP59" s="317" t="s">
        <v>2796</v>
      </c>
      <c r="BQ59" s="317" t="s">
        <v>53</v>
      </c>
      <c r="BR59" s="317" t="s">
        <v>53</v>
      </c>
      <c r="BS59" s="317" t="s">
        <v>53</v>
      </c>
      <c r="BT59" s="317" t="s">
        <v>561</v>
      </c>
      <c r="BU59" s="317" t="s">
        <v>53</v>
      </c>
      <c r="BV59" s="317" t="s">
        <v>561</v>
      </c>
      <c r="BW59" s="317" t="s">
        <v>53</v>
      </c>
      <c r="BX59" s="317" t="s">
        <v>561</v>
      </c>
      <c r="BY59" s="317" t="s">
        <v>561</v>
      </c>
      <c r="BZ59" s="317" t="s">
        <v>561</v>
      </c>
      <c r="CA59" s="317" t="s">
        <v>53</v>
      </c>
      <c r="CB59" s="317" t="s">
        <v>53</v>
      </c>
      <c r="CC59" s="317" t="s">
        <v>53</v>
      </c>
      <c r="CD59" s="317" t="s">
        <v>561</v>
      </c>
      <c r="CE59" s="317" t="s">
        <v>561</v>
      </c>
      <c r="CF59" s="317" t="s">
        <v>53</v>
      </c>
      <c r="CG59" s="317" t="s">
        <v>561</v>
      </c>
      <c r="CH59" s="317" t="s">
        <v>561</v>
      </c>
      <c r="CI59" s="317" t="s">
        <v>561</v>
      </c>
      <c r="CJ59" s="317" t="s">
        <v>2796</v>
      </c>
      <c r="CK59" s="317" t="s">
        <v>53</v>
      </c>
      <c r="CL59" s="317" t="s">
        <v>561</v>
      </c>
      <c r="CM59" s="317" t="s">
        <v>561</v>
      </c>
      <c r="CN59" s="317" t="s">
        <v>561</v>
      </c>
      <c r="CO59" s="317" t="s">
        <v>53</v>
      </c>
      <c r="CP59" s="317" t="s">
        <v>561</v>
      </c>
      <c r="CQ59" s="319"/>
      <c r="CR59" s="319" t="s">
        <v>2524</v>
      </c>
      <c r="CS59" s="320" t="s">
        <v>850</v>
      </c>
      <c r="CT59" s="319"/>
      <c r="CU59" s="319" t="s">
        <v>23</v>
      </c>
      <c r="CV59" s="327" t="s">
        <v>28</v>
      </c>
      <c r="CW59" s="319"/>
      <c r="CX59" s="319"/>
      <c r="CY59" s="323">
        <f t="shared" si="24"/>
        <v>0.809</v>
      </c>
      <c r="CZ59" s="324">
        <v>0.902</v>
      </c>
      <c r="DA59" s="323">
        <v>0.09300000000000001</v>
      </c>
      <c r="DB59" s="323"/>
      <c r="DC59" s="323">
        <f t="shared" si="25"/>
        <v>0.819</v>
      </c>
      <c r="DD59" s="324">
        <v>0.899</v>
      </c>
      <c r="DE59" s="323">
        <v>0.08</v>
      </c>
      <c r="DF59" s="323"/>
      <c r="DG59" s="323">
        <v>0.353</v>
      </c>
      <c r="DH59" s="323">
        <v>0.053</v>
      </c>
      <c r="DI59" s="324">
        <v>0.51</v>
      </c>
      <c r="DJ59" s="323">
        <v>0.08199999999999999</v>
      </c>
      <c r="DK59" s="323">
        <v>0.013999999999999999</v>
      </c>
      <c r="DL59" s="323">
        <v>0.002</v>
      </c>
      <c r="DM59" s="323"/>
      <c r="DN59" s="323">
        <v>0.39</v>
      </c>
      <c r="DO59" s="324">
        <v>0.6579999999999999</v>
      </c>
      <c r="DP59" s="323">
        <v>0.121</v>
      </c>
    </row>
    <row r="60">
      <c r="A60" s="311" t="s">
        <v>1004</v>
      </c>
      <c r="B60" s="311" t="s">
        <v>1005</v>
      </c>
      <c r="C60" s="311" t="s">
        <v>1530</v>
      </c>
      <c r="D60" s="311">
        <v>8.0</v>
      </c>
      <c r="E60" s="312">
        <f t="shared" si="19"/>
        <v>0.3333333333</v>
      </c>
      <c r="F60" s="312" t="str">
        <f t="shared" si="20"/>
        <v>#DIV/0!</v>
      </c>
      <c r="G60" s="312" t="str">
        <f t="shared" si="21"/>
        <v>#DIV/0!</v>
      </c>
      <c r="H60" s="312" t="str">
        <f t="shared" si="22"/>
        <v>#DIV/0!</v>
      </c>
      <c r="I60" s="312" t="str">
        <f t="shared" si="41"/>
        <v>#DIV/0!</v>
      </c>
      <c r="J60" s="312" t="str">
        <f t="shared" si="44"/>
        <v>#DIV/0!</v>
      </c>
      <c r="K60" s="312" t="str">
        <f t="shared" si="45"/>
        <v>#DIV/0!</v>
      </c>
      <c r="L60" s="316" t="str">
        <f t="shared" si="23"/>
        <v>#DIV/0!</v>
      </c>
      <c r="M60" s="317" t="s">
        <v>487</v>
      </c>
      <c r="N60" s="317" t="s">
        <v>594</v>
      </c>
      <c r="O60" s="317" t="s">
        <v>487</v>
      </c>
      <c r="P60" s="317" t="s">
        <v>594</v>
      </c>
      <c r="Q60" s="317" t="s">
        <v>594</v>
      </c>
      <c r="R60" s="317" t="s">
        <v>594</v>
      </c>
      <c r="S60" s="318" t="s">
        <v>561</v>
      </c>
      <c r="T60" s="318" t="s">
        <v>561</v>
      </c>
      <c r="U60" s="330" t="s">
        <v>561</v>
      </c>
      <c r="V60" s="330" t="s">
        <v>561</v>
      </c>
      <c r="W60" s="318" t="s">
        <v>2795</v>
      </c>
      <c r="X60" s="340" t="s">
        <v>561</v>
      </c>
      <c r="Y60" s="318" t="s">
        <v>2795</v>
      </c>
      <c r="Z60" s="317" t="s">
        <v>2795</v>
      </c>
      <c r="AA60" s="317" t="s">
        <v>561</v>
      </c>
      <c r="AB60" s="317" t="s">
        <v>53</v>
      </c>
      <c r="AC60" s="317" t="s">
        <v>2795</v>
      </c>
      <c r="AD60" s="317" t="s">
        <v>2795</v>
      </c>
      <c r="AE60" s="317" t="s">
        <v>561</v>
      </c>
      <c r="AF60" s="317" t="s">
        <v>561</v>
      </c>
      <c r="AG60" s="317" t="s">
        <v>561</v>
      </c>
      <c r="AH60" s="317" t="s">
        <v>561</v>
      </c>
      <c r="AI60" s="317" t="s">
        <v>561</v>
      </c>
      <c r="AJ60" s="317" t="s">
        <v>2795</v>
      </c>
      <c r="AK60" s="317" t="s">
        <v>2795</v>
      </c>
      <c r="AL60" s="317" t="s">
        <v>801</v>
      </c>
      <c r="AM60" s="317" t="s">
        <v>2795</v>
      </c>
      <c r="AN60" s="317" t="s">
        <v>2795</v>
      </c>
      <c r="AO60" s="317" t="s">
        <v>2795</v>
      </c>
      <c r="AP60" s="317" t="s">
        <v>561</v>
      </c>
      <c r="AQ60" s="317" t="s">
        <v>561</v>
      </c>
      <c r="AR60" s="317" t="s">
        <v>561</v>
      </c>
      <c r="AS60" s="317" t="s">
        <v>2795</v>
      </c>
      <c r="AT60" s="317" t="s">
        <v>561</v>
      </c>
      <c r="AU60" s="317" t="s">
        <v>561</v>
      </c>
      <c r="AV60" s="317" t="s">
        <v>2795</v>
      </c>
      <c r="AW60" s="317" t="s">
        <v>561</v>
      </c>
      <c r="AX60" s="317" t="s">
        <v>53</v>
      </c>
      <c r="AY60" s="317" t="s">
        <v>561</v>
      </c>
      <c r="AZ60" s="317" t="s">
        <v>561</v>
      </c>
      <c r="BA60" s="317" t="s">
        <v>2796</v>
      </c>
      <c r="BB60" s="317" t="s">
        <v>561</v>
      </c>
      <c r="BC60" s="317" t="s">
        <v>2796</v>
      </c>
      <c r="BD60" s="317" t="s">
        <v>2795</v>
      </c>
      <c r="BE60" s="317" t="s">
        <v>53</v>
      </c>
      <c r="BF60" s="317" t="s">
        <v>561</v>
      </c>
      <c r="BG60" s="317" t="s">
        <v>561</v>
      </c>
      <c r="BH60" s="317" t="s">
        <v>561</v>
      </c>
      <c r="BI60" s="317" t="s">
        <v>561</v>
      </c>
      <c r="BJ60" s="317" t="s">
        <v>561</v>
      </c>
      <c r="BK60" s="317" t="s">
        <v>561</v>
      </c>
      <c r="BL60" s="317" t="s">
        <v>2796</v>
      </c>
      <c r="BM60" s="317" t="s">
        <v>2796</v>
      </c>
      <c r="BN60" s="317" t="s">
        <v>53</v>
      </c>
      <c r="BO60" s="317" t="s">
        <v>2796</v>
      </c>
      <c r="BP60" s="317" t="s">
        <v>2796</v>
      </c>
      <c r="BQ60" s="317" t="s">
        <v>53</v>
      </c>
      <c r="BR60" s="317" t="s">
        <v>53</v>
      </c>
      <c r="BS60" s="317" t="s">
        <v>53</v>
      </c>
      <c r="BT60" s="317" t="s">
        <v>53</v>
      </c>
      <c r="BU60" s="317" t="s">
        <v>53</v>
      </c>
      <c r="BV60" s="317" t="s">
        <v>53</v>
      </c>
      <c r="BW60" s="317" t="s">
        <v>53</v>
      </c>
      <c r="BX60" s="317" t="s">
        <v>561</v>
      </c>
      <c r="BY60" s="317" t="s">
        <v>561</v>
      </c>
      <c r="BZ60" s="317" t="s">
        <v>561</v>
      </c>
      <c r="CA60" s="317" t="s">
        <v>53</v>
      </c>
      <c r="CB60" s="317" t="s">
        <v>53</v>
      </c>
      <c r="CC60" s="317" t="s">
        <v>561</v>
      </c>
      <c r="CD60" s="317" t="s">
        <v>53</v>
      </c>
      <c r="CE60" s="317" t="s">
        <v>561</v>
      </c>
      <c r="CF60" s="317" t="s">
        <v>53</v>
      </c>
      <c r="CG60" s="317" t="s">
        <v>561</v>
      </c>
      <c r="CH60" s="317" t="s">
        <v>53</v>
      </c>
      <c r="CI60" s="317" t="s">
        <v>53</v>
      </c>
      <c r="CJ60" s="317" t="s">
        <v>2796</v>
      </c>
      <c r="CK60" s="317" t="s">
        <v>561</v>
      </c>
      <c r="CL60" s="317" t="s">
        <v>561</v>
      </c>
      <c r="CM60" s="317" t="s">
        <v>561</v>
      </c>
      <c r="CN60" s="317" t="s">
        <v>561</v>
      </c>
      <c r="CO60" s="317" t="s">
        <v>801</v>
      </c>
      <c r="CP60" s="317" t="s">
        <v>561</v>
      </c>
      <c r="CQ60" s="319"/>
      <c r="CR60" s="319">
        <v>2013.0</v>
      </c>
      <c r="CS60" s="320" t="s">
        <v>850</v>
      </c>
      <c r="CT60" s="334" t="s">
        <v>2030</v>
      </c>
      <c r="CU60" s="326" t="s">
        <v>2476</v>
      </c>
      <c r="CV60" s="327" t="s">
        <v>28</v>
      </c>
      <c r="CW60" s="319"/>
      <c r="CX60" s="319"/>
      <c r="CY60" s="323">
        <f t="shared" si="24"/>
        <v>0.532</v>
      </c>
      <c r="CZ60" s="324">
        <v>0.763</v>
      </c>
      <c r="DA60" s="323">
        <v>0.231</v>
      </c>
      <c r="DB60" s="323"/>
      <c r="DC60" s="323">
        <f t="shared" si="25"/>
        <v>0.605</v>
      </c>
      <c r="DD60" s="324">
        <v>0.7909999999999999</v>
      </c>
      <c r="DE60" s="323">
        <v>0.18600000000000003</v>
      </c>
      <c r="DF60" s="323"/>
      <c r="DG60" s="323">
        <v>0.28800000000000003</v>
      </c>
      <c r="DH60" s="323">
        <v>0.158</v>
      </c>
      <c r="DI60" s="324">
        <v>0.48200000000000004</v>
      </c>
      <c r="DJ60" s="323">
        <v>0.1</v>
      </c>
      <c r="DK60" s="323">
        <v>0.013999999999999999</v>
      </c>
      <c r="DL60" s="323">
        <v>0.002</v>
      </c>
      <c r="DM60" s="323"/>
      <c r="DN60" s="323">
        <v>0.327</v>
      </c>
      <c r="DO60" s="324">
        <v>0.515</v>
      </c>
      <c r="DP60" s="323">
        <v>0.14800000000000002</v>
      </c>
    </row>
    <row r="61">
      <c r="A61" s="311" t="s">
        <v>811</v>
      </c>
      <c r="B61" s="311" t="s">
        <v>812</v>
      </c>
      <c r="C61" s="311" t="s">
        <v>815</v>
      </c>
      <c r="D61" s="311">
        <v>8.0</v>
      </c>
      <c r="E61" s="312">
        <f t="shared" si="19"/>
        <v>0.3333333333</v>
      </c>
      <c r="F61" s="312" t="str">
        <f t="shared" si="20"/>
        <v>#DIV/0!</v>
      </c>
      <c r="G61" s="312" t="str">
        <f t="shared" si="21"/>
        <v>#DIV/0!</v>
      </c>
      <c r="H61" s="312" t="str">
        <f t="shared" si="22"/>
        <v>#DIV/0!</v>
      </c>
      <c r="I61" s="312" t="str">
        <f t="shared" si="41"/>
        <v>#DIV/0!</v>
      </c>
      <c r="J61" s="312" t="str">
        <f t="shared" si="44"/>
        <v>#DIV/0!</v>
      </c>
      <c r="K61" s="312" t="str">
        <f t="shared" si="45"/>
        <v>#DIV/0!</v>
      </c>
      <c r="L61" s="316" t="str">
        <f t="shared" si="23"/>
        <v>#DIV/0!</v>
      </c>
      <c r="M61" s="317" t="s">
        <v>487</v>
      </c>
      <c r="N61" s="317" t="s">
        <v>594</v>
      </c>
      <c r="O61" s="317" t="s">
        <v>487</v>
      </c>
      <c r="P61" s="317" t="s">
        <v>594</v>
      </c>
      <c r="Q61" s="317" t="s">
        <v>594</v>
      </c>
      <c r="R61" s="317" t="s">
        <v>594</v>
      </c>
      <c r="S61" s="318" t="s">
        <v>561</v>
      </c>
      <c r="T61" s="318" t="s">
        <v>561</v>
      </c>
      <c r="U61" s="330" t="s">
        <v>561</v>
      </c>
      <c r="V61" s="330" t="s">
        <v>561</v>
      </c>
      <c r="W61" s="318" t="s">
        <v>2795</v>
      </c>
      <c r="X61" s="340" t="s">
        <v>561</v>
      </c>
      <c r="Y61" s="318" t="s">
        <v>2795</v>
      </c>
      <c r="Z61" s="317" t="s">
        <v>2795</v>
      </c>
      <c r="AA61" s="317" t="s">
        <v>561</v>
      </c>
      <c r="AB61" s="317" t="s">
        <v>561</v>
      </c>
      <c r="AC61" s="317" t="s">
        <v>2795</v>
      </c>
      <c r="AD61" s="317" t="s">
        <v>2795</v>
      </c>
      <c r="AE61" s="317" t="s">
        <v>561</v>
      </c>
      <c r="AF61" s="317" t="s">
        <v>561</v>
      </c>
      <c r="AG61" s="317" t="s">
        <v>561</v>
      </c>
      <c r="AH61" s="317" t="s">
        <v>561</v>
      </c>
      <c r="AI61" s="317" t="s">
        <v>53</v>
      </c>
      <c r="AJ61" s="317" t="s">
        <v>2795</v>
      </c>
      <c r="AK61" s="317" t="s">
        <v>2795</v>
      </c>
      <c r="AL61" s="317" t="s">
        <v>2795</v>
      </c>
      <c r="AM61" s="317" t="s">
        <v>2795</v>
      </c>
      <c r="AN61" s="317" t="s">
        <v>2795</v>
      </c>
      <c r="AO61" s="317" t="s">
        <v>2795</v>
      </c>
      <c r="AP61" s="317" t="s">
        <v>561</v>
      </c>
      <c r="AQ61" s="317" t="s">
        <v>561</v>
      </c>
      <c r="AR61" s="317" t="s">
        <v>561</v>
      </c>
      <c r="AS61" s="317" t="s">
        <v>2795</v>
      </c>
      <c r="AT61" s="317" t="s">
        <v>561</v>
      </c>
      <c r="AU61" s="317" t="s">
        <v>561</v>
      </c>
      <c r="AV61" s="317" t="s">
        <v>2807</v>
      </c>
      <c r="AW61" s="317" t="s">
        <v>561</v>
      </c>
      <c r="AX61" s="317" t="s">
        <v>561</v>
      </c>
      <c r="AY61" s="317" t="s">
        <v>53</v>
      </c>
      <c r="AZ61" s="317" t="s">
        <v>561</v>
      </c>
      <c r="BA61" s="317" t="s">
        <v>2796</v>
      </c>
      <c r="BB61" s="317" t="s">
        <v>53</v>
      </c>
      <c r="BC61" s="317" t="s">
        <v>2796</v>
      </c>
      <c r="BD61" s="317" t="s">
        <v>2795</v>
      </c>
      <c r="BE61" s="317" t="s">
        <v>53</v>
      </c>
      <c r="BF61" s="317" t="s">
        <v>561</v>
      </c>
      <c r="BG61" s="317" t="s">
        <v>561</v>
      </c>
      <c r="BH61" s="317" t="s">
        <v>53</v>
      </c>
      <c r="BI61" s="317" t="s">
        <v>561</v>
      </c>
      <c r="BJ61" s="317" t="s">
        <v>53</v>
      </c>
      <c r="BK61" s="317" t="s">
        <v>561</v>
      </c>
      <c r="BL61" s="317" t="s">
        <v>2796</v>
      </c>
      <c r="BM61" s="317" t="s">
        <v>2796</v>
      </c>
      <c r="BN61" s="317" t="s">
        <v>561</v>
      </c>
      <c r="BO61" s="317" t="s">
        <v>2796</v>
      </c>
      <c r="BP61" s="317" t="s">
        <v>2796</v>
      </c>
      <c r="BQ61" s="317" t="s">
        <v>53</v>
      </c>
      <c r="BR61" s="317" t="s">
        <v>561</v>
      </c>
      <c r="BS61" s="317" t="s">
        <v>53</v>
      </c>
      <c r="BT61" s="317" t="s">
        <v>53</v>
      </c>
      <c r="BU61" s="317" t="s">
        <v>53</v>
      </c>
      <c r="BV61" s="317" t="s">
        <v>53</v>
      </c>
      <c r="BW61" s="317" t="s">
        <v>53</v>
      </c>
      <c r="BX61" s="317" t="s">
        <v>561</v>
      </c>
      <c r="BY61" s="317" t="s">
        <v>53</v>
      </c>
      <c r="BZ61" s="317" t="s">
        <v>561</v>
      </c>
      <c r="CA61" s="317" t="s">
        <v>53</v>
      </c>
      <c r="CB61" s="317" t="s">
        <v>561</v>
      </c>
      <c r="CC61" s="317" t="s">
        <v>561</v>
      </c>
      <c r="CD61" s="317" t="s">
        <v>53</v>
      </c>
      <c r="CE61" s="317" t="s">
        <v>561</v>
      </c>
      <c r="CF61" s="317" t="s">
        <v>53</v>
      </c>
      <c r="CG61" s="317" t="s">
        <v>561</v>
      </c>
      <c r="CH61" s="317" t="s">
        <v>561</v>
      </c>
      <c r="CI61" s="317" t="s">
        <v>53</v>
      </c>
      <c r="CJ61" s="317" t="s">
        <v>2796</v>
      </c>
      <c r="CK61" s="317" t="s">
        <v>561</v>
      </c>
      <c r="CL61" s="317" t="s">
        <v>561</v>
      </c>
      <c r="CM61" s="317" t="s">
        <v>561</v>
      </c>
      <c r="CN61" s="317" t="s">
        <v>561</v>
      </c>
      <c r="CO61" s="317" t="s">
        <v>53</v>
      </c>
      <c r="CP61" s="317" t="s">
        <v>561</v>
      </c>
      <c r="CQ61" s="319"/>
      <c r="CR61" s="319">
        <v>2013.0</v>
      </c>
      <c r="CS61" s="320" t="s">
        <v>850</v>
      </c>
      <c r="CT61" s="319"/>
      <c r="CU61" s="326" t="s">
        <v>2476</v>
      </c>
      <c r="CV61" s="332" t="s">
        <v>75</v>
      </c>
      <c r="CW61" s="319"/>
      <c r="CX61" s="319"/>
      <c r="CY61" s="323">
        <f t="shared" si="24"/>
        <v>0.021</v>
      </c>
      <c r="CZ61" s="324">
        <v>0.503</v>
      </c>
      <c r="DA61" s="323">
        <v>0.48200000000000004</v>
      </c>
      <c r="DB61" s="323"/>
      <c r="DC61" s="323">
        <f t="shared" si="25"/>
        <v>0.011</v>
      </c>
      <c r="DD61" s="324">
        <v>0.48</v>
      </c>
      <c r="DE61" s="323">
        <v>0.469</v>
      </c>
      <c r="DF61" s="323"/>
      <c r="DG61" s="324">
        <v>0.762</v>
      </c>
      <c r="DH61" s="323">
        <v>0.044000000000000004</v>
      </c>
      <c r="DI61" s="323">
        <v>0.152</v>
      </c>
      <c r="DJ61" s="323">
        <v>0.015</v>
      </c>
      <c r="DK61" s="323">
        <v>0.023</v>
      </c>
      <c r="DL61" s="323">
        <v>0.001</v>
      </c>
      <c r="DM61" s="323"/>
      <c r="DN61" s="323">
        <v>0.22899999999999998</v>
      </c>
      <c r="DO61" s="323">
        <v>0.244</v>
      </c>
      <c r="DP61" s="324">
        <v>0.595</v>
      </c>
    </row>
    <row r="62">
      <c r="A62" s="311" t="s">
        <v>492</v>
      </c>
      <c r="B62" s="311" t="s">
        <v>493</v>
      </c>
      <c r="C62" s="311" t="s">
        <v>2827</v>
      </c>
      <c r="D62" s="311">
        <v>24.0</v>
      </c>
      <c r="E62" s="312">
        <f t="shared" si="19"/>
        <v>0.5</v>
      </c>
      <c r="F62" s="312" t="str">
        <f t="shared" si="20"/>
        <v>#DIV/0!</v>
      </c>
      <c r="G62" s="312" t="str">
        <f t="shared" si="21"/>
        <v>#DIV/0!</v>
      </c>
      <c r="H62" s="312" t="str">
        <f t="shared" si="22"/>
        <v>#DIV/0!</v>
      </c>
      <c r="I62" s="312" t="str">
        <f t="shared" si="41"/>
        <v>#DIV/0!</v>
      </c>
      <c r="J62" s="312" t="str">
        <f t="shared" si="44"/>
        <v>#DIV/0!</v>
      </c>
      <c r="K62" s="312" t="str">
        <f t="shared" si="45"/>
        <v>#DIV/0!</v>
      </c>
      <c r="L62" s="316" t="str">
        <f t="shared" si="23"/>
        <v>#DIV/0!</v>
      </c>
      <c r="M62" s="317" t="s">
        <v>487</v>
      </c>
      <c r="N62" s="317" t="s">
        <v>487</v>
      </c>
      <c r="O62" s="317" t="s">
        <v>594</v>
      </c>
      <c r="P62" s="317" t="s">
        <v>594</v>
      </c>
      <c r="Q62" s="317" t="s">
        <v>487</v>
      </c>
      <c r="R62" s="317" t="s">
        <v>594</v>
      </c>
      <c r="S62" s="318" t="s">
        <v>561</v>
      </c>
      <c r="T62" s="318" t="s">
        <v>561</v>
      </c>
      <c r="U62" s="330" t="s">
        <v>561</v>
      </c>
      <c r="V62" s="330" t="s">
        <v>561</v>
      </c>
      <c r="W62" s="340" t="s">
        <v>2807</v>
      </c>
      <c r="X62" s="340" t="s">
        <v>561</v>
      </c>
      <c r="Y62" s="340" t="s">
        <v>2807</v>
      </c>
      <c r="Z62" s="317" t="s">
        <v>2795</v>
      </c>
      <c r="AA62" s="317" t="s">
        <v>561</v>
      </c>
      <c r="AB62" s="317" t="s">
        <v>53</v>
      </c>
      <c r="AC62" s="317" t="s">
        <v>2795</v>
      </c>
      <c r="AD62" s="317" t="s">
        <v>2795</v>
      </c>
      <c r="AE62" s="317" t="s">
        <v>561</v>
      </c>
      <c r="AF62" s="317" t="s">
        <v>561</v>
      </c>
      <c r="AG62" s="317" t="s">
        <v>561</v>
      </c>
      <c r="AH62" s="317" t="s">
        <v>561</v>
      </c>
      <c r="AI62" s="317" t="s">
        <v>561</v>
      </c>
      <c r="AJ62" s="317" t="s">
        <v>2795</v>
      </c>
      <c r="AK62" s="317" t="s">
        <v>2795</v>
      </c>
      <c r="AL62" s="317" t="s">
        <v>2795</v>
      </c>
      <c r="AM62" s="317" t="s">
        <v>2795</v>
      </c>
      <c r="AN62" s="317" t="s">
        <v>2795</v>
      </c>
      <c r="AO62" s="317" t="s">
        <v>2795</v>
      </c>
      <c r="AP62" s="317" t="s">
        <v>561</v>
      </c>
      <c r="AQ62" s="317" t="s">
        <v>561</v>
      </c>
      <c r="AR62" s="317" t="s">
        <v>561</v>
      </c>
      <c r="AS62" s="317" t="s">
        <v>2795</v>
      </c>
      <c r="AT62" s="317" t="s">
        <v>561</v>
      </c>
      <c r="AU62" s="317" t="s">
        <v>53</v>
      </c>
      <c r="AV62" s="317" t="s">
        <v>2795</v>
      </c>
      <c r="AW62" s="317" t="s">
        <v>561</v>
      </c>
      <c r="AX62" s="317" t="s">
        <v>561</v>
      </c>
      <c r="AY62" s="317" t="s">
        <v>561</v>
      </c>
      <c r="AZ62" s="317" t="s">
        <v>561</v>
      </c>
      <c r="BA62" s="317" t="s">
        <v>2796</v>
      </c>
      <c r="BB62" s="317" t="s">
        <v>561</v>
      </c>
      <c r="BC62" s="317" t="s">
        <v>2796</v>
      </c>
      <c r="BD62" s="317" t="s">
        <v>2795</v>
      </c>
      <c r="BE62" s="317" t="s">
        <v>561</v>
      </c>
      <c r="BF62" s="317" t="s">
        <v>561</v>
      </c>
      <c r="BG62" s="317" t="s">
        <v>561</v>
      </c>
      <c r="BH62" s="317" t="s">
        <v>561</v>
      </c>
      <c r="BI62" s="317" t="s">
        <v>801</v>
      </c>
      <c r="BJ62" s="317" t="s">
        <v>53</v>
      </c>
      <c r="BK62" s="317" t="s">
        <v>561</v>
      </c>
      <c r="BL62" s="317" t="s">
        <v>2796</v>
      </c>
      <c r="BM62" s="317" t="s">
        <v>2796</v>
      </c>
      <c r="BN62" s="317" t="s">
        <v>801</v>
      </c>
      <c r="BO62" s="317" t="s">
        <v>2796</v>
      </c>
      <c r="BP62" s="317" t="s">
        <v>2796</v>
      </c>
      <c r="BQ62" s="317" t="s">
        <v>53</v>
      </c>
      <c r="BR62" s="317" t="s">
        <v>53</v>
      </c>
      <c r="BS62" s="317" t="s">
        <v>53</v>
      </c>
      <c r="BT62" s="317" t="s">
        <v>561</v>
      </c>
      <c r="BU62" s="317" t="s">
        <v>53</v>
      </c>
      <c r="BV62" s="317" t="s">
        <v>53</v>
      </c>
      <c r="BW62" s="317" t="s">
        <v>53</v>
      </c>
      <c r="BX62" s="317" t="s">
        <v>801</v>
      </c>
      <c r="BY62" s="317" t="s">
        <v>561</v>
      </c>
      <c r="BZ62" s="317" t="s">
        <v>561</v>
      </c>
      <c r="CA62" s="317" t="s">
        <v>53</v>
      </c>
      <c r="CB62" s="317" t="s">
        <v>53</v>
      </c>
      <c r="CC62" s="317" t="s">
        <v>53</v>
      </c>
      <c r="CD62" s="317" t="s">
        <v>561</v>
      </c>
      <c r="CE62" s="317" t="s">
        <v>561</v>
      </c>
      <c r="CF62" s="317" t="s">
        <v>53</v>
      </c>
      <c r="CG62" s="317" t="s">
        <v>561</v>
      </c>
      <c r="CH62" s="317" t="s">
        <v>561</v>
      </c>
      <c r="CI62" s="317" t="s">
        <v>561</v>
      </c>
      <c r="CJ62" s="317" t="s">
        <v>2796</v>
      </c>
      <c r="CK62" s="317" t="s">
        <v>561</v>
      </c>
      <c r="CL62" s="317" t="s">
        <v>561</v>
      </c>
      <c r="CM62" s="317" t="s">
        <v>561</v>
      </c>
      <c r="CN62" s="317" t="s">
        <v>561</v>
      </c>
      <c r="CO62" s="317" t="s">
        <v>53</v>
      </c>
      <c r="CP62" s="317" t="s">
        <v>561</v>
      </c>
      <c r="CQ62" s="319"/>
      <c r="CR62" s="319">
        <v>2011.0</v>
      </c>
      <c r="CS62" s="320" t="s">
        <v>850</v>
      </c>
      <c r="CT62" s="334" t="s">
        <v>122</v>
      </c>
      <c r="CU62" s="319" t="s">
        <v>2817</v>
      </c>
      <c r="CV62" s="327" t="s">
        <v>28</v>
      </c>
      <c r="CW62" s="319"/>
      <c r="CX62" s="319"/>
      <c r="CY62" s="323">
        <f t="shared" si="24"/>
        <v>0.491</v>
      </c>
      <c r="CZ62" s="324">
        <v>0.743</v>
      </c>
      <c r="DA62" s="323">
        <v>0.252</v>
      </c>
      <c r="DB62" s="323"/>
      <c r="DC62" s="323">
        <f t="shared" si="25"/>
        <v>0.634</v>
      </c>
      <c r="DD62" s="324">
        <v>0.8059999999999999</v>
      </c>
      <c r="DE62" s="323">
        <v>0.172</v>
      </c>
      <c r="DF62" s="323"/>
      <c r="DG62" s="323">
        <v>0.182</v>
      </c>
      <c r="DH62" s="323">
        <v>0.385</v>
      </c>
      <c r="DI62" s="324">
        <v>0.42200000000000004</v>
      </c>
      <c r="DJ62" s="323">
        <v>0.022000000000000002</v>
      </c>
      <c r="DK62" s="323">
        <v>0.009000000000000001</v>
      </c>
      <c r="DL62" s="323">
        <v>0.001</v>
      </c>
      <c r="DM62" s="323"/>
      <c r="DN62" s="323">
        <v>0.27699999999999997</v>
      </c>
      <c r="DO62" s="324">
        <v>0.518</v>
      </c>
      <c r="DP62" s="323">
        <v>0.08900000000000001</v>
      </c>
    </row>
    <row r="63">
      <c r="A63" s="311" t="s">
        <v>977</v>
      </c>
      <c r="B63" s="311" t="s">
        <v>978</v>
      </c>
      <c r="C63" s="311" t="s">
        <v>932</v>
      </c>
      <c r="D63" s="311">
        <v>3.0</v>
      </c>
      <c r="E63" s="312">
        <f t="shared" si="19"/>
        <v>0.5</v>
      </c>
      <c r="F63" s="312" t="str">
        <f t="shared" si="20"/>
        <v>#DIV/0!</v>
      </c>
      <c r="G63" s="312" t="str">
        <f t="shared" si="21"/>
        <v>#DIV/0!</v>
      </c>
      <c r="H63" s="312" t="str">
        <f t="shared" si="22"/>
        <v>#DIV/0!</v>
      </c>
      <c r="I63" s="315" t="s">
        <v>2794</v>
      </c>
      <c r="J63" s="315" t="s">
        <v>2794</v>
      </c>
      <c r="K63" s="315" t="s">
        <v>2794</v>
      </c>
      <c r="L63" s="316" t="str">
        <f t="shared" si="23"/>
        <v>#DIV/0!</v>
      </c>
      <c r="M63" s="317" t="s">
        <v>487</v>
      </c>
      <c r="N63" s="317" t="s">
        <v>487</v>
      </c>
      <c r="O63" s="317" t="s">
        <v>487</v>
      </c>
      <c r="P63" s="317" t="s">
        <v>594</v>
      </c>
      <c r="Q63" s="317" t="s">
        <v>594</v>
      </c>
      <c r="R63" s="317" t="s">
        <v>594</v>
      </c>
      <c r="S63" s="318" t="s">
        <v>561</v>
      </c>
      <c r="T63" s="318" t="s">
        <v>561</v>
      </c>
      <c r="U63" s="330" t="s">
        <v>561</v>
      </c>
      <c r="V63" s="330" t="s">
        <v>561</v>
      </c>
      <c r="W63" s="318" t="s">
        <v>2795</v>
      </c>
      <c r="X63" s="340" t="s">
        <v>561</v>
      </c>
      <c r="Y63" s="318" t="s">
        <v>2795</v>
      </c>
      <c r="Z63" s="317" t="s">
        <v>2795</v>
      </c>
      <c r="AA63" s="317" t="s">
        <v>561</v>
      </c>
      <c r="AB63" s="317" t="s">
        <v>53</v>
      </c>
      <c r="AC63" s="317" t="s">
        <v>2795</v>
      </c>
      <c r="AD63" s="317" t="s">
        <v>2795</v>
      </c>
      <c r="AE63" s="317" t="s">
        <v>561</v>
      </c>
      <c r="AF63" s="317" t="s">
        <v>561</v>
      </c>
      <c r="AG63" s="317" t="s">
        <v>561</v>
      </c>
      <c r="AH63" s="317" t="s">
        <v>561</v>
      </c>
      <c r="AI63" s="317" t="s">
        <v>561</v>
      </c>
      <c r="AJ63" s="317" t="s">
        <v>2795</v>
      </c>
      <c r="AK63" s="317" t="s">
        <v>2795</v>
      </c>
      <c r="AL63" s="317" t="s">
        <v>2795</v>
      </c>
      <c r="AM63" s="317" t="s">
        <v>2795</v>
      </c>
      <c r="AN63" s="317" t="s">
        <v>2795</v>
      </c>
      <c r="AO63" s="317" t="s">
        <v>2795</v>
      </c>
      <c r="AP63" s="317" t="s">
        <v>561</v>
      </c>
      <c r="AQ63" s="317" t="s">
        <v>561</v>
      </c>
      <c r="AR63" s="317" t="s">
        <v>561</v>
      </c>
      <c r="AS63" s="317" t="s">
        <v>2795</v>
      </c>
      <c r="AT63" s="317" t="s">
        <v>561</v>
      </c>
      <c r="AU63" s="317" t="s">
        <v>561</v>
      </c>
      <c r="AV63" s="317" t="s">
        <v>2795</v>
      </c>
      <c r="AW63" s="317" t="s">
        <v>600</v>
      </c>
      <c r="AX63" s="317" t="s">
        <v>600</v>
      </c>
      <c r="AY63" s="317" t="s">
        <v>600</v>
      </c>
      <c r="AZ63" s="317" t="s">
        <v>600</v>
      </c>
      <c r="BA63" s="317" t="s">
        <v>600</v>
      </c>
      <c r="BB63" s="317" t="s">
        <v>600</v>
      </c>
      <c r="BC63" s="317" t="s">
        <v>600</v>
      </c>
      <c r="BD63" s="317" t="s">
        <v>600</v>
      </c>
      <c r="BE63" s="317" t="s">
        <v>600</v>
      </c>
      <c r="BF63" s="317" t="s">
        <v>600</v>
      </c>
      <c r="BG63" s="317" t="s">
        <v>600</v>
      </c>
      <c r="BH63" s="317" t="s">
        <v>600</v>
      </c>
      <c r="BI63" s="317" t="s">
        <v>600</v>
      </c>
      <c r="BJ63" s="317" t="s">
        <v>600</v>
      </c>
      <c r="BK63" s="317" t="s">
        <v>600</v>
      </c>
      <c r="BL63" s="317" t="s">
        <v>600</v>
      </c>
      <c r="BM63" s="317" t="s">
        <v>600</v>
      </c>
      <c r="BN63" s="317" t="s">
        <v>600</v>
      </c>
      <c r="BO63" s="317" t="s">
        <v>600</v>
      </c>
      <c r="BP63" s="317" t="s">
        <v>600</v>
      </c>
      <c r="BQ63" s="317" t="s">
        <v>600</v>
      </c>
      <c r="BR63" s="317" t="s">
        <v>600</v>
      </c>
      <c r="BS63" s="317" t="s">
        <v>600</v>
      </c>
      <c r="BT63" s="317" t="s">
        <v>600</v>
      </c>
      <c r="BU63" s="317" t="s">
        <v>600</v>
      </c>
      <c r="BV63" s="317" t="s">
        <v>600</v>
      </c>
      <c r="BW63" s="317" t="s">
        <v>600</v>
      </c>
      <c r="BX63" s="317" t="s">
        <v>600</v>
      </c>
      <c r="BY63" s="317" t="s">
        <v>600</v>
      </c>
      <c r="BZ63" s="317" t="s">
        <v>600</v>
      </c>
      <c r="CA63" s="317" t="s">
        <v>600</v>
      </c>
      <c r="CB63" s="317" t="s">
        <v>600</v>
      </c>
      <c r="CC63" s="317" t="s">
        <v>600</v>
      </c>
      <c r="CD63" s="317" t="s">
        <v>600</v>
      </c>
      <c r="CE63" s="317" t="s">
        <v>600</v>
      </c>
      <c r="CF63" s="317" t="s">
        <v>600</v>
      </c>
      <c r="CG63" s="317" t="s">
        <v>600</v>
      </c>
      <c r="CH63" s="317" t="s">
        <v>600</v>
      </c>
      <c r="CI63" s="317" t="s">
        <v>600</v>
      </c>
      <c r="CJ63" s="317" t="s">
        <v>600</v>
      </c>
      <c r="CK63" s="317" t="s">
        <v>600</v>
      </c>
      <c r="CL63" s="317" t="s">
        <v>600</v>
      </c>
      <c r="CM63" s="317" t="s">
        <v>600</v>
      </c>
      <c r="CN63" s="317" t="s">
        <v>600</v>
      </c>
      <c r="CO63" s="317" t="s">
        <v>600</v>
      </c>
      <c r="CP63" s="317" t="s">
        <v>600</v>
      </c>
      <c r="CQ63" s="319"/>
      <c r="CR63" s="319">
        <v>2021.0</v>
      </c>
      <c r="CS63" s="320" t="s">
        <v>850</v>
      </c>
      <c r="CT63" s="334" t="s">
        <v>122</v>
      </c>
      <c r="CU63" s="326" t="s">
        <v>600</v>
      </c>
      <c r="CV63" s="320" t="s">
        <v>979</v>
      </c>
      <c r="CW63" s="319"/>
      <c r="CX63" s="319"/>
      <c r="CY63" s="323">
        <f t="shared" si="24"/>
        <v>0.108</v>
      </c>
      <c r="CZ63" s="324">
        <v>0.544</v>
      </c>
      <c r="DA63" s="323">
        <v>0.436</v>
      </c>
      <c r="DB63" s="323"/>
      <c r="DC63" s="323">
        <f t="shared" si="25"/>
        <v>0.104</v>
      </c>
      <c r="DD63" s="324">
        <v>0.499</v>
      </c>
      <c r="DE63" s="323">
        <v>0.395</v>
      </c>
      <c r="DF63" s="323"/>
      <c r="DG63" s="323">
        <v>0.384</v>
      </c>
      <c r="DH63" s="324">
        <v>0.397</v>
      </c>
      <c r="DI63" s="323">
        <v>0.02</v>
      </c>
      <c r="DJ63" s="323">
        <v>0.017</v>
      </c>
      <c r="DK63" s="323">
        <v>0.195</v>
      </c>
      <c r="DL63" s="323">
        <v>0.002</v>
      </c>
      <c r="DM63" s="323"/>
      <c r="DN63" s="323">
        <v>0.247</v>
      </c>
      <c r="DO63" s="323">
        <v>0.402</v>
      </c>
      <c r="DP63" s="323">
        <v>0.245</v>
      </c>
    </row>
    <row r="64">
      <c r="A64" s="311" t="s">
        <v>1072</v>
      </c>
      <c r="B64" s="311" t="s">
        <v>1340</v>
      </c>
      <c r="C64" s="311" t="s">
        <v>1060</v>
      </c>
      <c r="D64" s="311">
        <v>8.0</v>
      </c>
      <c r="E64" s="312">
        <f t="shared" si="19"/>
        <v>0.6666666667</v>
      </c>
      <c r="F64" s="312" t="str">
        <f t="shared" si="20"/>
        <v>#DIV/0!</v>
      </c>
      <c r="G64" s="312" t="str">
        <f t="shared" si="21"/>
        <v>#DIV/0!</v>
      </c>
      <c r="H64" s="312" t="str">
        <f t="shared" si="22"/>
        <v>#DIV/0!</v>
      </c>
      <c r="I64" s="312" t="str">
        <f t="shared" ref="I64:I73" si="46">(COUNTIF(AW64:BP64, "Nay")+COUNTIF(AW64:BP64, "Yea (Amend)")+(0.5*COUNTIF(AW64:BP64, "Present")))/(COUNTIF(AW64:BP64, "Nay")+COUNTIF(AW64:BP64, "Yea (Amend)")+COUNTIF(AW64:BP64, "Yea")+COUNTIF(AW64:BP64, "Nay (Amend)")+COUNTIF(AW64:BP64, "Present"))</f>
        <v>#DIV/0!</v>
      </c>
      <c r="J64" s="312" t="str">
        <f t="shared" ref="J64:J67" si="47">(COUNTIF(BQ64:CL64, "Nay")+COUNTIF(BQ64:CL64, "Yea (Amend)")+(0.5*COUNTIF(BQ64:CL64, "Present")))/(COUNTIF(BQ64:CL64, "Nay")+COUNTIF(BQ64:CL64, "Yea (Amend)")+COUNTIF(BQ64:CL64, "Yea")+COUNTIF(BQ64:CL64, "Nay (Amend)")+COUNTIF(BQ64:CL64, "Present"))</f>
        <v>#DIV/0!</v>
      </c>
      <c r="K64" s="312" t="str">
        <f t="shared" ref="K64:K67" si="48">(COUNTIF(CM64:CP64, "Nay")+COUNTIF(CM64:CP64, "Yea (Amend)")+(0.5*COUNTIF(CM64:CP64, "Present")))/(COUNTIF(CM64:CP64, "Nay")+COUNTIF(CM64:CP64, "Yea (Amend)")+COUNTIF(CM64:CP64, "Yea")+COUNTIF(CM64:CP64, "Nay (Amend)")+COUNTIF(CM64:CP64, "Present"))</f>
        <v>#DIV/0!</v>
      </c>
      <c r="L64" s="316" t="str">
        <f t="shared" si="23"/>
        <v>#DIV/0!</v>
      </c>
      <c r="M64" s="317" t="s">
        <v>487</v>
      </c>
      <c r="N64" s="317" t="s">
        <v>594</v>
      </c>
      <c r="O64" s="317" t="s">
        <v>487</v>
      </c>
      <c r="P64" s="317" t="s">
        <v>594</v>
      </c>
      <c r="Q64" s="317" t="s">
        <v>487</v>
      </c>
      <c r="R64" s="317" t="s">
        <v>487</v>
      </c>
      <c r="S64" s="318" t="s">
        <v>561</v>
      </c>
      <c r="T64" s="318" t="s">
        <v>561</v>
      </c>
      <c r="U64" s="330" t="s">
        <v>561</v>
      </c>
      <c r="V64" s="330" t="s">
        <v>561</v>
      </c>
      <c r="W64" s="318" t="s">
        <v>2795</v>
      </c>
      <c r="X64" s="340" t="s">
        <v>561</v>
      </c>
      <c r="Y64" s="318" t="s">
        <v>2795</v>
      </c>
      <c r="Z64" s="317" t="s">
        <v>2795</v>
      </c>
      <c r="AA64" s="317" t="s">
        <v>561</v>
      </c>
      <c r="AB64" s="317" t="s">
        <v>53</v>
      </c>
      <c r="AC64" s="317" t="s">
        <v>2795</v>
      </c>
      <c r="AD64" s="317" t="s">
        <v>2795</v>
      </c>
      <c r="AE64" s="317" t="s">
        <v>561</v>
      </c>
      <c r="AF64" s="317" t="s">
        <v>561</v>
      </c>
      <c r="AG64" s="317" t="s">
        <v>561</v>
      </c>
      <c r="AH64" s="317" t="s">
        <v>561</v>
      </c>
      <c r="AI64" s="317" t="s">
        <v>561</v>
      </c>
      <c r="AJ64" s="317" t="s">
        <v>2795</v>
      </c>
      <c r="AK64" s="317" t="s">
        <v>2807</v>
      </c>
      <c r="AL64" s="317" t="s">
        <v>2795</v>
      </c>
      <c r="AM64" s="317" t="s">
        <v>2795</v>
      </c>
      <c r="AN64" s="317" t="s">
        <v>2795</v>
      </c>
      <c r="AO64" s="317" t="s">
        <v>2795</v>
      </c>
      <c r="AP64" s="317" t="s">
        <v>561</v>
      </c>
      <c r="AQ64" s="317" t="s">
        <v>561</v>
      </c>
      <c r="AR64" s="317" t="s">
        <v>561</v>
      </c>
      <c r="AS64" s="317" t="s">
        <v>2795</v>
      </c>
      <c r="AT64" s="317" t="s">
        <v>561</v>
      </c>
      <c r="AU64" s="317" t="s">
        <v>53</v>
      </c>
      <c r="AV64" s="317" t="s">
        <v>2807</v>
      </c>
      <c r="AW64" s="317" t="s">
        <v>561</v>
      </c>
      <c r="AX64" s="317" t="s">
        <v>561</v>
      </c>
      <c r="AY64" s="317" t="s">
        <v>561</v>
      </c>
      <c r="AZ64" s="317" t="s">
        <v>561</v>
      </c>
      <c r="BA64" s="317" t="s">
        <v>2796</v>
      </c>
      <c r="BB64" s="317" t="s">
        <v>561</v>
      </c>
      <c r="BC64" s="317" t="s">
        <v>2806</v>
      </c>
      <c r="BD64" s="317" t="s">
        <v>2795</v>
      </c>
      <c r="BE64" s="317" t="s">
        <v>801</v>
      </c>
      <c r="BF64" s="317" t="s">
        <v>561</v>
      </c>
      <c r="BG64" s="317" t="s">
        <v>561</v>
      </c>
      <c r="BH64" s="317" t="s">
        <v>561</v>
      </c>
      <c r="BI64" s="317" t="s">
        <v>561</v>
      </c>
      <c r="BJ64" s="317" t="s">
        <v>561</v>
      </c>
      <c r="BK64" s="317" t="s">
        <v>561</v>
      </c>
      <c r="BL64" s="317" t="s">
        <v>2796</v>
      </c>
      <c r="BM64" s="317" t="s">
        <v>2796</v>
      </c>
      <c r="BN64" s="317" t="s">
        <v>53</v>
      </c>
      <c r="BO64" s="317" t="s">
        <v>2796</v>
      </c>
      <c r="BP64" s="317" t="s">
        <v>2796</v>
      </c>
      <c r="BQ64" s="317" t="s">
        <v>53</v>
      </c>
      <c r="BR64" s="317" t="s">
        <v>53</v>
      </c>
      <c r="BS64" s="317" t="s">
        <v>53</v>
      </c>
      <c r="BT64" s="317" t="s">
        <v>561</v>
      </c>
      <c r="BU64" s="317" t="s">
        <v>53</v>
      </c>
      <c r="BV64" s="317" t="s">
        <v>561</v>
      </c>
      <c r="BW64" s="317" t="s">
        <v>53</v>
      </c>
      <c r="BX64" s="317" t="s">
        <v>801</v>
      </c>
      <c r="BY64" s="317" t="s">
        <v>561</v>
      </c>
      <c r="BZ64" s="317" t="s">
        <v>53</v>
      </c>
      <c r="CA64" s="317" t="s">
        <v>53</v>
      </c>
      <c r="CB64" s="317" t="s">
        <v>561</v>
      </c>
      <c r="CC64" s="317" t="s">
        <v>561</v>
      </c>
      <c r="CD64" s="317" t="s">
        <v>561</v>
      </c>
      <c r="CE64" s="317" t="s">
        <v>561</v>
      </c>
      <c r="CF64" s="317" t="s">
        <v>53</v>
      </c>
      <c r="CG64" s="317" t="s">
        <v>561</v>
      </c>
      <c r="CH64" s="317" t="s">
        <v>561</v>
      </c>
      <c r="CI64" s="317" t="s">
        <v>561</v>
      </c>
      <c r="CJ64" s="317" t="s">
        <v>2806</v>
      </c>
      <c r="CK64" s="317" t="s">
        <v>53</v>
      </c>
      <c r="CL64" s="317" t="s">
        <v>561</v>
      </c>
      <c r="CM64" s="317" t="s">
        <v>561</v>
      </c>
      <c r="CN64" s="317" t="s">
        <v>561</v>
      </c>
      <c r="CO64" s="317" t="s">
        <v>53</v>
      </c>
      <c r="CP64" s="317" t="s">
        <v>561</v>
      </c>
      <c r="CQ64" s="319"/>
      <c r="CR64" s="319">
        <v>2015.0</v>
      </c>
      <c r="CS64" s="343" t="s">
        <v>1199</v>
      </c>
      <c r="CT64" s="319"/>
      <c r="CU64" s="319" t="s">
        <v>23</v>
      </c>
      <c r="CV64" s="332" t="s">
        <v>75</v>
      </c>
      <c r="CW64" s="319"/>
      <c r="CX64" s="319"/>
      <c r="CY64" s="323">
        <f t="shared" si="24"/>
        <v>0.561</v>
      </c>
      <c r="CZ64" s="324">
        <v>0.774</v>
      </c>
      <c r="DA64" s="323">
        <v>0.213</v>
      </c>
      <c r="DB64" s="323"/>
      <c r="DC64" s="323">
        <f t="shared" si="25"/>
        <v>0.516</v>
      </c>
      <c r="DD64" s="324">
        <v>0.723</v>
      </c>
      <c r="DE64" s="323">
        <v>0.207</v>
      </c>
      <c r="DF64" s="323"/>
      <c r="DG64" s="324">
        <v>0.522</v>
      </c>
      <c r="DH64" s="323">
        <v>0.184</v>
      </c>
      <c r="DI64" s="323">
        <v>0.14</v>
      </c>
      <c r="DJ64" s="323">
        <v>0.145</v>
      </c>
      <c r="DK64" s="323">
        <v>0.019</v>
      </c>
      <c r="DL64" s="323">
        <v>0.002</v>
      </c>
      <c r="DM64" s="323"/>
      <c r="DN64" s="324">
        <v>0.639</v>
      </c>
      <c r="DO64" s="324">
        <v>0.7859999999999999</v>
      </c>
      <c r="DP64" s="323">
        <v>0.134</v>
      </c>
    </row>
    <row r="65">
      <c r="A65" s="311" t="s">
        <v>1251</v>
      </c>
      <c r="B65" s="311" t="s">
        <v>1252</v>
      </c>
      <c r="C65" s="311" t="s">
        <v>2824</v>
      </c>
      <c r="D65" s="311">
        <v>9.0</v>
      </c>
      <c r="E65" s="312">
        <f t="shared" si="19"/>
        <v>0.3333333333</v>
      </c>
      <c r="F65" s="312" t="str">
        <f t="shared" si="20"/>
        <v>#DIV/0!</v>
      </c>
      <c r="G65" s="312" t="str">
        <f t="shared" si="21"/>
        <v>#DIV/0!</v>
      </c>
      <c r="H65" s="312" t="str">
        <f t="shared" si="22"/>
        <v>#DIV/0!</v>
      </c>
      <c r="I65" s="312" t="str">
        <f t="shared" si="46"/>
        <v>#DIV/0!</v>
      </c>
      <c r="J65" s="312" t="str">
        <f t="shared" si="47"/>
        <v>#DIV/0!</v>
      </c>
      <c r="K65" s="312" t="str">
        <f t="shared" si="48"/>
        <v>#DIV/0!</v>
      </c>
      <c r="L65" s="316" t="str">
        <f t="shared" si="23"/>
        <v>#DIV/0!</v>
      </c>
      <c r="M65" s="317" t="s">
        <v>487</v>
      </c>
      <c r="N65" s="317" t="s">
        <v>487</v>
      </c>
      <c r="O65" s="317" t="s">
        <v>594</v>
      </c>
      <c r="P65" s="317" t="s">
        <v>594</v>
      </c>
      <c r="Q65" s="317" t="s">
        <v>594</v>
      </c>
      <c r="R65" s="317" t="s">
        <v>594</v>
      </c>
      <c r="S65" s="318" t="s">
        <v>561</v>
      </c>
      <c r="T65" s="318" t="s">
        <v>561</v>
      </c>
      <c r="U65" s="330" t="s">
        <v>561</v>
      </c>
      <c r="V65" s="330" t="s">
        <v>561</v>
      </c>
      <c r="W65" s="318" t="s">
        <v>2795</v>
      </c>
      <c r="X65" s="340" t="s">
        <v>561</v>
      </c>
      <c r="Y65" s="318" t="s">
        <v>2795</v>
      </c>
      <c r="Z65" s="317" t="s">
        <v>2795</v>
      </c>
      <c r="AA65" s="317" t="s">
        <v>561</v>
      </c>
      <c r="AB65" s="317" t="s">
        <v>53</v>
      </c>
      <c r="AC65" s="317" t="s">
        <v>2795</v>
      </c>
      <c r="AD65" s="317" t="s">
        <v>2795</v>
      </c>
      <c r="AE65" s="317" t="s">
        <v>53</v>
      </c>
      <c r="AF65" s="317" t="s">
        <v>561</v>
      </c>
      <c r="AG65" s="317" t="s">
        <v>561</v>
      </c>
      <c r="AH65" s="317" t="s">
        <v>53</v>
      </c>
      <c r="AI65" s="317" t="s">
        <v>561</v>
      </c>
      <c r="AJ65" s="317" t="s">
        <v>2795</v>
      </c>
      <c r="AK65" s="317" t="s">
        <v>2807</v>
      </c>
      <c r="AL65" s="317" t="s">
        <v>801</v>
      </c>
      <c r="AM65" s="317" t="s">
        <v>2795</v>
      </c>
      <c r="AN65" s="317" t="s">
        <v>2795</v>
      </c>
      <c r="AO65" s="317" t="s">
        <v>2795</v>
      </c>
      <c r="AP65" s="317" t="s">
        <v>561</v>
      </c>
      <c r="AQ65" s="317" t="s">
        <v>561</v>
      </c>
      <c r="AR65" s="317" t="s">
        <v>561</v>
      </c>
      <c r="AS65" s="317" t="s">
        <v>2795</v>
      </c>
      <c r="AT65" s="317" t="s">
        <v>561</v>
      </c>
      <c r="AU65" s="317" t="s">
        <v>53</v>
      </c>
      <c r="AV65" s="317" t="s">
        <v>2795</v>
      </c>
      <c r="AW65" s="317" t="s">
        <v>561</v>
      </c>
      <c r="AX65" s="317" t="s">
        <v>561</v>
      </c>
      <c r="AY65" s="317" t="s">
        <v>561</v>
      </c>
      <c r="AZ65" s="317" t="s">
        <v>561</v>
      </c>
      <c r="BA65" s="317" t="s">
        <v>2796</v>
      </c>
      <c r="BB65" s="317" t="s">
        <v>561</v>
      </c>
      <c r="BC65" s="317" t="s">
        <v>2796</v>
      </c>
      <c r="BD65" s="317" t="s">
        <v>2795</v>
      </c>
      <c r="BE65" s="317" t="s">
        <v>53</v>
      </c>
      <c r="BF65" s="317" t="s">
        <v>561</v>
      </c>
      <c r="BG65" s="317" t="s">
        <v>53</v>
      </c>
      <c r="BH65" s="317" t="s">
        <v>561</v>
      </c>
      <c r="BI65" s="317" t="s">
        <v>561</v>
      </c>
      <c r="BJ65" s="317" t="s">
        <v>53</v>
      </c>
      <c r="BK65" s="317" t="s">
        <v>561</v>
      </c>
      <c r="BL65" s="317" t="s">
        <v>2796</v>
      </c>
      <c r="BM65" s="317" t="s">
        <v>2796</v>
      </c>
      <c r="BN65" s="317" t="s">
        <v>561</v>
      </c>
      <c r="BO65" s="317" t="s">
        <v>2796</v>
      </c>
      <c r="BP65" s="317" t="s">
        <v>2796</v>
      </c>
      <c r="BQ65" s="317" t="s">
        <v>53</v>
      </c>
      <c r="BR65" s="317" t="s">
        <v>53</v>
      </c>
      <c r="BS65" s="317" t="s">
        <v>53</v>
      </c>
      <c r="BT65" s="317" t="s">
        <v>561</v>
      </c>
      <c r="BU65" s="317" t="s">
        <v>53</v>
      </c>
      <c r="BV65" s="317" t="s">
        <v>561</v>
      </c>
      <c r="BW65" s="317" t="s">
        <v>53</v>
      </c>
      <c r="BX65" s="317" t="s">
        <v>561</v>
      </c>
      <c r="BY65" s="317" t="s">
        <v>53</v>
      </c>
      <c r="BZ65" s="317" t="s">
        <v>561</v>
      </c>
      <c r="CA65" s="317" t="s">
        <v>53</v>
      </c>
      <c r="CB65" s="317" t="s">
        <v>53</v>
      </c>
      <c r="CC65" s="317" t="s">
        <v>53</v>
      </c>
      <c r="CD65" s="317" t="s">
        <v>561</v>
      </c>
      <c r="CE65" s="317" t="s">
        <v>561</v>
      </c>
      <c r="CF65" s="317" t="s">
        <v>53</v>
      </c>
      <c r="CG65" s="317" t="s">
        <v>561</v>
      </c>
      <c r="CH65" s="317" t="s">
        <v>53</v>
      </c>
      <c r="CI65" s="317" t="s">
        <v>561</v>
      </c>
      <c r="CJ65" s="317" t="s">
        <v>2806</v>
      </c>
      <c r="CK65" s="317" t="s">
        <v>53</v>
      </c>
      <c r="CL65" s="317" t="s">
        <v>561</v>
      </c>
      <c r="CM65" s="317" t="s">
        <v>561</v>
      </c>
      <c r="CN65" s="317" t="s">
        <v>561</v>
      </c>
      <c r="CO65" s="317" t="s">
        <v>53</v>
      </c>
      <c r="CP65" s="317" t="s">
        <v>53</v>
      </c>
      <c r="CQ65" s="319"/>
      <c r="CR65" s="319">
        <v>2005.0</v>
      </c>
      <c r="CS65" s="342" t="s">
        <v>2476</v>
      </c>
      <c r="CT65" s="319"/>
      <c r="CU65" s="319" t="s">
        <v>1822</v>
      </c>
      <c r="CV65" s="327" t="s">
        <v>28</v>
      </c>
      <c r="CW65" s="319"/>
      <c r="CX65" s="319"/>
      <c r="CY65" s="323">
        <f t="shared" si="24"/>
        <v>0.535</v>
      </c>
      <c r="CZ65" s="324">
        <v>0.762</v>
      </c>
      <c r="DA65" s="323">
        <v>0.22699999999999998</v>
      </c>
      <c r="DB65" s="323"/>
      <c r="DC65" s="323">
        <f t="shared" si="25"/>
        <v>0.573</v>
      </c>
      <c r="DD65" s="324">
        <v>0.77</v>
      </c>
      <c r="DE65" s="323">
        <v>0.19699999999999998</v>
      </c>
      <c r="DF65" s="323"/>
      <c r="DG65" s="323">
        <v>0.139</v>
      </c>
      <c r="DH65" s="323">
        <v>0.364</v>
      </c>
      <c r="DI65" s="324">
        <v>0.386</v>
      </c>
      <c r="DJ65" s="323">
        <v>0.11199999999999999</v>
      </c>
      <c r="DK65" s="323">
        <v>0.022000000000000002</v>
      </c>
      <c r="DL65" s="323">
        <v>0.002</v>
      </c>
      <c r="DM65" s="323"/>
      <c r="DN65" s="323">
        <v>0.308</v>
      </c>
      <c r="DO65" s="324">
        <v>0.547</v>
      </c>
      <c r="DP65" s="323">
        <v>0.086</v>
      </c>
    </row>
    <row r="66">
      <c r="A66" s="311" t="s">
        <v>295</v>
      </c>
      <c r="B66" s="311" t="s">
        <v>296</v>
      </c>
      <c r="C66" s="311" t="s">
        <v>1197</v>
      </c>
      <c r="D66" s="311">
        <v>38.0</v>
      </c>
      <c r="E66" s="312">
        <f t="shared" si="19"/>
        <v>0.5</v>
      </c>
      <c r="F66" s="312" t="str">
        <f t="shared" si="20"/>
        <v>#DIV/0!</v>
      </c>
      <c r="G66" s="312" t="str">
        <f t="shared" si="21"/>
        <v>#DIV/0!</v>
      </c>
      <c r="H66" s="312" t="str">
        <f t="shared" si="22"/>
        <v>#DIV/0!</v>
      </c>
      <c r="I66" s="312" t="str">
        <f t="shared" si="46"/>
        <v>#DIV/0!</v>
      </c>
      <c r="J66" s="312" t="str">
        <f t="shared" si="47"/>
        <v>#DIV/0!</v>
      </c>
      <c r="K66" s="312" t="str">
        <f t="shared" si="48"/>
        <v>#DIV/0!</v>
      </c>
      <c r="L66" s="316" t="str">
        <f t="shared" si="23"/>
        <v>#DIV/0!</v>
      </c>
      <c r="M66" s="317" t="s">
        <v>487</v>
      </c>
      <c r="N66" s="317" t="s">
        <v>487</v>
      </c>
      <c r="O66" s="317" t="s">
        <v>594</v>
      </c>
      <c r="P66" s="317" t="s">
        <v>594</v>
      </c>
      <c r="Q66" s="317" t="s">
        <v>487</v>
      </c>
      <c r="R66" s="317" t="s">
        <v>594</v>
      </c>
      <c r="S66" s="318" t="s">
        <v>561</v>
      </c>
      <c r="T66" s="318" t="s">
        <v>561</v>
      </c>
      <c r="U66" s="330" t="s">
        <v>561</v>
      </c>
      <c r="V66" s="330" t="s">
        <v>561</v>
      </c>
      <c r="W66" s="318" t="s">
        <v>2795</v>
      </c>
      <c r="X66" s="340" t="s">
        <v>561</v>
      </c>
      <c r="Y66" s="318" t="s">
        <v>2795</v>
      </c>
      <c r="Z66" s="317" t="s">
        <v>2795</v>
      </c>
      <c r="AA66" s="317" t="s">
        <v>561</v>
      </c>
      <c r="AB66" s="317" t="s">
        <v>53</v>
      </c>
      <c r="AC66" s="317" t="s">
        <v>2795</v>
      </c>
      <c r="AD66" s="317" t="s">
        <v>2795</v>
      </c>
      <c r="AE66" s="317" t="s">
        <v>561</v>
      </c>
      <c r="AF66" s="317" t="s">
        <v>561</v>
      </c>
      <c r="AG66" s="317" t="s">
        <v>561</v>
      </c>
      <c r="AH66" s="317" t="s">
        <v>561</v>
      </c>
      <c r="AI66" s="317" t="s">
        <v>561</v>
      </c>
      <c r="AJ66" s="317" t="s">
        <v>2795</v>
      </c>
      <c r="AK66" s="317" t="s">
        <v>2795</v>
      </c>
      <c r="AL66" s="317" t="s">
        <v>2795</v>
      </c>
      <c r="AM66" s="317" t="s">
        <v>2795</v>
      </c>
      <c r="AN66" s="317" t="s">
        <v>2795</v>
      </c>
      <c r="AO66" s="317" t="s">
        <v>2795</v>
      </c>
      <c r="AP66" s="317" t="s">
        <v>561</v>
      </c>
      <c r="AQ66" s="317" t="s">
        <v>561</v>
      </c>
      <c r="AR66" s="317" t="s">
        <v>561</v>
      </c>
      <c r="AS66" s="317" t="s">
        <v>2795</v>
      </c>
      <c r="AT66" s="317" t="s">
        <v>561</v>
      </c>
      <c r="AU66" s="317" t="s">
        <v>561</v>
      </c>
      <c r="AV66" s="317" t="s">
        <v>2795</v>
      </c>
      <c r="AW66" s="317" t="s">
        <v>561</v>
      </c>
      <c r="AX66" s="317" t="s">
        <v>561</v>
      </c>
      <c r="AY66" s="317" t="s">
        <v>561</v>
      </c>
      <c r="AZ66" s="317" t="s">
        <v>561</v>
      </c>
      <c r="BA66" s="317" t="s">
        <v>801</v>
      </c>
      <c r="BB66" s="317" t="s">
        <v>561</v>
      </c>
      <c r="BC66" s="317" t="s">
        <v>2796</v>
      </c>
      <c r="BD66" s="317" t="s">
        <v>2795</v>
      </c>
      <c r="BE66" s="317" t="s">
        <v>561</v>
      </c>
      <c r="BF66" s="317" t="s">
        <v>561</v>
      </c>
      <c r="BG66" s="317" t="s">
        <v>53</v>
      </c>
      <c r="BH66" s="317" t="s">
        <v>561</v>
      </c>
      <c r="BI66" s="317" t="s">
        <v>561</v>
      </c>
      <c r="BJ66" s="317" t="s">
        <v>561</v>
      </c>
      <c r="BK66" s="317" t="s">
        <v>561</v>
      </c>
      <c r="BL66" s="317" t="s">
        <v>2796</v>
      </c>
      <c r="BM66" s="317" t="s">
        <v>2796</v>
      </c>
      <c r="BN66" s="317" t="s">
        <v>53</v>
      </c>
      <c r="BO66" s="317" t="s">
        <v>2796</v>
      </c>
      <c r="BP66" s="317" t="s">
        <v>2796</v>
      </c>
      <c r="BQ66" s="317" t="s">
        <v>53</v>
      </c>
      <c r="BR66" s="317" t="s">
        <v>53</v>
      </c>
      <c r="BS66" s="317" t="s">
        <v>53</v>
      </c>
      <c r="BT66" s="317" t="s">
        <v>561</v>
      </c>
      <c r="BU66" s="317" t="s">
        <v>801</v>
      </c>
      <c r="BV66" s="317" t="s">
        <v>53</v>
      </c>
      <c r="BW66" s="317" t="s">
        <v>53</v>
      </c>
      <c r="BX66" s="317" t="s">
        <v>561</v>
      </c>
      <c r="BY66" s="317" t="s">
        <v>53</v>
      </c>
      <c r="BZ66" s="317" t="s">
        <v>561</v>
      </c>
      <c r="CA66" s="317" t="s">
        <v>53</v>
      </c>
      <c r="CB66" s="317" t="s">
        <v>561</v>
      </c>
      <c r="CC66" s="317" t="s">
        <v>561</v>
      </c>
      <c r="CD66" s="317" t="s">
        <v>561</v>
      </c>
      <c r="CE66" s="317" t="s">
        <v>561</v>
      </c>
      <c r="CF66" s="317" t="s">
        <v>53</v>
      </c>
      <c r="CG66" s="317" t="s">
        <v>561</v>
      </c>
      <c r="CH66" s="317" t="s">
        <v>561</v>
      </c>
      <c r="CI66" s="317" t="s">
        <v>53</v>
      </c>
      <c r="CJ66" s="317" t="s">
        <v>2796</v>
      </c>
      <c r="CK66" s="317" t="s">
        <v>561</v>
      </c>
      <c r="CL66" s="317" t="s">
        <v>561</v>
      </c>
      <c r="CM66" s="317" t="s">
        <v>561</v>
      </c>
      <c r="CN66" s="317" t="s">
        <v>561</v>
      </c>
      <c r="CO66" s="317" t="s">
        <v>53</v>
      </c>
      <c r="CP66" s="317" t="s">
        <v>561</v>
      </c>
      <c r="CQ66" s="319"/>
      <c r="CR66" s="319">
        <v>2003.0</v>
      </c>
      <c r="CS66" s="320" t="s">
        <v>850</v>
      </c>
      <c r="CT66" s="334" t="s">
        <v>122</v>
      </c>
      <c r="CU66" s="319" t="s">
        <v>1132</v>
      </c>
      <c r="CV66" s="320" t="s">
        <v>83</v>
      </c>
      <c r="CW66" s="319"/>
      <c r="CX66" s="319"/>
      <c r="CY66" s="323">
        <f t="shared" si="24"/>
        <v>0.302</v>
      </c>
      <c r="CZ66" s="324">
        <v>0.6409999999999999</v>
      </c>
      <c r="DA66" s="323">
        <v>0.33899999999999997</v>
      </c>
      <c r="DB66" s="323"/>
      <c r="DC66" s="323">
        <f t="shared" si="25"/>
        <v>0.359</v>
      </c>
      <c r="DD66" s="324">
        <v>0.652</v>
      </c>
      <c r="DE66" s="323">
        <v>0.293</v>
      </c>
      <c r="DF66" s="323"/>
      <c r="DG66" s="323">
        <v>0.151</v>
      </c>
      <c r="DH66" s="324">
        <v>0.583</v>
      </c>
      <c r="DI66" s="323">
        <v>0.027000000000000003</v>
      </c>
      <c r="DJ66" s="323">
        <v>0.23800000000000002</v>
      </c>
      <c r="DK66" s="323">
        <v>0.036000000000000004</v>
      </c>
      <c r="DL66" s="323">
        <v>0.005</v>
      </c>
      <c r="DM66" s="323"/>
      <c r="DN66" s="323">
        <v>0.28600000000000003</v>
      </c>
      <c r="DO66" s="323">
        <v>0.317</v>
      </c>
      <c r="DP66" s="323">
        <v>0.134</v>
      </c>
    </row>
    <row r="67">
      <c r="A67" s="311" t="s">
        <v>541</v>
      </c>
      <c r="B67" s="311" t="s">
        <v>1222</v>
      </c>
      <c r="C67" s="311" t="s">
        <v>1206</v>
      </c>
      <c r="D67" s="311">
        <v>1.0</v>
      </c>
      <c r="E67" s="312">
        <f t="shared" si="19"/>
        <v>0.6666666667</v>
      </c>
      <c r="F67" s="312" t="str">
        <f t="shared" si="20"/>
        <v>#DIV/0!</v>
      </c>
      <c r="G67" s="312" t="str">
        <f t="shared" si="21"/>
        <v>#DIV/0!</v>
      </c>
      <c r="H67" s="312" t="str">
        <f t="shared" si="22"/>
        <v>#DIV/0!</v>
      </c>
      <c r="I67" s="312" t="str">
        <f t="shared" si="46"/>
        <v>#DIV/0!</v>
      </c>
      <c r="J67" s="312" t="str">
        <f t="shared" si="47"/>
        <v>#DIV/0!</v>
      </c>
      <c r="K67" s="312" t="str">
        <f t="shared" si="48"/>
        <v>#DIV/0!</v>
      </c>
      <c r="L67" s="316" t="str">
        <f t="shared" si="23"/>
        <v>#DIV/0!</v>
      </c>
      <c r="M67" s="317" t="s">
        <v>487</v>
      </c>
      <c r="N67" s="317" t="s">
        <v>487</v>
      </c>
      <c r="O67" s="317" t="s">
        <v>487</v>
      </c>
      <c r="P67" s="317" t="s">
        <v>594</v>
      </c>
      <c r="Q67" s="317" t="s">
        <v>487</v>
      </c>
      <c r="R67" s="317" t="s">
        <v>594</v>
      </c>
      <c r="S67" s="318" t="s">
        <v>561</v>
      </c>
      <c r="T67" s="318" t="s">
        <v>561</v>
      </c>
      <c r="U67" s="330" t="s">
        <v>561</v>
      </c>
      <c r="V67" s="330" t="s">
        <v>561</v>
      </c>
      <c r="W67" s="318" t="s">
        <v>2795</v>
      </c>
      <c r="X67" s="340" t="s">
        <v>561</v>
      </c>
      <c r="Y67" s="318" t="s">
        <v>2795</v>
      </c>
      <c r="Z67" s="317" t="s">
        <v>2795</v>
      </c>
      <c r="AA67" s="317" t="s">
        <v>561</v>
      </c>
      <c r="AB67" s="317" t="s">
        <v>561</v>
      </c>
      <c r="AC67" s="317" t="s">
        <v>2795</v>
      </c>
      <c r="AD67" s="317" t="s">
        <v>2795</v>
      </c>
      <c r="AE67" s="317" t="s">
        <v>561</v>
      </c>
      <c r="AF67" s="317" t="s">
        <v>561</v>
      </c>
      <c r="AG67" s="317" t="s">
        <v>561</v>
      </c>
      <c r="AH67" s="317" t="s">
        <v>561</v>
      </c>
      <c r="AI67" s="317" t="s">
        <v>561</v>
      </c>
      <c r="AJ67" s="317" t="s">
        <v>2795</v>
      </c>
      <c r="AK67" s="317" t="s">
        <v>2807</v>
      </c>
      <c r="AL67" s="317" t="s">
        <v>2795</v>
      </c>
      <c r="AM67" s="317" t="s">
        <v>2795</v>
      </c>
      <c r="AN67" s="317" t="s">
        <v>2795</v>
      </c>
      <c r="AO67" s="317" t="s">
        <v>2795</v>
      </c>
      <c r="AP67" s="317" t="s">
        <v>561</v>
      </c>
      <c r="AQ67" s="317" t="s">
        <v>561</v>
      </c>
      <c r="AR67" s="317" t="s">
        <v>561</v>
      </c>
      <c r="AS67" s="317" t="s">
        <v>2807</v>
      </c>
      <c r="AT67" s="317" t="s">
        <v>561</v>
      </c>
      <c r="AU67" s="317" t="s">
        <v>561</v>
      </c>
      <c r="AV67" s="317" t="s">
        <v>2807</v>
      </c>
      <c r="AW67" s="317" t="s">
        <v>561</v>
      </c>
      <c r="AX67" s="317" t="s">
        <v>561</v>
      </c>
      <c r="AY67" s="317" t="s">
        <v>561</v>
      </c>
      <c r="AZ67" s="317" t="s">
        <v>561</v>
      </c>
      <c r="BA67" s="317" t="s">
        <v>2796</v>
      </c>
      <c r="BB67" s="317" t="s">
        <v>561</v>
      </c>
      <c r="BC67" s="317" t="s">
        <v>2806</v>
      </c>
      <c r="BD67" s="317" t="s">
        <v>2795</v>
      </c>
      <c r="BE67" s="317" t="s">
        <v>561</v>
      </c>
      <c r="BF67" s="317" t="s">
        <v>561</v>
      </c>
      <c r="BG67" s="317" t="s">
        <v>561</v>
      </c>
      <c r="BH67" s="317" t="s">
        <v>561</v>
      </c>
      <c r="BI67" s="317" t="s">
        <v>561</v>
      </c>
      <c r="BJ67" s="317" t="s">
        <v>53</v>
      </c>
      <c r="BK67" s="317" t="s">
        <v>561</v>
      </c>
      <c r="BL67" s="317" t="s">
        <v>2796</v>
      </c>
      <c r="BM67" s="317" t="s">
        <v>2796</v>
      </c>
      <c r="BN67" s="317" t="s">
        <v>53</v>
      </c>
      <c r="BO67" s="317" t="s">
        <v>2796</v>
      </c>
      <c r="BP67" s="317" t="s">
        <v>2796</v>
      </c>
      <c r="BQ67" s="317" t="s">
        <v>53</v>
      </c>
      <c r="BR67" s="317" t="s">
        <v>53</v>
      </c>
      <c r="BS67" s="317" t="s">
        <v>53</v>
      </c>
      <c r="BT67" s="317" t="s">
        <v>561</v>
      </c>
      <c r="BU67" s="317" t="s">
        <v>561</v>
      </c>
      <c r="BV67" s="317" t="s">
        <v>53</v>
      </c>
      <c r="BW67" s="317" t="s">
        <v>53</v>
      </c>
      <c r="BX67" s="317" t="s">
        <v>561</v>
      </c>
      <c r="BY67" s="317" t="s">
        <v>53</v>
      </c>
      <c r="BZ67" s="317" t="s">
        <v>561</v>
      </c>
      <c r="CA67" s="317" t="s">
        <v>53</v>
      </c>
      <c r="CB67" s="317" t="s">
        <v>561</v>
      </c>
      <c r="CC67" s="317" t="s">
        <v>561</v>
      </c>
      <c r="CD67" s="317" t="s">
        <v>561</v>
      </c>
      <c r="CE67" s="317" t="s">
        <v>53</v>
      </c>
      <c r="CF67" s="317" t="s">
        <v>53</v>
      </c>
      <c r="CG67" s="317" t="s">
        <v>561</v>
      </c>
      <c r="CH67" s="317" t="s">
        <v>561</v>
      </c>
      <c r="CI67" s="317" t="s">
        <v>53</v>
      </c>
      <c r="CJ67" s="317" t="s">
        <v>2806</v>
      </c>
      <c r="CK67" s="317" t="s">
        <v>561</v>
      </c>
      <c r="CL67" s="317" t="s">
        <v>561</v>
      </c>
      <c r="CM67" s="317" t="s">
        <v>561</v>
      </c>
      <c r="CN67" s="317" t="s">
        <v>561</v>
      </c>
      <c r="CO67" s="317" t="s">
        <v>561</v>
      </c>
      <c r="CP67" s="317" t="s">
        <v>561</v>
      </c>
      <c r="CQ67" s="319"/>
      <c r="CR67" s="319">
        <v>2011.0</v>
      </c>
      <c r="CS67" s="320" t="s">
        <v>850</v>
      </c>
      <c r="CT67" s="334" t="s">
        <v>122</v>
      </c>
      <c r="CU67" s="326" t="s">
        <v>2476</v>
      </c>
      <c r="CV67" s="332" t="s">
        <v>75</v>
      </c>
      <c r="CW67" s="333" t="s">
        <v>304</v>
      </c>
      <c r="CX67" s="319"/>
      <c r="CY67" s="323">
        <f t="shared" si="24"/>
        <v>0.291</v>
      </c>
      <c r="CZ67" s="324">
        <v>0.638</v>
      </c>
      <c r="DA67" s="323">
        <v>0.34700000000000003</v>
      </c>
      <c r="DB67" s="323"/>
      <c r="DC67" s="323">
        <f t="shared" si="25"/>
        <v>0.247</v>
      </c>
      <c r="DD67" s="324">
        <v>0.591</v>
      </c>
      <c r="DE67" s="323">
        <v>0.344</v>
      </c>
      <c r="DF67" s="323"/>
      <c r="DG67" s="324">
        <v>0.679</v>
      </c>
      <c r="DH67" s="323">
        <v>0.159</v>
      </c>
      <c r="DI67" s="323">
        <v>0.102</v>
      </c>
      <c r="DJ67" s="323">
        <v>0.045</v>
      </c>
      <c r="DK67" s="323">
        <v>0.018000000000000002</v>
      </c>
      <c r="DL67" s="323">
        <v>0.002</v>
      </c>
      <c r="DM67" s="323"/>
      <c r="DN67" s="323">
        <v>0.355</v>
      </c>
      <c r="DO67" s="323">
        <v>0.39899999999999997</v>
      </c>
      <c r="DP67" s="323">
        <v>0.455</v>
      </c>
    </row>
    <row r="68">
      <c r="A68" s="311" t="s">
        <v>745</v>
      </c>
      <c r="B68" s="311" t="s">
        <v>746</v>
      </c>
      <c r="C68" s="311" t="s">
        <v>677</v>
      </c>
      <c r="D68" s="311">
        <v>3.0</v>
      </c>
      <c r="E68" s="312">
        <f t="shared" si="19"/>
        <v>0.5</v>
      </c>
      <c r="F68" s="312" t="str">
        <f t="shared" si="20"/>
        <v>#DIV/0!</v>
      </c>
      <c r="G68" s="312" t="str">
        <f t="shared" si="21"/>
        <v>#DIV/0!</v>
      </c>
      <c r="H68" s="312" t="str">
        <f t="shared" si="22"/>
        <v>#DIV/0!</v>
      </c>
      <c r="I68" s="312" t="str">
        <f t="shared" si="46"/>
        <v>#DIV/0!</v>
      </c>
      <c r="J68" s="315" t="s">
        <v>2794</v>
      </c>
      <c r="K68" s="315" t="s">
        <v>2794</v>
      </c>
      <c r="L68" s="316" t="str">
        <f t="shared" si="23"/>
        <v>#DIV/0!</v>
      </c>
      <c r="M68" s="317" t="s">
        <v>487</v>
      </c>
      <c r="N68" s="317" t="s">
        <v>487</v>
      </c>
      <c r="O68" s="317" t="s">
        <v>487</v>
      </c>
      <c r="P68" s="317" t="s">
        <v>594</v>
      </c>
      <c r="Q68" s="317" t="s">
        <v>594</v>
      </c>
      <c r="R68" s="317" t="s">
        <v>594</v>
      </c>
      <c r="S68" s="318" t="s">
        <v>561</v>
      </c>
      <c r="T68" s="318" t="s">
        <v>561</v>
      </c>
      <c r="U68" s="330" t="s">
        <v>561</v>
      </c>
      <c r="V68" s="330" t="s">
        <v>561</v>
      </c>
      <c r="W68" s="318" t="s">
        <v>2795</v>
      </c>
      <c r="X68" s="340" t="s">
        <v>561</v>
      </c>
      <c r="Y68" s="318" t="s">
        <v>2795</v>
      </c>
      <c r="Z68" s="317" t="s">
        <v>2795</v>
      </c>
      <c r="AA68" s="317" t="s">
        <v>561</v>
      </c>
      <c r="AB68" s="317" t="s">
        <v>53</v>
      </c>
      <c r="AC68" s="317" t="s">
        <v>2795</v>
      </c>
      <c r="AD68" s="317" t="s">
        <v>2795</v>
      </c>
      <c r="AE68" s="317" t="s">
        <v>561</v>
      </c>
      <c r="AF68" s="317" t="s">
        <v>561</v>
      </c>
      <c r="AG68" s="317" t="s">
        <v>561</v>
      </c>
      <c r="AH68" s="317" t="s">
        <v>561</v>
      </c>
      <c r="AI68" s="317" t="s">
        <v>561</v>
      </c>
      <c r="AJ68" s="317" t="s">
        <v>2795</v>
      </c>
      <c r="AK68" s="317" t="s">
        <v>2795</v>
      </c>
      <c r="AL68" s="317" t="s">
        <v>2795</v>
      </c>
      <c r="AM68" s="317" t="s">
        <v>2807</v>
      </c>
      <c r="AN68" s="317" t="s">
        <v>2795</v>
      </c>
      <c r="AO68" s="317" t="s">
        <v>2795</v>
      </c>
      <c r="AP68" s="317" t="s">
        <v>561</v>
      </c>
      <c r="AQ68" s="317" t="s">
        <v>561</v>
      </c>
      <c r="AR68" s="317" t="s">
        <v>561</v>
      </c>
      <c r="AS68" s="317" t="s">
        <v>2795</v>
      </c>
      <c r="AT68" s="317" t="s">
        <v>561</v>
      </c>
      <c r="AU68" s="317" t="s">
        <v>561</v>
      </c>
      <c r="AV68" s="317" t="s">
        <v>2807</v>
      </c>
      <c r="AW68" s="317" t="s">
        <v>561</v>
      </c>
      <c r="AX68" s="317" t="s">
        <v>561</v>
      </c>
      <c r="AY68" s="317" t="s">
        <v>561</v>
      </c>
      <c r="AZ68" s="317" t="s">
        <v>561</v>
      </c>
      <c r="BA68" s="317" t="s">
        <v>2796</v>
      </c>
      <c r="BB68" s="317" t="s">
        <v>561</v>
      </c>
      <c r="BC68" s="317" t="s">
        <v>2796</v>
      </c>
      <c r="BD68" s="317" t="s">
        <v>2795</v>
      </c>
      <c r="BE68" s="317" t="s">
        <v>53</v>
      </c>
      <c r="BF68" s="317" t="s">
        <v>561</v>
      </c>
      <c r="BG68" s="317" t="s">
        <v>53</v>
      </c>
      <c r="BH68" s="317" t="s">
        <v>561</v>
      </c>
      <c r="BI68" s="317" t="s">
        <v>561</v>
      </c>
      <c r="BJ68" s="317" t="s">
        <v>53</v>
      </c>
      <c r="BK68" s="317" t="s">
        <v>561</v>
      </c>
      <c r="BL68" s="317" t="s">
        <v>2796</v>
      </c>
      <c r="BM68" s="317" t="s">
        <v>2796</v>
      </c>
      <c r="BN68" s="317" t="s">
        <v>53</v>
      </c>
      <c r="BO68" s="317" t="s">
        <v>2796</v>
      </c>
      <c r="BP68" s="317" t="s">
        <v>2806</v>
      </c>
      <c r="BQ68" s="317" t="s">
        <v>600</v>
      </c>
      <c r="BR68" s="317" t="s">
        <v>600</v>
      </c>
      <c r="BS68" s="317" t="s">
        <v>600</v>
      </c>
      <c r="BT68" s="317" t="s">
        <v>600</v>
      </c>
      <c r="BU68" s="317" t="s">
        <v>600</v>
      </c>
      <c r="BV68" s="317" t="s">
        <v>600</v>
      </c>
      <c r="BW68" s="317" t="s">
        <v>600</v>
      </c>
      <c r="BX68" s="317" t="s">
        <v>600</v>
      </c>
      <c r="BY68" s="317" t="s">
        <v>600</v>
      </c>
      <c r="BZ68" s="317" t="s">
        <v>600</v>
      </c>
      <c r="CA68" s="317" t="s">
        <v>600</v>
      </c>
      <c r="CB68" s="317" t="s">
        <v>600</v>
      </c>
      <c r="CC68" s="317" t="s">
        <v>600</v>
      </c>
      <c r="CD68" s="317" t="s">
        <v>600</v>
      </c>
      <c r="CE68" s="317" t="s">
        <v>600</v>
      </c>
      <c r="CF68" s="317" t="s">
        <v>600</v>
      </c>
      <c r="CG68" s="317" t="s">
        <v>600</v>
      </c>
      <c r="CH68" s="317" t="s">
        <v>600</v>
      </c>
      <c r="CI68" s="317" t="s">
        <v>600</v>
      </c>
      <c r="CJ68" s="317" t="s">
        <v>600</v>
      </c>
      <c r="CK68" s="317" t="s">
        <v>600</v>
      </c>
      <c r="CL68" s="317" t="s">
        <v>600</v>
      </c>
      <c r="CM68" s="317" t="s">
        <v>600</v>
      </c>
      <c r="CN68" s="317" t="s">
        <v>600</v>
      </c>
      <c r="CO68" s="317" t="s">
        <v>600</v>
      </c>
      <c r="CP68" s="317" t="s">
        <v>600</v>
      </c>
      <c r="CQ68" s="319"/>
      <c r="CR68" s="319">
        <v>2019.0</v>
      </c>
      <c r="CS68" s="343" t="s">
        <v>1199</v>
      </c>
      <c r="CT68" s="334" t="s">
        <v>122</v>
      </c>
      <c r="CU68" s="319" t="s">
        <v>676</v>
      </c>
      <c r="CV68" s="332" t="s">
        <v>75</v>
      </c>
      <c r="CW68" s="319"/>
      <c r="CX68" s="319"/>
      <c r="CY68" s="323">
        <f t="shared" si="24"/>
        <v>0.274</v>
      </c>
      <c r="CZ68" s="324">
        <v>0.627</v>
      </c>
      <c r="DA68" s="323">
        <v>0.353</v>
      </c>
      <c r="DB68" s="323"/>
      <c r="DC68" s="323">
        <f t="shared" si="25"/>
        <v>0.213</v>
      </c>
      <c r="DD68" s="324">
        <v>0.5670000000000001</v>
      </c>
      <c r="DE68" s="323">
        <v>0.354</v>
      </c>
      <c r="DF68" s="323"/>
      <c r="DG68" s="324">
        <v>0.643</v>
      </c>
      <c r="DH68" s="323">
        <v>0.195</v>
      </c>
      <c r="DI68" s="323">
        <v>0.063</v>
      </c>
      <c r="DJ68" s="323">
        <v>0.085</v>
      </c>
      <c r="DK68" s="323">
        <v>0.013999999999999999</v>
      </c>
      <c r="DL68" s="323">
        <v>0.002</v>
      </c>
      <c r="DM68" s="323"/>
      <c r="DN68" s="323">
        <v>0.373</v>
      </c>
      <c r="DO68" s="323">
        <v>0.41700000000000004</v>
      </c>
      <c r="DP68" s="323">
        <v>0.434</v>
      </c>
    </row>
    <row r="69">
      <c r="A69" s="311" t="s">
        <v>232</v>
      </c>
      <c r="B69" s="311" t="s">
        <v>233</v>
      </c>
      <c r="C69" s="311" t="s">
        <v>1197</v>
      </c>
      <c r="D69" s="311">
        <v>29.0</v>
      </c>
      <c r="E69" s="312">
        <f t="shared" si="19"/>
        <v>0.5</v>
      </c>
      <c r="F69" s="312" t="str">
        <f t="shared" si="20"/>
        <v>#DIV/0!</v>
      </c>
      <c r="G69" s="312" t="str">
        <f t="shared" si="21"/>
        <v>#DIV/0!</v>
      </c>
      <c r="H69" s="312" t="str">
        <f t="shared" si="22"/>
        <v>#DIV/0!</v>
      </c>
      <c r="I69" s="312" t="str">
        <f t="shared" si="46"/>
        <v>#DIV/0!</v>
      </c>
      <c r="J69" s="312" t="str">
        <f t="shared" ref="J69:J73" si="49">(COUNTIF(BQ69:CL69, "Nay")+COUNTIF(BQ69:CL69, "Yea (Amend)")+(0.5*COUNTIF(BQ69:CL69, "Present")))/(COUNTIF(BQ69:CL69, "Nay")+COUNTIF(BQ69:CL69, "Yea (Amend)")+COUNTIF(BQ69:CL69, "Yea")+COUNTIF(BQ69:CL69, "Nay (Amend)")+COUNTIF(BQ69:CL69, "Present"))</f>
        <v>#DIV/0!</v>
      </c>
      <c r="K69" s="312" t="str">
        <f t="shared" ref="K69:K73" si="50">(COUNTIF(CM69:CP69, "Nay")+COUNTIF(CM69:CP69, "Yea (Amend)")+(0.5*COUNTIF(CM69:CP69, "Present")))/(COUNTIF(CM69:CP69, "Nay")+COUNTIF(CM69:CP69, "Yea (Amend)")+COUNTIF(CM69:CP69, "Yea")+COUNTIF(CM69:CP69, "Nay (Amend)")+COUNTIF(CM69:CP69, "Present"))</f>
        <v>#DIV/0!</v>
      </c>
      <c r="L69" s="316" t="str">
        <f t="shared" si="23"/>
        <v>#DIV/0!</v>
      </c>
      <c r="M69" s="317" t="s">
        <v>487</v>
      </c>
      <c r="N69" s="317" t="s">
        <v>487</v>
      </c>
      <c r="O69" s="317" t="s">
        <v>487</v>
      </c>
      <c r="P69" s="317" t="s">
        <v>594</v>
      </c>
      <c r="Q69" s="317" t="s">
        <v>594</v>
      </c>
      <c r="R69" s="317" t="s">
        <v>594</v>
      </c>
      <c r="S69" s="318" t="s">
        <v>561</v>
      </c>
      <c r="T69" s="318" t="s">
        <v>561</v>
      </c>
      <c r="U69" s="330" t="s">
        <v>561</v>
      </c>
      <c r="V69" s="330" t="s">
        <v>561</v>
      </c>
      <c r="W69" s="340" t="s">
        <v>2807</v>
      </c>
      <c r="X69" s="340" t="s">
        <v>561</v>
      </c>
      <c r="Y69" s="318" t="s">
        <v>2795</v>
      </c>
      <c r="Z69" s="317" t="s">
        <v>2795</v>
      </c>
      <c r="AA69" s="317" t="s">
        <v>561</v>
      </c>
      <c r="AB69" s="317" t="s">
        <v>53</v>
      </c>
      <c r="AC69" s="317" t="s">
        <v>2795</v>
      </c>
      <c r="AD69" s="317" t="s">
        <v>2795</v>
      </c>
      <c r="AE69" s="317" t="s">
        <v>561</v>
      </c>
      <c r="AF69" s="317" t="s">
        <v>561</v>
      </c>
      <c r="AG69" s="317" t="s">
        <v>561</v>
      </c>
      <c r="AH69" s="317" t="s">
        <v>561</v>
      </c>
      <c r="AI69" s="317" t="s">
        <v>561</v>
      </c>
      <c r="AJ69" s="317" t="s">
        <v>2795</v>
      </c>
      <c r="AK69" s="317" t="s">
        <v>2795</v>
      </c>
      <c r="AL69" s="317" t="s">
        <v>2795</v>
      </c>
      <c r="AM69" s="317" t="s">
        <v>801</v>
      </c>
      <c r="AN69" s="317" t="s">
        <v>2795</v>
      </c>
      <c r="AO69" s="317" t="s">
        <v>2795</v>
      </c>
      <c r="AP69" s="317" t="s">
        <v>561</v>
      </c>
      <c r="AQ69" s="317" t="s">
        <v>561</v>
      </c>
      <c r="AR69" s="317" t="s">
        <v>561</v>
      </c>
      <c r="AS69" s="317" t="s">
        <v>2807</v>
      </c>
      <c r="AT69" s="317" t="s">
        <v>561</v>
      </c>
      <c r="AU69" s="317" t="s">
        <v>53</v>
      </c>
      <c r="AV69" s="317" t="s">
        <v>2795</v>
      </c>
      <c r="AW69" s="317" t="s">
        <v>561</v>
      </c>
      <c r="AX69" s="317" t="s">
        <v>561</v>
      </c>
      <c r="AY69" s="317" t="s">
        <v>561</v>
      </c>
      <c r="AZ69" s="317" t="s">
        <v>561</v>
      </c>
      <c r="BA69" s="317" t="s">
        <v>2796</v>
      </c>
      <c r="BB69" s="317" t="s">
        <v>561</v>
      </c>
      <c r="BC69" s="317" t="s">
        <v>2796</v>
      </c>
      <c r="BD69" s="317" t="s">
        <v>2795</v>
      </c>
      <c r="BE69" s="317" t="s">
        <v>561</v>
      </c>
      <c r="BF69" s="317" t="s">
        <v>53</v>
      </c>
      <c r="BG69" s="317" t="s">
        <v>53</v>
      </c>
      <c r="BH69" s="317" t="s">
        <v>561</v>
      </c>
      <c r="BI69" s="317" t="s">
        <v>561</v>
      </c>
      <c r="BJ69" s="317" t="s">
        <v>53</v>
      </c>
      <c r="BK69" s="317" t="s">
        <v>561</v>
      </c>
      <c r="BL69" s="317" t="s">
        <v>2796</v>
      </c>
      <c r="BM69" s="317" t="s">
        <v>2796</v>
      </c>
      <c r="BN69" s="317" t="s">
        <v>53</v>
      </c>
      <c r="BO69" s="317" t="s">
        <v>2796</v>
      </c>
      <c r="BP69" s="317" t="s">
        <v>2806</v>
      </c>
      <c r="BQ69" s="317" t="s">
        <v>53</v>
      </c>
      <c r="BR69" s="317" t="s">
        <v>561</v>
      </c>
      <c r="BS69" s="317" t="s">
        <v>53</v>
      </c>
      <c r="BT69" s="317" t="s">
        <v>561</v>
      </c>
      <c r="BU69" s="317" t="s">
        <v>53</v>
      </c>
      <c r="BV69" s="317" t="s">
        <v>561</v>
      </c>
      <c r="BW69" s="317" t="s">
        <v>53</v>
      </c>
      <c r="BX69" s="317" t="s">
        <v>561</v>
      </c>
      <c r="BY69" s="317" t="s">
        <v>561</v>
      </c>
      <c r="BZ69" s="317" t="s">
        <v>561</v>
      </c>
      <c r="CA69" s="317" t="s">
        <v>53</v>
      </c>
      <c r="CB69" s="317" t="s">
        <v>561</v>
      </c>
      <c r="CC69" s="317" t="s">
        <v>561</v>
      </c>
      <c r="CD69" s="317" t="s">
        <v>561</v>
      </c>
      <c r="CE69" s="317" t="s">
        <v>561</v>
      </c>
      <c r="CF69" s="317" t="s">
        <v>53</v>
      </c>
      <c r="CG69" s="317" t="s">
        <v>561</v>
      </c>
      <c r="CH69" s="317" t="s">
        <v>53</v>
      </c>
      <c r="CI69" s="317" t="s">
        <v>561</v>
      </c>
      <c r="CJ69" s="317" t="s">
        <v>2796</v>
      </c>
      <c r="CK69" s="317" t="s">
        <v>53</v>
      </c>
      <c r="CL69" s="317" t="s">
        <v>561</v>
      </c>
      <c r="CM69" s="317" t="s">
        <v>561</v>
      </c>
      <c r="CN69" s="317" t="s">
        <v>561</v>
      </c>
      <c r="CO69" s="317" t="s">
        <v>53</v>
      </c>
      <c r="CP69" s="317" t="s">
        <v>561</v>
      </c>
      <c r="CQ69" s="319"/>
      <c r="CR69" s="319">
        <v>2013.0</v>
      </c>
      <c r="CS69" s="343" t="s">
        <v>1569</v>
      </c>
      <c r="CT69" s="334" t="s">
        <v>2030</v>
      </c>
      <c r="CU69" s="319" t="s">
        <v>23</v>
      </c>
      <c r="CV69" s="320" t="s">
        <v>83</v>
      </c>
      <c r="CW69" s="319"/>
      <c r="CX69" s="319"/>
      <c r="CY69" s="323">
        <f t="shared" si="24"/>
        <v>0.513</v>
      </c>
      <c r="CZ69" s="324">
        <v>0.745</v>
      </c>
      <c r="DA69" s="323">
        <v>0.23199999999999998</v>
      </c>
      <c r="DB69" s="323"/>
      <c r="DC69" s="323">
        <f t="shared" si="25"/>
        <v>0.613</v>
      </c>
      <c r="DD69" s="324">
        <v>0.779</v>
      </c>
      <c r="DE69" s="323">
        <v>0.166</v>
      </c>
      <c r="DF69" s="323"/>
      <c r="DG69" s="323">
        <v>0.23600000000000002</v>
      </c>
      <c r="DH69" s="324">
        <v>0.611</v>
      </c>
      <c r="DI69" s="323">
        <v>0.052000000000000005</v>
      </c>
      <c r="DJ69" s="323">
        <v>0.098</v>
      </c>
      <c r="DK69" s="323">
        <v>0.037000000000000005</v>
      </c>
      <c r="DL69" s="323">
        <v>0.003</v>
      </c>
      <c r="DM69" s="323"/>
      <c r="DN69" s="323">
        <v>0.23199999999999998</v>
      </c>
      <c r="DO69" s="323">
        <v>0.41100000000000003</v>
      </c>
      <c r="DP69" s="323">
        <v>0.172</v>
      </c>
    </row>
    <row r="70">
      <c r="A70" s="311" t="s">
        <v>657</v>
      </c>
      <c r="B70" s="311" t="s">
        <v>658</v>
      </c>
      <c r="C70" s="311" t="s">
        <v>2832</v>
      </c>
      <c r="D70" s="311">
        <v>7.0</v>
      </c>
      <c r="E70" s="312">
        <f t="shared" si="19"/>
        <v>0.5</v>
      </c>
      <c r="F70" s="312" t="str">
        <f t="shared" si="20"/>
        <v>#DIV/0!</v>
      </c>
      <c r="G70" s="312" t="str">
        <f t="shared" si="21"/>
        <v>#DIV/0!</v>
      </c>
      <c r="H70" s="312" t="str">
        <f t="shared" si="22"/>
        <v>#DIV/0!</v>
      </c>
      <c r="I70" s="312" t="str">
        <f t="shared" si="46"/>
        <v>#DIV/0!</v>
      </c>
      <c r="J70" s="312" t="str">
        <f t="shared" si="49"/>
        <v>#DIV/0!</v>
      </c>
      <c r="K70" s="312" t="str">
        <f t="shared" si="50"/>
        <v>#DIV/0!</v>
      </c>
      <c r="L70" s="316" t="str">
        <f t="shared" si="23"/>
        <v>#DIV/0!</v>
      </c>
      <c r="M70" s="317" t="s">
        <v>487</v>
      </c>
      <c r="N70" s="317" t="s">
        <v>594</v>
      </c>
      <c r="O70" s="317" t="s">
        <v>594</v>
      </c>
      <c r="P70" s="317" t="s">
        <v>594</v>
      </c>
      <c r="Q70" s="317" t="s">
        <v>487</v>
      </c>
      <c r="R70" s="317" t="s">
        <v>487</v>
      </c>
      <c r="S70" s="318" t="s">
        <v>561</v>
      </c>
      <c r="T70" s="318" t="s">
        <v>561</v>
      </c>
      <c r="U70" s="330" t="s">
        <v>561</v>
      </c>
      <c r="V70" s="330" t="s">
        <v>561</v>
      </c>
      <c r="W70" s="318" t="s">
        <v>2795</v>
      </c>
      <c r="X70" s="340" t="s">
        <v>561</v>
      </c>
      <c r="Y70" s="340" t="s">
        <v>2807</v>
      </c>
      <c r="Z70" s="317" t="s">
        <v>2795</v>
      </c>
      <c r="AA70" s="317" t="s">
        <v>561</v>
      </c>
      <c r="AB70" s="317" t="s">
        <v>561</v>
      </c>
      <c r="AC70" s="317" t="s">
        <v>2795</v>
      </c>
      <c r="AD70" s="317" t="s">
        <v>2795</v>
      </c>
      <c r="AE70" s="317" t="s">
        <v>561</v>
      </c>
      <c r="AF70" s="317" t="s">
        <v>561</v>
      </c>
      <c r="AG70" s="317" t="s">
        <v>561</v>
      </c>
      <c r="AH70" s="317" t="s">
        <v>561</v>
      </c>
      <c r="AI70" s="317" t="s">
        <v>561</v>
      </c>
      <c r="AJ70" s="317" t="s">
        <v>2807</v>
      </c>
      <c r="AK70" s="317" t="s">
        <v>2795</v>
      </c>
      <c r="AL70" s="317" t="s">
        <v>2795</v>
      </c>
      <c r="AM70" s="317" t="s">
        <v>2807</v>
      </c>
      <c r="AN70" s="317" t="s">
        <v>2795</v>
      </c>
      <c r="AO70" s="317" t="s">
        <v>2795</v>
      </c>
      <c r="AP70" s="317" t="s">
        <v>53</v>
      </c>
      <c r="AQ70" s="317" t="s">
        <v>561</v>
      </c>
      <c r="AR70" s="317" t="s">
        <v>561</v>
      </c>
      <c r="AS70" s="317" t="s">
        <v>2795</v>
      </c>
      <c r="AT70" s="317" t="s">
        <v>561</v>
      </c>
      <c r="AU70" s="317" t="s">
        <v>561</v>
      </c>
      <c r="AV70" s="317" t="s">
        <v>2795</v>
      </c>
      <c r="AW70" s="317" t="s">
        <v>561</v>
      </c>
      <c r="AX70" s="317" t="s">
        <v>561</v>
      </c>
      <c r="AY70" s="317" t="s">
        <v>561</v>
      </c>
      <c r="AZ70" s="317" t="s">
        <v>561</v>
      </c>
      <c r="BA70" s="317" t="s">
        <v>2796</v>
      </c>
      <c r="BB70" s="317" t="s">
        <v>561</v>
      </c>
      <c r="BC70" s="317" t="s">
        <v>2806</v>
      </c>
      <c r="BD70" s="317" t="s">
        <v>2795</v>
      </c>
      <c r="BE70" s="317" t="s">
        <v>561</v>
      </c>
      <c r="BF70" s="317" t="s">
        <v>561</v>
      </c>
      <c r="BG70" s="317" t="s">
        <v>561</v>
      </c>
      <c r="BH70" s="317" t="s">
        <v>561</v>
      </c>
      <c r="BI70" s="317" t="s">
        <v>53</v>
      </c>
      <c r="BJ70" s="317" t="s">
        <v>53</v>
      </c>
      <c r="BK70" s="317" t="s">
        <v>561</v>
      </c>
      <c r="BL70" s="317" t="s">
        <v>2796</v>
      </c>
      <c r="BM70" s="317" t="s">
        <v>2796</v>
      </c>
      <c r="BN70" s="317" t="s">
        <v>53</v>
      </c>
      <c r="BO70" s="317" t="s">
        <v>2796</v>
      </c>
      <c r="BP70" s="317" t="s">
        <v>2806</v>
      </c>
      <c r="BQ70" s="317" t="s">
        <v>53</v>
      </c>
      <c r="BR70" s="317" t="s">
        <v>561</v>
      </c>
      <c r="BS70" s="317" t="s">
        <v>53</v>
      </c>
      <c r="BT70" s="317" t="s">
        <v>561</v>
      </c>
      <c r="BU70" s="317" t="s">
        <v>53</v>
      </c>
      <c r="BV70" s="317" t="s">
        <v>561</v>
      </c>
      <c r="BW70" s="317" t="s">
        <v>561</v>
      </c>
      <c r="BX70" s="317" t="s">
        <v>561</v>
      </c>
      <c r="BY70" s="317" t="s">
        <v>53</v>
      </c>
      <c r="BZ70" s="317" t="s">
        <v>561</v>
      </c>
      <c r="CA70" s="317" t="s">
        <v>53</v>
      </c>
      <c r="CB70" s="317" t="s">
        <v>53</v>
      </c>
      <c r="CC70" s="317" t="s">
        <v>561</v>
      </c>
      <c r="CD70" s="317" t="s">
        <v>53</v>
      </c>
      <c r="CE70" s="317" t="s">
        <v>53</v>
      </c>
      <c r="CF70" s="317" t="s">
        <v>53</v>
      </c>
      <c r="CG70" s="317" t="s">
        <v>561</v>
      </c>
      <c r="CH70" s="317" t="s">
        <v>561</v>
      </c>
      <c r="CI70" s="317" t="s">
        <v>53</v>
      </c>
      <c r="CJ70" s="317" t="s">
        <v>2796</v>
      </c>
      <c r="CK70" s="317" t="s">
        <v>561</v>
      </c>
      <c r="CL70" s="317" t="s">
        <v>53</v>
      </c>
      <c r="CM70" s="317" t="s">
        <v>561</v>
      </c>
      <c r="CN70" s="317" t="s">
        <v>561</v>
      </c>
      <c r="CO70" s="317" t="s">
        <v>53</v>
      </c>
      <c r="CP70" s="317" t="s">
        <v>561</v>
      </c>
      <c r="CQ70" s="319"/>
      <c r="CR70" s="319" t="s">
        <v>1198</v>
      </c>
      <c r="CS70" s="343" t="s">
        <v>1199</v>
      </c>
      <c r="CT70" s="319"/>
      <c r="CU70" s="326" t="s">
        <v>2476</v>
      </c>
      <c r="CV70" s="327" t="s">
        <v>28</v>
      </c>
      <c r="CW70" s="319"/>
      <c r="CX70" s="319"/>
      <c r="CY70" s="323">
        <f t="shared" si="24"/>
        <v>0.424</v>
      </c>
      <c r="CZ70" s="324">
        <v>0.703</v>
      </c>
      <c r="DA70" s="323">
        <v>0.27899999999999997</v>
      </c>
      <c r="DB70" s="323"/>
      <c r="DC70" s="323">
        <f t="shared" si="25"/>
        <v>0.357</v>
      </c>
      <c r="DD70" s="324">
        <v>0.647</v>
      </c>
      <c r="DE70" s="323">
        <v>0.29</v>
      </c>
      <c r="DF70" s="323"/>
      <c r="DG70" s="324">
        <v>0.504</v>
      </c>
      <c r="DH70" s="323">
        <v>0.122</v>
      </c>
      <c r="DI70" s="323">
        <v>0.33399999999999996</v>
      </c>
      <c r="DJ70" s="323">
        <v>0.027000000000000003</v>
      </c>
      <c r="DK70" s="323">
        <v>0.02</v>
      </c>
      <c r="DL70" s="323">
        <v>0.001</v>
      </c>
      <c r="DM70" s="323"/>
      <c r="DN70" s="323">
        <v>0.331</v>
      </c>
      <c r="DO70" s="323">
        <v>0.428</v>
      </c>
      <c r="DP70" s="323">
        <v>0.33299999999999996</v>
      </c>
    </row>
    <row r="71">
      <c r="A71" s="311" t="s">
        <v>168</v>
      </c>
      <c r="B71" s="311" t="s">
        <v>169</v>
      </c>
      <c r="C71" s="311" t="s">
        <v>1197</v>
      </c>
      <c r="D71" s="311">
        <v>16.0</v>
      </c>
      <c r="E71" s="312">
        <f t="shared" si="19"/>
        <v>0.3333333333</v>
      </c>
      <c r="F71" s="312" t="str">
        <f t="shared" si="20"/>
        <v>#DIV/0!</v>
      </c>
      <c r="G71" s="312" t="str">
        <f t="shared" si="21"/>
        <v>#DIV/0!</v>
      </c>
      <c r="H71" s="312" t="str">
        <f t="shared" si="22"/>
        <v>#DIV/0!</v>
      </c>
      <c r="I71" s="312" t="str">
        <f t="shared" si="46"/>
        <v>#DIV/0!</v>
      </c>
      <c r="J71" s="312" t="str">
        <f t="shared" si="49"/>
        <v>#DIV/0!</v>
      </c>
      <c r="K71" s="312" t="str">
        <f t="shared" si="50"/>
        <v>#DIV/0!</v>
      </c>
      <c r="L71" s="316" t="str">
        <f t="shared" si="23"/>
        <v>#DIV/0!</v>
      </c>
      <c r="M71" s="317" t="s">
        <v>594</v>
      </c>
      <c r="N71" s="317" t="s">
        <v>487</v>
      </c>
      <c r="O71" s="317" t="s">
        <v>487</v>
      </c>
      <c r="P71" s="317" t="s">
        <v>594</v>
      </c>
      <c r="Q71" s="317" t="s">
        <v>594</v>
      </c>
      <c r="R71" s="317" t="s">
        <v>594</v>
      </c>
      <c r="S71" s="318" t="s">
        <v>561</v>
      </c>
      <c r="T71" s="318" t="s">
        <v>561</v>
      </c>
      <c r="U71" s="330" t="s">
        <v>561</v>
      </c>
      <c r="V71" s="330" t="s">
        <v>561</v>
      </c>
      <c r="W71" s="318" t="s">
        <v>2795</v>
      </c>
      <c r="X71" s="340" t="s">
        <v>561</v>
      </c>
      <c r="Y71" s="318" t="s">
        <v>2795</v>
      </c>
      <c r="Z71" s="317" t="s">
        <v>2795</v>
      </c>
      <c r="AA71" s="317" t="s">
        <v>561</v>
      </c>
      <c r="AB71" s="317" t="s">
        <v>53</v>
      </c>
      <c r="AC71" s="317" t="s">
        <v>2795</v>
      </c>
      <c r="AD71" s="317" t="s">
        <v>2795</v>
      </c>
      <c r="AE71" s="317" t="s">
        <v>561</v>
      </c>
      <c r="AF71" s="317" t="s">
        <v>561</v>
      </c>
      <c r="AG71" s="317" t="s">
        <v>561</v>
      </c>
      <c r="AH71" s="317" t="s">
        <v>561</v>
      </c>
      <c r="AI71" s="317" t="s">
        <v>561</v>
      </c>
      <c r="AJ71" s="317" t="s">
        <v>2795</v>
      </c>
      <c r="AK71" s="317" t="s">
        <v>2795</v>
      </c>
      <c r="AL71" s="317" t="s">
        <v>2795</v>
      </c>
      <c r="AM71" s="317" t="s">
        <v>2795</v>
      </c>
      <c r="AN71" s="317" t="s">
        <v>2795</v>
      </c>
      <c r="AO71" s="317" t="s">
        <v>2795</v>
      </c>
      <c r="AP71" s="317" t="s">
        <v>561</v>
      </c>
      <c r="AQ71" s="317" t="s">
        <v>561</v>
      </c>
      <c r="AR71" s="317" t="s">
        <v>561</v>
      </c>
      <c r="AS71" s="317" t="s">
        <v>2807</v>
      </c>
      <c r="AT71" s="317" t="s">
        <v>561</v>
      </c>
      <c r="AU71" s="317" t="s">
        <v>561</v>
      </c>
      <c r="AV71" s="317" t="s">
        <v>2807</v>
      </c>
      <c r="AW71" s="317" t="s">
        <v>561</v>
      </c>
      <c r="AX71" s="317" t="s">
        <v>561</v>
      </c>
      <c r="AY71" s="317" t="s">
        <v>561</v>
      </c>
      <c r="AZ71" s="317" t="s">
        <v>561</v>
      </c>
      <c r="BA71" s="317" t="s">
        <v>2796</v>
      </c>
      <c r="BB71" s="317" t="s">
        <v>561</v>
      </c>
      <c r="BC71" s="317" t="s">
        <v>2796</v>
      </c>
      <c r="BD71" s="317" t="s">
        <v>2795</v>
      </c>
      <c r="BE71" s="317" t="s">
        <v>53</v>
      </c>
      <c r="BF71" s="317" t="s">
        <v>561</v>
      </c>
      <c r="BG71" s="317" t="s">
        <v>53</v>
      </c>
      <c r="BH71" s="317" t="s">
        <v>561</v>
      </c>
      <c r="BI71" s="317" t="s">
        <v>561</v>
      </c>
      <c r="BJ71" s="317" t="s">
        <v>561</v>
      </c>
      <c r="BK71" s="317" t="s">
        <v>561</v>
      </c>
      <c r="BL71" s="317" t="s">
        <v>2796</v>
      </c>
      <c r="BM71" s="317" t="s">
        <v>2796</v>
      </c>
      <c r="BN71" s="317" t="s">
        <v>561</v>
      </c>
      <c r="BO71" s="317" t="s">
        <v>2796</v>
      </c>
      <c r="BP71" s="317" t="s">
        <v>2796</v>
      </c>
      <c r="BQ71" s="317" t="s">
        <v>53</v>
      </c>
      <c r="BR71" s="317" t="s">
        <v>801</v>
      </c>
      <c r="BS71" s="317" t="s">
        <v>53</v>
      </c>
      <c r="BT71" s="317" t="s">
        <v>53</v>
      </c>
      <c r="BU71" s="317" t="s">
        <v>53</v>
      </c>
      <c r="BV71" s="317" t="s">
        <v>53</v>
      </c>
      <c r="BW71" s="317" t="s">
        <v>53</v>
      </c>
      <c r="BX71" s="317" t="s">
        <v>561</v>
      </c>
      <c r="BY71" s="317" t="s">
        <v>53</v>
      </c>
      <c r="BZ71" s="317" t="s">
        <v>53</v>
      </c>
      <c r="CA71" s="317" t="s">
        <v>53</v>
      </c>
      <c r="CB71" s="317" t="s">
        <v>561</v>
      </c>
      <c r="CC71" s="317" t="s">
        <v>561</v>
      </c>
      <c r="CD71" s="317" t="s">
        <v>53</v>
      </c>
      <c r="CE71" s="317" t="s">
        <v>561</v>
      </c>
      <c r="CF71" s="317" t="s">
        <v>53</v>
      </c>
      <c r="CG71" s="317" t="s">
        <v>561</v>
      </c>
      <c r="CH71" s="317" t="s">
        <v>561</v>
      </c>
      <c r="CI71" s="317" t="s">
        <v>53</v>
      </c>
      <c r="CJ71" s="317" t="s">
        <v>2796</v>
      </c>
      <c r="CK71" s="317" t="s">
        <v>561</v>
      </c>
      <c r="CL71" s="317" t="s">
        <v>561</v>
      </c>
      <c r="CM71" s="317" t="s">
        <v>561</v>
      </c>
      <c r="CN71" s="317" t="s">
        <v>561</v>
      </c>
      <c r="CO71" s="317" t="s">
        <v>53</v>
      </c>
      <c r="CP71" s="317" t="s">
        <v>561</v>
      </c>
      <c r="CQ71" s="319"/>
      <c r="CR71" s="319">
        <v>1993.0</v>
      </c>
      <c r="CS71" s="342" t="s">
        <v>2476</v>
      </c>
      <c r="CT71" s="319"/>
      <c r="CU71" s="326" t="s">
        <v>2476</v>
      </c>
      <c r="CV71" s="332" t="s">
        <v>75</v>
      </c>
      <c r="CW71" s="319"/>
      <c r="CX71" s="319"/>
      <c r="CY71" s="323">
        <f t="shared" si="24"/>
        <v>0.53</v>
      </c>
      <c r="CZ71" s="324">
        <v>0.754</v>
      </c>
      <c r="DA71" s="323">
        <v>0.22399999999999998</v>
      </c>
      <c r="DB71" s="323"/>
      <c r="DC71" s="323">
        <f t="shared" si="25"/>
        <v>0.548</v>
      </c>
      <c r="DD71" s="324">
        <v>0.7440000000000001</v>
      </c>
      <c r="DE71" s="323">
        <v>0.196</v>
      </c>
      <c r="DF71" s="323"/>
      <c r="DG71" s="324">
        <v>0.46299999999999997</v>
      </c>
      <c r="DH71" s="323">
        <v>0.174</v>
      </c>
      <c r="DI71" s="323">
        <v>0.027999999999999997</v>
      </c>
      <c r="DJ71" s="323">
        <v>0.321</v>
      </c>
      <c r="DK71" s="323">
        <v>0.02</v>
      </c>
      <c r="DL71" s="323">
        <v>0.006999999999999999</v>
      </c>
      <c r="DM71" s="323"/>
      <c r="DN71" s="324">
        <v>0.601</v>
      </c>
      <c r="DO71" s="324">
        <v>0.6809999999999999</v>
      </c>
      <c r="DP71" s="323">
        <v>0.177</v>
      </c>
    </row>
    <row r="72">
      <c r="A72" s="311" t="s">
        <v>1152</v>
      </c>
      <c r="B72" s="311" t="s">
        <v>1153</v>
      </c>
      <c r="C72" s="311" t="s">
        <v>1661</v>
      </c>
      <c r="D72" s="311">
        <v>2.0</v>
      </c>
      <c r="E72" s="312">
        <f t="shared" si="19"/>
        <v>0.5</v>
      </c>
      <c r="F72" s="312" t="str">
        <f t="shared" si="20"/>
        <v>#DIV/0!</v>
      </c>
      <c r="G72" s="312" t="str">
        <f t="shared" si="21"/>
        <v>#DIV/0!</v>
      </c>
      <c r="H72" s="312" t="str">
        <f t="shared" si="22"/>
        <v>#DIV/0!</v>
      </c>
      <c r="I72" s="312" t="str">
        <f t="shared" si="46"/>
        <v>#DIV/0!</v>
      </c>
      <c r="J72" s="312" t="str">
        <f t="shared" si="49"/>
        <v>#DIV/0!</v>
      </c>
      <c r="K72" s="312" t="str">
        <f t="shared" si="50"/>
        <v>#DIV/0!</v>
      </c>
      <c r="L72" s="316" t="str">
        <f t="shared" si="23"/>
        <v>#DIV/0!</v>
      </c>
      <c r="M72" s="317" t="s">
        <v>487</v>
      </c>
      <c r="N72" s="317" t="s">
        <v>487</v>
      </c>
      <c r="O72" s="317" t="s">
        <v>594</v>
      </c>
      <c r="P72" s="317" t="s">
        <v>594</v>
      </c>
      <c r="Q72" s="317" t="s">
        <v>487</v>
      </c>
      <c r="R72" s="317" t="s">
        <v>594</v>
      </c>
      <c r="S72" s="318" t="s">
        <v>561</v>
      </c>
      <c r="T72" s="318" t="s">
        <v>561</v>
      </c>
      <c r="U72" s="330" t="s">
        <v>561</v>
      </c>
      <c r="V72" s="330" t="s">
        <v>561</v>
      </c>
      <c r="W72" s="318" t="s">
        <v>2795</v>
      </c>
      <c r="X72" s="340" t="s">
        <v>561</v>
      </c>
      <c r="Y72" s="318" t="s">
        <v>2795</v>
      </c>
      <c r="Z72" s="317" t="s">
        <v>2795</v>
      </c>
      <c r="AA72" s="317" t="s">
        <v>561</v>
      </c>
      <c r="AB72" s="317" t="s">
        <v>53</v>
      </c>
      <c r="AC72" s="317" t="s">
        <v>2795</v>
      </c>
      <c r="AD72" s="317" t="s">
        <v>2795</v>
      </c>
      <c r="AE72" s="317" t="s">
        <v>561</v>
      </c>
      <c r="AF72" s="317" t="s">
        <v>561</v>
      </c>
      <c r="AG72" s="317" t="s">
        <v>561</v>
      </c>
      <c r="AH72" s="317" t="s">
        <v>561</v>
      </c>
      <c r="AI72" s="317" t="s">
        <v>561</v>
      </c>
      <c r="AJ72" s="317" t="s">
        <v>2795</v>
      </c>
      <c r="AK72" s="317" t="s">
        <v>2807</v>
      </c>
      <c r="AL72" s="317" t="s">
        <v>2795</v>
      </c>
      <c r="AM72" s="317" t="s">
        <v>2807</v>
      </c>
      <c r="AN72" s="317" t="s">
        <v>2795</v>
      </c>
      <c r="AO72" s="317" t="s">
        <v>2807</v>
      </c>
      <c r="AP72" s="317" t="s">
        <v>561</v>
      </c>
      <c r="AQ72" s="317" t="s">
        <v>561</v>
      </c>
      <c r="AR72" s="317" t="s">
        <v>561</v>
      </c>
      <c r="AS72" s="317" t="s">
        <v>2795</v>
      </c>
      <c r="AT72" s="317" t="s">
        <v>561</v>
      </c>
      <c r="AU72" s="317" t="s">
        <v>53</v>
      </c>
      <c r="AV72" s="317" t="s">
        <v>801</v>
      </c>
      <c r="AW72" s="317" t="s">
        <v>561</v>
      </c>
      <c r="AX72" s="317" t="s">
        <v>53</v>
      </c>
      <c r="AY72" s="317" t="s">
        <v>53</v>
      </c>
      <c r="AZ72" s="317" t="s">
        <v>561</v>
      </c>
      <c r="BA72" s="317" t="s">
        <v>2796</v>
      </c>
      <c r="BB72" s="317" t="s">
        <v>53</v>
      </c>
      <c r="BC72" s="317" t="s">
        <v>2806</v>
      </c>
      <c r="BD72" s="317" t="s">
        <v>2795</v>
      </c>
      <c r="BE72" s="317" t="s">
        <v>53</v>
      </c>
      <c r="BF72" s="317" t="s">
        <v>561</v>
      </c>
      <c r="BG72" s="317" t="s">
        <v>53</v>
      </c>
      <c r="BH72" s="317" t="s">
        <v>561</v>
      </c>
      <c r="BI72" s="317" t="s">
        <v>561</v>
      </c>
      <c r="BJ72" s="317" t="s">
        <v>53</v>
      </c>
      <c r="BK72" s="317" t="s">
        <v>561</v>
      </c>
      <c r="BL72" s="317" t="s">
        <v>2796</v>
      </c>
      <c r="BM72" s="317" t="s">
        <v>2796</v>
      </c>
      <c r="BN72" s="317" t="s">
        <v>53</v>
      </c>
      <c r="BO72" s="317" t="s">
        <v>2796</v>
      </c>
      <c r="BP72" s="317" t="s">
        <v>2796</v>
      </c>
      <c r="BQ72" s="317" t="s">
        <v>53</v>
      </c>
      <c r="BR72" s="317" t="s">
        <v>561</v>
      </c>
      <c r="BS72" s="317" t="s">
        <v>53</v>
      </c>
      <c r="BT72" s="317" t="s">
        <v>561</v>
      </c>
      <c r="BU72" s="317" t="s">
        <v>53</v>
      </c>
      <c r="BV72" s="317" t="s">
        <v>561</v>
      </c>
      <c r="BW72" s="317" t="s">
        <v>53</v>
      </c>
      <c r="BX72" s="317" t="s">
        <v>561</v>
      </c>
      <c r="BY72" s="317" t="s">
        <v>561</v>
      </c>
      <c r="BZ72" s="317" t="s">
        <v>561</v>
      </c>
      <c r="CA72" s="317" t="s">
        <v>53</v>
      </c>
      <c r="CB72" s="317" t="s">
        <v>561</v>
      </c>
      <c r="CC72" s="317" t="s">
        <v>561</v>
      </c>
      <c r="CD72" s="317" t="s">
        <v>561</v>
      </c>
      <c r="CE72" s="317" t="s">
        <v>561</v>
      </c>
      <c r="CF72" s="317" t="s">
        <v>53</v>
      </c>
      <c r="CG72" s="317" t="s">
        <v>561</v>
      </c>
      <c r="CH72" s="317" t="s">
        <v>561</v>
      </c>
      <c r="CI72" s="317" t="s">
        <v>561</v>
      </c>
      <c r="CJ72" s="317" t="s">
        <v>2806</v>
      </c>
      <c r="CK72" s="317" t="s">
        <v>561</v>
      </c>
      <c r="CL72" s="317" t="s">
        <v>561</v>
      </c>
      <c r="CM72" s="317" t="s">
        <v>561</v>
      </c>
      <c r="CN72" s="317" t="s">
        <v>561</v>
      </c>
      <c r="CO72" s="317" t="s">
        <v>53</v>
      </c>
      <c r="CP72" s="317" t="s">
        <v>801</v>
      </c>
      <c r="CQ72" s="319"/>
      <c r="CR72" s="319">
        <v>2015.0</v>
      </c>
      <c r="CS72" s="343" t="s">
        <v>1199</v>
      </c>
      <c r="CT72" s="334" t="s">
        <v>2030</v>
      </c>
      <c r="CU72" s="319" t="s">
        <v>23</v>
      </c>
      <c r="CV72" s="332" t="s">
        <v>75</v>
      </c>
      <c r="CW72" s="319"/>
      <c r="CX72" s="319"/>
      <c r="CY72" s="323">
        <f t="shared" si="24"/>
        <v>0.427</v>
      </c>
      <c r="CZ72" s="324">
        <v>0.71</v>
      </c>
      <c r="DA72" s="323">
        <v>0.28300000000000003</v>
      </c>
      <c r="DB72" s="323"/>
      <c r="DC72" s="323">
        <f t="shared" si="25"/>
        <v>0.492</v>
      </c>
      <c r="DD72" s="324">
        <v>0.735</v>
      </c>
      <c r="DE72" s="323">
        <v>0.243</v>
      </c>
      <c r="DF72" s="323"/>
      <c r="DG72" s="324">
        <v>0.413</v>
      </c>
      <c r="DH72" s="323">
        <v>0.222</v>
      </c>
      <c r="DI72" s="323">
        <v>0.262</v>
      </c>
      <c r="DJ72" s="323">
        <v>0.106</v>
      </c>
      <c r="DK72" s="323">
        <v>0.013999999999999999</v>
      </c>
      <c r="DL72" s="323">
        <v>0.002</v>
      </c>
      <c r="DM72" s="323"/>
      <c r="DN72" s="323">
        <v>0.249</v>
      </c>
      <c r="DO72" s="323">
        <v>0.335</v>
      </c>
      <c r="DP72" s="323">
        <v>0.3</v>
      </c>
    </row>
    <row r="73">
      <c r="A73" s="311" t="s">
        <v>570</v>
      </c>
      <c r="B73" s="311" t="s">
        <v>571</v>
      </c>
      <c r="C73" s="311" t="s">
        <v>848</v>
      </c>
      <c r="D73" s="311">
        <v>2.0</v>
      </c>
      <c r="E73" s="312">
        <f t="shared" si="19"/>
        <v>0.3333333333</v>
      </c>
      <c r="F73" s="312" t="str">
        <f t="shared" si="20"/>
        <v>#DIV/0!</v>
      </c>
      <c r="G73" s="312" t="str">
        <f t="shared" si="21"/>
        <v>#DIV/0!</v>
      </c>
      <c r="H73" s="312" t="str">
        <f t="shared" si="22"/>
        <v>#DIV/0!</v>
      </c>
      <c r="I73" s="312" t="str">
        <f t="shared" si="46"/>
        <v>#DIV/0!</v>
      </c>
      <c r="J73" s="312" t="str">
        <f t="shared" si="49"/>
        <v>#DIV/0!</v>
      </c>
      <c r="K73" s="312" t="str">
        <f t="shared" si="50"/>
        <v>#DIV/0!</v>
      </c>
      <c r="L73" s="316" t="str">
        <f t="shared" si="23"/>
        <v>#DIV/0!</v>
      </c>
      <c r="M73" s="317" t="s">
        <v>487</v>
      </c>
      <c r="N73" s="317" t="s">
        <v>594</v>
      </c>
      <c r="O73" s="317" t="s">
        <v>487</v>
      </c>
      <c r="P73" s="317" t="s">
        <v>594</v>
      </c>
      <c r="Q73" s="317" t="s">
        <v>594</v>
      </c>
      <c r="R73" s="317" t="s">
        <v>594</v>
      </c>
      <c r="S73" s="318" t="s">
        <v>561</v>
      </c>
      <c r="T73" s="318" t="s">
        <v>561</v>
      </c>
      <c r="U73" s="330" t="s">
        <v>561</v>
      </c>
      <c r="V73" s="330" t="s">
        <v>561</v>
      </c>
      <c r="W73" s="318" t="s">
        <v>2795</v>
      </c>
      <c r="X73" s="340" t="s">
        <v>561</v>
      </c>
      <c r="Y73" s="318" t="s">
        <v>2795</v>
      </c>
      <c r="Z73" s="317" t="s">
        <v>2795</v>
      </c>
      <c r="AA73" s="317" t="s">
        <v>561</v>
      </c>
      <c r="AB73" s="317" t="s">
        <v>53</v>
      </c>
      <c r="AC73" s="317" t="s">
        <v>2795</v>
      </c>
      <c r="AD73" s="317" t="s">
        <v>2795</v>
      </c>
      <c r="AE73" s="317" t="s">
        <v>561</v>
      </c>
      <c r="AF73" s="317" t="s">
        <v>561</v>
      </c>
      <c r="AG73" s="317" t="s">
        <v>53</v>
      </c>
      <c r="AH73" s="317" t="s">
        <v>561</v>
      </c>
      <c r="AI73" s="317" t="s">
        <v>561</v>
      </c>
      <c r="AJ73" s="317" t="s">
        <v>2795</v>
      </c>
      <c r="AK73" s="317" t="s">
        <v>2807</v>
      </c>
      <c r="AL73" s="317" t="s">
        <v>2795</v>
      </c>
      <c r="AM73" s="317" t="s">
        <v>2795</v>
      </c>
      <c r="AN73" s="317" t="s">
        <v>2795</v>
      </c>
      <c r="AO73" s="317" t="s">
        <v>2795</v>
      </c>
      <c r="AP73" s="317" t="s">
        <v>561</v>
      </c>
      <c r="AQ73" s="317" t="s">
        <v>561</v>
      </c>
      <c r="AR73" s="317" t="s">
        <v>561</v>
      </c>
      <c r="AS73" s="317" t="s">
        <v>2795</v>
      </c>
      <c r="AT73" s="317" t="s">
        <v>561</v>
      </c>
      <c r="AU73" s="317" t="s">
        <v>53</v>
      </c>
      <c r="AV73" s="317" t="s">
        <v>2795</v>
      </c>
      <c r="AW73" s="317" t="s">
        <v>561</v>
      </c>
      <c r="AX73" s="317" t="s">
        <v>561</v>
      </c>
      <c r="AY73" s="317" t="s">
        <v>561</v>
      </c>
      <c r="AZ73" s="317" t="s">
        <v>561</v>
      </c>
      <c r="BA73" s="317" t="s">
        <v>2796</v>
      </c>
      <c r="BB73" s="317" t="s">
        <v>561</v>
      </c>
      <c r="BC73" s="317" t="s">
        <v>2796</v>
      </c>
      <c r="BD73" s="317" t="s">
        <v>2795</v>
      </c>
      <c r="BE73" s="317" t="s">
        <v>53</v>
      </c>
      <c r="BF73" s="317" t="s">
        <v>561</v>
      </c>
      <c r="BG73" s="317" t="s">
        <v>561</v>
      </c>
      <c r="BH73" s="317" t="s">
        <v>561</v>
      </c>
      <c r="BI73" s="317" t="s">
        <v>561</v>
      </c>
      <c r="BJ73" s="317" t="s">
        <v>53</v>
      </c>
      <c r="BK73" s="317" t="s">
        <v>561</v>
      </c>
      <c r="BL73" s="317" t="s">
        <v>2796</v>
      </c>
      <c r="BM73" s="317" t="s">
        <v>2796</v>
      </c>
      <c r="BN73" s="317" t="s">
        <v>561</v>
      </c>
      <c r="BO73" s="317" t="s">
        <v>2796</v>
      </c>
      <c r="BP73" s="317" t="s">
        <v>2796</v>
      </c>
      <c r="BQ73" s="317" t="s">
        <v>53</v>
      </c>
      <c r="BR73" s="317" t="s">
        <v>53</v>
      </c>
      <c r="BS73" s="317" t="s">
        <v>53</v>
      </c>
      <c r="BT73" s="317" t="s">
        <v>561</v>
      </c>
      <c r="BU73" s="317" t="s">
        <v>53</v>
      </c>
      <c r="BV73" s="317" t="s">
        <v>561</v>
      </c>
      <c r="BW73" s="317" t="s">
        <v>53</v>
      </c>
      <c r="BX73" s="317" t="s">
        <v>561</v>
      </c>
      <c r="BY73" s="317" t="s">
        <v>561</v>
      </c>
      <c r="BZ73" s="317" t="s">
        <v>561</v>
      </c>
      <c r="CA73" s="317" t="s">
        <v>53</v>
      </c>
      <c r="CB73" s="317" t="s">
        <v>53</v>
      </c>
      <c r="CC73" s="317" t="s">
        <v>53</v>
      </c>
      <c r="CD73" s="317" t="s">
        <v>561</v>
      </c>
      <c r="CE73" s="317" t="s">
        <v>561</v>
      </c>
      <c r="CF73" s="317" t="s">
        <v>53</v>
      </c>
      <c r="CG73" s="317" t="s">
        <v>561</v>
      </c>
      <c r="CH73" s="317" t="s">
        <v>561</v>
      </c>
      <c r="CI73" s="317" t="s">
        <v>53</v>
      </c>
      <c r="CJ73" s="317" t="s">
        <v>2796</v>
      </c>
      <c r="CK73" s="317" t="s">
        <v>561</v>
      </c>
      <c r="CL73" s="317" t="s">
        <v>561</v>
      </c>
      <c r="CM73" s="317" t="s">
        <v>561</v>
      </c>
      <c r="CN73" s="317" t="s">
        <v>561</v>
      </c>
      <c r="CO73" s="317" t="s">
        <v>53</v>
      </c>
      <c r="CP73" s="317" t="s">
        <v>561</v>
      </c>
      <c r="CQ73" s="319"/>
      <c r="CR73" s="319" t="s">
        <v>743</v>
      </c>
      <c r="CS73" s="342" t="s">
        <v>2476</v>
      </c>
      <c r="CT73" s="319"/>
      <c r="CU73" s="319" t="s">
        <v>23</v>
      </c>
      <c r="CV73" s="327" t="s">
        <v>28</v>
      </c>
      <c r="CW73" s="319"/>
      <c r="CX73" s="319"/>
      <c r="CY73" s="323">
        <f t="shared" si="24"/>
        <v>0.4</v>
      </c>
      <c r="CZ73" s="324">
        <v>0.693</v>
      </c>
      <c r="DA73" s="323">
        <v>0.293</v>
      </c>
      <c r="DB73" s="323"/>
      <c r="DC73" s="323">
        <f t="shared" si="25"/>
        <v>0.423</v>
      </c>
      <c r="DD73" s="324">
        <v>0.691</v>
      </c>
      <c r="DE73" s="323">
        <v>0.268</v>
      </c>
      <c r="DF73" s="323"/>
      <c r="DG73" s="323">
        <v>0.363</v>
      </c>
      <c r="DH73" s="323">
        <v>0.134</v>
      </c>
      <c r="DI73" s="324">
        <v>0.484</v>
      </c>
      <c r="DJ73" s="323">
        <v>0.013000000000000001</v>
      </c>
      <c r="DK73" s="323">
        <v>0.018000000000000002</v>
      </c>
      <c r="DL73" s="323">
        <v>0.001</v>
      </c>
      <c r="DM73" s="323"/>
      <c r="DN73" s="323">
        <v>0.23</v>
      </c>
      <c r="DO73" s="323">
        <v>0.226</v>
      </c>
      <c r="DP73" s="323">
        <v>0.314</v>
      </c>
    </row>
    <row r="74">
      <c r="A74" s="311" t="s">
        <v>753</v>
      </c>
      <c r="B74" s="311" t="s">
        <v>754</v>
      </c>
      <c r="C74" s="311" t="s">
        <v>677</v>
      </c>
      <c r="D74" s="311">
        <v>4.0</v>
      </c>
      <c r="E74" s="312">
        <f t="shared" si="19"/>
        <v>0.1666666667</v>
      </c>
      <c r="F74" s="312" t="str">
        <f t="shared" si="20"/>
        <v>#DIV/0!</v>
      </c>
      <c r="G74" s="312" t="str">
        <f t="shared" si="21"/>
        <v>#DIV/0!</v>
      </c>
      <c r="H74" s="312" t="str">
        <f t="shared" si="22"/>
        <v>#DIV/0!</v>
      </c>
      <c r="I74" s="315" t="s">
        <v>2794</v>
      </c>
      <c r="J74" s="315" t="s">
        <v>2794</v>
      </c>
      <c r="K74" s="315" t="s">
        <v>2794</v>
      </c>
      <c r="L74" s="316" t="str">
        <f t="shared" si="23"/>
        <v>#DIV/0!</v>
      </c>
      <c r="M74" s="317" t="s">
        <v>594</v>
      </c>
      <c r="N74" s="317" t="s">
        <v>487</v>
      </c>
      <c r="O74" s="317" t="s">
        <v>594</v>
      </c>
      <c r="P74" s="317" t="s">
        <v>594</v>
      </c>
      <c r="Q74" s="317" t="s">
        <v>594</v>
      </c>
      <c r="R74" s="317" t="s">
        <v>594</v>
      </c>
      <c r="S74" s="318" t="s">
        <v>53</v>
      </c>
      <c r="T74" s="318" t="s">
        <v>561</v>
      </c>
      <c r="U74" s="330" t="s">
        <v>561</v>
      </c>
      <c r="V74" s="330" t="s">
        <v>561</v>
      </c>
      <c r="W74" s="318" t="s">
        <v>2795</v>
      </c>
      <c r="X74" s="340" t="s">
        <v>561</v>
      </c>
      <c r="Y74" s="318" t="s">
        <v>2795</v>
      </c>
      <c r="Z74" s="317" t="s">
        <v>2795</v>
      </c>
      <c r="AA74" s="317" t="s">
        <v>561</v>
      </c>
      <c r="AB74" s="317" t="s">
        <v>53</v>
      </c>
      <c r="AC74" s="317" t="s">
        <v>2795</v>
      </c>
      <c r="AD74" s="317" t="s">
        <v>2795</v>
      </c>
      <c r="AE74" s="317" t="s">
        <v>53</v>
      </c>
      <c r="AF74" s="317" t="s">
        <v>561</v>
      </c>
      <c r="AG74" s="317" t="s">
        <v>561</v>
      </c>
      <c r="AH74" s="317" t="s">
        <v>561</v>
      </c>
      <c r="AI74" s="317" t="s">
        <v>53</v>
      </c>
      <c r="AJ74" s="317" t="s">
        <v>2795</v>
      </c>
      <c r="AK74" s="317" t="s">
        <v>2795</v>
      </c>
      <c r="AL74" s="317" t="s">
        <v>2795</v>
      </c>
      <c r="AM74" s="317" t="s">
        <v>2795</v>
      </c>
      <c r="AN74" s="317" t="s">
        <v>2795</v>
      </c>
      <c r="AO74" s="317" t="s">
        <v>2795</v>
      </c>
      <c r="AP74" s="317" t="s">
        <v>561</v>
      </c>
      <c r="AQ74" s="317" t="s">
        <v>561</v>
      </c>
      <c r="AR74" s="317" t="s">
        <v>561</v>
      </c>
      <c r="AS74" s="317" t="s">
        <v>2795</v>
      </c>
      <c r="AT74" s="317" t="s">
        <v>561</v>
      </c>
      <c r="AU74" s="317" t="s">
        <v>561</v>
      </c>
      <c r="AV74" s="317" t="s">
        <v>2807</v>
      </c>
      <c r="AW74" s="317" t="s">
        <v>600</v>
      </c>
      <c r="AX74" s="317" t="s">
        <v>600</v>
      </c>
      <c r="AY74" s="317" t="s">
        <v>600</v>
      </c>
      <c r="AZ74" s="317" t="s">
        <v>600</v>
      </c>
      <c r="BA74" s="317" t="s">
        <v>600</v>
      </c>
      <c r="BB74" s="317" t="s">
        <v>600</v>
      </c>
      <c r="BC74" s="317" t="s">
        <v>600</v>
      </c>
      <c r="BD74" s="317" t="s">
        <v>600</v>
      </c>
      <c r="BE74" s="317" t="s">
        <v>600</v>
      </c>
      <c r="BF74" s="317" t="s">
        <v>600</v>
      </c>
      <c r="BG74" s="317" t="s">
        <v>600</v>
      </c>
      <c r="BH74" s="317" t="s">
        <v>600</v>
      </c>
      <c r="BI74" s="317" t="s">
        <v>600</v>
      </c>
      <c r="BJ74" s="317" t="s">
        <v>600</v>
      </c>
      <c r="BK74" s="317" t="s">
        <v>600</v>
      </c>
      <c r="BL74" s="317" t="s">
        <v>600</v>
      </c>
      <c r="BM74" s="317" t="s">
        <v>600</v>
      </c>
      <c r="BN74" s="317" t="s">
        <v>600</v>
      </c>
      <c r="BO74" s="317" t="s">
        <v>600</v>
      </c>
      <c r="BP74" s="317" t="s">
        <v>600</v>
      </c>
      <c r="BQ74" s="317" t="s">
        <v>600</v>
      </c>
      <c r="BR74" s="317" t="s">
        <v>600</v>
      </c>
      <c r="BS74" s="317" t="s">
        <v>600</v>
      </c>
      <c r="BT74" s="317" t="s">
        <v>600</v>
      </c>
      <c r="BU74" s="317" t="s">
        <v>600</v>
      </c>
      <c r="BV74" s="317" t="s">
        <v>600</v>
      </c>
      <c r="BW74" s="317" t="s">
        <v>600</v>
      </c>
      <c r="BX74" s="317" t="s">
        <v>600</v>
      </c>
      <c r="BY74" s="317" t="s">
        <v>600</v>
      </c>
      <c r="BZ74" s="317" t="s">
        <v>600</v>
      </c>
      <c r="CA74" s="317" t="s">
        <v>600</v>
      </c>
      <c r="CB74" s="317" t="s">
        <v>600</v>
      </c>
      <c r="CC74" s="317" t="s">
        <v>600</v>
      </c>
      <c r="CD74" s="317" t="s">
        <v>600</v>
      </c>
      <c r="CE74" s="317" t="s">
        <v>600</v>
      </c>
      <c r="CF74" s="317" t="s">
        <v>600</v>
      </c>
      <c r="CG74" s="317" t="s">
        <v>600</v>
      </c>
      <c r="CH74" s="317" t="s">
        <v>600</v>
      </c>
      <c r="CI74" s="317" t="s">
        <v>600</v>
      </c>
      <c r="CJ74" s="317" t="s">
        <v>600</v>
      </c>
      <c r="CK74" s="317" t="s">
        <v>600</v>
      </c>
      <c r="CL74" s="317" t="s">
        <v>600</v>
      </c>
      <c r="CM74" s="317" t="s">
        <v>600</v>
      </c>
      <c r="CN74" s="317" t="s">
        <v>600</v>
      </c>
      <c r="CO74" s="317" t="s">
        <v>600</v>
      </c>
      <c r="CP74" s="317" t="s">
        <v>600</v>
      </c>
      <c r="CQ74" s="319"/>
      <c r="CR74" s="319">
        <v>2021.0</v>
      </c>
      <c r="CS74" s="342" t="s">
        <v>2476</v>
      </c>
      <c r="CT74" s="334" t="s">
        <v>2030</v>
      </c>
      <c r="CU74" s="326" t="s">
        <v>600</v>
      </c>
      <c r="CV74" s="332" t="s">
        <v>75</v>
      </c>
      <c r="CW74" s="319"/>
      <c r="CX74" s="319"/>
      <c r="CY74" s="323">
        <f t="shared" si="24"/>
        <v>0.285</v>
      </c>
      <c r="CZ74" s="324">
        <v>0.633</v>
      </c>
      <c r="DA74" s="323">
        <v>0.348</v>
      </c>
      <c r="DB74" s="323"/>
      <c r="DC74" s="323">
        <f t="shared" si="25"/>
        <v>0.226</v>
      </c>
      <c r="DD74" s="324">
        <v>0.5760000000000001</v>
      </c>
      <c r="DE74" s="323">
        <v>0.35</v>
      </c>
      <c r="DF74" s="323"/>
      <c r="DG74" s="324">
        <v>0.8059999999999999</v>
      </c>
      <c r="DH74" s="323">
        <v>0.051</v>
      </c>
      <c r="DI74" s="323">
        <v>0.046</v>
      </c>
      <c r="DJ74" s="323">
        <v>0.071</v>
      </c>
      <c r="DK74" s="323">
        <v>0.01</v>
      </c>
      <c r="DL74" s="323">
        <v>0.001</v>
      </c>
      <c r="DM74" s="323"/>
      <c r="DN74" s="323">
        <v>0.478</v>
      </c>
      <c r="DO74" s="323">
        <v>0.47600000000000003</v>
      </c>
      <c r="DP74" s="323">
        <v>0.457</v>
      </c>
    </row>
    <row r="75">
      <c r="A75" s="311" t="s">
        <v>1267</v>
      </c>
      <c r="B75" s="311" t="s">
        <v>1268</v>
      </c>
      <c r="C75" s="311" t="s">
        <v>2824</v>
      </c>
      <c r="D75" s="311">
        <v>20.0</v>
      </c>
      <c r="E75" s="312">
        <f t="shared" si="19"/>
        <v>0.1666666667</v>
      </c>
      <c r="F75" s="312">
        <f t="shared" si="20"/>
        <v>0.5</v>
      </c>
      <c r="G75" s="312" t="str">
        <f t="shared" si="21"/>
        <v>#DIV/0!</v>
      </c>
      <c r="H75" s="312">
        <f t="shared" si="22"/>
        <v>0.5</v>
      </c>
      <c r="I75" s="312" t="str">
        <f t="shared" ref="I75:I90" si="51">(COUNTIF(AW75:BP75, "Nay")+COUNTIF(AW75:BP75, "Yea (Amend)")+(0.5*COUNTIF(AW75:BP75, "Present")))/(COUNTIF(AW75:BP75, "Nay")+COUNTIF(AW75:BP75, "Yea (Amend)")+COUNTIF(AW75:BP75, "Yea")+COUNTIF(AW75:BP75, "Nay (Amend)")+COUNTIF(AW75:BP75, "Present"))</f>
        <v>#DIV/0!</v>
      </c>
      <c r="J75" s="312">
        <f t="shared" ref="J75:J78" si="52">(COUNTIF(BQ75:CL75, "Nay")+COUNTIF(BQ75:CL75, "Yea (Amend)")+(0.5*COUNTIF(BQ75:CL75, "Present")))/(COUNTIF(BQ75:CL75, "Nay")+COUNTIF(BQ75:CL75, "Yea (Amend)")+COUNTIF(BQ75:CL75, "Yea")+COUNTIF(BQ75:CL75, "Nay (Amend)")+COUNTIF(BQ75:CL75, "Present"))</f>
        <v>0.5</v>
      </c>
      <c r="K75" s="312" t="str">
        <f t="shared" ref="K75:K78" si="53">(COUNTIF(CM75:CP75, "Nay")+COUNTIF(CM75:CP75, "Yea (Amend)")+(0.5*COUNTIF(CM75:CP75, "Present")))/(COUNTIF(CM75:CP75, "Nay")+COUNTIF(CM75:CP75, "Yea (Amend)")+COUNTIF(CM75:CP75, "Yea")+COUNTIF(CM75:CP75, "Nay (Amend)")+COUNTIF(CM75:CP75, "Present"))</f>
        <v>#DIV/0!</v>
      </c>
      <c r="L75" s="316" t="str">
        <f t="shared" si="23"/>
        <v>#DIV/0!</v>
      </c>
      <c r="M75" s="317" t="s">
        <v>594</v>
      </c>
      <c r="N75" s="317" t="s">
        <v>487</v>
      </c>
      <c r="O75" s="317" t="s">
        <v>594</v>
      </c>
      <c r="P75" s="317" t="s">
        <v>594</v>
      </c>
      <c r="Q75" s="317" t="s">
        <v>594</v>
      </c>
      <c r="R75" s="317" t="s">
        <v>594</v>
      </c>
      <c r="S75" s="318" t="s">
        <v>561</v>
      </c>
      <c r="T75" s="318" t="s">
        <v>561</v>
      </c>
      <c r="U75" s="330" t="s">
        <v>561</v>
      </c>
      <c r="V75" s="330" t="s">
        <v>561</v>
      </c>
      <c r="W75" s="318" t="s">
        <v>2795</v>
      </c>
      <c r="X75" s="340" t="s">
        <v>561</v>
      </c>
      <c r="Y75" s="318" t="s">
        <v>2795</v>
      </c>
      <c r="Z75" s="317" t="s">
        <v>2795</v>
      </c>
      <c r="AA75" s="317" t="s">
        <v>561</v>
      </c>
      <c r="AB75" s="317" t="s">
        <v>53</v>
      </c>
      <c r="AC75" s="317" t="s">
        <v>2795</v>
      </c>
      <c r="AD75" s="317" t="s">
        <v>2795</v>
      </c>
      <c r="AE75" s="317" t="s">
        <v>561</v>
      </c>
      <c r="AF75" s="317" t="s">
        <v>561</v>
      </c>
      <c r="AG75" s="317" t="s">
        <v>799</v>
      </c>
      <c r="AH75" s="317" t="s">
        <v>561</v>
      </c>
      <c r="AI75" s="317" t="s">
        <v>561</v>
      </c>
      <c r="AJ75" s="317" t="s">
        <v>2795</v>
      </c>
      <c r="AK75" s="317" t="s">
        <v>2795</v>
      </c>
      <c r="AL75" s="317" t="s">
        <v>2795</v>
      </c>
      <c r="AM75" s="317" t="s">
        <v>2795</v>
      </c>
      <c r="AN75" s="317" t="s">
        <v>2795</v>
      </c>
      <c r="AO75" s="317" t="s">
        <v>2795</v>
      </c>
      <c r="AP75" s="317" t="s">
        <v>561</v>
      </c>
      <c r="AQ75" s="317" t="s">
        <v>561</v>
      </c>
      <c r="AR75" s="317" t="s">
        <v>561</v>
      </c>
      <c r="AS75" s="317" t="s">
        <v>2795</v>
      </c>
      <c r="AT75" s="317" t="s">
        <v>561</v>
      </c>
      <c r="AU75" s="317" t="s">
        <v>799</v>
      </c>
      <c r="AV75" s="317" t="s">
        <v>2807</v>
      </c>
      <c r="AW75" s="317" t="s">
        <v>561</v>
      </c>
      <c r="AX75" s="317" t="s">
        <v>53</v>
      </c>
      <c r="AY75" s="317" t="s">
        <v>561</v>
      </c>
      <c r="AZ75" s="317" t="s">
        <v>561</v>
      </c>
      <c r="BA75" s="317" t="s">
        <v>2796</v>
      </c>
      <c r="BB75" s="317" t="s">
        <v>53</v>
      </c>
      <c r="BC75" s="317" t="s">
        <v>2796</v>
      </c>
      <c r="BD75" s="317" t="s">
        <v>2795</v>
      </c>
      <c r="BE75" s="317" t="s">
        <v>53</v>
      </c>
      <c r="BF75" s="317" t="s">
        <v>561</v>
      </c>
      <c r="BG75" s="317" t="s">
        <v>53</v>
      </c>
      <c r="BH75" s="317" t="s">
        <v>561</v>
      </c>
      <c r="BI75" s="317" t="s">
        <v>561</v>
      </c>
      <c r="BJ75" s="317" t="s">
        <v>53</v>
      </c>
      <c r="BK75" s="317" t="s">
        <v>561</v>
      </c>
      <c r="BL75" s="317" t="s">
        <v>2796</v>
      </c>
      <c r="BM75" s="317" t="s">
        <v>2796</v>
      </c>
      <c r="BN75" s="317" t="s">
        <v>801</v>
      </c>
      <c r="BO75" s="317" t="s">
        <v>801</v>
      </c>
      <c r="BP75" s="317" t="s">
        <v>2796</v>
      </c>
      <c r="BQ75" s="317" t="s">
        <v>53</v>
      </c>
      <c r="BR75" s="317" t="s">
        <v>561</v>
      </c>
      <c r="BS75" s="317" t="s">
        <v>53</v>
      </c>
      <c r="BT75" s="317" t="s">
        <v>561</v>
      </c>
      <c r="BU75" s="317" t="s">
        <v>53</v>
      </c>
      <c r="BV75" s="317" t="s">
        <v>561</v>
      </c>
      <c r="BW75" s="317" t="s">
        <v>53</v>
      </c>
      <c r="BX75" s="317" t="s">
        <v>561</v>
      </c>
      <c r="BY75" s="317" t="s">
        <v>53</v>
      </c>
      <c r="BZ75" s="317" t="s">
        <v>561</v>
      </c>
      <c r="CA75" s="317" t="s">
        <v>53</v>
      </c>
      <c r="CB75" s="317" t="s">
        <v>799</v>
      </c>
      <c r="CC75" s="317" t="s">
        <v>799</v>
      </c>
      <c r="CD75" s="317" t="s">
        <v>561</v>
      </c>
      <c r="CE75" s="317" t="s">
        <v>53</v>
      </c>
      <c r="CF75" s="317" t="s">
        <v>53</v>
      </c>
      <c r="CG75" s="317" t="s">
        <v>561</v>
      </c>
      <c r="CH75" s="317" t="s">
        <v>53</v>
      </c>
      <c r="CI75" s="317" t="s">
        <v>561</v>
      </c>
      <c r="CJ75" s="317" t="s">
        <v>2806</v>
      </c>
      <c r="CK75" s="317" t="s">
        <v>53</v>
      </c>
      <c r="CL75" s="317" t="s">
        <v>561</v>
      </c>
      <c r="CM75" s="317" t="s">
        <v>561</v>
      </c>
      <c r="CN75" s="317" t="s">
        <v>561</v>
      </c>
      <c r="CO75" s="317" t="s">
        <v>53</v>
      </c>
      <c r="CP75" s="317" t="s">
        <v>801</v>
      </c>
      <c r="CQ75" s="319"/>
      <c r="CR75" s="319">
        <v>2013.0</v>
      </c>
      <c r="CS75" s="343" t="s">
        <v>1569</v>
      </c>
      <c r="CT75" s="319"/>
      <c r="CU75" s="319" t="s">
        <v>2833</v>
      </c>
      <c r="CV75" s="320" t="s">
        <v>83</v>
      </c>
      <c r="CW75" s="319"/>
      <c r="CX75" s="319"/>
      <c r="CY75" s="323">
        <f t="shared" si="24"/>
        <v>0.331</v>
      </c>
      <c r="CZ75" s="324">
        <v>0.6579999999999999</v>
      </c>
      <c r="DA75" s="323">
        <v>0.327</v>
      </c>
      <c r="DB75" s="323"/>
      <c r="DC75" s="323">
        <f t="shared" si="25"/>
        <v>0.319</v>
      </c>
      <c r="DD75" s="324">
        <v>0.63</v>
      </c>
      <c r="DE75" s="323">
        <v>0.311</v>
      </c>
      <c r="DF75" s="323"/>
      <c r="DG75" s="323">
        <v>0.19699999999999998</v>
      </c>
      <c r="DH75" s="324">
        <v>0.682</v>
      </c>
      <c r="DI75" s="323">
        <v>0.07200000000000001</v>
      </c>
      <c r="DJ75" s="323">
        <v>0.047</v>
      </c>
      <c r="DK75" s="323">
        <v>0.03</v>
      </c>
      <c r="DL75" s="323">
        <v>0.003</v>
      </c>
      <c r="DM75" s="323"/>
      <c r="DN75" s="323">
        <v>0.233</v>
      </c>
      <c r="DO75" s="323">
        <v>0.376</v>
      </c>
      <c r="DP75" s="323">
        <v>0.138</v>
      </c>
    </row>
    <row r="76">
      <c r="A76" s="311" t="s">
        <v>879</v>
      </c>
      <c r="B76" s="311" t="s">
        <v>880</v>
      </c>
      <c r="C76" s="311" t="s">
        <v>1637</v>
      </c>
      <c r="D76" s="311">
        <v>1.0</v>
      </c>
      <c r="E76" s="312">
        <f t="shared" si="19"/>
        <v>0.3333333333</v>
      </c>
      <c r="F76" s="312" t="str">
        <f t="shared" si="20"/>
        <v>#DIV/0!</v>
      </c>
      <c r="G76" s="312" t="str">
        <f t="shared" si="21"/>
        <v>#DIV/0!</v>
      </c>
      <c r="H76" s="312" t="str">
        <f t="shared" si="22"/>
        <v>#DIV/0!</v>
      </c>
      <c r="I76" s="312" t="str">
        <f t="shared" si="51"/>
        <v>#DIV/0!</v>
      </c>
      <c r="J76" s="312" t="str">
        <f t="shared" si="52"/>
        <v>#DIV/0!</v>
      </c>
      <c r="K76" s="312" t="str">
        <f t="shared" si="53"/>
        <v>#DIV/0!</v>
      </c>
      <c r="L76" s="316" t="str">
        <f t="shared" si="23"/>
        <v>#DIV/0!</v>
      </c>
      <c r="M76" s="317" t="s">
        <v>487</v>
      </c>
      <c r="N76" s="317" t="s">
        <v>594</v>
      </c>
      <c r="O76" s="317" t="s">
        <v>594</v>
      </c>
      <c r="P76" s="317" t="s">
        <v>594</v>
      </c>
      <c r="Q76" s="317" t="s">
        <v>487</v>
      </c>
      <c r="R76" s="317" t="s">
        <v>594</v>
      </c>
      <c r="S76" s="318" t="s">
        <v>561</v>
      </c>
      <c r="T76" s="318" t="s">
        <v>561</v>
      </c>
      <c r="U76" s="330" t="s">
        <v>561</v>
      </c>
      <c r="V76" s="330" t="s">
        <v>561</v>
      </c>
      <c r="W76" s="318" t="s">
        <v>2795</v>
      </c>
      <c r="X76" s="340" t="s">
        <v>561</v>
      </c>
      <c r="Y76" s="318" t="s">
        <v>2795</v>
      </c>
      <c r="Z76" s="317" t="s">
        <v>2795</v>
      </c>
      <c r="AA76" s="317" t="s">
        <v>561</v>
      </c>
      <c r="AB76" s="317" t="s">
        <v>53</v>
      </c>
      <c r="AC76" s="317" t="s">
        <v>2795</v>
      </c>
      <c r="AD76" s="317" t="s">
        <v>2795</v>
      </c>
      <c r="AE76" s="317" t="s">
        <v>561</v>
      </c>
      <c r="AF76" s="317" t="s">
        <v>561</v>
      </c>
      <c r="AG76" s="317" t="s">
        <v>561</v>
      </c>
      <c r="AH76" s="317" t="s">
        <v>561</v>
      </c>
      <c r="AI76" s="317" t="s">
        <v>561</v>
      </c>
      <c r="AJ76" s="317" t="s">
        <v>2795</v>
      </c>
      <c r="AK76" s="317" t="s">
        <v>2807</v>
      </c>
      <c r="AL76" s="317" t="s">
        <v>2795</v>
      </c>
      <c r="AM76" s="317" t="s">
        <v>2795</v>
      </c>
      <c r="AN76" s="317" t="s">
        <v>2795</v>
      </c>
      <c r="AO76" s="317" t="s">
        <v>2795</v>
      </c>
      <c r="AP76" s="317" t="s">
        <v>561</v>
      </c>
      <c r="AQ76" s="317" t="s">
        <v>561</v>
      </c>
      <c r="AR76" s="317" t="s">
        <v>561</v>
      </c>
      <c r="AS76" s="317" t="s">
        <v>2795</v>
      </c>
      <c r="AT76" s="317" t="s">
        <v>561</v>
      </c>
      <c r="AU76" s="317" t="s">
        <v>53</v>
      </c>
      <c r="AV76" s="317" t="s">
        <v>2807</v>
      </c>
      <c r="AW76" s="317" t="s">
        <v>561</v>
      </c>
      <c r="AX76" s="317" t="s">
        <v>561</v>
      </c>
      <c r="AY76" s="317" t="s">
        <v>561</v>
      </c>
      <c r="AZ76" s="317" t="s">
        <v>561</v>
      </c>
      <c r="BA76" s="317" t="s">
        <v>2796</v>
      </c>
      <c r="BB76" s="317" t="s">
        <v>561</v>
      </c>
      <c r="BC76" s="317" t="s">
        <v>2806</v>
      </c>
      <c r="BD76" s="317" t="s">
        <v>2795</v>
      </c>
      <c r="BE76" s="317" t="s">
        <v>53</v>
      </c>
      <c r="BF76" s="317" t="s">
        <v>561</v>
      </c>
      <c r="BG76" s="317" t="s">
        <v>53</v>
      </c>
      <c r="BH76" s="317" t="s">
        <v>561</v>
      </c>
      <c r="BI76" s="317" t="s">
        <v>561</v>
      </c>
      <c r="BJ76" s="317" t="s">
        <v>53</v>
      </c>
      <c r="BK76" s="317" t="s">
        <v>561</v>
      </c>
      <c r="BL76" s="317" t="s">
        <v>2796</v>
      </c>
      <c r="BM76" s="317" t="s">
        <v>2796</v>
      </c>
      <c r="BN76" s="317" t="s">
        <v>53</v>
      </c>
      <c r="BO76" s="317" t="s">
        <v>2796</v>
      </c>
      <c r="BP76" s="317" t="s">
        <v>2796</v>
      </c>
      <c r="BQ76" s="317" t="s">
        <v>561</v>
      </c>
      <c r="BR76" s="317" t="s">
        <v>53</v>
      </c>
      <c r="BS76" s="317" t="s">
        <v>53</v>
      </c>
      <c r="BT76" s="317" t="s">
        <v>561</v>
      </c>
      <c r="BU76" s="317" t="s">
        <v>53</v>
      </c>
      <c r="BV76" s="317" t="s">
        <v>561</v>
      </c>
      <c r="BW76" s="317" t="s">
        <v>53</v>
      </c>
      <c r="BX76" s="317" t="s">
        <v>561</v>
      </c>
      <c r="BY76" s="317" t="s">
        <v>53</v>
      </c>
      <c r="BZ76" s="317" t="s">
        <v>561</v>
      </c>
      <c r="CA76" s="317" t="s">
        <v>53</v>
      </c>
      <c r="CB76" s="317" t="s">
        <v>53</v>
      </c>
      <c r="CC76" s="317" t="s">
        <v>53</v>
      </c>
      <c r="CD76" s="317" t="s">
        <v>561</v>
      </c>
      <c r="CE76" s="317" t="s">
        <v>53</v>
      </c>
      <c r="CF76" s="317" t="s">
        <v>53</v>
      </c>
      <c r="CG76" s="317" t="s">
        <v>561</v>
      </c>
      <c r="CH76" s="317" t="s">
        <v>561</v>
      </c>
      <c r="CI76" s="317" t="s">
        <v>561</v>
      </c>
      <c r="CJ76" s="317" t="s">
        <v>2806</v>
      </c>
      <c r="CK76" s="317" t="s">
        <v>561</v>
      </c>
      <c r="CL76" s="317" t="s">
        <v>801</v>
      </c>
      <c r="CM76" s="317" t="s">
        <v>561</v>
      </c>
      <c r="CN76" s="317" t="s">
        <v>561</v>
      </c>
      <c r="CO76" s="317" t="s">
        <v>561</v>
      </c>
      <c r="CP76" s="317" t="s">
        <v>561</v>
      </c>
      <c r="CQ76" s="319"/>
      <c r="CR76" s="319">
        <v>2013.0</v>
      </c>
      <c r="CS76" s="342" t="s">
        <v>2476</v>
      </c>
      <c r="CT76" s="334" t="s">
        <v>2030</v>
      </c>
      <c r="CU76" s="319" t="s">
        <v>23</v>
      </c>
      <c r="CV76" s="332" t="s">
        <v>75</v>
      </c>
      <c r="CW76" s="336"/>
      <c r="CX76" s="319"/>
      <c r="CY76" s="323">
        <f t="shared" si="24"/>
        <v>0.085</v>
      </c>
      <c r="CZ76" s="324">
        <v>0.532</v>
      </c>
      <c r="DA76" s="323">
        <v>0.447</v>
      </c>
      <c r="DB76" s="323"/>
      <c r="DC76" s="323">
        <f t="shared" si="25"/>
        <v>0.1</v>
      </c>
      <c r="DD76" s="324">
        <v>0.52</v>
      </c>
      <c r="DE76" s="323">
        <v>0.42</v>
      </c>
      <c r="DF76" s="323"/>
      <c r="DG76" s="324">
        <v>0.439</v>
      </c>
      <c r="DH76" s="323">
        <v>0.322</v>
      </c>
      <c r="DI76" s="323">
        <v>0.11699999999999999</v>
      </c>
      <c r="DJ76" s="323">
        <v>0.10400000000000001</v>
      </c>
      <c r="DK76" s="323">
        <v>0.03</v>
      </c>
      <c r="DL76" s="323">
        <v>0.013999999999999999</v>
      </c>
      <c r="DM76" s="323"/>
      <c r="DN76" s="323">
        <v>0.23199999999999998</v>
      </c>
      <c r="DO76" s="323">
        <v>0.29</v>
      </c>
      <c r="DP76" s="323">
        <v>0.389</v>
      </c>
    </row>
    <row r="77">
      <c r="A77" s="311" t="s">
        <v>983</v>
      </c>
      <c r="B77" s="311" t="s">
        <v>984</v>
      </c>
      <c r="C77" s="311" t="s">
        <v>1530</v>
      </c>
      <c r="D77" s="311">
        <v>5.0</v>
      </c>
      <c r="E77" s="312">
        <f t="shared" si="19"/>
        <v>0.5</v>
      </c>
      <c r="F77" s="312" t="str">
        <f t="shared" si="20"/>
        <v>#DIV/0!</v>
      </c>
      <c r="G77" s="312" t="str">
        <f t="shared" si="21"/>
        <v>#DIV/0!</v>
      </c>
      <c r="H77" s="312" t="str">
        <f t="shared" si="22"/>
        <v>#DIV/0!</v>
      </c>
      <c r="I77" s="312" t="str">
        <f t="shared" si="51"/>
        <v>#DIV/0!</v>
      </c>
      <c r="J77" s="312" t="str">
        <f t="shared" si="52"/>
        <v>#DIV/0!</v>
      </c>
      <c r="K77" s="312" t="str">
        <f t="shared" si="53"/>
        <v>#DIV/0!</v>
      </c>
      <c r="L77" s="316" t="str">
        <f t="shared" si="23"/>
        <v>#DIV/0!</v>
      </c>
      <c r="M77" s="317" t="s">
        <v>487</v>
      </c>
      <c r="N77" s="317" t="s">
        <v>487</v>
      </c>
      <c r="O77" s="317" t="s">
        <v>487</v>
      </c>
      <c r="P77" s="317" t="s">
        <v>594</v>
      </c>
      <c r="Q77" s="317" t="s">
        <v>594</v>
      </c>
      <c r="R77" s="317" t="s">
        <v>594</v>
      </c>
      <c r="S77" s="318" t="s">
        <v>561</v>
      </c>
      <c r="T77" s="318" t="s">
        <v>561</v>
      </c>
      <c r="U77" s="330" t="s">
        <v>561</v>
      </c>
      <c r="V77" s="330" t="s">
        <v>561</v>
      </c>
      <c r="W77" s="318" t="s">
        <v>2795</v>
      </c>
      <c r="X77" s="340" t="s">
        <v>561</v>
      </c>
      <c r="Y77" s="318" t="s">
        <v>2795</v>
      </c>
      <c r="Z77" s="317" t="s">
        <v>2795</v>
      </c>
      <c r="AA77" s="317" t="s">
        <v>561</v>
      </c>
      <c r="AB77" s="317" t="s">
        <v>53</v>
      </c>
      <c r="AC77" s="317" t="s">
        <v>2795</v>
      </c>
      <c r="AD77" s="317" t="s">
        <v>2795</v>
      </c>
      <c r="AE77" s="317" t="s">
        <v>561</v>
      </c>
      <c r="AF77" s="317" t="s">
        <v>561</v>
      </c>
      <c r="AG77" s="317" t="s">
        <v>561</v>
      </c>
      <c r="AH77" s="317" t="s">
        <v>561</v>
      </c>
      <c r="AI77" s="317" t="s">
        <v>561</v>
      </c>
      <c r="AJ77" s="317" t="s">
        <v>2795</v>
      </c>
      <c r="AK77" s="317" t="s">
        <v>801</v>
      </c>
      <c r="AL77" s="317" t="s">
        <v>2795</v>
      </c>
      <c r="AM77" s="317" t="s">
        <v>2795</v>
      </c>
      <c r="AN77" s="317" t="s">
        <v>2795</v>
      </c>
      <c r="AO77" s="317" t="s">
        <v>2807</v>
      </c>
      <c r="AP77" s="317" t="s">
        <v>561</v>
      </c>
      <c r="AQ77" s="317" t="s">
        <v>561</v>
      </c>
      <c r="AR77" s="317" t="s">
        <v>561</v>
      </c>
      <c r="AS77" s="317" t="s">
        <v>2795</v>
      </c>
      <c r="AT77" s="317" t="s">
        <v>561</v>
      </c>
      <c r="AU77" s="317" t="s">
        <v>561</v>
      </c>
      <c r="AV77" s="317" t="s">
        <v>2795</v>
      </c>
      <c r="AW77" s="317" t="s">
        <v>561</v>
      </c>
      <c r="AX77" s="317" t="s">
        <v>561</v>
      </c>
      <c r="AY77" s="317" t="s">
        <v>561</v>
      </c>
      <c r="AZ77" s="317" t="s">
        <v>561</v>
      </c>
      <c r="BA77" s="317" t="s">
        <v>2796</v>
      </c>
      <c r="BB77" s="317" t="s">
        <v>561</v>
      </c>
      <c r="BC77" s="317" t="s">
        <v>2796</v>
      </c>
      <c r="BD77" s="317" t="s">
        <v>2795</v>
      </c>
      <c r="BE77" s="317" t="s">
        <v>561</v>
      </c>
      <c r="BF77" s="317" t="s">
        <v>561</v>
      </c>
      <c r="BG77" s="317" t="s">
        <v>561</v>
      </c>
      <c r="BH77" s="317" t="s">
        <v>561</v>
      </c>
      <c r="BI77" s="317" t="s">
        <v>561</v>
      </c>
      <c r="BJ77" s="317" t="s">
        <v>561</v>
      </c>
      <c r="BK77" s="317" t="s">
        <v>561</v>
      </c>
      <c r="BL77" s="317" t="s">
        <v>2796</v>
      </c>
      <c r="BM77" s="317" t="s">
        <v>2796</v>
      </c>
      <c r="BN77" s="317" t="s">
        <v>53</v>
      </c>
      <c r="BO77" s="317" t="s">
        <v>2796</v>
      </c>
      <c r="BP77" s="317" t="s">
        <v>2796</v>
      </c>
      <c r="BQ77" s="317" t="s">
        <v>53</v>
      </c>
      <c r="BR77" s="317" t="s">
        <v>53</v>
      </c>
      <c r="BS77" s="317" t="s">
        <v>53</v>
      </c>
      <c r="BT77" s="317" t="s">
        <v>561</v>
      </c>
      <c r="BU77" s="317" t="s">
        <v>53</v>
      </c>
      <c r="BV77" s="317" t="s">
        <v>561</v>
      </c>
      <c r="BW77" s="317" t="s">
        <v>53</v>
      </c>
      <c r="BX77" s="317" t="s">
        <v>561</v>
      </c>
      <c r="BY77" s="317" t="s">
        <v>561</v>
      </c>
      <c r="BZ77" s="317" t="s">
        <v>561</v>
      </c>
      <c r="CA77" s="317" t="s">
        <v>53</v>
      </c>
      <c r="CB77" s="317" t="s">
        <v>561</v>
      </c>
      <c r="CC77" s="317" t="s">
        <v>561</v>
      </c>
      <c r="CD77" s="317" t="s">
        <v>561</v>
      </c>
      <c r="CE77" s="317" t="s">
        <v>561</v>
      </c>
      <c r="CF77" s="317" t="s">
        <v>53</v>
      </c>
      <c r="CG77" s="317" t="s">
        <v>561</v>
      </c>
      <c r="CH77" s="317" t="s">
        <v>561</v>
      </c>
      <c r="CI77" s="317" t="s">
        <v>801</v>
      </c>
      <c r="CJ77" s="317" t="s">
        <v>2796</v>
      </c>
      <c r="CK77" s="317" t="s">
        <v>801</v>
      </c>
      <c r="CL77" s="317" t="s">
        <v>561</v>
      </c>
      <c r="CM77" s="317" t="s">
        <v>561</v>
      </c>
      <c r="CN77" s="317" t="s">
        <v>561</v>
      </c>
      <c r="CO77" s="317" t="s">
        <v>801</v>
      </c>
      <c r="CP77" s="317" t="s">
        <v>561</v>
      </c>
      <c r="CQ77" s="319"/>
      <c r="CR77" s="319" t="s">
        <v>1234</v>
      </c>
      <c r="CS77" s="343" t="s">
        <v>1569</v>
      </c>
      <c r="CT77" s="334" t="s">
        <v>2030</v>
      </c>
      <c r="CU77" s="319" t="s">
        <v>2834</v>
      </c>
      <c r="CV77" s="327" t="s">
        <v>28</v>
      </c>
      <c r="CW77" s="319"/>
      <c r="CX77" s="319"/>
      <c r="CY77" s="323">
        <f t="shared" si="24"/>
        <v>0.624</v>
      </c>
      <c r="CZ77" s="324">
        <v>0.809</v>
      </c>
      <c r="DA77" s="323">
        <v>0.185</v>
      </c>
      <c r="DB77" s="323"/>
      <c r="DC77" s="323">
        <f t="shared" si="25"/>
        <v>0.692</v>
      </c>
      <c r="DD77" s="324">
        <v>0.836</v>
      </c>
      <c r="DE77" s="323">
        <v>0.14400000000000002</v>
      </c>
      <c r="DF77" s="323"/>
      <c r="DG77" s="323">
        <v>0.132</v>
      </c>
      <c r="DH77" s="323">
        <v>0.196</v>
      </c>
      <c r="DI77" s="324">
        <v>0.47200000000000003</v>
      </c>
      <c r="DJ77" s="323">
        <v>0.175</v>
      </c>
      <c r="DK77" s="323">
        <v>0.027999999999999997</v>
      </c>
      <c r="DL77" s="323">
        <v>0.005</v>
      </c>
      <c r="DM77" s="323"/>
      <c r="DN77" s="323">
        <v>0.273</v>
      </c>
      <c r="DO77" s="323">
        <v>0.405</v>
      </c>
      <c r="DP77" s="323">
        <v>0.102</v>
      </c>
    </row>
    <row r="78">
      <c r="A78" s="311" t="s">
        <v>1093</v>
      </c>
      <c r="B78" s="311" t="s">
        <v>1094</v>
      </c>
      <c r="C78" s="311" t="s">
        <v>2835</v>
      </c>
      <c r="D78" s="311">
        <v>12.0</v>
      </c>
      <c r="E78" s="312">
        <f t="shared" si="19"/>
        <v>0.5</v>
      </c>
      <c r="F78" s="312" t="str">
        <f t="shared" si="20"/>
        <v>#DIV/0!</v>
      </c>
      <c r="G78" s="312" t="str">
        <f t="shared" si="21"/>
        <v>#DIV/0!</v>
      </c>
      <c r="H78" s="312" t="str">
        <f t="shared" si="22"/>
        <v>#DIV/0!</v>
      </c>
      <c r="I78" s="312" t="str">
        <f t="shared" si="51"/>
        <v>#DIV/0!</v>
      </c>
      <c r="J78" s="312" t="str">
        <f t="shared" si="52"/>
        <v>#DIV/0!</v>
      </c>
      <c r="K78" s="312" t="str">
        <f t="shared" si="53"/>
        <v>#DIV/0!</v>
      </c>
      <c r="L78" s="316" t="str">
        <f t="shared" si="23"/>
        <v>#DIV/0!</v>
      </c>
      <c r="M78" s="317" t="s">
        <v>487</v>
      </c>
      <c r="N78" s="317" t="s">
        <v>487</v>
      </c>
      <c r="O78" s="317" t="s">
        <v>487</v>
      </c>
      <c r="P78" s="317" t="s">
        <v>594</v>
      </c>
      <c r="Q78" s="317" t="s">
        <v>594</v>
      </c>
      <c r="R78" s="317" t="s">
        <v>594</v>
      </c>
      <c r="S78" s="318" t="s">
        <v>561</v>
      </c>
      <c r="T78" s="318" t="s">
        <v>561</v>
      </c>
      <c r="U78" s="330" t="s">
        <v>561</v>
      </c>
      <c r="V78" s="330" t="s">
        <v>561</v>
      </c>
      <c r="W78" s="318" t="s">
        <v>2795</v>
      </c>
      <c r="X78" s="340" t="s">
        <v>561</v>
      </c>
      <c r="Y78" s="318" t="s">
        <v>2795</v>
      </c>
      <c r="Z78" s="317" t="s">
        <v>2795</v>
      </c>
      <c r="AA78" s="317" t="s">
        <v>561</v>
      </c>
      <c r="AB78" s="317" t="s">
        <v>53</v>
      </c>
      <c r="AC78" s="317" t="s">
        <v>2795</v>
      </c>
      <c r="AD78" s="317" t="s">
        <v>2795</v>
      </c>
      <c r="AE78" s="317" t="s">
        <v>561</v>
      </c>
      <c r="AF78" s="317" t="s">
        <v>561</v>
      </c>
      <c r="AG78" s="317" t="s">
        <v>561</v>
      </c>
      <c r="AH78" s="317" t="s">
        <v>561</v>
      </c>
      <c r="AI78" s="317" t="s">
        <v>561</v>
      </c>
      <c r="AJ78" s="317" t="s">
        <v>2795</v>
      </c>
      <c r="AK78" s="317" t="s">
        <v>2807</v>
      </c>
      <c r="AL78" s="317" t="s">
        <v>2795</v>
      </c>
      <c r="AM78" s="317" t="s">
        <v>2807</v>
      </c>
      <c r="AN78" s="317" t="s">
        <v>2795</v>
      </c>
      <c r="AO78" s="317" t="s">
        <v>2807</v>
      </c>
      <c r="AP78" s="317" t="s">
        <v>561</v>
      </c>
      <c r="AQ78" s="317" t="s">
        <v>561</v>
      </c>
      <c r="AR78" s="317" t="s">
        <v>561</v>
      </c>
      <c r="AS78" s="317" t="s">
        <v>2807</v>
      </c>
      <c r="AT78" s="317" t="s">
        <v>561</v>
      </c>
      <c r="AU78" s="317" t="s">
        <v>561</v>
      </c>
      <c r="AV78" s="317" t="s">
        <v>2795</v>
      </c>
      <c r="AW78" s="317" t="s">
        <v>561</v>
      </c>
      <c r="AX78" s="317" t="s">
        <v>561</v>
      </c>
      <c r="AY78" s="317" t="s">
        <v>561</v>
      </c>
      <c r="AZ78" s="317" t="s">
        <v>561</v>
      </c>
      <c r="BA78" s="317" t="s">
        <v>2796</v>
      </c>
      <c r="BB78" s="317" t="s">
        <v>561</v>
      </c>
      <c r="BC78" s="317" t="s">
        <v>2806</v>
      </c>
      <c r="BD78" s="317" t="s">
        <v>2795</v>
      </c>
      <c r="BE78" s="317" t="s">
        <v>561</v>
      </c>
      <c r="BF78" s="317" t="s">
        <v>561</v>
      </c>
      <c r="BG78" s="317" t="s">
        <v>561</v>
      </c>
      <c r="BH78" s="317" t="s">
        <v>561</v>
      </c>
      <c r="BI78" s="317" t="s">
        <v>561</v>
      </c>
      <c r="BJ78" s="317" t="s">
        <v>53</v>
      </c>
      <c r="BK78" s="317" t="s">
        <v>561</v>
      </c>
      <c r="BL78" s="317" t="s">
        <v>2796</v>
      </c>
      <c r="BM78" s="317" t="s">
        <v>2796</v>
      </c>
      <c r="BN78" s="317" t="s">
        <v>53</v>
      </c>
      <c r="BO78" s="317" t="s">
        <v>2796</v>
      </c>
      <c r="BP78" s="317" t="s">
        <v>2796</v>
      </c>
      <c r="BQ78" s="317" t="s">
        <v>53</v>
      </c>
      <c r="BR78" s="317" t="s">
        <v>53</v>
      </c>
      <c r="BS78" s="317" t="s">
        <v>53</v>
      </c>
      <c r="BT78" s="317" t="s">
        <v>561</v>
      </c>
      <c r="BU78" s="317" t="s">
        <v>53</v>
      </c>
      <c r="BV78" s="317" t="s">
        <v>561</v>
      </c>
      <c r="BW78" s="317" t="s">
        <v>53</v>
      </c>
      <c r="BX78" s="317" t="s">
        <v>561</v>
      </c>
      <c r="BY78" s="317" t="s">
        <v>561</v>
      </c>
      <c r="BZ78" s="317" t="s">
        <v>561</v>
      </c>
      <c r="CA78" s="317" t="s">
        <v>53</v>
      </c>
      <c r="CB78" s="317" t="s">
        <v>53</v>
      </c>
      <c r="CC78" s="317" t="s">
        <v>53</v>
      </c>
      <c r="CD78" s="317" t="s">
        <v>561</v>
      </c>
      <c r="CE78" s="317" t="s">
        <v>561</v>
      </c>
      <c r="CF78" s="317" t="s">
        <v>53</v>
      </c>
      <c r="CG78" s="317" t="s">
        <v>561</v>
      </c>
      <c r="CH78" s="317" t="s">
        <v>561</v>
      </c>
      <c r="CI78" s="317" t="s">
        <v>53</v>
      </c>
      <c r="CJ78" s="317" t="s">
        <v>2806</v>
      </c>
      <c r="CK78" s="317" t="s">
        <v>561</v>
      </c>
      <c r="CL78" s="317" t="s">
        <v>561</v>
      </c>
      <c r="CM78" s="317" t="s">
        <v>561</v>
      </c>
      <c r="CN78" s="317" t="s">
        <v>561</v>
      </c>
      <c r="CO78" s="317" t="s">
        <v>53</v>
      </c>
      <c r="CP78" s="317" t="s">
        <v>561</v>
      </c>
      <c r="CQ78" s="319"/>
      <c r="CR78" s="319" t="s">
        <v>2582</v>
      </c>
      <c r="CS78" s="320" t="s">
        <v>850</v>
      </c>
      <c r="CT78" s="334" t="s">
        <v>122</v>
      </c>
      <c r="CU78" s="319" t="s">
        <v>23</v>
      </c>
      <c r="CV78" s="327" t="s">
        <v>28</v>
      </c>
      <c r="CW78" s="319"/>
      <c r="CX78" s="319"/>
      <c r="CY78" s="323">
        <f t="shared" si="24"/>
        <v>0.302</v>
      </c>
      <c r="CZ78" s="324">
        <v>0.644</v>
      </c>
      <c r="DA78" s="323">
        <v>0.342</v>
      </c>
      <c r="DB78" s="323"/>
      <c r="DC78" s="323">
        <f t="shared" si="25"/>
        <v>0.246</v>
      </c>
      <c r="DD78" s="324">
        <v>0.602</v>
      </c>
      <c r="DE78" s="323">
        <v>0.35600000000000004</v>
      </c>
      <c r="DF78" s="323"/>
      <c r="DG78" s="324">
        <v>0.43700000000000006</v>
      </c>
      <c r="DH78" s="323">
        <v>0.133</v>
      </c>
      <c r="DI78" s="323">
        <v>0.36</v>
      </c>
      <c r="DJ78" s="323">
        <v>0.061</v>
      </c>
      <c r="DK78" s="323">
        <v>0.02</v>
      </c>
      <c r="DL78" s="323">
        <v>0.001</v>
      </c>
      <c r="DM78" s="323"/>
      <c r="DN78" s="323">
        <v>0.371</v>
      </c>
      <c r="DO78" s="323">
        <v>0.43700000000000006</v>
      </c>
      <c r="DP78" s="323">
        <v>0.285</v>
      </c>
    </row>
    <row r="79">
      <c r="A79" s="311" t="s">
        <v>1166</v>
      </c>
      <c r="B79" s="311" t="s">
        <v>841</v>
      </c>
      <c r="C79" s="311" t="s">
        <v>1661</v>
      </c>
      <c r="D79" s="311">
        <v>4.0</v>
      </c>
      <c r="E79" s="312">
        <f t="shared" si="19"/>
        <v>0.5</v>
      </c>
      <c r="F79" s="312" t="str">
        <f t="shared" si="20"/>
        <v>#DIV/0!</v>
      </c>
      <c r="G79" s="312" t="str">
        <f t="shared" si="21"/>
        <v>#DIV/0!</v>
      </c>
      <c r="H79" s="312" t="str">
        <f t="shared" si="22"/>
        <v>#DIV/0!</v>
      </c>
      <c r="I79" s="312" t="str">
        <f t="shared" si="51"/>
        <v>#DIV/0!</v>
      </c>
      <c r="J79" s="315" t="s">
        <v>2794</v>
      </c>
      <c r="K79" s="315" t="s">
        <v>2794</v>
      </c>
      <c r="L79" s="316" t="str">
        <f t="shared" si="23"/>
        <v>#DIV/0!</v>
      </c>
      <c r="M79" s="317" t="s">
        <v>594</v>
      </c>
      <c r="N79" s="317" t="s">
        <v>594</v>
      </c>
      <c r="O79" s="317" t="s">
        <v>487</v>
      </c>
      <c r="P79" s="317" t="s">
        <v>487</v>
      </c>
      <c r="Q79" s="317" t="s">
        <v>487</v>
      </c>
      <c r="R79" s="317" t="s">
        <v>594</v>
      </c>
      <c r="S79" s="318" t="s">
        <v>561</v>
      </c>
      <c r="T79" s="318" t="s">
        <v>561</v>
      </c>
      <c r="U79" s="330" t="s">
        <v>561</v>
      </c>
      <c r="V79" s="330" t="s">
        <v>561</v>
      </c>
      <c r="W79" s="318" t="s">
        <v>2795</v>
      </c>
      <c r="X79" s="340" t="s">
        <v>561</v>
      </c>
      <c r="Y79" s="318" t="s">
        <v>2795</v>
      </c>
      <c r="Z79" s="317" t="s">
        <v>2795</v>
      </c>
      <c r="AA79" s="317" t="s">
        <v>561</v>
      </c>
      <c r="AB79" s="317" t="s">
        <v>53</v>
      </c>
      <c r="AC79" s="317" t="s">
        <v>2795</v>
      </c>
      <c r="AD79" s="317" t="s">
        <v>2795</v>
      </c>
      <c r="AE79" s="317" t="s">
        <v>561</v>
      </c>
      <c r="AF79" s="317" t="s">
        <v>561</v>
      </c>
      <c r="AG79" s="317" t="s">
        <v>561</v>
      </c>
      <c r="AH79" s="317" t="s">
        <v>561</v>
      </c>
      <c r="AI79" s="317" t="s">
        <v>561</v>
      </c>
      <c r="AJ79" s="317" t="s">
        <v>2795</v>
      </c>
      <c r="AK79" s="317" t="s">
        <v>2807</v>
      </c>
      <c r="AL79" s="317" t="s">
        <v>2795</v>
      </c>
      <c r="AM79" s="317" t="s">
        <v>2795</v>
      </c>
      <c r="AN79" s="317" t="s">
        <v>2795</v>
      </c>
      <c r="AO79" s="317" t="s">
        <v>2795</v>
      </c>
      <c r="AP79" s="317" t="s">
        <v>561</v>
      </c>
      <c r="AQ79" s="317" t="s">
        <v>561</v>
      </c>
      <c r="AR79" s="317" t="s">
        <v>561</v>
      </c>
      <c r="AS79" s="317" t="s">
        <v>2795</v>
      </c>
      <c r="AT79" s="317" t="s">
        <v>561</v>
      </c>
      <c r="AU79" s="317" t="s">
        <v>561</v>
      </c>
      <c r="AV79" s="317" t="s">
        <v>2795</v>
      </c>
      <c r="AW79" s="317" t="s">
        <v>561</v>
      </c>
      <c r="AX79" s="317" t="s">
        <v>561</v>
      </c>
      <c r="AY79" s="317" t="s">
        <v>561</v>
      </c>
      <c r="AZ79" s="317" t="s">
        <v>561</v>
      </c>
      <c r="BA79" s="317" t="s">
        <v>2796</v>
      </c>
      <c r="BB79" s="317" t="s">
        <v>561</v>
      </c>
      <c r="BC79" s="317" t="s">
        <v>2806</v>
      </c>
      <c r="BD79" s="317" t="s">
        <v>2795</v>
      </c>
      <c r="BE79" s="317" t="s">
        <v>561</v>
      </c>
      <c r="BF79" s="317" t="s">
        <v>561</v>
      </c>
      <c r="BG79" s="317" t="s">
        <v>561</v>
      </c>
      <c r="BH79" s="317" t="s">
        <v>561</v>
      </c>
      <c r="BI79" s="317" t="s">
        <v>561</v>
      </c>
      <c r="BJ79" s="317" t="s">
        <v>53</v>
      </c>
      <c r="BK79" s="317" t="s">
        <v>561</v>
      </c>
      <c r="BL79" s="317" t="s">
        <v>2796</v>
      </c>
      <c r="BM79" s="317" t="s">
        <v>2796</v>
      </c>
      <c r="BN79" s="317" t="s">
        <v>561</v>
      </c>
      <c r="BO79" s="317" t="s">
        <v>2796</v>
      </c>
      <c r="BP79" s="317" t="s">
        <v>2796</v>
      </c>
      <c r="BQ79" s="317" t="s">
        <v>600</v>
      </c>
      <c r="BR79" s="317" t="s">
        <v>600</v>
      </c>
      <c r="BS79" s="317" t="s">
        <v>600</v>
      </c>
      <c r="BT79" s="317" t="s">
        <v>600</v>
      </c>
      <c r="BU79" s="317" t="s">
        <v>600</v>
      </c>
      <c r="BV79" s="317" t="s">
        <v>600</v>
      </c>
      <c r="BW79" s="317" t="s">
        <v>600</v>
      </c>
      <c r="BX79" s="317" t="s">
        <v>600</v>
      </c>
      <c r="BY79" s="317" t="s">
        <v>600</v>
      </c>
      <c r="BZ79" s="317" t="s">
        <v>600</v>
      </c>
      <c r="CA79" s="317" t="s">
        <v>600</v>
      </c>
      <c r="CB79" s="317" t="s">
        <v>600</v>
      </c>
      <c r="CC79" s="317" t="s">
        <v>600</v>
      </c>
      <c r="CD79" s="317" t="s">
        <v>600</v>
      </c>
      <c r="CE79" s="317" t="s">
        <v>600</v>
      </c>
      <c r="CF79" s="317" t="s">
        <v>600</v>
      </c>
      <c r="CG79" s="317" t="s">
        <v>600</v>
      </c>
      <c r="CH79" s="317" t="s">
        <v>600</v>
      </c>
      <c r="CI79" s="317" t="s">
        <v>600</v>
      </c>
      <c r="CJ79" s="317" t="s">
        <v>600</v>
      </c>
      <c r="CK79" s="317" t="s">
        <v>600</v>
      </c>
      <c r="CL79" s="317" t="s">
        <v>600</v>
      </c>
      <c r="CM79" s="317" t="s">
        <v>600</v>
      </c>
      <c r="CN79" s="317" t="s">
        <v>600</v>
      </c>
      <c r="CO79" s="317" t="s">
        <v>600</v>
      </c>
      <c r="CP79" s="317" t="s">
        <v>600</v>
      </c>
      <c r="CQ79" s="319"/>
      <c r="CR79" s="319">
        <v>2019.0</v>
      </c>
      <c r="CS79" s="343" t="s">
        <v>1199</v>
      </c>
      <c r="CT79" s="334" t="s">
        <v>122</v>
      </c>
      <c r="CU79" s="319" t="s">
        <v>23</v>
      </c>
      <c r="CV79" s="332" t="s">
        <v>75</v>
      </c>
      <c r="CW79" s="319"/>
      <c r="CX79" s="319"/>
      <c r="CY79" s="323">
        <f t="shared" si="24"/>
        <v>0.189</v>
      </c>
      <c r="CZ79" s="324">
        <v>0.589</v>
      </c>
      <c r="DA79" s="323">
        <v>0.4</v>
      </c>
      <c r="DB79" s="323"/>
      <c r="DC79" s="323">
        <f t="shared" si="25"/>
        <v>0.139</v>
      </c>
      <c r="DD79" s="324">
        <v>0.55</v>
      </c>
      <c r="DE79" s="323">
        <v>0.41100000000000003</v>
      </c>
      <c r="DF79" s="323"/>
      <c r="DG79" s="324">
        <v>0.7859999999999999</v>
      </c>
      <c r="DH79" s="323">
        <v>0.048</v>
      </c>
      <c r="DI79" s="323">
        <v>0.09</v>
      </c>
      <c r="DJ79" s="323">
        <v>0.064</v>
      </c>
      <c r="DK79" s="323">
        <v>0.01</v>
      </c>
      <c r="DL79" s="323">
        <v>0.001</v>
      </c>
      <c r="DM79" s="323"/>
      <c r="DN79" s="323">
        <v>0.46</v>
      </c>
      <c r="DO79" s="323">
        <v>0.46399999999999997</v>
      </c>
      <c r="DP79" s="323">
        <v>0.44799999999999995</v>
      </c>
    </row>
    <row r="80">
      <c r="A80" s="311" t="s">
        <v>871</v>
      </c>
      <c r="B80" s="311" t="s">
        <v>872</v>
      </c>
      <c r="C80" s="311" t="s">
        <v>2800</v>
      </c>
      <c r="D80" s="311">
        <v>5.0</v>
      </c>
      <c r="E80" s="312">
        <f t="shared" si="19"/>
        <v>0.5</v>
      </c>
      <c r="F80" s="312" t="str">
        <f t="shared" si="20"/>
        <v>#DIV/0!</v>
      </c>
      <c r="G80" s="312" t="str">
        <f t="shared" si="21"/>
        <v>#DIV/0!</v>
      </c>
      <c r="H80" s="312" t="str">
        <f t="shared" si="22"/>
        <v>#DIV/0!</v>
      </c>
      <c r="I80" s="312" t="str">
        <f t="shared" si="51"/>
        <v>#DIV/0!</v>
      </c>
      <c r="J80" s="312" t="str">
        <f t="shared" ref="J80:J83" si="54">(COUNTIF(BQ80:CL80, "Nay")+COUNTIF(BQ80:CL80, "Yea (Amend)")+(0.5*COUNTIF(BQ80:CL80, "Present")))/(COUNTIF(BQ80:CL80, "Nay")+COUNTIF(BQ80:CL80, "Yea (Amend)")+COUNTIF(BQ80:CL80, "Yea")+COUNTIF(BQ80:CL80, "Nay (Amend)")+COUNTIF(BQ80:CL80, "Present"))</f>
        <v>#DIV/0!</v>
      </c>
      <c r="K80" s="312" t="str">
        <f t="shared" ref="K80:K83" si="55">(COUNTIF(CM80:CP80, "Nay")+COUNTIF(CM80:CP80, "Yea (Amend)")+(0.5*COUNTIF(CM80:CP80, "Present")))/(COUNTIF(CM80:CP80, "Nay")+COUNTIF(CM80:CP80, "Yea (Amend)")+COUNTIF(CM80:CP80, "Yea")+COUNTIF(CM80:CP80, "Nay (Amend)")+COUNTIF(CM80:CP80, "Present"))</f>
        <v>#DIV/0!</v>
      </c>
      <c r="L80" s="316" t="str">
        <f t="shared" si="23"/>
        <v>#DIV/0!</v>
      </c>
      <c r="M80" s="317" t="s">
        <v>487</v>
      </c>
      <c r="N80" s="317" t="s">
        <v>594</v>
      </c>
      <c r="O80" s="317" t="s">
        <v>487</v>
      </c>
      <c r="P80" s="317" t="s">
        <v>594</v>
      </c>
      <c r="Q80" s="317" t="s">
        <v>487</v>
      </c>
      <c r="R80" s="317" t="s">
        <v>594</v>
      </c>
      <c r="S80" s="318" t="s">
        <v>561</v>
      </c>
      <c r="T80" s="318" t="s">
        <v>561</v>
      </c>
      <c r="U80" s="330" t="s">
        <v>561</v>
      </c>
      <c r="V80" s="330" t="s">
        <v>561</v>
      </c>
      <c r="W80" s="318" t="s">
        <v>2795</v>
      </c>
      <c r="X80" s="340" t="s">
        <v>561</v>
      </c>
      <c r="Y80" s="318" t="s">
        <v>2795</v>
      </c>
      <c r="Z80" s="317" t="s">
        <v>2795</v>
      </c>
      <c r="AA80" s="317" t="s">
        <v>561</v>
      </c>
      <c r="AB80" s="317" t="s">
        <v>53</v>
      </c>
      <c r="AC80" s="317" t="s">
        <v>2795</v>
      </c>
      <c r="AD80" s="317" t="s">
        <v>2795</v>
      </c>
      <c r="AE80" s="317" t="s">
        <v>561</v>
      </c>
      <c r="AF80" s="317" t="s">
        <v>561</v>
      </c>
      <c r="AG80" s="317" t="s">
        <v>561</v>
      </c>
      <c r="AH80" s="317" t="s">
        <v>561</v>
      </c>
      <c r="AI80" s="317" t="s">
        <v>561</v>
      </c>
      <c r="AJ80" s="317" t="s">
        <v>2795</v>
      </c>
      <c r="AK80" s="317" t="s">
        <v>2807</v>
      </c>
      <c r="AL80" s="317" t="s">
        <v>2795</v>
      </c>
      <c r="AM80" s="317" t="s">
        <v>2795</v>
      </c>
      <c r="AN80" s="317" t="s">
        <v>2795</v>
      </c>
      <c r="AO80" s="317" t="s">
        <v>2807</v>
      </c>
      <c r="AP80" s="317" t="s">
        <v>561</v>
      </c>
      <c r="AQ80" s="317" t="s">
        <v>561</v>
      </c>
      <c r="AR80" s="317" t="s">
        <v>561</v>
      </c>
      <c r="AS80" s="317" t="s">
        <v>2807</v>
      </c>
      <c r="AT80" s="317" t="s">
        <v>561</v>
      </c>
      <c r="AU80" s="317" t="s">
        <v>561</v>
      </c>
      <c r="AV80" s="317" t="s">
        <v>2795</v>
      </c>
      <c r="AW80" s="317" t="s">
        <v>561</v>
      </c>
      <c r="AX80" s="317" t="s">
        <v>561</v>
      </c>
      <c r="AY80" s="317" t="s">
        <v>561</v>
      </c>
      <c r="AZ80" s="317" t="s">
        <v>561</v>
      </c>
      <c r="BA80" s="317" t="s">
        <v>2796</v>
      </c>
      <c r="BB80" s="317" t="s">
        <v>561</v>
      </c>
      <c r="BC80" s="317" t="s">
        <v>2796</v>
      </c>
      <c r="BD80" s="317" t="s">
        <v>2795</v>
      </c>
      <c r="BE80" s="317" t="s">
        <v>53</v>
      </c>
      <c r="BF80" s="317" t="s">
        <v>561</v>
      </c>
      <c r="BG80" s="317" t="s">
        <v>561</v>
      </c>
      <c r="BH80" s="317" t="s">
        <v>561</v>
      </c>
      <c r="BI80" s="317" t="s">
        <v>561</v>
      </c>
      <c r="BJ80" s="317" t="s">
        <v>561</v>
      </c>
      <c r="BK80" s="317" t="s">
        <v>801</v>
      </c>
      <c r="BL80" s="317" t="s">
        <v>2806</v>
      </c>
      <c r="BM80" s="317" t="s">
        <v>801</v>
      </c>
      <c r="BN80" s="317" t="s">
        <v>561</v>
      </c>
      <c r="BO80" s="317" t="s">
        <v>2796</v>
      </c>
      <c r="BP80" s="317" t="s">
        <v>2806</v>
      </c>
      <c r="BQ80" s="317" t="s">
        <v>53</v>
      </c>
      <c r="BR80" s="317" t="s">
        <v>53</v>
      </c>
      <c r="BS80" s="317" t="s">
        <v>53</v>
      </c>
      <c r="BT80" s="317" t="s">
        <v>561</v>
      </c>
      <c r="BU80" s="317" t="s">
        <v>53</v>
      </c>
      <c r="BV80" s="317" t="s">
        <v>53</v>
      </c>
      <c r="BW80" s="317" t="s">
        <v>53</v>
      </c>
      <c r="BX80" s="317" t="s">
        <v>561</v>
      </c>
      <c r="BY80" s="317" t="s">
        <v>561</v>
      </c>
      <c r="BZ80" s="317" t="s">
        <v>561</v>
      </c>
      <c r="CA80" s="317" t="s">
        <v>53</v>
      </c>
      <c r="CB80" s="317" t="s">
        <v>561</v>
      </c>
      <c r="CC80" s="317" t="s">
        <v>561</v>
      </c>
      <c r="CD80" s="317" t="s">
        <v>53</v>
      </c>
      <c r="CE80" s="317" t="s">
        <v>561</v>
      </c>
      <c r="CF80" s="317" t="s">
        <v>53</v>
      </c>
      <c r="CG80" s="317" t="s">
        <v>561</v>
      </c>
      <c r="CH80" s="317" t="s">
        <v>561</v>
      </c>
      <c r="CI80" s="317" t="s">
        <v>801</v>
      </c>
      <c r="CJ80" s="317" t="s">
        <v>801</v>
      </c>
      <c r="CK80" s="317" t="s">
        <v>53</v>
      </c>
      <c r="CL80" s="317" t="s">
        <v>801</v>
      </c>
      <c r="CM80" s="317" t="s">
        <v>561</v>
      </c>
      <c r="CN80" s="317" t="s">
        <v>561</v>
      </c>
      <c r="CO80" s="317" t="s">
        <v>53</v>
      </c>
      <c r="CP80" s="317" t="s">
        <v>53</v>
      </c>
      <c r="CQ80" s="319"/>
      <c r="CR80" s="319">
        <v>2005.0</v>
      </c>
      <c r="CS80" s="342" t="s">
        <v>2476</v>
      </c>
      <c r="CT80" s="334" t="s">
        <v>122</v>
      </c>
      <c r="CU80" s="319" t="s">
        <v>23</v>
      </c>
      <c r="CV80" s="327" t="s">
        <v>28</v>
      </c>
      <c r="CW80" s="319"/>
      <c r="CX80" s="319"/>
      <c r="CY80" s="323">
        <f t="shared" si="24"/>
        <v>0.263</v>
      </c>
      <c r="CZ80" s="324">
        <v>0.622</v>
      </c>
      <c r="DA80" s="323">
        <v>0.359</v>
      </c>
      <c r="DB80" s="323"/>
      <c r="DC80" s="323">
        <f t="shared" si="25"/>
        <v>0.204</v>
      </c>
      <c r="DD80" s="324">
        <v>0.575</v>
      </c>
      <c r="DE80" s="323">
        <v>0.371</v>
      </c>
      <c r="DF80" s="323"/>
      <c r="DG80" s="324">
        <v>0.619</v>
      </c>
      <c r="DH80" s="323">
        <v>0.095</v>
      </c>
      <c r="DI80" s="323">
        <v>0.22399999999999998</v>
      </c>
      <c r="DJ80" s="323">
        <v>0.032</v>
      </c>
      <c r="DK80" s="323">
        <v>0.031</v>
      </c>
      <c r="DL80" s="323">
        <v>0.004</v>
      </c>
      <c r="DM80" s="323"/>
      <c r="DN80" s="323">
        <v>0.322</v>
      </c>
      <c r="DO80" s="323">
        <v>0.379</v>
      </c>
      <c r="DP80" s="323">
        <v>0.423</v>
      </c>
    </row>
    <row r="81">
      <c r="A81" s="311" t="s">
        <v>1325</v>
      </c>
      <c r="B81" s="311" t="s">
        <v>348</v>
      </c>
      <c r="C81" s="311" t="s">
        <v>1060</v>
      </c>
      <c r="D81" s="311">
        <v>3.0</v>
      </c>
      <c r="E81" s="312">
        <f t="shared" si="19"/>
        <v>0.5</v>
      </c>
      <c r="F81" s="312" t="str">
        <f t="shared" si="20"/>
        <v>#DIV/0!</v>
      </c>
      <c r="G81" s="312" t="str">
        <f t="shared" si="21"/>
        <v>#DIV/0!</v>
      </c>
      <c r="H81" s="312" t="str">
        <f t="shared" si="22"/>
        <v>#DIV/0!</v>
      </c>
      <c r="I81" s="312" t="str">
        <f t="shared" si="51"/>
        <v>#DIV/0!</v>
      </c>
      <c r="J81" s="312" t="str">
        <f t="shared" si="54"/>
        <v>#DIV/0!</v>
      </c>
      <c r="K81" s="312" t="str">
        <f t="shared" si="55"/>
        <v>#DIV/0!</v>
      </c>
      <c r="L81" s="316" t="str">
        <f t="shared" si="23"/>
        <v>#DIV/0!</v>
      </c>
      <c r="M81" s="317" t="s">
        <v>487</v>
      </c>
      <c r="N81" s="317" t="s">
        <v>487</v>
      </c>
      <c r="O81" s="317" t="s">
        <v>487</v>
      </c>
      <c r="P81" s="317" t="s">
        <v>594</v>
      </c>
      <c r="Q81" s="317" t="s">
        <v>594</v>
      </c>
      <c r="R81" s="317" t="s">
        <v>594</v>
      </c>
      <c r="S81" s="318" t="s">
        <v>561</v>
      </c>
      <c r="T81" s="318" t="s">
        <v>561</v>
      </c>
      <c r="U81" s="330" t="s">
        <v>561</v>
      </c>
      <c r="V81" s="330" t="s">
        <v>561</v>
      </c>
      <c r="W81" s="318" t="s">
        <v>2795</v>
      </c>
      <c r="X81" s="340" t="s">
        <v>561</v>
      </c>
      <c r="Y81" s="340" t="s">
        <v>2807</v>
      </c>
      <c r="Z81" s="317" t="s">
        <v>2795</v>
      </c>
      <c r="AA81" s="317" t="s">
        <v>561</v>
      </c>
      <c r="AB81" s="317" t="s">
        <v>53</v>
      </c>
      <c r="AC81" s="317" t="s">
        <v>2795</v>
      </c>
      <c r="AD81" s="317" t="s">
        <v>2795</v>
      </c>
      <c r="AE81" s="317" t="s">
        <v>561</v>
      </c>
      <c r="AF81" s="317" t="s">
        <v>561</v>
      </c>
      <c r="AG81" s="317" t="s">
        <v>561</v>
      </c>
      <c r="AH81" s="317" t="s">
        <v>561</v>
      </c>
      <c r="AI81" s="317" t="s">
        <v>561</v>
      </c>
      <c r="AJ81" s="317" t="s">
        <v>2807</v>
      </c>
      <c r="AK81" s="317" t="s">
        <v>2807</v>
      </c>
      <c r="AL81" s="317" t="s">
        <v>2795</v>
      </c>
      <c r="AM81" s="317" t="s">
        <v>2795</v>
      </c>
      <c r="AN81" s="317" t="s">
        <v>2795</v>
      </c>
      <c r="AO81" s="317" t="s">
        <v>2807</v>
      </c>
      <c r="AP81" s="317" t="s">
        <v>561</v>
      </c>
      <c r="AQ81" s="317" t="s">
        <v>561</v>
      </c>
      <c r="AR81" s="317" t="s">
        <v>561</v>
      </c>
      <c r="AS81" s="317" t="s">
        <v>2795</v>
      </c>
      <c r="AT81" s="317" t="s">
        <v>561</v>
      </c>
      <c r="AU81" s="317" t="s">
        <v>53</v>
      </c>
      <c r="AV81" s="317" t="s">
        <v>2807</v>
      </c>
      <c r="AW81" s="317" t="s">
        <v>561</v>
      </c>
      <c r="AX81" s="317" t="s">
        <v>561</v>
      </c>
      <c r="AY81" s="317" t="s">
        <v>561</v>
      </c>
      <c r="AZ81" s="317" t="s">
        <v>561</v>
      </c>
      <c r="BA81" s="317" t="s">
        <v>2796</v>
      </c>
      <c r="BB81" s="317" t="s">
        <v>561</v>
      </c>
      <c r="BC81" s="317" t="s">
        <v>2806</v>
      </c>
      <c r="BD81" s="317" t="s">
        <v>2795</v>
      </c>
      <c r="BE81" s="317" t="s">
        <v>561</v>
      </c>
      <c r="BF81" s="317" t="s">
        <v>561</v>
      </c>
      <c r="BG81" s="317" t="s">
        <v>561</v>
      </c>
      <c r="BH81" s="317" t="s">
        <v>561</v>
      </c>
      <c r="BI81" s="317" t="s">
        <v>561</v>
      </c>
      <c r="BJ81" s="317" t="s">
        <v>561</v>
      </c>
      <c r="BK81" s="317" t="s">
        <v>561</v>
      </c>
      <c r="BL81" s="317" t="s">
        <v>2796</v>
      </c>
      <c r="BM81" s="317" t="s">
        <v>2796</v>
      </c>
      <c r="BN81" s="317" t="s">
        <v>561</v>
      </c>
      <c r="BO81" s="317" t="s">
        <v>2796</v>
      </c>
      <c r="BP81" s="317" t="s">
        <v>2796</v>
      </c>
      <c r="BQ81" s="317" t="s">
        <v>53</v>
      </c>
      <c r="BR81" s="317" t="s">
        <v>53</v>
      </c>
      <c r="BS81" s="317" t="s">
        <v>53</v>
      </c>
      <c r="BT81" s="317" t="s">
        <v>561</v>
      </c>
      <c r="BU81" s="317" t="s">
        <v>53</v>
      </c>
      <c r="BV81" s="317" t="s">
        <v>561</v>
      </c>
      <c r="BW81" s="317" t="s">
        <v>53</v>
      </c>
      <c r="BX81" s="317" t="s">
        <v>53</v>
      </c>
      <c r="BY81" s="317" t="s">
        <v>53</v>
      </c>
      <c r="BZ81" s="317" t="s">
        <v>53</v>
      </c>
      <c r="CA81" s="317" t="s">
        <v>53</v>
      </c>
      <c r="CB81" s="317" t="s">
        <v>561</v>
      </c>
      <c r="CC81" s="317" t="s">
        <v>561</v>
      </c>
      <c r="CD81" s="317" t="s">
        <v>561</v>
      </c>
      <c r="CE81" s="317" t="s">
        <v>801</v>
      </c>
      <c r="CF81" s="317" t="s">
        <v>53</v>
      </c>
      <c r="CG81" s="317" t="s">
        <v>561</v>
      </c>
      <c r="CH81" s="317" t="s">
        <v>561</v>
      </c>
      <c r="CI81" s="317" t="s">
        <v>561</v>
      </c>
      <c r="CJ81" s="317" t="s">
        <v>2806</v>
      </c>
      <c r="CK81" s="317" t="s">
        <v>53</v>
      </c>
      <c r="CL81" s="317" t="s">
        <v>561</v>
      </c>
      <c r="CM81" s="317" t="s">
        <v>561</v>
      </c>
      <c r="CN81" s="317" t="s">
        <v>561</v>
      </c>
      <c r="CO81" s="317" t="s">
        <v>53</v>
      </c>
      <c r="CP81" s="317" t="s">
        <v>561</v>
      </c>
      <c r="CQ81" s="319"/>
      <c r="CR81" s="319">
        <v>1993.0</v>
      </c>
      <c r="CS81" s="342" t="s">
        <v>2476</v>
      </c>
      <c r="CT81" s="319"/>
      <c r="CU81" s="319" t="s">
        <v>23</v>
      </c>
      <c r="CV81" s="326" t="s">
        <v>2836</v>
      </c>
      <c r="CW81" s="319"/>
      <c r="CX81" s="319"/>
      <c r="CY81" s="323">
        <f t="shared" si="24"/>
        <v>0.383</v>
      </c>
      <c r="CZ81" s="324">
        <v>0.6829999999999999</v>
      </c>
      <c r="DA81" s="323">
        <v>0.3</v>
      </c>
      <c r="DB81" s="323"/>
      <c r="DC81" s="323">
        <f t="shared" si="25"/>
        <v>0.332</v>
      </c>
      <c r="DD81" s="324">
        <v>0.639</v>
      </c>
      <c r="DE81" s="323">
        <v>0.307</v>
      </c>
      <c r="DF81" s="323"/>
      <c r="DG81" s="323">
        <v>0.42</v>
      </c>
      <c r="DH81" s="323">
        <v>0.07400000000000001</v>
      </c>
      <c r="DI81" s="324">
        <v>0.45399999999999996</v>
      </c>
      <c r="DJ81" s="323">
        <v>0.044000000000000004</v>
      </c>
      <c r="DK81" s="323">
        <v>0.024</v>
      </c>
      <c r="DL81" s="323">
        <v>0.004</v>
      </c>
      <c r="DM81" s="323"/>
      <c r="DN81" s="323">
        <v>0.272</v>
      </c>
      <c r="DO81" s="323">
        <v>0.32899999999999996</v>
      </c>
      <c r="DP81" s="323">
        <v>0.305</v>
      </c>
    </row>
    <row r="82">
      <c r="A82" s="311" t="s">
        <v>240</v>
      </c>
      <c r="B82" s="311" t="s">
        <v>241</v>
      </c>
      <c r="C82" s="311" t="s">
        <v>1197</v>
      </c>
      <c r="D82" s="311">
        <v>30.0</v>
      </c>
      <c r="E82" s="312">
        <f t="shared" si="19"/>
        <v>0.5</v>
      </c>
      <c r="F82" s="312" t="str">
        <f t="shared" si="20"/>
        <v>#DIV/0!</v>
      </c>
      <c r="G82" s="312" t="str">
        <f t="shared" si="21"/>
        <v>#DIV/0!</v>
      </c>
      <c r="H82" s="312" t="str">
        <f t="shared" si="22"/>
        <v>#DIV/0!</v>
      </c>
      <c r="I82" s="312" t="str">
        <f t="shared" si="51"/>
        <v>#DIV/0!</v>
      </c>
      <c r="J82" s="312" t="str">
        <f t="shared" si="54"/>
        <v>#DIV/0!</v>
      </c>
      <c r="K82" s="312" t="str">
        <f t="shared" si="55"/>
        <v>#DIV/0!</v>
      </c>
      <c r="L82" s="316" t="str">
        <f t="shared" si="23"/>
        <v>#DIV/0!</v>
      </c>
      <c r="M82" s="317" t="s">
        <v>487</v>
      </c>
      <c r="N82" s="317" t="s">
        <v>487</v>
      </c>
      <c r="O82" s="317" t="s">
        <v>594</v>
      </c>
      <c r="P82" s="317" t="s">
        <v>594</v>
      </c>
      <c r="Q82" s="317" t="s">
        <v>487</v>
      </c>
      <c r="R82" s="317" t="s">
        <v>594</v>
      </c>
      <c r="S82" s="318" t="s">
        <v>53</v>
      </c>
      <c r="T82" s="318" t="s">
        <v>561</v>
      </c>
      <c r="U82" s="330" t="s">
        <v>561</v>
      </c>
      <c r="V82" s="330" t="s">
        <v>561</v>
      </c>
      <c r="W82" s="318" t="s">
        <v>2795</v>
      </c>
      <c r="X82" s="340" t="s">
        <v>561</v>
      </c>
      <c r="Y82" s="318" t="s">
        <v>2795</v>
      </c>
      <c r="Z82" s="317" t="s">
        <v>2795</v>
      </c>
      <c r="AA82" s="317" t="s">
        <v>561</v>
      </c>
      <c r="AB82" s="317" t="s">
        <v>53</v>
      </c>
      <c r="AC82" s="317" t="s">
        <v>2795</v>
      </c>
      <c r="AD82" s="317" t="s">
        <v>2795</v>
      </c>
      <c r="AE82" s="317" t="s">
        <v>561</v>
      </c>
      <c r="AF82" s="317" t="s">
        <v>561</v>
      </c>
      <c r="AG82" s="317" t="s">
        <v>561</v>
      </c>
      <c r="AH82" s="317" t="s">
        <v>561</v>
      </c>
      <c r="AI82" s="317" t="s">
        <v>561</v>
      </c>
      <c r="AJ82" s="317" t="s">
        <v>2795</v>
      </c>
      <c r="AK82" s="317" t="s">
        <v>2795</v>
      </c>
      <c r="AL82" s="317" t="s">
        <v>2795</v>
      </c>
      <c r="AM82" s="317" t="s">
        <v>2795</v>
      </c>
      <c r="AN82" s="317" t="s">
        <v>2795</v>
      </c>
      <c r="AO82" s="317" t="s">
        <v>2795</v>
      </c>
      <c r="AP82" s="317" t="s">
        <v>561</v>
      </c>
      <c r="AQ82" s="317" t="s">
        <v>561</v>
      </c>
      <c r="AR82" s="317" t="s">
        <v>561</v>
      </c>
      <c r="AS82" s="317" t="s">
        <v>2795</v>
      </c>
      <c r="AT82" s="317" t="s">
        <v>561</v>
      </c>
      <c r="AU82" s="317" t="s">
        <v>561</v>
      </c>
      <c r="AV82" s="317" t="s">
        <v>2795</v>
      </c>
      <c r="AW82" s="317" t="s">
        <v>561</v>
      </c>
      <c r="AX82" s="317" t="s">
        <v>561</v>
      </c>
      <c r="AY82" s="317" t="s">
        <v>561</v>
      </c>
      <c r="AZ82" s="317" t="s">
        <v>561</v>
      </c>
      <c r="BA82" s="317" t="s">
        <v>2806</v>
      </c>
      <c r="BB82" s="317" t="s">
        <v>561</v>
      </c>
      <c r="BC82" s="317" t="s">
        <v>2796</v>
      </c>
      <c r="BD82" s="317" t="s">
        <v>2795</v>
      </c>
      <c r="BE82" s="317" t="s">
        <v>561</v>
      </c>
      <c r="BF82" s="317" t="s">
        <v>561</v>
      </c>
      <c r="BG82" s="317" t="s">
        <v>561</v>
      </c>
      <c r="BH82" s="317" t="s">
        <v>561</v>
      </c>
      <c r="BI82" s="317" t="s">
        <v>561</v>
      </c>
      <c r="BJ82" s="317" t="s">
        <v>561</v>
      </c>
      <c r="BK82" s="317" t="s">
        <v>561</v>
      </c>
      <c r="BL82" s="317" t="s">
        <v>2796</v>
      </c>
      <c r="BM82" s="317" t="s">
        <v>2796</v>
      </c>
      <c r="BN82" s="317" t="s">
        <v>561</v>
      </c>
      <c r="BO82" s="317" t="s">
        <v>2796</v>
      </c>
      <c r="BP82" s="317" t="s">
        <v>2806</v>
      </c>
      <c r="BQ82" s="317" t="s">
        <v>53</v>
      </c>
      <c r="BR82" s="317" t="s">
        <v>53</v>
      </c>
      <c r="BS82" s="317" t="s">
        <v>53</v>
      </c>
      <c r="BT82" s="317" t="s">
        <v>561</v>
      </c>
      <c r="BU82" s="317" t="s">
        <v>53</v>
      </c>
      <c r="BV82" s="317" t="s">
        <v>561</v>
      </c>
      <c r="BW82" s="317" t="s">
        <v>53</v>
      </c>
      <c r="BX82" s="317" t="s">
        <v>561</v>
      </c>
      <c r="BY82" s="317" t="s">
        <v>53</v>
      </c>
      <c r="BZ82" s="317" t="s">
        <v>561</v>
      </c>
      <c r="CA82" s="317" t="s">
        <v>53</v>
      </c>
      <c r="CB82" s="317" t="s">
        <v>561</v>
      </c>
      <c r="CC82" s="317" t="s">
        <v>561</v>
      </c>
      <c r="CD82" s="317" t="s">
        <v>561</v>
      </c>
      <c r="CE82" s="317" t="s">
        <v>561</v>
      </c>
      <c r="CF82" s="317" t="s">
        <v>53</v>
      </c>
      <c r="CG82" s="317" t="s">
        <v>561</v>
      </c>
      <c r="CH82" s="317" t="s">
        <v>561</v>
      </c>
      <c r="CI82" s="317" t="s">
        <v>561</v>
      </c>
      <c r="CJ82" s="317" t="s">
        <v>2806</v>
      </c>
      <c r="CK82" s="317" t="s">
        <v>561</v>
      </c>
      <c r="CL82" s="317" t="s">
        <v>561</v>
      </c>
      <c r="CM82" s="317" t="s">
        <v>561</v>
      </c>
      <c r="CN82" s="317" t="s">
        <v>561</v>
      </c>
      <c r="CO82" s="317" t="s">
        <v>801</v>
      </c>
      <c r="CP82" s="317" t="s">
        <v>561</v>
      </c>
      <c r="CQ82" s="319"/>
      <c r="CR82" s="319">
        <v>2001.0</v>
      </c>
      <c r="CS82" s="343" t="s">
        <v>1569</v>
      </c>
      <c r="CT82" s="334" t="s">
        <v>2030</v>
      </c>
      <c r="CU82" s="326" t="s">
        <v>2476</v>
      </c>
      <c r="CV82" s="332" t="s">
        <v>75</v>
      </c>
      <c r="CW82" s="319"/>
      <c r="CX82" s="319"/>
      <c r="CY82" s="323">
        <f t="shared" si="24"/>
        <v>0.462</v>
      </c>
      <c r="CZ82" s="324">
        <v>0.722</v>
      </c>
      <c r="DA82" s="323">
        <v>0.26</v>
      </c>
      <c r="DB82" s="323"/>
      <c r="DC82" s="323">
        <f t="shared" si="25"/>
        <v>0.53</v>
      </c>
      <c r="DD82" s="324">
        <v>0.738</v>
      </c>
      <c r="DE82" s="323">
        <v>0.20800000000000002</v>
      </c>
      <c r="DF82" s="323"/>
      <c r="DG82" s="324">
        <v>0.5710000000000001</v>
      </c>
      <c r="DH82" s="323">
        <v>0.21899999999999997</v>
      </c>
      <c r="DI82" s="323">
        <v>0.049</v>
      </c>
      <c r="DJ82" s="323">
        <v>0.151</v>
      </c>
      <c r="DK82" s="323">
        <v>0.021</v>
      </c>
      <c r="DL82" s="323">
        <v>0.003</v>
      </c>
      <c r="DM82" s="323"/>
      <c r="DN82" s="323">
        <v>0.48100000000000004</v>
      </c>
      <c r="DO82" s="324">
        <v>0.529</v>
      </c>
      <c r="DP82" s="323">
        <v>0.287</v>
      </c>
    </row>
    <row r="83">
      <c r="A83" s="311" t="s">
        <v>120</v>
      </c>
      <c r="B83" s="311" t="s">
        <v>694</v>
      </c>
      <c r="C83" s="311" t="s">
        <v>646</v>
      </c>
      <c r="D83" s="311">
        <v>3.0</v>
      </c>
      <c r="E83" s="312">
        <f t="shared" si="19"/>
        <v>0.5</v>
      </c>
      <c r="F83" s="312" t="str">
        <f t="shared" si="20"/>
        <v>#DIV/0!</v>
      </c>
      <c r="G83" s="312" t="str">
        <f t="shared" si="21"/>
        <v>#DIV/0!</v>
      </c>
      <c r="H83" s="312" t="str">
        <f t="shared" si="22"/>
        <v>#DIV/0!</v>
      </c>
      <c r="I83" s="312" t="str">
        <f t="shared" si="51"/>
        <v>#DIV/0!</v>
      </c>
      <c r="J83" s="312" t="str">
        <f t="shared" si="54"/>
        <v>#DIV/0!</v>
      </c>
      <c r="K83" s="312" t="str">
        <f t="shared" si="55"/>
        <v>#DIV/0!</v>
      </c>
      <c r="L83" s="316" t="str">
        <f t="shared" si="23"/>
        <v>#DIV/0!</v>
      </c>
      <c r="M83" s="317" t="s">
        <v>487</v>
      </c>
      <c r="N83" s="317" t="s">
        <v>487</v>
      </c>
      <c r="O83" s="317" t="s">
        <v>487</v>
      </c>
      <c r="P83" s="317" t="s">
        <v>594</v>
      </c>
      <c r="Q83" s="317" t="s">
        <v>594</v>
      </c>
      <c r="R83" s="317" t="s">
        <v>594</v>
      </c>
      <c r="S83" s="318" t="s">
        <v>561</v>
      </c>
      <c r="T83" s="318" t="s">
        <v>561</v>
      </c>
      <c r="U83" s="330" t="s">
        <v>561</v>
      </c>
      <c r="V83" s="330" t="s">
        <v>561</v>
      </c>
      <c r="W83" s="318" t="s">
        <v>2795</v>
      </c>
      <c r="X83" s="340" t="s">
        <v>561</v>
      </c>
      <c r="Y83" s="318" t="s">
        <v>2795</v>
      </c>
      <c r="Z83" s="317" t="s">
        <v>2795</v>
      </c>
      <c r="AA83" s="317" t="s">
        <v>561</v>
      </c>
      <c r="AB83" s="317" t="s">
        <v>53</v>
      </c>
      <c r="AC83" s="317" t="s">
        <v>2795</v>
      </c>
      <c r="AD83" s="317" t="s">
        <v>2795</v>
      </c>
      <c r="AE83" s="317" t="s">
        <v>561</v>
      </c>
      <c r="AF83" s="317" t="s">
        <v>561</v>
      </c>
      <c r="AG83" s="317" t="s">
        <v>561</v>
      </c>
      <c r="AH83" s="317" t="s">
        <v>561</v>
      </c>
      <c r="AI83" s="317" t="s">
        <v>561</v>
      </c>
      <c r="AJ83" s="317" t="s">
        <v>2795</v>
      </c>
      <c r="AK83" s="317" t="s">
        <v>2795</v>
      </c>
      <c r="AL83" s="317" t="s">
        <v>2795</v>
      </c>
      <c r="AM83" s="317" t="s">
        <v>2807</v>
      </c>
      <c r="AN83" s="317" t="s">
        <v>2795</v>
      </c>
      <c r="AO83" s="317" t="s">
        <v>2795</v>
      </c>
      <c r="AP83" s="317" t="s">
        <v>561</v>
      </c>
      <c r="AQ83" s="317" t="s">
        <v>561</v>
      </c>
      <c r="AR83" s="317" t="s">
        <v>561</v>
      </c>
      <c r="AS83" s="317" t="s">
        <v>2807</v>
      </c>
      <c r="AT83" s="317" t="s">
        <v>561</v>
      </c>
      <c r="AU83" s="317" t="s">
        <v>561</v>
      </c>
      <c r="AV83" s="317" t="s">
        <v>2807</v>
      </c>
      <c r="AW83" s="317" t="s">
        <v>561</v>
      </c>
      <c r="AX83" s="317" t="s">
        <v>561</v>
      </c>
      <c r="AY83" s="317" t="s">
        <v>561</v>
      </c>
      <c r="AZ83" s="317" t="s">
        <v>561</v>
      </c>
      <c r="BA83" s="317" t="s">
        <v>2796</v>
      </c>
      <c r="BB83" s="317" t="s">
        <v>561</v>
      </c>
      <c r="BC83" s="317" t="s">
        <v>2796</v>
      </c>
      <c r="BD83" s="317" t="s">
        <v>2795</v>
      </c>
      <c r="BE83" s="317" t="s">
        <v>561</v>
      </c>
      <c r="BF83" s="317" t="s">
        <v>561</v>
      </c>
      <c r="BG83" s="317" t="s">
        <v>561</v>
      </c>
      <c r="BH83" s="317" t="s">
        <v>561</v>
      </c>
      <c r="BI83" s="317" t="s">
        <v>561</v>
      </c>
      <c r="BJ83" s="317" t="s">
        <v>561</v>
      </c>
      <c r="BK83" s="317" t="s">
        <v>561</v>
      </c>
      <c r="BL83" s="317" t="s">
        <v>2796</v>
      </c>
      <c r="BM83" s="317" t="s">
        <v>2796</v>
      </c>
      <c r="BN83" s="317" t="s">
        <v>561</v>
      </c>
      <c r="BO83" s="317" t="s">
        <v>2796</v>
      </c>
      <c r="BP83" s="317" t="s">
        <v>2796</v>
      </c>
      <c r="BQ83" s="317" t="s">
        <v>53</v>
      </c>
      <c r="BR83" s="317" t="s">
        <v>561</v>
      </c>
      <c r="BS83" s="317" t="s">
        <v>53</v>
      </c>
      <c r="BT83" s="317" t="s">
        <v>561</v>
      </c>
      <c r="BU83" s="317" t="s">
        <v>53</v>
      </c>
      <c r="BV83" s="317" t="s">
        <v>561</v>
      </c>
      <c r="BW83" s="317" t="s">
        <v>53</v>
      </c>
      <c r="BX83" s="317" t="s">
        <v>561</v>
      </c>
      <c r="BY83" s="317" t="s">
        <v>53</v>
      </c>
      <c r="BZ83" s="317" t="s">
        <v>561</v>
      </c>
      <c r="CA83" s="317" t="s">
        <v>53</v>
      </c>
      <c r="CB83" s="317" t="s">
        <v>561</v>
      </c>
      <c r="CC83" s="317" t="s">
        <v>561</v>
      </c>
      <c r="CD83" s="317" t="s">
        <v>561</v>
      </c>
      <c r="CE83" s="317" t="s">
        <v>561</v>
      </c>
      <c r="CF83" s="317" t="s">
        <v>53</v>
      </c>
      <c r="CG83" s="317" t="s">
        <v>561</v>
      </c>
      <c r="CH83" s="317" t="s">
        <v>561</v>
      </c>
      <c r="CI83" s="317" t="s">
        <v>561</v>
      </c>
      <c r="CJ83" s="317" t="s">
        <v>2796</v>
      </c>
      <c r="CK83" s="317" t="s">
        <v>561</v>
      </c>
      <c r="CL83" s="317" t="s">
        <v>561</v>
      </c>
      <c r="CM83" s="317" t="s">
        <v>561</v>
      </c>
      <c r="CN83" s="317" t="s">
        <v>561</v>
      </c>
      <c r="CO83" s="317" t="s">
        <v>53</v>
      </c>
      <c r="CP83" s="317" t="s">
        <v>561</v>
      </c>
      <c r="CQ83" s="319"/>
      <c r="CR83" s="319">
        <v>2007.0</v>
      </c>
      <c r="CS83" s="342" t="s">
        <v>2476</v>
      </c>
      <c r="CT83" s="319"/>
      <c r="CU83" s="326" t="s">
        <v>2476</v>
      </c>
      <c r="CV83" s="332" t="s">
        <v>75</v>
      </c>
      <c r="CW83" s="336"/>
      <c r="CX83" s="319"/>
      <c r="CY83" s="323">
        <f t="shared" si="24"/>
        <v>0.255</v>
      </c>
      <c r="CZ83" s="324">
        <v>0.617</v>
      </c>
      <c r="DA83" s="323">
        <v>0.36200000000000004</v>
      </c>
      <c r="DB83" s="323"/>
      <c r="DC83" s="323">
        <f t="shared" si="25"/>
        <v>0.137</v>
      </c>
      <c r="DD83" s="324">
        <v>0.532</v>
      </c>
      <c r="DE83" s="323">
        <v>0.395</v>
      </c>
      <c r="DF83" s="323"/>
      <c r="DG83" s="324">
        <v>0.606</v>
      </c>
      <c r="DH83" s="323">
        <v>0.076</v>
      </c>
      <c r="DI83" s="323">
        <v>0.184</v>
      </c>
      <c r="DJ83" s="323">
        <v>0.11900000000000001</v>
      </c>
      <c r="DK83" s="323">
        <v>0.018000000000000002</v>
      </c>
      <c r="DL83" s="323">
        <v>0.002</v>
      </c>
      <c r="DM83" s="323"/>
      <c r="DN83" s="324">
        <v>0.534</v>
      </c>
      <c r="DO83" s="324">
        <v>0.563</v>
      </c>
      <c r="DP83" s="323">
        <v>0.299</v>
      </c>
    </row>
    <row r="84">
      <c r="A84" s="311" t="s">
        <v>432</v>
      </c>
      <c r="B84" s="311" t="s">
        <v>433</v>
      </c>
      <c r="C84" s="311" t="s">
        <v>1083</v>
      </c>
      <c r="D84" s="311">
        <v>5.0</v>
      </c>
      <c r="E84" s="312">
        <f t="shared" si="19"/>
        <v>0.5</v>
      </c>
      <c r="F84" s="312" t="str">
        <f t="shared" si="20"/>
        <v>#DIV/0!</v>
      </c>
      <c r="G84" s="312" t="str">
        <f t="shared" si="21"/>
        <v>#DIV/0!</v>
      </c>
      <c r="H84" s="312" t="str">
        <f t="shared" si="22"/>
        <v>#DIV/0!</v>
      </c>
      <c r="I84" s="312" t="str">
        <f t="shared" si="51"/>
        <v>#DIV/0!</v>
      </c>
      <c r="J84" s="315" t="s">
        <v>2794</v>
      </c>
      <c r="K84" s="315" t="s">
        <v>2794</v>
      </c>
      <c r="L84" s="316" t="str">
        <f t="shared" si="23"/>
        <v>#DIV/0!</v>
      </c>
      <c r="M84" s="317" t="s">
        <v>487</v>
      </c>
      <c r="N84" s="317" t="s">
        <v>487</v>
      </c>
      <c r="O84" s="317" t="s">
        <v>487</v>
      </c>
      <c r="P84" s="317" t="s">
        <v>594</v>
      </c>
      <c r="Q84" s="317" t="s">
        <v>594</v>
      </c>
      <c r="R84" s="317" t="s">
        <v>594</v>
      </c>
      <c r="S84" s="318" t="s">
        <v>561</v>
      </c>
      <c r="T84" s="318" t="s">
        <v>561</v>
      </c>
      <c r="U84" s="330" t="s">
        <v>561</v>
      </c>
      <c r="V84" s="330" t="s">
        <v>561</v>
      </c>
      <c r="W84" s="318" t="s">
        <v>2795</v>
      </c>
      <c r="X84" s="340" t="s">
        <v>561</v>
      </c>
      <c r="Y84" s="318" t="s">
        <v>2795</v>
      </c>
      <c r="Z84" s="317" t="s">
        <v>2795</v>
      </c>
      <c r="AA84" s="317" t="s">
        <v>561</v>
      </c>
      <c r="AB84" s="317" t="s">
        <v>561</v>
      </c>
      <c r="AC84" s="317" t="s">
        <v>2795</v>
      </c>
      <c r="AD84" s="317" t="s">
        <v>2795</v>
      </c>
      <c r="AE84" s="317" t="s">
        <v>561</v>
      </c>
      <c r="AF84" s="317" t="s">
        <v>561</v>
      </c>
      <c r="AG84" s="317" t="s">
        <v>561</v>
      </c>
      <c r="AH84" s="317" t="s">
        <v>561</v>
      </c>
      <c r="AI84" s="317" t="s">
        <v>561</v>
      </c>
      <c r="AJ84" s="317" t="s">
        <v>2795</v>
      </c>
      <c r="AK84" s="317" t="s">
        <v>2795</v>
      </c>
      <c r="AL84" s="317" t="s">
        <v>2795</v>
      </c>
      <c r="AM84" s="317" t="s">
        <v>2795</v>
      </c>
      <c r="AN84" s="317" t="s">
        <v>2795</v>
      </c>
      <c r="AO84" s="317" t="s">
        <v>2795</v>
      </c>
      <c r="AP84" s="317" t="s">
        <v>561</v>
      </c>
      <c r="AQ84" s="317" t="s">
        <v>561</v>
      </c>
      <c r="AR84" s="317" t="s">
        <v>561</v>
      </c>
      <c r="AS84" s="317" t="s">
        <v>2795</v>
      </c>
      <c r="AT84" s="317" t="s">
        <v>561</v>
      </c>
      <c r="AU84" s="317" t="s">
        <v>53</v>
      </c>
      <c r="AV84" s="317" t="s">
        <v>2795</v>
      </c>
      <c r="AW84" s="317" t="s">
        <v>561</v>
      </c>
      <c r="AX84" s="317" t="s">
        <v>561</v>
      </c>
      <c r="AY84" s="317" t="s">
        <v>561</v>
      </c>
      <c r="AZ84" s="317" t="s">
        <v>561</v>
      </c>
      <c r="BA84" s="317" t="s">
        <v>2806</v>
      </c>
      <c r="BB84" s="317" t="s">
        <v>561</v>
      </c>
      <c r="BC84" s="317" t="s">
        <v>2796</v>
      </c>
      <c r="BD84" s="317" t="s">
        <v>2795</v>
      </c>
      <c r="BE84" s="317" t="s">
        <v>561</v>
      </c>
      <c r="BF84" s="317" t="s">
        <v>561</v>
      </c>
      <c r="BG84" s="317" t="s">
        <v>561</v>
      </c>
      <c r="BH84" s="317" t="s">
        <v>561</v>
      </c>
      <c r="BI84" s="317" t="s">
        <v>561</v>
      </c>
      <c r="BJ84" s="317" t="s">
        <v>561</v>
      </c>
      <c r="BK84" s="317" t="s">
        <v>561</v>
      </c>
      <c r="BL84" s="317" t="s">
        <v>2796</v>
      </c>
      <c r="BM84" s="317" t="s">
        <v>2806</v>
      </c>
      <c r="BN84" s="317" t="s">
        <v>561</v>
      </c>
      <c r="BO84" s="317" t="s">
        <v>2796</v>
      </c>
      <c r="BP84" s="317" t="s">
        <v>2796</v>
      </c>
      <c r="BQ84" s="317" t="s">
        <v>600</v>
      </c>
      <c r="BR84" s="317" t="s">
        <v>600</v>
      </c>
      <c r="BS84" s="317" t="s">
        <v>600</v>
      </c>
      <c r="BT84" s="317" t="s">
        <v>600</v>
      </c>
      <c r="BU84" s="317" t="s">
        <v>600</v>
      </c>
      <c r="BV84" s="317" t="s">
        <v>600</v>
      </c>
      <c r="BW84" s="317" t="s">
        <v>600</v>
      </c>
      <c r="BX84" s="317" t="s">
        <v>600</v>
      </c>
      <c r="BY84" s="317" t="s">
        <v>600</v>
      </c>
      <c r="BZ84" s="317" t="s">
        <v>600</v>
      </c>
      <c r="CA84" s="317" t="s">
        <v>600</v>
      </c>
      <c r="CB84" s="317" t="s">
        <v>600</v>
      </c>
      <c r="CC84" s="317" t="s">
        <v>600</v>
      </c>
      <c r="CD84" s="317" t="s">
        <v>600</v>
      </c>
      <c r="CE84" s="317" t="s">
        <v>600</v>
      </c>
      <c r="CF84" s="317" t="s">
        <v>600</v>
      </c>
      <c r="CG84" s="317" t="s">
        <v>600</v>
      </c>
      <c r="CH84" s="317" t="s">
        <v>600</v>
      </c>
      <c r="CI84" s="317" t="s">
        <v>600</v>
      </c>
      <c r="CJ84" s="317" t="s">
        <v>600</v>
      </c>
      <c r="CK84" s="317" t="s">
        <v>600</v>
      </c>
      <c r="CL84" s="317" t="s">
        <v>600</v>
      </c>
      <c r="CM84" s="317" t="s">
        <v>600</v>
      </c>
      <c r="CN84" s="317" t="s">
        <v>600</v>
      </c>
      <c r="CO84" s="317" t="s">
        <v>600</v>
      </c>
      <c r="CP84" s="317" t="s">
        <v>600</v>
      </c>
      <c r="CQ84" s="319"/>
      <c r="CR84" s="319">
        <v>2019.0</v>
      </c>
      <c r="CS84" s="342" t="s">
        <v>2476</v>
      </c>
      <c r="CT84" s="319"/>
      <c r="CU84" s="319" t="s">
        <v>1822</v>
      </c>
      <c r="CV84" s="327" t="s">
        <v>28</v>
      </c>
      <c r="CW84" s="319"/>
      <c r="CX84" s="319"/>
      <c r="CY84" s="323">
        <f t="shared" si="24"/>
        <v>0.107</v>
      </c>
      <c r="CZ84" s="324">
        <v>0.546</v>
      </c>
      <c r="DA84" s="323">
        <v>0.439</v>
      </c>
      <c r="DB84" s="323"/>
      <c r="DC84" s="323">
        <f t="shared" si="25"/>
        <v>0.042</v>
      </c>
      <c r="DD84" s="324">
        <v>0.499</v>
      </c>
      <c r="DE84" s="323">
        <v>0.457</v>
      </c>
      <c r="DF84" s="323"/>
      <c r="DG84" s="324">
        <v>0.674</v>
      </c>
      <c r="DH84" s="323">
        <v>0.18</v>
      </c>
      <c r="DI84" s="323">
        <v>0.08800000000000001</v>
      </c>
      <c r="DJ84" s="323">
        <v>0.042</v>
      </c>
      <c r="DK84" s="323">
        <v>0.015</v>
      </c>
      <c r="DL84" s="323">
        <v>0.001</v>
      </c>
      <c r="DM84" s="323"/>
      <c r="DN84" s="323">
        <v>0.368</v>
      </c>
      <c r="DO84" s="323">
        <v>0.41600000000000004</v>
      </c>
      <c r="DP84" s="323">
        <v>0.439</v>
      </c>
    </row>
    <row r="85">
      <c r="A85" s="311" t="s">
        <v>151</v>
      </c>
      <c r="B85" s="311" t="s">
        <v>153</v>
      </c>
      <c r="C85" s="311" t="s">
        <v>1197</v>
      </c>
      <c r="D85" s="311">
        <v>14.0</v>
      </c>
      <c r="E85" s="312">
        <f t="shared" si="19"/>
        <v>0.5</v>
      </c>
      <c r="F85" s="312" t="str">
        <f t="shared" si="20"/>
        <v>#DIV/0!</v>
      </c>
      <c r="G85" s="312" t="str">
        <f t="shared" si="21"/>
        <v>#DIV/0!</v>
      </c>
      <c r="H85" s="312" t="str">
        <f t="shared" si="22"/>
        <v>#DIV/0!</v>
      </c>
      <c r="I85" s="312" t="str">
        <f t="shared" si="51"/>
        <v>#DIV/0!</v>
      </c>
      <c r="J85" s="312" t="str">
        <f t="shared" ref="J85:J89" si="56">(COUNTIF(BQ85:CL85, "Nay")+COUNTIF(BQ85:CL85, "Yea (Amend)")+(0.5*COUNTIF(BQ85:CL85, "Present")))/(COUNTIF(BQ85:CL85, "Nay")+COUNTIF(BQ85:CL85, "Yea (Amend)")+COUNTIF(BQ85:CL85, "Yea")+COUNTIF(BQ85:CL85, "Nay (Amend)")+COUNTIF(BQ85:CL85, "Present"))</f>
        <v>#DIV/0!</v>
      </c>
      <c r="K85" s="312" t="str">
        <f t="shared" ref="K85:K89" si="57">(COUNTIF(CM85:CP85, "Nay")+COUNTIF(CM85:CP85, "Yea (Amend)")+(0.5*COUNTIF(CM85:CP85, "Present")))/(COUNTIF(CM85:CP85, "Nay")+COUNTIF(CM85:CP85, "Yea (Amend)")+COUNTIF(CM85:CP85, "Yea")+COUNTIF(CM85:CP85, "Nay (Amend)")+COUNTIF(CM85:CP85, "Present"))</f>
        <v>#DIV/0!</v>
      </c>
      <c r="L85" s="316" t="str">
        <f t="shared" si="23"/>
        <v>#DIV/0!</v>
      </c>
      <c r="M85" s="317" t="s">
        <v>487</v>
      </c>
      <c r="N85" s="317" t="s">
        <v>487</v>
      </c>
      <c r="O85" s="317" t="s">
        <v>594</v>
      </c>
      <c r="P85" s="317" t="s">
        <v>487</v>
      </c>
      <c r="Q85" s="317" t="s">
        <v>594</v>
      </c>
      <c r="R85" s="317" t="s">
        <v>594</v>
      </c>
      <c r="S85" s="318" t="s">
        <v>561</v>
      </c>
      <c r="T85" s="318" t="s">
        <v>561</v>
      </c>
      <c r="U85" s="330" t="s">
        <v>561</v>
      </c>
      <c r="V85" s="330" t="s">
        <v>561</v>
      </c>
      <c r="W85" s="318" t="s">
        <v>2795</v>
      </c>
      <c r="X85" s="340" t="s">
        <v>561</v>
      </c>
      <c r="Y85" s="340" t="s">
        <v>2807</v>
      </c>
      <c r="Z85" s="317" t="s">
        <v>2795</v>
      </c>
      <c r="AA85" s="317" t="s">
        <v>561</v>
      </c>
      <c r="AB85" s="317" t="s">
        <v>53</v>
      </c>
      <c r="AC85" s="317" t="s">
        <v>2795</v>
      </c>
      <c r="AD85" s="317" t="s">
        <v>2795</v>
      </c>
      <c r="AE85" s="317" t="s">
        <v>561</v>
      </c>
      <c r="AF85" s="317" t="s">
        <v>561</v>
      </c>
      <c r="AG85" s="317" t="s">
        <v>561</v>
      </c>
      <c r="AH85" s="317" t="s">
        <v>561</v>
      </c>
      <c r="AI85" s="317" t="s">
        <v>561</v>
      </c>
      <c r="AJ85" s="317" t="s">
        <v>2807</v>
      </c>
      <c r="AK85" s="317" t="s">
        <v>2807</v>
      </c>
      <c r="AL85" s="317" t="s">
        <v>2795</v>
      </c>
      <c r="AM85" s="317" t="s">
        <v>2807</v>
      </c>
      <c r="AN85" s="317" t="s">
        <v>2807</v>
      </c>
      <c r="AO85" s="317" t="s">
        <v>2795</v>
      </c>
      <c r="AP85" s="317" t="s">
        <v>561</v>
      </c>
      <c r="AQ85" s="317" t="s">
        <v>561</v>
      </c>
      <c r="AR85" s="317" t="s">
        <v>561</v>
      </c>
      <c r="AS85" s="317" t="s">
        <v>2795</v>
      </c>
      <c r="AT85" s="317" t="s">
        <v>561</v>
      </c>
      <c r="AU85" s="317" t="s">
        <v>561</v>
      </c>
      <c r="AV85" s="317" t="s">
        <v>2807</v>
      </c>
      <c r="AW85" s="317" t="s">
        <v>561</v>
      </c>
      <c r="AX85" s="317" t="s">
        <v>561</v>
      </c>
      <c r="AY85" s="317" t="s">
        <v>561</v>
      </c>
      <c r="AZ85" s="317" t="s">
        <v>561</v>
      </c>
      <c r="BA85" s="317" t="s">
        <v>2796</v>
      </c>
      <c r="BB85" s="317" t="s">
        <v>561</v>
      </c>
      <c r="BC85" s="317" t="s">
        <v>2806</v>
      </c>
      <c r="BD85" s="317" t="s">
        <v>2795</v>
      </c>
      <c r="BE85" s="317" t="s">
        <v>561</v>
      </c>
      <c r="BF85" s="317" t="s">
        <v>561</v>
      </c>
      <c r="BG85" s="317" t="s">
        <v>561</v>
      </c>
      <c r="BH85" s="317" t="s">
        <v>561</v>
      </c>
      <c r="BI85" s="317" t="s">
        <v>561</v>
      </c>
      <c r="BJ85" s="317" t="s">
        <v>53</v>
      </c>
      <c r="BK85" s="317" t="s">
        <v>561</v>
      </c>
      <c r="BL85" s="317" t="s">
        <v>2796</v>
      </c>
      <c r="BM85" s="317" t="s">
        <v>2796</v>
      </c>
      <c r="BN85" s="317" t="s">
        <v>801</v>
      </c>
      <c r="BO85" s="317" t="s">
        <v>801</v>
      </c>
      <c r="BP85" s="317" t="s">
        <v>2806</v>
      </c>
      <c r="BQ85" s="317" t="s">
        <v>53</v>
      </c>
      <c r="BR85" s="317" t="s">
        <v>561</v>
      </c>
      <c r="BS85" s="317" t="s">
        <v>53</v>
      </c>
      <c r="BT85" s="317" t="s">
        <v>53</v>
      </c>
      <c r="BU85" s="317" t="s">
        <v>53</v>
      </c>
      <c r="BV85" s="317" t="s">
        <v>53</v>
      </c>
      <c r="BW85" s="317" t="s">
        <v>53</v>
      </c>
      <c r="BX85" s="317" t="s">
        <v>561</v>
      </c>
      <c r="BY85" s="317" t="s">
        <v>53</v>
      </c>
      <c r="BZ85" s="317" t="s">
        <v>561</v>
      </c>
      <c r="CA85" s="317" t="s">
        <v>53</v>
      </c>
      <c r="CB85" s="317" t="s">
        <v>561</v>
      </c>
      <c r="CC85" s="317" t="s">
        <v>561</v>
      </c>
      <c r="CD85" s="317" t="s">
        <v>53</v>
      </c>
      <c r="CE85" s="317" t="s">
        <v>561</v>
      </c>
      <c r="CF85" s="317" t="s">
        <v>53</v>
      </c>
      <c r="CG85" s="317" t="s">
        <v>561</v>
      </c>
      <c r="CH85" s="317" t="s">
        <v>561</v>
      </c>
      <c r="CI85" s="317" t="s">
        <v>53</v>
      </c>
      <c r="CJ85" s="317" t="s">
        <v>2806</v>
      </c>
      <c r="CK85" s="317" t="s">
        <v>801</v>
      </c>
      <c r="CL85" s="317" t="s">
        <v>561</v>
      </c>
      <c r="CM85" s="317" t="s">
        <v>561</v>
      </c>
      <c r="CN85" s="317" t="s">
        <v>561</v>
      </c>
      <c r="CO85" s="317" t="s">
        <v>561</v>
      </c>
      <c r="CP85" s="317" t="s">
        <v>561</v>
      </c>
      <c r="CQ85" s="319"/>
      <c r="CR85" s="319">
        <v>2013.0</v>
      </c>
      <c r="CS85" s="342" t="s">
        <v>2476</v>
      </c>
      <c r="CT85" s="334" t="s">
        <v>122</v>
      </c>
      <c r="CU85" s="326" t="s">
        <v>2476</v>
      </c>
      <c r="CV85" s="332" t="s">
        <v>75</v>
      </c>
      <c r="CW85" s="319"/>
      <c r="CX85" s="319"/>
      <c r="CY85" s="323">
        <f t="shared" si="24"/>
        <v>0.455</v>
      </c>
      <c r="CZ85" s="324">
        <v>0.7170000000000001</v>
      </c>
      <c r="DA85" s="323">
        <v>0.262</v>
      </c>
      <c r="DB85" s="323"/>
      <c r="DC85" s="323">
        <f t="shared" si="25"/>
        <v>0.471</v>
      </c>
      <c r="DD85" s="324">
        <v>0.706</v>
      </c>
      <c r="DE85" s="323">
        <v>0.235</v>
      </c>
      <c r="DF85" s="323"/>
      <c r="DG85" s="323">
        <v>0.282</v>
      </c>
      <c r="DH85" s="323">
        <v>0.228</v>
      </c>
      <c r="DI85" s="323">
        <v>0.066</v>
      </c>
      <c r="DJ85" s="324">
        <v>0.408</v>
      </c>
      <c r="DK85" s="323">
        <v>0.026000000000000002</v>
      </c>
      <c r="DL85" s="323">
        <v>0.019</v>
      </c>
      <c r="DM85" s="323"/>
      <c r="DN85" s="323">
        <v>0.44</v>
      </c>
      <c r="DO85" s="323">
        <v>0.445</v>
      </c>
      <c r="DP85" s="323">
        <v>0.20800000000000002</v>
      </c>
    </row>
    <row r="86">
      <c r="A86" s="311" t="s">
        <v>258</v>
      </c>
      <c r="B86" s="311" t="s">
        <v>259</v>
      </c>
      <c r="C86" s="311" t="s">
        <v>1197</v>
      </c>
      <c r="D86" s="311">
        <v>32.0</v>
      </c>
      <c r="E86" s="312">
        <f t="shared" si="19"/>
        <v>0.3333333333</v>
      </c>
      <c r="F86" s="312" t="str">
        <f t="shared" si="20"/>
        <v>#DIV/0!</v>
      </c>
      <c r="G86" s="312" t="str">
        <f t="shared" si="21"/>
        <v>#DIV/0!</v>
      </c>
      <c r="H86" s="312" t="str">
        <f t="shared" si="22"/>
        <v>#DIV/0!</v>
      </c>
      <c r="I86" s="312" t="str">
        <f t="shared" si="51"/>
        <v>#DIV/0!</v>
      </c>
      <c r="J86" s="312" t="str">
        <f t="shared" si="56"/>
        <v>#DIV/0!</v>
      </c>
      <c r="K86" s="312" t="str">
        <f t="shared" si="57"/>
        <v>#DIV/0!</v>
      </c>
      <c r="L86" s="316" t="str">
        <f t="shared" si="23"/>
        <v>#DIV/0!</v>
      </c>
      <c r="M86" s="317" t="s">
        <v>487</v>
      </c>
      <c r="N86" s="317" t="s">
        <v>487</v>
      </c>
      <c r="O86" s="317" t="s">
        <v>594</v>
      </c>
      <c r="P86" s="317" t="s">
        <v>594</v>
      </c>
      <c r="Q86" s="317" t="s">
        <v>594</v>
      </c>
      <c r="R86" s="317" t="s">
        <v>594</v>
      </c>
      <c r="S86" s="318" t="s">
        <v>561</v>
      </c>
      <c r="T86" s="318" t="s">
        <v>561</v>
      </c>
      <c r="U86" s="330" t="s">
        <v>561</v>
      </c>
      <c r="V86" s="330" t="s">
        <v>561</v>
      </c>
      <c r="W86" s="340" t="s">
        <v>2807</v>
      </c>
      <c r="X86" s="340" t="s">
        <v>561</v>
      </c>
      <c r="Y86" s="318" t="s">
        <v>2795</v>
      </c>
      <c r="Z86" s="317" t="s">
        <v>2795</v>
      </c>
      <c r="AA86" s="317" t="s">
        <v>561</v>
      </c>
      <c r="AB86" s="317" t="s">
        <v>53</v>
      </c>
      <c r="AC86" s="317" t="s">
        <v>2795</v>
      </c>
      <c r="AD86" s="317" t="s">
        <v>2795</v>
      </c>
      <c r="AE86" s="317" t="s">
        <v>561</v>
      </c>
      <c r="AF86" s="317" t="s">
        <v>561</v>
      </c>
      <c r="AG86" s="317" t="s">
        <v>561</v>
      </c>
      <c r="AH86" s="317" t="s">
        <v>561</v>
      </c>
      <c r="AI86" s="317" t="s">
        <v>561</v>
      </c>
      <c r="AJ86" s="317" t="s">
        <v>2795</v>
      </c>
      <c r="AK86" s="317" t="s">
        <v>2807</v>
      </c>
      <c r="AL86" s="317" t="s">
        <v>2795</v>
      </c>
      <c r="AM86" s="317" t="s">
        <v>2795</v>
      </c>
      <c r="AN86" s="317" t="s">
        <v>2795</v>
      </c>
      <c r="AO86" s="317" t="s">
        <v>2807</v>
      </c>
      <c r="AP86" s="317" t="s">
        <v>561</v>
      </c>
      <c r="AQ86" s="317" t="s">
        <v>561</v>
      </c>
      <c r="AR86" s="317" t="s">
        <v>561</v>
      </c>
      <c r="AS86" s="317" t="s">
        <v>2795</v>
      </c>
      <c r="AT86" s="317" t="s">
        <v>561</v>
      </c>
      <c r="AU86" s="317" t="s">
        <v>561</v>
      </c>
      <c r="AV86" s="317" t="s">
        <v>2807</v>
      </c>
      <c r="AW86" s="317" t="s">
        <v>561</v>
      </c>
      <c r="AX86" s="317" t="s">
        <v>561</v>
      </c>
      <c r="AY86" s="317" t="s">
        <v>561</v>
      </c>
      <c r="AZ86" s="317" t="s">
        <v>561</v>
      </c>
      <c r="BA86" s="317" t="s">
        <v>2796</v>
      </c>
      <c r="BB86" s="317" t="s">
        <v>561</v>
      </c>
      <c r="BC86" s="317" t="s">
        <v>2796</v>
      </c>
      <c r="BD86" s="317" t="s">
        <v>2795</v>
      </c>
      <c r="BE86" s="317" t="s">
        <v>561</v>
      </c>
      <c r="BF86" s="317" t="s">
        <v>561</v>
      </c>
      <c r="BG86" s="317" t="s">
        <v>561</v>
      </c>
      <c r="BH86" s="317" t="s">
        <v>561</v>
      </c>
      <c r="BI86" s="317" t="s">
        <v>561</v>
      </c>
      <c r="BJ86" s="317" t="s">
        <v>53</v>
      </c>
      <c r="BK86" s="317" t="s">
        <v>561</v>
      </c>
      <c r="BL86" s="317" t="s">
        <v>2796</v>
      </c>
      <c r="BM86" s="317" t="s">
        <v>2796</v>
      </c>
      <c r="BN86" s="317" t="s">
        <v>53</v>
      </c>
      <c r="BO86" s="317" t="s">
        <v>2796</v>
      </c>
      <c r="BP86" s="317" t="s">
        <v>2806</v>
      </c>
      <c r="BQ86" s="317" t="s">
        <v>53</v>
      </c>
      <c r="BR86" s="317" t="s">
        <v>561</v>
      </c>
      <c r="BS86" s="317" t="s">
        <v>53</v>
      </c>
      <c r="BT86" s="317" t="s">
        <v>561</v>
      </c>
      <c r="BU86" s="317" t="s">
        <v>53</v>
      </c>
      <c r="BV86" s="317" t="s">
        <v>561</v>
      </c>
      <c r="BW86" s="317" t="s">
        <v>53</v>
      </c>
      <c r="BX86" s="317" t="s">
        <v>561</v>
      </c>
      <c r="BY86" s="317" t="s">
        <v>561</v>
      </c>
      <c r="BZ86" s="317" t="s">
        <v>561</v>
      </c>
      <c r="CA86" s="317" t="s">
        <v>53</v>
      </c>
      <c r="CB86" s="317" t="s">
        <v>53</v>
      </c>
      <c r="CC86" s="317" t="s">
        <v>53</v>
      </c>
      <c r="CD86" s="317" t="s">
        <v>561</v>
      </c>
      <c r="CE86" s="317" t="s">
        <v>561</v>
      </c>
      <c r="CF86" s="317" t="s">
        <v>53</v>
      </c>
      <c r="CG86" s="317" t="s">
        <v>561</v>
      </c>
      <c r="CH86" s="317" t="s">
        <v>561</v>
      </c>
      <c r="CI86" s="317" t="s">
        <v>53</v>
      </c>
      <c r="CJ86" s="317" t="s">
        <v>2796</v>
      </c>
      <c r="CK86" s="317" t="s">
        <v>53</v>
      </c>
      <c r="CL86" s="317" t="s">
        <v>561</v>
      </c>
      <c r="CM86" s="317" t="s">
        <v>561</v>
      </c>
      <c r="CN86" s="317" t="s">
        <v>561</v>
      </c>
      <c r="CO86" s="317" t="s">
        <v>561</v>
      </c>
      <c r="CP86" s="317" t="s">
        <v>561</v>
      </c>
      <c r="CQ86" s="319"/>
      <c r="CR86" s="319">
        <v>1997.0</v>
      </c>
      <c r="CS86" s="320" t="s">
        <v>850</v>
      </c>
      <c r="CT86" s="334" t="s">
        <v>2030</v>
      </c>
      <c r="CU86" s="319" t="s">
        <v>23</v>
      </c>
      <c r="CV86" s="332" t="s">
        <v>75</v>
      </c>
      <c r="CW86" s="319"/>
      <c r="CX86" s="319"/>
      <c r="CY86" s="323">
        <f t="shared" si="24"/>
        <v>0.408</v>
      </c>
      <c r="CZ86" s="324">
        <v>0.695</v>
      </c>
      <c r="DA86" s="323">
        <v>0.287</v>
      </c>
      <c r="DB86" s="323"/>
      <c r="DC86" s="323">
        <f t="shared" si="25"/>
        <v>0.451</v>
      </c>
      <c r="DD86" s="324">
        <v>0.7</v>
      </c>
      <c r="DE86" s="323">
        <v>0.249</v>
      </c>
      <c r="DF86" s="323"/>
      <c r="DG86" s="324">
        <v>0.5479999999999999</v>
      </c>
      <c r="DH86" s="323">
        <v>0.235</v>
      </c>
      <c r="DI86" s="323">
        <v>0.055999999999999994</v>
      </c>
      <c r="DJ86" s="323">
        <v>0.151</v>
      </c>
      <c r="DK86" s="323">
        <v>0.02</v>
      </c>
      <c r="DL86" s="323">
        <v>0.004</v>
      </c>
      <c r="DM86" s="323"/>
      <c r="DN86" s="324">
        <v>0.5</v>
      </c>
      <c r="DO86" s="324">
        <v>0.584</v>
      </c>
      <c r="DP86" s="323">
        <v>0.254</v>
      </c>
    </row>
    <row r="87">
      <c r="A87" s="311" t="s">
        <v>860</v>
      </c>
      <c r="B87" s="311" t="s">
        <v>96</v>
      </c>
      <c r="C87" s="311" t="s">
        <v>2837</v>
      </c>
      <c r="D87" s="311">
        <v>2.0</v>
      </c>
      <c r="E87" s="312">
        <f t="shared" si="19"/>
        <v>0.5</v>
      </c>
      <c r="F87" s="312" t="str">
        <f t="shared" si="20"/>
        <v>#DIV/0!</v>
      </c>
      <c r="G87" s="312" t="str">
        <f t="shared" si="21"/>
        <v>#DIV/0!</v>
      </c>
      <c r="H87" s="312" t="str">
        <f t="shared" si="22"/>
        <v>#DIV/0!</v>
      </c>
      <c r="I87" s="312" t="str">
        <f t="shared" si="51"/>
        <v>#DIV/0!</v>
      </c>
      <c r="J87" s="312" t="str">
        <f t="shared" si="56"/>
        <v>#DIV/0!</v>
      </c>
      <c r="K87" s="312" t="str">
        <f t="shared" si="57"/>
        <v>#DIV/0!</v>
      </c>
      <c r="L87" s="316" t="str">
        <f t="shared" si="23"/>
        <v>#DIV/0!</v>
      </c>
      <c r="M87" s="317" t="s">
        <v>487</v>
      </c>
      <c r="N87" s="317" t="s">
        <v>594</v>
      </c>
      <c r="O87" s="317" t="s">
        <v>487</v>
      </c>
      <c r="P87" s="317" t="s">
        <v>487</v>
      </c>
      <c r="Q87" s="317" t="s">
        <v>594</v>
      </c>
      <c r="R87" s="317" t="s">
        <v>594</v>
      </c>
      <c r="S87" s="318" t="s">
        <v>561</v>
      </c>
      <c r="T87" s="318" t="s">
        <v>561</v>
      </c>
      <c r="U87" s="330" t="s">
        <v>561</v>
      </c>
      <c r="V87" s="330" t="s">
        <v>561</v>
      </c>
      <c r="W87" s="318" t="s">
        <v>2795</v>
      </c>
      <c r="X87" s="340" t="s">
        <v>561</v>
      </c>
      <c r="Y87" s="318" t="s">
        <v>2795</v>
      </c>
      <c r="Z87" s="317" t="s">
        <v>2795</v>
      </c>
      <c r="AA87" s="317" t="s">
        <v>561</v>
      </c>
      <c r="AB87" s="317" t="s">
        <v>53</v>
      </c>
      <c r="AC87" s="317" t="s">
        <v>2795</v>
      </c>
      <c r="AD87" s="317" t="s">
        <v>2795</v>
      </c>
      <c r="AE87" s="317" t="s">
        <v>561</v>
      </c>
      <c r="AF87" s="317" t="s">
        <v>561</v>
      </c>
      <c r="AG87" s="317" t="s">
        <v>561</v>
      </c>
      <c r="AH87" s="317" t="s">
        <v>561</v>
      </c>
      <c r="AI87" s="317" t="s">
        <v>561</v>
      </c>
      <c r="AJ87" s="317" t="s">
        <v>2807</v>
      </c>
      <c r="AK87" s="317" t="s">
        <v>2807</v>
      </c>
      <c r="AL87" s="317" t="s">
        <v>2795</v>
      </c>
      <c r="AM87" s="317" t="s">
        <v>2807</v>
      </c>
      <c r="AN87" s="317" t="s">
        <v>2795</v>
      </c>
      <c r="AO87" s="317" t="s">
        <v>2807</v>
      </c>
      <c r="AP87" s="317" t="s">
        <v>561</v>
      </c>
      <c r="AQ87" s="317" t="s">
        <v>561</v>
      </c>
      <c r="AR87" s="317" t="s">
        <v>561</v>
      </c>
      <c r="AS87" s="317" t="s">
        <v>2807</v>
      </c>
      <c r="AT87" s="317" t="s">
        <v>561</v>
      </c>
      <c r="AU87" s="317" t="s">
        <v>53</v>
      </c>
      <c r="AV87" s="317" t="s">
        <v>2795</v>
      </c>
      <c r="AW87" s="317" t="s">
        <v>561</v>
      </c>
      <c r="AX87" s="317" t="s">
        <v>561</v>
      </c>
      <c r="AY87" s="317" t="s">
        <v>561</v>
      </c>
      <c r="AZ87" s="317" t="s">
        <v>561</v>
      </c>
      <c r="BA87" s="317" t="s">
        <v>2806</v>
      </c>
      <c r="BB87" s="317" t="s">
        <v>561</v>
      </c>
      <c r="BC87" s="317" t="s">
        <v>2796</v>
      </c>
      <c r="BD87" s="317" t="s">
        <v>2795</v>
      </c>
      <c r="BE87" s="317" t="s">
        <v>561</v>
      </c>
      <c r="BF87" s="317" t="s">
        <v>561</v>
      </c>
      <c r="BG87" s="317" t="s">
        <v>801</v>
      </c>
      <c r="BH87" s="317" t="s">
        <v>561</v>
      </c>
      <c r="BI87" s="317" t="s">
        <v>561</v>
      </c>
      <c r="BJ87" s="317" t="s">
        <v>53</v>
      </c>
      <c r="BK87" s="317" t="s">
        <v>561</v>
      </c>
      <c r="BL87" s="317" t="s">
        <v>2796</v>
      </c>
      <c r="BM87" s="317" t="s">
        <v>2796</v>
      </c>
      <c r="BN87" s="317" t="s">
        <v>561</v>
      </c>
      <c r="BO87" s="317" t="s">
        <v>2796</v>
      </c>
      <c r="BP87" s="317" t="s">
        <v>2806</v>
      </c>
      <c r="BQ87" s="317" t="s">
        <v>53</v>
      </c>
      <c r="BR87" s="317" t="s">
        <v>53</v>
      </c>
      <c r="BS87" s="317" t="s">
        <v>53</v>
      </c>
      <c r="BT87" s="317" t="s">
        <v>561</v>
      </c>
      <c r="BU87" s="317" t="s">
        <v>53</v>
      </c>
      <c r="BV87" s="317" t="s">
        <v>561</v>
      </c>
      <c r="BW87" s="317" t="s">
        <v>53</v>
      </c>
      <c r="BX87" s="317" t="s">
        <v>561</v>
      </c>
      <c r="BY87" s="317" t="s">
        <v>561</v>
      </c>
      <c r="BZ87" s="317" t="s">
        <v>561</v>
      </c>
      <c r="CA87" s="317" t="s">
        <v>53</v>
      </c>
      <c r="CB87" s="317" t="s">
        <v>53</v>
      </c>
      <c r="CC87" s="317" t="s">
        <v>53</v>
      </c>
      <c r="CD87" s="317" t="s">
        <v>561</v>
      </c>
      <c r="CE87" s="317" t="s">
        <v>561</v>
      </c>
      <c r="CF87" s="317" t="s">
        <v>53</v>
      </c>
      <c r="CG87" s="317" t="s">
        <v>561</v>
      </c>
      <c r="CH87" s="317" t="s">
        <v>561</v>
      </c>
      <c r="CI87" s="317" t="s">
        <v>561</v>
      </c>
      <c r="CJ87" s="317" t="s">
        <v>2806</v>
      </c>
      <c r="CK87" s="317" t="s">
        <v>561</v>
      </c>
      <c r="CL87" s="317" t="s">
        <v>561</v>
      </c>
      <c r="CM87" s="317" t="s">
        <v>561</v>
      </c>
      <c r="CN87" s="317" t="s">
        <v>561</v>
      </c>
      <c r="CO87" s="317" t="s">
        <v>53</v>
      </c>
      <c r="CP87" s="317" t="s">
        <v>561</v>
      </c>
      <c r="CQ87" s="319"/>
      <c r="CR87" s="319" t="s">
        <v>2526</v>
      </c>
      <c r="CS87" s="342" t="s">
        <v>2476</v>
      </c>
      <c r="CT87" s="319"/>
      <c r="CU87" s="319" t="s">
        <v>23</v>
      </c>
      <c r="CV87" s="327" t="s">
        <v>28</v>
      </c>
      <c r="CW87" s="319"/>
      <c r="CX87" s="319"/>
      <c r="CY87" s="323">
        <f t="shared" si="24"/>
        <v>0.261</v>
      </c>
      <c r="CZ87" s="324">
        <v>0.625</v>
      </c>
      <c r="DA87" s="323">
        <v>0.364</v>
      </c>
      <c r="DB87" s="323"/>
      <c r="DC87" s="323">
        <f t="shared" si="25"/>
        <v>0.259</v>
      </c>
      <c r="DD87" s="324">
        <v>0.623</v>
      </c>
      <c r="DE87" s="323">
        <v>0.364</v>
      </c>
      <c r="DF87" s="323"/>
      <c r="DG87" s="323">
        <v>0.34299999999999997</v>
      </c>
      <c r="DH87" s="323">
        <v>0.021</v>
      </c>
      <c r="DI87" s="324">
        <v>0.621</v>
      </c>
      <c r="DJ87" s="323">
        <v>0.008</v>
      </c>
      <c r="DK87" s="323">
        <v>0.011000000000000001</v>
      </c>
      <c r="DL87" s="323">
        <v>0.001</v>
      </c>
      <c r="DM87" s="323"/>
      <c r="DN87" s="323">
        <v>0.198</v>
      </c>
      <c r="DO87" s="323">
        <v>0.255</v>
      </c>
      <c r="DP87" s="323">
        <v>0.255</v>
      </c>
    </row>
    <row r="88">
      <c r="A88" s="311" t="s">
        <v>110</v>
      </c>
      <c r="B88" s="311" t="s">
        <v>111</v>
      </c>
      <c r="C88" s="311" t="s">
        <v>1197</v>
      </c>
      <c r="D88" s="311">
        <v>7.0</v>
      </c>
      <c r="E88" s="312">
        <f t="shared" si="19"/>
        <v>0.1666666667</v>
      </c>
      <c r="F88" s="312" t="str">
        <f t="shared" si="20"/>
        <v>#DIV/0!</v>
      </c>
      <c r="G88" s="312" t="str">
        <f t="shared" si="21"/>
        <v>#DIV/0!</v>
      </c>
      <c r="H88" s="312" t="str">
        <f t="shared" si="22"/>
        <v>#DIV/0!</v>
      </c>
      <c r="I88" s="312" t="str">
        <f t="shared" si="51"/>
        <v>#DIV/0!</v>
      </c>
      <c r="J88" s="312" t="str">
        <f t="shared" si="56"/>
        <v>#DIV/0!</v>
      </c>
      <c r="K88" s="312" t="str">
        <f t="shared" si="57"/>
        <v>#DIV/0!</v>
      </c>
      <c r="L88" s="316" t="str">
        <f t="shared" si="23"/>
        <v>#DIV/0!</v>
      </c>
      <c r="M88" s="317" t="s">
        <v>594</v>
      </c>
      <c r="N88" s="317" t="s">
        <v>487</v>
      </c>
      <c r="O88" s="317" t="s">
        <v>594</v>
      </c>
      <c r="P88" s="317" t="s">
        <v>594</v>
      </c>
      <c r="Q88" s="317" t="s">
        <v>594</v>
      </c>
      <c r="R88" s="317" t="s">
        <v>594</v>
      </c>
      <c r="S88" s="318" t="s">
        <v>561</v>
      </c>
      <c r="T88" s="318" t="s">
        <v>561</v>
      </c>
      <c r="U88" s="330" t="s">
        <v>561</v>
      </c>
      <c r="V88" s="330" t="s">
        <v>561</v>
      </c>
      <c r="W88" s="318" t="s">
        <v>2795</v>
      </c>
      <c r="X88" s="340" t="s">
        <v>561</v>
      </c>
      <c r="Y88" s="318" t="s">
        <v>2795</v>
      </c>
      <c r="Z88" s="317" t="s">
        <v>2795</v>
      </c>
      <c r="AA88" s="317" t="s">
        <v>561</v>
      </c>
      <c r="AB88" s="317" t="s">
        <v>53</v>
      </c>
      <c r="AC88" s="317" t="s">
        <v>2795</v>
      </c>
      <c r="AD88" s="317" t="s">
        <v>2795</v>
      </c>
      <c r="AE88" s="317" t="s">
        <v>561</v>
      </c>
      <c r="AF88" s="317" t="s">
        <v>561</v>
      </c>
      <c r="AG88" s="317" t="s">
        <v>561</v>
      </c>
      <c r="AH88" s="317" t="s">
        <v>561</v>
      </c>
      <c r="AI88" s="317" t="s">
        <v>561</v>
      </c>
      <c r="AJ88" s="317" t="s">
        <v>2795</v>
      </c>
      <c r="AK88" s="317" t="s">
        <v>2795</v>
      </c>
      <c r="AL88" s="317" t="s">
        <v>2795</v>
      </c>
      <c r="AM88" s="317" t="s">
        <v>2795</v>
      </c>
      <c r="AN88" s="317" t="s">
        <v>2795</v>
      </c>
      <c r="AO88" s="317" t="s">
        <v>2795</v>
      </c>
      <c r="AP88" s="317" t="s">
        <v>561</v>
      </c>
      <c r="AQ88" s="317" t="s">
        <v>561</v>
      </c>
      <c r="AR88" s="317" t="s">
        <v>561</v>
      </c>
      <c r="AS88" s="317" t="s">
        <v>2807</v>
      </c>
      <c r="AT88" s="317" t="s">
        <v>561</v>
      </c>
      <c r="AU88" s="317" t="s">
        <v>561</v>
      </c>
      <c r="AV88" s="317" t="s">
        <v>2795</v>
      </c>
      <c r="AW88" s="317" t="s">
        <v>561</v>
      </c>
      <c r="AX88" s="317" t="s">
        <v>561</v>
      </c>
      <c r="AY88" s="317" t="s">
        <v>561</v>
      </c>
      <c r="AZ88" s="317" t="s">
        <v>561</v>
      </c>
      <c r="BA88" s="317" t="s">
        <v>2796</v>
      </c>
      <c r="BB88" s="317" t="s">
        <v>561</v>
      </c>
      <c r="BC88" s="317" t="s">
        <v>2796</v>
      </c>
      <c r="BD88" s="317" t="s">
        <v>2795</v>
      </c>
      <c r="BE88" s="317" t="s">
        <v>561</v>
      </c>
      <c r="BF88" s="317" t="s">
        <v>561</v>
      </c>
      <c r="BG88" s="317" t="s">
        <v>561</v>
      </c>
      <c r="BH88" s="317" t="s">
        <v>561</v>
      </c>
      <c r="BI88" s="317" t="s">
        <v>561</v>
      </c>
      <c r="BJ88" s="317" t="s">
        <v>53</v>
      </c>
      <c r="BK88" s="317" t="s">
        <v>561</v>
      </c>
      <c r="BL88" s="317" t="s">
        <v>2796</v>
      </c>
      <c r="BM88" s="317" t="s">
        <v>2796</v>
      </c>
      <c r="BN88" s="317" t="s">
        <v>561</v>
      </c>
      <c r="BO88" s="317" t="s">
        <v>2796</v>
      </c>
      <c r="BP88" s="317" t="s">
        <v>2796</v>
      </c>
      <c r="BQ88" s="317" t="s">
        <v>53</v>
      </c>
      <c r="BR88" s="317" t="s">
        <v>53</v>
      </c>
      <c r="BS88" s="317" t="s">
        <v>53</v>
      </c>
      <c r="BT88" s="317" t="s">
        <v>53</v>
      </c>
      <c r="BU88" s="317" t="s">
        <v>53</v>
      </c>
      <c r="BV88" s="317" t="s">
        <v>53</v>
      </c>
      <c r="BW88" s="317" t="s">
        <v>53</v>
      </c>
      <c r="BX88" s="317" t="s">
        <v>561</v>
      </c>
      <c r="BY88" s="317" t="s">
        <v>53</v>
      </c>
      <c r="BZ88" s="317" t="s">
        <v>561</v>
      </c>
      <c r="CA88" s="317" t="s">
        <v>53</v>
      </c>
      <c r="CB88" s="317" t="s">
        <v>561</v>
      </c>
      <c r="CC88" s="317" t="s">
        <v>561</v>
      </c>
      <c r="CD88" s="317" t="s">
        <v>53</v>
      </c>
      <c r="CE88" s="317" t="s">
        <v>561</v>
      </c>
      <c r="CF88" s="317" t="s">
        <v>53</v>
      </c>
      <c r="CG88" s="317" t="s">
        <v>561</v>
      </c>
      <c r="CH88" s="317" t="s">
        <v>561</v>
      </c>
      <c r="CI88" s="317" t="s">
        <v>53</v>
      </c>
      <c r="CJ88" s="317" t="s">
        <v>2806</v>
      </c>
      <c r="CK88" s="317" t="s">
        <v>561</v>
      </c>
      <c r="CL88" s="317" t="s">
        <v>561</v>
      </c>
      <c r="CM88" s="317" t="s">
        <v>561</v>
      </c>
      <c r="CN88" s="317" t="s">
        <v>561</v>
      </c>
      <c r="CO88" s="317" t="s">
        <v>801</v>
      </c>
      <c r="CP88" s="317" t="s">
        <v>561</v>
      </c>
      <c r="CQ88" s="319"/>
      <c r="CR88" s="319" t="s">
        <v>2619</v>
      </c>
      <c r="CS88" s="342" t="s">
        <v>2476</v>
      </c>
      <c r="CT88" s="334" t="s">
        <v>122</v>
      </c>
      <c r="CU88" s="326" t="s">
        <v>2476</v>
      </c>
      <c r="CV88" s="331" t="s">
        <v>113</v>
      </c>
      <c r="CW88" s="319"/>
      <c r="CX88" s="319"/>
      <c r="CY88" s="323">
        <f t="shared" si="24"/>
        <v>0.371</v>
      </c>
      <c r="CZ88" s="324">
        <v>0.674</v>
      </c>
      <c r="DA88" s="323">
        <v>0.303</v>
      </c>
      <c r="DB88" s="323"/>
      <c r="DC88" s="323">
        <f t="shared" si="25"/>
        <v>0.386</v>
      </c>
      <c r="DD88" s="324">
        <v>0.6629999999999999</v>
      </c>
      <c r="DE88" s="323">
        <v>0.27699999999999997</v>
      </c>
      <c r="DF88" s="323"/>
      <c r="DG88" s="324">
        <v>0.35</v>
      </c>
      <c r="DH88" s="323">
        <v>0.24100000000000002</v>
      </c>
      <c r="DI88" s="323">
        <v>0.124</v>
      </c>
      <c r="DJ88" s="323">
        <v>0.26</v>
      </c>
      <c r="DK88" s="323">
        <v>0.035</v>
      </c>
      <c r="DL88" s="323">
        <v>0.024</v>
      </c>
      <c r="DM88" s="323"/>
      <c r="DN88" s="323">
        <v>0.317</v>
      </c>
      <c r="DO88" s="323">
        <v>0.405</v>
      </c>
      <c r="DP88" s="323">
        <v>0.24600000000000002</v>
      </c>
    </row>
    <row r="89">
      <c r="A89" s="311" t="s">
        <v>1352</v>
      </c>
      <c r="B89" s="311" t="s">
        <v>1353</v>
      </c>
      <c r="C89" s="311" t="s">
        <v>1060</v>
      </c>
      <c r="D89" s="311">
        <v>11.0</v>
      </c>
      <c r="E89" s="312">
        <f t="shared" si="19"/>
        <v>0.5</v>
      </c>
      <c r="F89" s="312" t="str">
        <f t="shared" si="20"/>
        <v>#DIV/0!</v>
      </c>
      <c r="G89" s="312" t="str">
        <f t="shared" si="21"/>
        <v>#DIV/0!</v>
      </c>
      <c r="H89" s="312" t="str">
        <f t="shared" si="22"/>
        <v>#DIV/0!</v>
      </c>
      <c r="I89" s="312" t="str">
        <f t="shared" si="51"/>
        <v>#DIV/0!</v>
      </c>
      <c r="J89" s="312" t="str">
        <f t="shared" si="56"/>
        <v>#DIV/0!</v>
      </c>
      <c r="K89" s="312" t="str">
        <f t="shared" si="57"/>
        <v>#DIV/0!</v>
      </c>
      <c r="L89" s="316" t="str">
        <f t="shared" si="23"/>
        <v>#DIV/0!</v>
      </c>
      <c r="M89" s="317" t="s">
        <v>594</v>
      </c>
      <c r="N89" s="317" t="s">
        <v>487</v>
      </c>
      <c r="O89" s="317" t="s">
        <v>487</v>
      </c>
      <c r="P89" s="317" t="s">
        <v>594</v>
      </c>
      <c r="Q89" s="317" t="s">
        <v>487</v>
      </c>
      <c r="R89" s="317" t="s">
        <v>594</v>
      </c>
      <c r="S89" s="318" t="s">
        <v>561</v>
      </c>
      <c r="T89" s="318" t="s">
        <v>561</v>
      </c>
      <c r="U89" s="330" t="s">
        <v>561</v>
      </c>
      <c r="V89" s="330" t="s">
        <v>561</v>
      </c>
      <c r="W89" s="340" t="s">
        <v>2807</v>
      </c>
      <c r="X89" s="340" t="s">
        <v>561</v>
      </c>
      <c r="Y89" s="318" t="s">
        <v>2795</v>
      </c>
      <c r="Z89" s="317" t="s">
        <v>2795</v>
      </c>
      <c r="AA89" s="317" t="s">
        <v>561</v>
      </c>
      <c r="AB89" s="317" t="s">
        <v>53</v>
      </c>
      <c r="AC89" s="317" t="s">
        <v>2795</v>
      </c>
      <c r="AD89" s="317" t="s">
        <v>2795</v>
      </c>
      <c r="AE89" s="317" t="s">
        <v>53</v>
      </c>
      <c r="AF89" s="317" t="s">
        <v>561</v>
      </c>
      <c r="AG89" s="317" t="s">
        <v>561</v>
      </c>
      <c r="AH89" s="317" t="s">
        <v>561</v>
      </c>
      <c r="AI89" s="317" t="s">
        <v>561</v>
      </c>
      <c r="AJ89" s="317" t="s">
        <v>2795</v>
      </c>
      <c r="AK89" s="317" t="s">
        <v>2807</v>
      </c>
      <c r="AL89" s="317" t="s">
        <v>2795</v>
      </c>
      <c r="AM89" s="317" t="s">
        <v>2807</v>
      </c>
      <c r="AN89" s="317" t="s">
        <v>2795</v>
      </c>
      <c r="AO89" s="317" t="s">
        <v>2795</v>
      </c>
      <c r="AP89" s="317" t="s">
        <v>561</v>
      </c>
      <c r="AQ89" s="317" t="s">
        <v>561</v>
      </c>
      <c r="AR89" s="317" t="s">
        <v>561</v>
      </c>
      <c r="AS89" s="317" t="s">
        <v>2795</v>
      </c>
      <c r="AT89" s="317" t="s">
        <v>561</v>
      </c>
      <c r="AU89" s="317" t="s">
        <v>561</v>
      </c>
      <c r="AV89" s="317" t="s">
        <v>2807</v>
      </c>
      <c r="AW89" s="317" t="s">
        <v>561</v>
      </c>
      <c r="AX89" s="317" t="s">
        <v>561</v>
      </c>
      <c r="AY89" s="317" t="s">
        <v>561</v>
      </c>
      <c r="AZ89" s="317" t="s">
        <v>561</v>
      </c>
      <c r="BA89" s="317" t="s">
        <v>2796</v>
      </c>
      <c r="BB89" s="317" t="s">
        <v>561</v>
      </c>
      <c r="BC89" s="317" t="s">
        <v>2806</v>
      </c>
      <c r="BD89" s="317" t="s">
        <v>2795</v>
      </c>
      <c r="BE89" s="317" t="s">
        <v>53</v>
      </c>
      <c r="BF89" s="317" t="s">
        <v>561</v>
      </c>
      <c r="BG89" s="317" t="s">
        <v>561</v>
      </c>
      <c r="BH89" s="317" t="s">
        <v>561</v>
      </c>
      <c r="BI89" s="317" t="s">
        <v>561</v>
      </c>
      <c r="BJ89" s="317" t="s">
        <v>561</v>
      </c>
      <c r="BK89" s="317" t="s">
        <v>561</v>
      </c>
      <c r="BL89" s="317" t="s">
        <v>2796</v>
      </c>
      <c r="BM89" s="317" t="s">
        <v>2796</v>
      </c>
      <c r="BN89" s="317" t="s">
        <v>53</v>
      </c>
      <c r="BO89" s="317" t="s">
        <v>2796</v>
      </c>
      <c r="BP89" s="317" t="s">
        <v>2796</v>
      </c>
      <c r="BQ89" s="317" t="s">
        <v>53</v>
      </c>
      <c r="BR89" s="317" t="s">
        <v>561</v>
      </c>
      <c r="BS89" s="317" t="s">
        <v>53</v>
      </c>
      <c r="BT89" s="317" t="s">
        <v>561</v>
      </c>
      <c r="BU89" s="317" t="s">
        <v>53</v>
      </c>
      <c r="BV89" s="317" t="s">
        <v>561</v>
      </c>
      <c r="BW89" s="317" t="s">
        <v>53</v>
      </c>
      <c r="BX89" s="317" t="s">
        <v>561</v>
      </c>
      <c r="BY89" s="317" t="s">
        <v>561</v>
      </c>
      <c r="BZ89" s="317" t="s">
        <v>561</v>
      </c>
      <c r="CA89" s="317" t="s">
        <v>53</v>
      </c>
      <c r="CB89" s="317" t="s">
        <v>561</v>
      </c>
      <c r="CC89" s="317" t="s">
        <v>561</v>
      </c>
      <c r="CD89" s="317" t="s">
        <v>561</v>
      </c>
      <c r="CE89" s="317" t="s">
        <v>561</v>
      </c>
      <c r="CF89" s="317" t="s">
        <v>53</v>
      </c>
      <c r="CG89" s="317" t="s">
        <v>561</v>
      </c>
      <c r="CH89" s="317" t="s">
        <v>561</v>
      </c>
      <c r="CI89" s="317" t="s">
        <v>561</v>
      </c>
      <c r="CJ89" s="317" t="s">
        <v>2806</v>
      </c>
      <c r="CK89" s="317" t="s">
        <v>561</v>
      </c>
      <c r="CL89" s="317" t="s">
        <v>561</v>
      </c>
      <c r="CM89" s="317" t="s">
        <v>561</v>
      </c>
      <c r="CN89" s="317" t="s">
        <v>561</v>
      </c>
      <c r="CO89" s="317" t="s">
        <v>561</v>
      </c>
      <c r="CP89" s="317" t="s">
        <v>561</v>
      </c>
      <c r="CQ89" s="319"/>
      <c r="CR89" s="319">
        <v>2009.0</v>
      </c>
      <c r="CS89" s="343" t="s">
        <v>1569</v>
      </c>
      <c r="CT89" s="319"/>
      <c r="CU89" s="319" t="s">
        <v>23</v>
      </c>
      <c r="CV89" s="332" t="s">
        <v>75</v>
      </c>
      <c r="CW89" s="319"/>
      <c r="CX89" s="319"/>
      <c r="CY89" s="323">
        <f t="shared" si="24"/>
        <v>0.413</v>
      </c>
      <c r="CZ89" s="324">
        <v>0.7</v>
      </c>
      <c r="DA89" s="323">
        <v>0.287</v>
      </c>
      <c r="DB89" s="323"/>
      <c r="DC89" s="323">
        <f t="shared" si="25"/>
        <v>0.339</v>
      </c>
      <c r="DD89" s="324">
        <v>0.634</v>
      </c>
      <c r="DE89" s="323">
        <v>0.295</v>
      </c>
      <c r="DF89" s="323"/>
      <c r="DG89" s="324">
        <v>0.512</v>
      </c>
      <c r="DH89" s="323">
        <v>0.128</v>
      </c>
      <c r="DI89" s="323">
        <v>0.094</v>
      </c>
      <c r="DJ89" s="323">
        <v>0.254</v>
      </c>
      <c r="DK89" s="323">
        <v>0.013999999999999999</v>
      </c>
      <c r="DL89" s="323">
        <v>0.002</v>
      </c>
      <c r="DM89" s="323"/>
      <c r="DN89" s="324">
        <v>0.654</v>
      </c>
      <c r="DO89" s="324">
        <v>0.7340000000000001</v>
      </c>
      <c r="DP89" s="323">
        <v>0.161</v>
      </c>
    </row>
    <row r="90">
      <c r="A90" s="311" t="s">
        <v>2493</v>
      </c>
      <c r="B90" s="311" t="s">
        <v>2494</v>
      </c>
      <c r="C90" s="311" t="s">
        <v>1197</v>
      </c>
      <c r="D90" s="311">
        <v>47.0</v>
      </c>
      <c r="E90" s="312">
        <f t="shared" si="19"/>
        <v>0.3333333333</v>
      </c>
      <c r="F90" s="312" t="str">
        <f t="shared" si="20"/>
        <v>#DIV/0!</v>
      </c>
      <c r="G90" s="312" t="str">
        <f t="shared" si="21"/>
        <v>#DIV/0!</v>
      </c>
      <c r="H90" s="312" t="str">
        <f t="shared" si="22"/>
        <v>#DIV/0!</v>
      </c>
      <c r="I90" s="312" t="str">
        <f t="shared" si="51"/>
        <v>#DIV/0!</v>
      </c>
      <c r="J90" s="315" t="s">
        <v>2794</v>
      </c>
      <c r="K90" s="315" t="s">
        <v>2794</v>
      </c>
      <c r="L90" s="316" t="str">
        <f t="shared" si="23"/>
        <v>#DIV/0!</v>
      </c>
      <c r="M90" s="317" t="s">
        <v>487</v>
      </c>
      <c r="N90" s="317" t="s">
        <v>487</v>
      </c>
      <c r="O90" s="317" t="s">
        <v>594</v>
      </c>
      <c r="P90" s="317" t="s">
        <v>594</v>
      </c>
      <c r="Q90" s="317" t="s">
        <v>594</v>
      </c>
      <c r="R90" s="317" t="s">
        <v>594</v>
      </c>
      <c r="S90" s="318" t="s">
        <v>53</v>
      </c>
      <c r="T90" s="318" t="s">
        <v>561</v>
      </c>
      <c r="U90" s="330" t="s">
        <v>561</v>
      </c>
      <c r="V90" s="330" t="s">
        <v>561</v>
      </c>
      <c r="W90" s="318" t="s">
        <v>2795</v>
      </c>
      <c r="X90" s="318" t="s">
        <v>53</v>
      </c>
      <c r="Y90" s="318" t="s">
        <v>2795</v>
      </c>
      <c r="Z90" s="317" t="s">
        <v>2795</v>
      </c>
      <c r="AA90" s="317" t="s">
        <v>561</v>
      </c>
      <c r="AB90" s="317" t="s">
        <v>561</v>
      </c>
      <c r="AC90" s="317" t="s">
        <v>2795</v>
      </c>
      <c r="AD90" s="317" t="s">
        <v>2795</v>
      </c>
      <c r="AE90" s="317" t="s">
        <v>53</v>
      </c>
      <c r="AF90" s="317" t="s">
        <v>561</v>
      </c>
      <c r="AG90" s="317" t="s">
        <v>53</v>
      </c>
      <c r="AH90" s="317" t="s">
        <v>561</v>
      </c>
      <c r="AI90" s="317" t="s">
        <v>561</v>
      </c>
      <c r="AJ90" s="317" t="s">
        <v>2795</v>
      </c>
      <c r="AK90" s="317" t="s">
        <v>2795</v>
      </c>
      <c r="AL90" s="317" t="s">
        <v>2795</v>
      </c>
      <c r="AM90" s="317" t="s">
        <v>2795</v>
      </c>
      <c r="AN90" s="317" t="s">
        <v>2795</v>
      </c>
      <c r="AO90" s="317" t="s">
        <v>2795</v>
      </c>
      <c r="AP90" s="317" t="s">
        <v>561</v>
      </c>
      <c r="AQ90" s="317" t="s">
        <v>561</v>
      </c>
      <c r="AR90" s="317" t="s">
        <v>561</v>
      </c>
      <c r="AS90" s="317" t="s">
        <v>2807</v>
      </c>
      <c r="AT90" s="317" t="s">
        <v>561</v>
      </c>
      <c r="AU90" s="317" t="s">
        <v>561</v>
      </c>
      <c r="AV90" s="317" t="s">
        <v>2807</v>
      </c>
      <c r="AW90" s="317" t="s">
        <v>561</v>
      </c>
      <c r="AX90" s="317" t="s">
        <v>561</v>
      </c>
      <c r="AY90" s="317" t="s">
        <v>561</v>
      </c>
      <c r="AZ90" s="317" t="s">
        <v>561</v>
      </c>
      <c r="BA90" s="317" t="s">
        <v>2796</v>
      </c>
      <c r="BB90" s="317" t="s">
        <v>561</v>
      </c>
      <c r="BC90" s="317" t="s">
        <v>2796</v>
      </c>
      <c r="BD90" s="317" t="s">
        <v>2795</v>
      </c>
      <c r="BE90" s="317" t="s">
        <v>561</v>
      </c>
      <c r="BF90" s="317" t="s">
        <v>561</v>
      </c>
      <c r="BG90" s="317" t="s">
        <v>561</v>
      </c>
      <c r="BH90" s="317" t="s">
        <v>561</v>
      </c>
      <c r="BI90" s="317" t="s">
        <v>561</v>
      </c>
      <c r="BJ90" s="317" t="s">
        <v>561</v>
      </c>
      <c r="BK90" s="317" t="s">
        <v>561</v>
      </c>
      <c r="BL90" s="317" t="s">
        <v>2796</v>
      </c>
      <c r="BM90" s="317" t="s">
        <v>2806</v>
      </c>
      <c r="BN90" s="317" t="s">
        <v>561</v>
      </c>
      <c r="BO90" s="317" t="s">
        <v>2796</v>
      </c>
      <c r="BP90" s="317" t="s">
        <v>2796</v>
      </c>
      <c r="BQ90" s="317" t="s">
        <v>600</v>
      </c>
      <c r="BR90" s="317" t="s">
        <v>600</v>
      </c>
      <c r="BS90" s="317" t="s">
        <v>600</v>
      </c>
      <c r="BT90" s="317" t="s">
        <v>600</v>
      </c>
      <c r="BU90" s="317" t="s">
        <v>600</v>
      </c>
      <c r="BV90" s="317" t="s">
        <v>600</v>
      </c>
      <c r="BW90" s="317" t="s">
        <v>600</v>
      </c>
      <c r="BX90" s="317" t="s">
        <v>600</v>
      </c>
      <c r="BY90" s="317" t="s">
        <v>600</v>
      </c>
      <c r="BZ90" s="317" t="s">
        <v>600</v>
      </c>
      <c r="CA90" s="317" t="s">
        <v>600</v>
      </c>
      <c r="CB90" s="317" t="s">
        <v>600</v>
      </c>
      <c r="CC90" s="317" t="s">
        <v>600</v>
      </c>
      <c r="CD90" s="317" t="s">
        <v>600</v>
      </c>
      <c r="CE90" s="317" t="s">
        <v>600</v>
      </c>
      <c r="CF90" s="317" t="s">
        <v>600</v>
      </c>
      <c r="CG90" s="317" t="s">
        <v>600</v>
      </c>
      <c r="CH90" s="317" t="s">
        <v>600</v>
      </c>
      <c r="CI90" s="317" t="s">
        <v>600</v>
      </c>
      <c r="CJ90" s="317" t="s">
        <v>600</v>
      </c>
      <c r="CK90" s="317" t="s">
        <v>600</v>
      </c>
      <c r="CL90" s="317" t="s">
        <v>600</v>
      </c>
      <c r="CM90" s="317" t="s">
        <v>600</v>
      </c>
      <c r="CN90" s="317" t="s">
        <v>600</v>
      </c>
      <c r="CO90" s="317" t="s">
        <v>600</v>
      </c>
      <c r="CP90" s="317" t="s">
        <v>600</v>
      </c>
      <c r="CQ90" s="319"/>
      <c r="CR90" s="319">
        <v>2019.0</v>
      </c>
      <c r="CS90" s="320" t="s">
        <v>850</v>
      </c>
      <c r="CT90" s="319"/>
      <c r="CU90" s="319" t="s">
        <v>676</v>
      </c>
      <c r="CV90" s="347" t="s">
        <v>75</v>
      </c>
      <c r="CW90" s="336"/>
      <c r="CX90" s="319"/>
      <c r="CY90" s="323">
        <f t="shared" si="24"/>
        <v>0.111</v>
      </c>
      <c r="CZ90" s="337">
        <v>0.545</v>
      </c>
      <c r="DA90" s="338">
        <v>0.434</v>
      </c>
      <c r="DB90" s="338"/>
      <c r="DC90" s="323">
        <f t="shared" si="25"/>
        <v>0.074</v>
      </c>
      <c r="DD90" s="337">
        <v>0.507</v>
      </c>
      <c r="DE90" s="338">
        <v>0.433</v>
      </c>
      <c r="DF90" s="338"/>
      <c r="DG90" s="337">
        <v>0.53</v>
      </c>
      <c r="DH90" s="338">
        <v>0.16</v>
      </c>
      <c r="DI90" s="338">
        <v>0.024</v>
      </c>
      <c r="DJ90" s="338">
        <v>0.26899999999999996</v>
      </c>
      <c r="DK90" s="338">
        <v>0.018000000000000002</v>
      </c>
      <c r="DL90" s="338">
        <v>0.006</v>
      </c>
      <c r="DM90" s="338"/>
      <c r="DN90" s="337">
        <v>0.565</v>
      </c>
      <c r="DO90" s="337">
        <v>0.5720000000000001</v>
      </c>
      <c r="DP90" s="338">
        <v>0.267</v>
      </c>
    </row>
    <row r="91">
      <c r="A91" s="311" t="s">
        <v>467</v>
      </c>
      <c r="B91" s="311" t="s">
        <v>468</v>
      </c>
      <c r="C91" s="311" t="s">
        <v>2827</v>
      </c>
      <c r="D91" s="311">
        <v>20.0</v>
      </c>
      <c r="E91" s="312">
        <f t="shared" si="19"/>
        <v>0.1666666667</v>
      </c>
      <c r="F91" s="312" t="str">
        <f t="shared" si="20"/>
        <v>#DIV/0!</v>
      </c>
      <c r="G91" s="312" t="str">
        <f t="shared" si="21"/>
        <v>#DIV/0!</v>
      </c>
      <c r="H91" s="312" t="str">
        <f t="shared" si="22"/>
        <v>#DIV/0!</v>
      </c>
      <c r="I91" s="315" t="s">
        <v>2794</v>
      </c>
      <c r="J91" s="315" t="s">
        <v>2794</v>
      </c>
      <c r="K91" s="315" t="s">
        <v>2794</v>
      </c>
      <c r="L91" s="316" t="str">
        <f t="shared" si="23"/>
        <v>#DIV/0!</v>
      </c>
      <c r="M91" s="317" t="s">
        <v>487</v>
      </c>
      <c r="N91" s="317" t="s">
        <v>594</v>
      </c>
      <c r="O91" s="317" t="s">
        <v>594</v>
      </c>
      <c r="P91" s="317" t="s">
        <v>594</v>
      </c>
      <c r="Q91" s="317" t="s">
        <v>594</v>
      </c>
      <c r="R91" s="317" t="s">
        <v>594</v>
      </c>
      <c r="S91" s="318" t="s">
        <v>53</v>
      </c>
      <c r="T91" s="318" t="s">
        <v>561</v>
      </c>
      <c r="U91" s="330" t="s">
        <v>561</v>
      </c>
      <c r="V91" s="330" t="s">
        <v>561</v>
      </c>
      <c r="W91" s="340" t="s">
        <v>2807</v>
      </c>
      <c r="X91" s="340" t="s">
        <v>561</v>
      </c>
      <c r="Y91" s="318" t="s">
        <v>2795</v>
      </c>
      <c r="Z91" s="317" t="s">
        <v>2795</v>
      </c>
      <c r="AA91" s="317" t="s">
        <v>561</v>
      </c>
      <c r="AB91" s="317" t="s">
        <v>53</v>
      </c>
      <c r="AC91" s="317" t="s">
        <v>2795</v>
      </c>
      <c r="AD91" s="317" t="s">
        <v>600</v>
      </c>
      <c r="AE91" s="317" t="s">
        <v>600</v>
      </c>
      <c r="AF91" s="317" t="s">
        <v>600</v>
      </c>
      <c r="AG91" s="317" t="s">
        <v>600</v>
      </c>
      <c r="AH91" s="317" t="s">
        <v>600</v>
      </c>
      <c r="AI91" s="317" t="s">
        <v>600</v>
      </c>
      <c r="AJ91" s="317" t="s">
        <v>600</v>
      </c>
      <c r="AK91" s="317" t="s">
        <v>600</v>
      </c>
      <c r="AL91" s="317" t="s">
        <v>600</v>
      </c>
      <c r="AM91" s="317" t="s">
        <v>600</v>
      </c>
      <c r="AN91" s="317" t="s">
        <v>600</v>
      </c>
      <c r="AO91" s="317" t="s">
        <v>600</v>
      </c>
      <c r="AP91" s="317" t="s">
        <v>600</v>
      </c>
      <c r="AQ91" s="317" t="s">
        <v>600</v>
      </c>
      <c r="AR91" s="317" t="s">
        <v>600</v>
      </c>
      <c r="AS91" s="317" t="s">
        <v>600</v>
      </c>
      <c r="AT91" s="317" t="s">
        <v>600</v>
      </c>
      <c r="AU91" s="317" t="s">
        <v>600</v>
      </c>
      <c r="AV91" s="317" t="s">
        <v>600</v>
      </c>
      <c r="AW91" s="317" t="s">
        <v>600</v>
      </c>
      <c r="AX91" s="317" t="s">
        <v>600</v>
      </c>
      <c r="AY91" s="317" t="s">
        <v>600</v>
      </c>
      <c r="AZ91" s="317" t="s">
        <v>600</v>
      </c>
      <c r="BA91" s="317" t="s">
        <v>600</v>
      </c>
      <c r="BB91" s="317" t="s">
        <v>600</v>
      </c>
      <c r="BC91" s="317" t="s">
        <v>600</v>
      </c>
      <c r="BD91" s="317" t="s">
        <v>600</v>
      </c>
      <c r="BE91" s="317" t="s">
        <v>600</v>
      </c>
      <c r="BF91" s="317" t="s">
        <v>600</v>
      </c>
      <c r="BG91" s="317" t="s">
        <v>600</v>
      </c>
      <c r="BH91" s="317" t="s">
        <v>600</v>
      </c>
      <c r="BI91" s="317" t="s">
        <v>600</v>
      </c>
      <c r="BJ91" s="317" t="s">
        <v>600</v>
      </c>
      <c r="BK91" s="317" t="s">
        <v>600</v>
      </c>
      <c r="BL91" s="317" t="s">
        <v>600</v>
      </c>
      <c r="BM91" s="317" t="s">
        <v>600</v>
      </c>
      <c r="BN91" s="317" t="s">
        <v>600</v>
      </c>
      <c r="BO91" s="317" t="s">
        <v>600</v>
      </c>
      <c r="BP91" s="317" t="s">
        <v>600</v>
      </c>
      <c r="BQ91" s="317" t="s">
        <v>600</v>
      </c>
      <c r="BR91" s="317" t="s">
        <v>600</v>
      </c>
      <c r="BS91" s="317" t="s">
        <v>600</v>
      </c>
      <c r="BT91" s="317" t="s">
        <v>600</v>
      </c>
      <c r="BU91" s="317" t="s">
        <v>600</v>
      </c>
      <c r="BV91" s="317" t="s">
        <v>600</v>
      </c>
      <c r="BW91" s="317" t="s">
        <v>600</v>
      </c>
      <c r="BX91" s="317" t="s">
        <v>600</v>
      </c>
      <c r="BY91" s="317" t="s">
        <v>600</v>
      </c>
      <c r="BZ91" s="317" t="s">
        <v>600</v>
      </c>
      <c r="CA91" s="317" t="s">
        <v>600</v>
      </c>
      <c r="CB91" s="317" t="s">
        <v>600</v>
      </c>
      <c r="CC91" s="317" t="s">
        <v>600</v>
      </c>
      <c r="CD91" s="317" t="s">
        <v>600</v>
      </c>
      <c r="CE91" s="317" t="s">
        <v>600</v>
      </c>
      <c r="CF91" s="317" t="s">
        <v>600</v>
      </c>
      <c r="CG91" s="317" t="s">
        <v>600</v>
      </c>
      <c r="CH91" s="317" t="s">
        <v>600</v>
      </c>
      <c r="CI91" s="317" t="s">
        <v>600</v>
      </c>
      <c r="CJ91" s="317" t="s">
        <v>600</v>
      </c>
      <c r="CK91" s="317" t="s">
        <v>600</v>
      </c>
      <c r="CL91" s="317" t="s">
        <v>600</v>
      </c>
      <c r="CM91" s="317" t="s">
        <v>600</v>
      </c>
      <c r="CN91" s="317" t="s">
        <v>600</v>
      </c>
      <c r="CO91" s="317" t="s">
        <v>600</v>
      </c>
      <c r="CP91" s="317" t="s">
        <v>600</v>
      </c>
      <c r="CQ91" s="319"/>
      <c r="CR91" s="319" t="s">
        <v>2616</v>
      </c>
      <c r="CS91" s="320" t="s">
        <v>850</v>
      </c>
      <c r="CT91" s="334" t="s">
        <v>122</v>
      </c>
      <c r="CU91" s="345" t="s">
        <v>600</v>
      </c>
      <c r="CV91" s="327" t="s">
        <v>470</v>
      </c>
      <c r="CW91" s="319"/>
      <c r="CX91" s="319"/>
      <c r="CY91" s="323">
        <f t="shared" si="24"/>
        <v>0.524</v>
      </c>
      <c r="CZ91" s="324">
        <v>0.759</v>
      </c>
      <c r="DA91" s="323">
        <v>0.235</v>
      </c>
      <c r="DB91" s="323"/>
      <c r="DC91" s="323">
        <f t="shared" si="25"/>
        <v>0.571</v>
      </c>
      <c r="DD91" s="324">
        <v>0.774</v>
      </c>
      <c r="DE91" s="323">
        <v>0.203</v>
      </c>
      <c r="DF91" s="323"/>
      <c r="DG91" s="323">
        <v>0.235</v>
      </c>
      <c r="DH91" s="323">
        <v>0.23</v>
      </c>
      <c r="DI91" s="324">
        <v>0.501</v>
      </c>
      <c r="DJ91" s="323">
        <v>0.034</v>
      </c>
      <c r="DK91" s="323">
        <v>0.012</v>
      </c>
      <c r="DL91" s="323">
        <v>0.002</v>
      </c>
      <c r="DM91" s="323"/>
      <c r="DN91" s="323">
        <v>0.23399999999999999</v>
      </c>
      <c r="DO91" s="323">
        <v>0.315</v>
      </c>
      <c r="DP91" s="323">
        <v>0.191</v>
      </c>
    </row>
    <row r="92">
      <c r="A92" s="311" t="s">
        <v>718</v>
      </c>
      <c r="B92" s="311" t="s">
        <v>719</v>
      </c>
      <c r="C92" s="311" t="s">
        <v>646</v>
      </c>
      <c r="D92" s="311">
        <v>7.0</v>
      </c>
      <c r="E92" s="312">
        <f t="shared" si="19"/>
        <v>0.3333333333</v>
      </c>
      <c r="F92" s="312" t="str">
        <f t="shared" si="20"/>
        <v>#DIV/0!</v>
      </c>
      <c r="G92" s="312" t="str">
        <f t="shared" si="21"/>
        <v>#DIV/0!</v>
      </c>
      <c r="H92" s="312" t="str">
        <f t="shared" si="22"/>
        <v>#DIV/0!</v>
      </c>
      <c r="I92" s="312" t="str">
        <f t="shared" ref="I92:I96" si="58">(COUNTIF(AW92:BP92, "Nay")+COUNTIF(AW92:BP92, "Yea (Amend)")+(0.5*COUNTIF(AW92:BP92, "Present")))/(COUNTIF(AW92:BP92, "Nay")+COUNTIF(AW92:BP92, "Yea (Amend)")+COUNTIF(AW92:BP92, "Yea")+COUNTIF(AW92:BP92, "Nay (Amend)")+COUNTIF(AW92:BP92, "Present"))</f>
        <v>#DIV/0!</v>
      </c>
      <c r="J92" s="315" t="s">
        <v>2794</v>
      </c>
      <c r="K92" s="315" t="s">
        <v>2794</v>
      </c>
      <c r="L92" s="316" t="str">
        <f t="shared" si="23"/>
        <v>#DIV/0!</v>
      </c>
      <c r="M92" s="317" t="s">
        <v>487</v>
      </c>
      <c r="N92" s="317" t="s">
        <v>487</v>
      </c>
      <c r="O92" s="317" t="s">
        <v>594</v>
      </c>
      <c r="P92" s="317" t="s">
        <v>594</v>
      </c>
      <c r="Q92" s="317" t="s">
        <v>594</v>
      </c>
      <c r="R92" s="317" t="s">
        <v>594</v>
      </c>
      <c r="S92" s="318" t="s">
        <v>561</v>
      </c>
      <c r="T92" s="318" t="s">
        <v>561</v>
      </c>
      <c r="U92" s="330" t="s">
        <v>561</v>
      </c>
      <c r="V92" s="330" t="s">
        <v>561</v>
      </c>
      <c r="W92" s="318" t="s">
        <v>2795</v>
      </c>
      <c r="X92" s="340" t="s">
        <v>561</v>
      </c>
      <c r="Y92" s="318" t="s">
        <v>2795</v>
      </c>
      <c r="Z92" s="317" t="s">
        <v>2795</v>
      </c>
      <c r="AA92" s="317" t="s">
        <v>561</v>
      </c>
      <c r="AB92" s="317" t="s">
        <v>53</v>
      </c>
      <c r="AC92" s="317" t="s">
        <v>2795</v>
      </c>
      <c r="AD92" s="317" t="s">
        <v>2795</v>
      </c>
      <c r="AE92" s="317" t="s">
        <v>561</v>
      </c>
      <c r="AF92" s="317" t="s">
        <v>561</v>
      </c>
      <c r="AG92" s="317" t="s">
        <v>561</v>
      </c>
      <c r="AH92" s="317" t="s">
        <v>561</v>
      </c>
      <c r="AI92" s="317" t="s">
        <v>561</v>
      </c>
      <c r="AJ92" s="317" t="s">
        <v>2795</v>
      </c>
      <c r="AK92" s="317" t="s">
        <v>2795</v>
      </c>
      <c r="AL92" s="317" t="s">
        <v>2795</v>
      </c>
      <c r="AM92" s="317" t="s">
        <v>2795</v>
      </c>
      <c r="AN92" s="317" t="s">
        <v>2795</v>
      </c>
      <c r="AO92" s="317" t="s">
        <v>2795</v>
      </c>
      <c r="AP92" s="317" t="s">
        <v>561</v>
      </c>
      <c r="AQ92" s="317" t="s">
        <v>561</v>
      </c>
      <c r="AR92" s="317" t="s">
        <v>561</v>
      </c>
      <c r="AS92" s="317" t="s">
        <v>2795</v>
      </c>
      <c r="AT92" s="317" t="s">
        <v>561</v>
      </c>
      <c r="AU92" s="317" t="s">
        <v>53</v>
      </c>
      <c r="AV92" s="317" t="s">
        <v>2795</v>
      </c>
      <c r="AW92" s="317" t="s">
        <v>561</v>
      </c>
      <c r="AX92" s="317" t="s">
        <v>561</v>
      </c>
      <c r="AY92" s="317" t="s">
        <v>561</v>
      </c>
      <c r="AZ92" s="317" t="s">
        <v>561</v>
      </c>
      <c r="BA92" s="317" t="s">
        <v>2796</v>
      </c>
      <c r="BB92" s="317" t="s">
        <v>561</v>
      </c>
      <c r="BC92" s="317" t="s">
        <v>2796</v>
      </c>
      <c r="BD92" s="317" t="s">
        <v>600</v>
      </c>
      <c r="BE92" s="317" t="s">
        <v>600</v>
      </c>
      <c r="BF92" s="317" t="s">
        <v>600</v>
      </c>
      <c r="BG92" s="317" t="s">
        <v>600</v>
      </c>
      <c r="BH92" s="317" t="s">
        <v>600</v>
      </c>
      <c r="BI92" s="317" t="s">
        <v>600</v>
      </c>
      <c r="BJ92" s="317" t="s">
        <v>600</v>
      </c>
      <c r="BK92" s="317" t="s">
        <v>600</v>
      </c>
      <c r="BL92" s="317" t="s">
        <v>600</v>
      </c>
      <c r="BM92" s="317" t="s">
        <v>600</v>
      </c>
      <c r="BN92" s="317" t="s">
        <v>600</v>
      </c>
      <c r="BO92" s="317" t="s">
        <v>600</v>
      </c>
      <c r="BP92" s="317" t="s">
        <v>600</v>
      </c>
      <c r="BQ92" s="317" t="s">
        <v>600</v>
      </c>
      <c r="BR92" s="317" t="s">
        <v>600</v>
      </c>
      <c r="BS92" s="317" t="s">
        <v>600</v>
      </c>
      <c r="BT92" s="317" t="s">
        <v>600</v>
      </c>
      <c r="BU92" s="317" t="s">
        <v>600</v>
      </c>
      <c r="BV92" s="317" t="s">
        <v>600</v>
      </c>
      <c r="BW92" s="317" t="s">
        <v>600</v>
      </c>
      <c r="BX92" s="317" t="s">
        <v>600</v>
      </c>
      <c r="BY92" s="317" t="s">
        <v>600</v>
      </c>
      <c r="BZ92" s="317" t="s">
        <v>600</v>
      </c>
      <c r="CA92" s="317" t="s">
        <v>600</v>
      </c>
      <c r="CB92" s="317" t="s">
        <v>600</v>
      </c>
      <c r="CC92" s="317" t="s">
        <v>600</v>
      </c>
      <c r="CD92" s="317" t="s">
        <v>600</v>
      </c>
      <c r="CE92" s="317" t="s">
        <v>600</v>
      </c>
      <c r="CF92" s="317" t="s">
        <v>600</v>
      </c>
      <c r="CG92" s="317" t="s">
        <v>600</v>
      </c>
      <c r="CH92" s="317" t="s">
        <v>600</v>
      </c>
      <c r="CI92" s="317" t="s">
        <v>600</v>
      </c>
      <c r="CJ92" s="317" t="s">
        <v>600</v>
      </c>
      <c r="CK92" s="317" t="s">
        <v>600</v>
      </c>
      <c r="CL92" s="317" t="s">
        <v>600</v>
      </c>
      <c r="CM92" s="317" t="s">
        <v>600</v>
      </c>
      <c r="CN92" s="317" t="s">
        <v>600</v>
      </c>
      <c r="CO92" s="317" t="s">
        <v>600</v>
      </c>
      <c r="CP92" s="317" t="s">
        <v>600</v>
      </c>
      <c r="CQ92" s="319"/>
      <c r="CR92" s="319" t="s">
        <v>2838</v>
      </c>
      <c r="CS92" s="342" t="s">
        <v>2476</v>
      </c>
      <c r="CT92" s="334" t="s">
        <v>122</v>
      </c>
      <c r="CU92" s="345" t="s">
        <v>600</v>
      </c>
      <c r="CV92" s="327" t="s">
        <v>28</v>
      </c>
      <c r="CW92" s="336"/>
      <c r="CX92" s="319"/>
      <c r="CY92" s="323">
        <f t="shared" si="24"/>
        <v>0.635</v>
      </c>
      <c r="CZ92" s="324">
        <v>0.81</v>
      </c>
      <c r="DA92" s="323">
        <v>0.175</v>
      </c>
      <c r="DB92" s="323"/>
      <c r="DC92" s="323">
        <f t="shared" si="25"/>
        <v>0.601</v>
      </c>
      <c r="DD92" s="324">
        <v>0.777</v>
      </c>
      <c r="DE92" s="323">
        <v>0.17600000000000002</v>
      </c>
      <c r="DF92" s="323"/>
      <c r="DG92" s="323">
        <v>0.325</v>
      </c>
      <c r="DH92" s="323">
        <v>0.07200000000000001</v>
      </c>
      <c r="DI92" s="324">
        <v>0.547</v>
      </c>
      <c r="DJ92" s="323">
        <v>0.048</v>
      </c>
      <c r="DK92" s="323">
        <v>0.018000000000000002</v>
      </c>
      <c r="DL92" s="323">
        <v>0.001</v>
      </c>
      <c r="DM92" s="323"/>
      <c r="DN92" s="323">
        <v>0.38299999999999995</v>
      </c>
      <c r="DO92" s="324">
        <v>0.547</v>
      </c>
      <c r="DP92" s="323">
        <v>0.161</v>
      </c>
    </row>
    <row r="93">
      <c r="A93" s="311" t="s">
        <v>503</v>
      </c>
      <c r="B93" s="311" t="s">
        <v>800</v>
      </c>
      <c r="C93" s="311" t="s">
        <v>815</v>
      </c>
      <c r="D93" s="311">
        <v>6.0</v>
      </c>
      <c r="E93" s="312">
        <f t="shared" si="19"/>
        <v>0.1666666667</v>
      </c>
      <c r="F93" s="312" t="str">
        <f t="shared" si="20"/>
        <v>#DIV/0!</v>
      </c>
      <c r="G93" s="312" t="str">
        <f t="shared" si="21"/>
        <v>#DIV/0!</v>
      </c>
      <c r="H93" s="312" t="str">
        <f t="shared" si="22"/>
        <v>#DIV/0!</v>
      </c>
      <c r="I93" s="312" t="str">
        <f t="shared" si="58"/>
        <v>#DIV/0!</v>
      </c>
      <c r="J93" s="312" t="str">
        <f t="shared" ref="J93:J96" si="59">(COUNTIF(BQ93:CL93, "Nay")+COUNTIF(BQ93:CL93, "Yea (Amend)")+(0.5*COUNTIF(BQ93:CL93, "Present")))/(COUNTIF(BQ93:CL93, "Nay")+COUNTIF(BQ93:CL93, "Yea (Amend)")+COUNTIF(BQ93:CL93, "Yea")+COUNTIF(BQ93:CL93, "Nay (Amend)")+COUNTIF(BQ93:CL93, "Present"))</f>
        <v>#DIV/0!</v>
      </c>
      <c r="K93" s="312" t="str">
        <f t="shared" ref="K93:K96" si="60">(COUNTIF(CM93:CP93, "Nay")+COUNTIF(CM93:CP93, "Yea (Amend)")+(0.5*COUNTIF(CM93:CP93, "Present")))/(COUNTIF(CM93:CP93, "Nay")+COUNTIF(CM93:CP93, "Yea (Amend)")+COUNTIF(CM93:CP93, "Yea")+COUNTIF(CM93:CP93, "Nay (Amend)")+COUNTIF(CM93:CP93, "Present"))</f>
        <v>#DIV/0!</v>
      </c>
      <c r="L93" s="316" t="str">
        <f t="shared" si="23"/>
        <v>#DIV/0!</v>
      </c>
      <c r="M93" s="317" t="s">
        <v>487</v>
      </c>
      <c r="N93" s="317" t="s">
        <v>594</v>
      </c>
      <c r="O93" s="317" t="s">
        <v>594</v>
      </c>
      <c r="P93" s="317" t="s">
        <v>594</v>
      </c>
      <c r="Q93" s="317" t="s">
        <v>594</v>
      </c>
      <c r="R93" s="317" t="s">
        <v>594</v>
      </c>
      <c r="S93" s="318" t="s">
        <v>561</v>
      </c>
      <c r="T93" s="318" t="s">
        <v>561</v>
      </c>
      <c r="U93" s="330" t="s">
        <v>561</v>
      </c>
      <c r="V93" s="330" t="s">
        <v>561</v>
      </c>
      <c r="W93" s="318" t="s">
        <v>2795</v>
      </c>
      <c r="X93" s="340" t="s">
        <v>561</v>
      </c>
      <c r="Y93" s="318" t="s">
        <v>2795</v>
      </c>
      <c r="Z93" s="317" t="s">
        <v>2795</v>
      </c>
      <c r="AA93" s="317" t="s">
        <v>561</v>
      </c>
      <c r="AB93" s="317" t="s">
        <v>561</v>
      </c>
      <c r="AC93" s="317" t="s">
        <v>2795</v>
      </c>
      <c r="AD93" s="317" t="s">
        <v>2795</v>
      </c>
      <c r="AE93" s="317" t="s">
        <v>561</v>
      </c>
      <c r="AF93" s="317" t="s">
        <v>561</v>
      </c>
      <c r="AG93" s="317" t="s">
        <v>561</v>
      </c>
      <c r="AH93" s="317" t="s">
        <v>561</v>
      </c>
      <c r="AI93" s="317" t="s">
        <v>561</v>
      </c>
      <c r="AJ93" s="317" t="s">
        <v>2795</v>
      </c>
      <c r="AK93" s="317" t="s">
        <v>2795</v>
      </c>
      <c r="AL93" s="317" t="s">
        <v>2795</v>
      </c>
      <c r="AM93" s="317" t="s">
        <v>2795</v>
      </c>
      <c r="AN93" s="317" t="s">
        <v>2795</v>
      </c>
      <c r="AO93" s="317" t="s">
        <v>2795</v>
      </c>
      <c r="AP93" s="317" t="s">
        <v>561</v>
      </c>
      <c r="AQ93" s="317" t="s">
        <v>561</v>
      </c>
      <c r="AR93" s="317" t="s">
        <v>561</v>
      </c>
      <c r="AS93" s="317" t="s">
        <v>2795</v>
      </c>
      <c r="AT93" s="317" t="s">
        <v>561</v>
      </c>
      <c r="AU93" s="317" t="s">
        <v>561</v>
      </c>
      <c r="AV93" s="317" t="s">
        <v>2807</v>
      </c>
      <c r="AW93" s="317" t="s">
        <v>561</v>
      </c>
      <c r="AX93" s="317" t="s">
        <v>561</v>
      </c>
      <c r="AY93" s="317" t="s">
        <v>561</v>
      </c>
      <c r="AZ93" s="317" t="s">
        <v>561</v>
      </c>
      <c r="BA93" s="317" t="s">
        <v>2796</v>
      </c>
      <c r="BB93" s="317" t="s">
        <v>53</v>
      </c>
      <c r="BC93" s="317" t="s">
        <v>2796</v>
      </c>
      <c r="BD93" s="317" t="s">
        <v>2795</v>
      </c>
      <c r="BE93" s="317" t="s">
        <v>53</v>
      </c>
      <c r="BF93" s="317" t="s">
        <v>561</v>
      </c>
      <c r="BG93" s="317" t="s">
        <v>561</v>
      </c>
      <c r="BH93" s="317" t="s">
        <v>53</v>
      </c>
      <c r="BI93" s="317" t="s">
        <v>53</v>
      </c>
      <c r="BJ93" s="317" t="s">
        <v>53</v>
      </c>
      <c r="BK93" s="317" t="s">
        <v>561</v>
      </c>
      <c r="BL93" s="317" t="s">
        <v>2796</v>
      </c>
      <c r="BM93" s="317" t="s">
        <v>2796</v>
      </c>
      <c r="BN93" s="317" t="s">
        <v>53</v>
      </c>
      <c r="BO93" s="317" t="s">
        <v>2796</v>
      </c>
      <c r="BP93" s="317" t="s">
        <v>2796</v>
      </c>
      <c r="BQ93" s="317" t="s">
        <v>53</v>
      </c>
      <c r="BR93" s="317" t="s">
        <v>561</v>
      </c>
      <c r="BS93" s="317" t="s">
        <v>53</v>
      </c>
      <c r="BT93" s="317" t="s">
        <v>561</v>
      </c>
      <c r="BU93" s="317" t="s">
        <v>53</v>
      </c>
      <c r="BV93" s="317" t="s">
        <v>561</v>
      </c>
      <c r="BW93" s="317" t="s">
        <v>53</v>
      </c>
      <c r="BX93" s="317" t="s">
        <v>561</v>
      </c>
      <c r="BY93" s="317" t="s">
        <v>801</v>
      </c>
      <c r="BZ93" s="317" t="s">
        <v>561</v>
      </c>
      <c r="CA93" s="317" t="s">
        <v>53</v>
      </c>
      <c r="CB93" s="317" t="s">
        <v>561</v>
      </c>
      <c r="CC93" s="317" t="s">
        <v>561</v>
      </c>
      <c r="CD93" s="317" t="s">
        <v>561</v>
      </c>
      <c r="CE93" s="317" t="s">
        <v>561</v>
      </c>
      <c r="CF93" s="317" t="s">
        <v>53</v>
      </c>
      <c r="CG93" s="317" t="s">
        <v>561</v>
      </c>
      <c r="CH93" s="317" t="s">
        <v>561</v>
      </c>
      <c r="CI93" s="317" t="s">
        <v>561</v>
      </c>
      <c r="CJ93" s="317" t="s">
        <v>2806</v>
      </c>
      <c r="CK93" s="317" t="s">
        <v>561</v>
      </c>
      <c r="CL93" s="317" t="s">
        <v>561</v>
      </c>
      <c r="CM93" s="317" t="s">
        <v>561</v>
      </c>
      <c r="CN93" s="317" t="s">
        <v>561</v>
      </c>
      <c r="CO93" s="317" t="s">
        <v>561</v>
      </c>
      <c r="CP93" s="317" t="s">
        <v>561</v>
      </c>
      <c r="CQ93" s="319"/>
      <c r="CR93" s="319">
        <v>2015.0</v>
      </c>
      <c r="CS93" s="320" t="s">
        <v>850</v>
      </c>
      <c r="CT93" s="319"/>
      <c r="CU93" s="326" t="s">
        <v>2476</v>
      </c>
      <c r="CV93" s="332" t="s">
        <v>75</v>
      </c>
      <c r="CW93" s="319"/>
      <c r="CX93" s="319"/>
      <c r="CY93" s="323">
        <f t="shared" si="24"/>
        <v>0.267</v>
      </c>
      <c r="CZ93" s="324">
        <v>0.627</v>
      </c>
      <c r="DA93" s="323">
        <v>0.36</v>
      </c>
      <c r="DB93" s="323"/>
      <c r="DC93" s="323">
        <f t="shared" si="25"/>
        <v>0.208</v>
      </c>
      <c r="DD93" s="324">
        <v>0.58</v>
      </c>
      <c r="DE93" s="323">
        <v>0.37200000000000005</v>
      </c>
      <c r="DF93" s="323"/>
      <c r="DG93" s="324">
        <v>0.715</v>
      </c>
      <c r="DH93" s="323">
        <v>0.043</v>
      </c>
      <c r="DI93" s="323">
        <v>0.10800000000000001</v>
      </c>
      <c r="DJ93" s="323">
        <v>0.111</v>
      </c>
      <c r="DK93" s="323">
        <v>0.018000000000000002</v>
      </c>
      <c r="DL93" s="323">
        <v>0.001</v>
      </c>
      <c r="DM93" s="323"/>
      <c r="DN93" s="324">
        <v>0.498</v>
      </c>
      <c r="DO93" s="323">
        <v>0.49</v>
      </c>
      <c r="DP93" s="323">
        <v>0.4</v>
      </c>
    </row>
    <row r="94">
      <c r="A94" s="311" t="s">
        <v>347</v>
      </c>
      <c r="B94" s="311" t="s">
        <v>941</v>
      </c>
      <c r="C94" s="311" t="s">
        <v>587</v>
      </c>
      <c r="D94" s="311">
        <v>9.0</v>
      </c>
      <c r="E94" s="312">
        <f t="shared" si="19"/>
        <v>0.3333333333</v>
      </c>
      <c r="F94" s="312" t="str">
        <f t="shared" si="20"/>
        <v>#DIV/0!</v>
      </c>
      <c r="G94" s="312" t="str">
        <f t="shared" si="21"/>
        <v>#DIV/0!</v>
      </c>
      <c r="H94" s="312" t="str">
        <f t="shared" si="22"/>
        <v>#DIV/0!</v>
      </c>
      <c r="I94" s="312" t="str">
        <f t="shared" si="58"/>
        <v>#DIV/0!</v>
      </c>
      <c r="J94" s="312" t="str">
        <f t="shared" si="59"/>
        <v>#DIV/0!</v>
      </c>
      <c r="K94" s="312" t="str">
        <f t="shared" si="60"/>
        <v>#DIV/0!</v>
      </c>
      <c r="L94" s="316" t="str">
        <f t="shared" si="23"/>
        <v>#DIV/0!</v>
      </c>
      <c r="M94" s="317" t="s">
        <v>594</v>
      </c>
      <c r="N94" s="317" t="s">
        <v>487</v>
      </c>
      <c r="O94" s="317" t="s">
        <v>594</v>
      </c>
      <c r="P94" s="317" t="s">
        <v>594</v>
      </c>
      <c r="Q94" s="317" t="s">
        <v>487</v>
      </c>
      <c r="R94" s="317" t="s">
        <v>594</v>
      </c>
      <c r="S94" s="318" t="s">
        <v>561</v>
      </c>
      <c r="T94" s="318" t="s">
        <v>561</v>
      </c>
      <c r="U94" s="330" t="s">
        <v>561</v>
      </c>
      <c r="V94" s="330" t="s">
        <v>561</v>
      </c>
      <c r="W94" s="340" t="s">
        <v>2807</v>
      </c>
      <c r="X94" s="340" t="s">
        <v>561</v>
      </c>
      <c r="Y94" s="340" t="s">
        <v>2807</v>
      </c>
      <c r="Z94" s="317" t="s">
        <v>2795</v>
      </c>
      <c r="AA94" s="317" t="s">
        <v>561</v>
      </c>
      <c r="AB94" s="317" t="s">
        <v>53</v>
      </c>
      <c r="AC94" s="317" t="s">
        <v>2795</v>
      </c>
      <c r="AD94" s="317" t="s">
        <v>2795</v>
      </c>
      <c r="AE94" s="317" t="s">
        <v>561</v>
      </c>
      <c r="AF94" s="317" t="s">
        <v>561</v>
      </c>
      <c r="AG94" s="317" t="s">
        <v>561</v>
      </c>
      <c r="AH94" s="317" t="s">
        <v>561</v>
      </c>
      <c r="AI94" s="317" t="s">
        <v>561</v>
      </c>
      <c r="AJ94" s="317" t="s">
        <v>2795</v>
      </c>
      <c r="AK94" s="317" t="s">
        <v>2807</v>
      </c>
      <c r="AL94" s="317" t="s">
        <v>2795</v>
      </c>
      <c r="AM94" s="317" t="s">
        <v>2795</v>
      </c>
      <c r="AN94" s="317" t="s">
        <v>2795</v>
      </c>
      <c r="AO94" s="317" t="s">
        <v>2795</v>
      </c>
      <c r="AP94" s="317" t="s">
        <v>561</v>
      </c>
      <c r="AQ94" s="317" t="s">
        <v>561</v>
      </c>
      <c r="AR94" s="317" t="s">
        <v>561</v>
      </c>
      <c r="AS94" s="317" t="s">
        <v>2807</v>
      </c>
      <c r="AT94" s="317" t="s">
        <v>561</v>
      </c>
      <c r="AU94" s="317" t="s">
        <v>561</v>
      </c>
      <c r="AV94" s="317" t="s">
        <v>2807</v>
      </c>
      <c r="AW94" s="317" t="s">
        <v>561</v>
      </c>
      <c r="AX94" s="317" t="s">
        <v>561</v>
      </c>
      <c r="AY94" s="317" t="s">
        <v>561</v>
      </c>
      <c r="AZ94" s="317" t="s">
        <v>561</v>
      </c>
      <c r="BA94" s="317" t="s">
        <v>2796</v>
      </c>
      <c r="BB94" s="317" t="s">
        <v>561</v>
      </c>
      <c r="BC94" s="317" t="s">
        <v>2806</v>
      </c>
      <c r="BD94" s="317" t="s">
        <v>2795</v>
      </c>
      <c r="BE94" s="317" t="s">
        <v>561</v>
      </c>
      <c r="BF94" s="317" t="s">
        <v>53</v>
      </c>
      <c r="BG94" s="317" t="s">
        <v>53</v>
      </c>
      <c r="BH94" s="317" t="s">
        <v>561</v>
      </c>
      <c r="BI94" s="317" t="s">
        <v>561</v>
      </c>
      <c r="BJ94" s="317" t="s">
        <v>53</v>
      </c>
      <c r="BK94" s="317" t="s">
        <v>561</v>
      </c>
      <c r="BL94" s="317" t="s">
        <v>2796</v>
      </c>
      <c r="BM94" s="317" t="s">
        <v>2796</v>
      </c>
      <c r="BN94" s="317" t="s">
        <v>53</v>
      </c>
      <c r="BO94" s="317" t="s">
        <v>2796</v>
      </c>
      <c r="BP94" s="317" t="s">
        <v>2806</v>
      </c>
      <c r="BQ94" s="317" t="s">
        <v>53</v>
      </c>
      <c r="BR94" s="317" t="s">
        <v>561</v>
      </c>
      <c r="BS94" s="317" t="s">
        <v>53</v>
      </c>
      <c r="BT94" s="317" t="s">
        <v>561</v>
      </c>
      <c r="BU94" s="317" t="s">
        <v>53</v>
      </c>
      <c r="BV94" s="317" t="s">
        <v>561</v>
      </c>
      <c r="BW94" s="317" t="s">
        <v>53</v>
      </c>
      <c r="BX94" s="317" t="s">
        <v>561</v>
      </c>
      <c r="BY94" s="317" t="s">
        <v>53</v>
      </c>
      <c r="BZ94" s="317" t="s">
        <v>561</v>
      </c>
      <c r="CA94" s="317" t="s">
        <v>53</v>
      </c>
      <c r="CB94" s="317" t="s">
        <v>53</v>
      </c>
      <c r="CC94" s="317" t="s">
        <v>53</v>
      </c>
      <c r="CD94" s="317" t="s">
        <v>561</v>
      </c>
      <c r="CE94" s="317" t="s">
        <v>561</v>
      </c>
      <c r="CF94" s="317" t="s">
        <v>53</v>
      </c>
      <c r="CG94" s="317" t="s">
        <v>561</v>
      </c>
      <c r="CH94" s="317" t="s">
        <v>561</v>
      </c>
      <c r="CI94" s="317" t="s">
        <v>561</v>
      </c>
      <c r="CJ94" s="317" t="s">
        <v>2806</v>
      </c>
      <c r="CK94" s="317" t="s">
        <v>561</v>
      </c>
      <c r="CL94" s="317" t="s">
        <v>561</v>
      </c>
      <c r="CM94" s="317" t="s">
        <v>561</v>
      </c>
      <c r="CN94" s="317" t="s">
        <v>561</v>
      </c>
      <c r="CO94" s="317" t="s">
        <v>561</v>
      </c>
      <c r="CP94" s="317" t="s">
        <v>561</v>
      </c>
      <c r="CQ94" s="319"/>
      <c r="CR94" s="319">
        <v>1997.0</v>
      </c>
      <c r="CS94" s="342" t="s">
        <v>2476</v>
      </c>
      <c r="CT94" s="334" t="s">
        <v>122</v>
      </c>
      <c r="CU94" s="319" t="s">
        <v>2822</v>
      </c>
      <c r="CV94" s="332" t="s">
        <v>75</v>
      </c>
      <c r="CW94" s="319"/>
      <c r="CX94" s="319"/>
      <c r="CY94" s="323">
        <f t="shared" si="24"/>
        <v>0.189</v>
      </c>
      <c r="CZ94" s="324">
        <v>0.589</v>
      </c>
      <c r="DA94" s="323">
        <v>0.4</v>
      </c>
      <c r="DB94" s="323"/>
      <c r="DC94" s="323">
        <f t="shared" si="25"/>
        <v>0.24</v>
      </c>
      <c r="DD94" s="324">
        <v>0.607</v>
      </c>
      <c r="DE94" s="323">
        <v>0.36700000000000005</v>
      </c>
      <c r="DF94" s="323"/>
      <c r="DG94" s="324">
        <v>0.409</v>
      </c>
      <c r="DH94" s="323">
        <v>0.391</v>
      </c>
      <c r="DI94" s="323">
        <v>0.109</v>
      </c>
      <c r="DJ94" s="323">
        <v>0.10099999999999999</v>
      </c>
      <c r="DK94" s="323">
        <v>0.019</v>
      </c>
      <c r="DL94" s="323">
        <v>0.002</v>
      </c>
      <c r="DM94" s="323"/>
      <c r="DN94" s="323">
        <v>0.318</v>
      </c>
      <c r="DO94" s="323">
        <v>0.387</v>
      </c>
      <c r="DP94" s="323">
        <v>0.3</v>
      </c>
    </row>
    <row r="95">
      <c r="A95" s="311" t="s">
        <v>1111</v>
      </c>
      <c r="B95" s="311" t="s">
        <v>1112</v>
      </c>
      <c r="C95" s="311" t="s">
        <v>2208</v>
      </c>
      <c r="D95" s="311">
        <v>3.0</v>
      </c>
      <c r="E95" s="312">
        <f t="shared" si="19"/>
        <v>0.1666666667</v>
      </c>
      <c r="F95" s="312" t="str">
        <f t="shared" si="20"/>
        <v>#DIV/0!</v>
      </c>
      <c r="G95" s="312" t="str">
        <f t="shared" si="21"/>
        <v>#DIV/0!</v>
      </c>
      <c r="H95" s="312" t="str">
        <f t="shared" si="22"/>
        <v>#DIV/0!</v>
      </c>
      <c r="I95" s="312" t="str">
        <f t="shared" si="58"/>
        <v>#DIV/0!</v>
      </c>
      <c r="J95" s="312" t="str">
        <f t="shared" si="59"/>
        <v>#DIV/0!</v>
      </c>
      <c r="K95" s="312" t="str">
        <f t="shared" si="60"/>
        <v>#DIV/0!</v>
      </c>
      <c r="L95" s="316" t="str">
        <f t="shared" si="23"/>
        <v>#DIV/0!</v>
      </c>
      <c r="M95" s="317" t="s">
        <v>594</v>
      </c>
      <c r="N95" s="317" t="s">
        <v>594</v>
      </c>
      <c r="O95" s="317" t="s">
        <v>487</v>
      </c>
      <c r="P95" s="317" t="s">
        <v>594</v>
      </c>
      <c r="Q95" s="317" t="s">
        <v>594</v>
      </c>
      <c r="R95" s="317" t="s">
        <v>594</v>
      </c>
      <c r="S95" s="318" t="s">
        <v>561</v>
      </c>
      <c r="T95" s="318" t="s">
        <v>561</v>
      </c>
      <c r="U95" s="330" t="s">
        <v>561</v>
      </c>
      <c r="V95" s="330" t="s">
        <v>561</v>
      </c>
      <c r="W95" s="318" t="s">
        <v>2795</v>
      </c>
      <c r="X95" s="340" t="s">
        <v>561</v>
      </c>
      <c r="Y95" s="318" t="s">
        <v>2795</v>
      </c>
      <c r="Z95" s="317" t="s">
        <v>2795</v>
      </c>
      <c r="AA95" s="317" t="s">
        <v>561</v>
      </c>
      <c r="AB95" s="317" t="s">
        <v>53</v>
      </c>
      <c r="AC95" s="317" t="s">
        <v>2795</v>
      </c>
      <c r="AD95" s="317" t="s">
        <v>2795</v>
      </c>
      <c r="AE95" s="317" t="s">
        <v>561</v>
      </c>
      <c r="AF95" s="317" t="s">
        <v>561</v>
      </c>
      <c r="AG95" s="317" t="s">
        <v>561</v>
      </c>
      <c r="AH95" s="317" t="s">
        <v>561</v>
      </c>
      <c r="AI95" s="317" t="s">
        <v>561</v>
      </c>
      <c r="AJ95" s="317" t="s">
        <v>2795</v>
      </c>
      <c r="AK95" s="317" t="s">
        <v>2795</v>
      </c>
      <c r="AL95" s="317" t="s">
        <v>2795</v>
      </c>
      <c r="AM95" s="317" t="s">
        <v>2795</v>
      </c>
      <c r="AN95" s="317" t="s">
        <v>2795</v>
      </c>
      <c r="AO95" s="317" t="s">
        <v>2795</v>
      </c>
      <c r="AP95" s="317" t="s">
        <v>561</v>
      </c>
      <c r="AQ95" s="317" t="s">
        <v>561</v>
      </c>
      <c r="AR95" s="317" t="s">
        <v>561</v>
      </c>
      <c r="AS95" s="317" t="s">
        <v>2807</v>
      </c>
      <c r="AT95" s="317" t="s">
        <v>561</v>
      </c>
      <c r="AU95" s="317" t="s">
        <v>53</v>
      </c>
      <c r="AV95" s="317" t="s">
        <v>2795</v>
      </c>
      <c r="AW95" s="317" t="s">
        <v>561</v>
      </c>
      <c r="AX95" s="317" t="s">
        <v>561</v>
      </c>
      <c r="AY95" s="317" t="s">
        <v>561</v>
      </c>
      <c r="AZ95" s="317" t="s">
        <v>561</v>
      </c>
      <c r="BA95" s="317" t="s">
        <v>2796</v>
      </c>
      <c r="BB95" s="317" t="s">
        <v>561</v>
      </c>
      <c r="BC95" s="317" t="s">
        <v>2796</v>
      </c>
      <c r="BD95" s="317" t="s">
        <v>2795</v>
      </c>
      <c r="BE95" s="317" t="s">
        <v>53</v>
      </c>
      <c r="BF95" s="317" t="s">
        <v>561</v>
      </c>
      <c r="BG95" s="317" t="s">
        <v>561</v>
      </c>
      <c r="BH95" s="317" t="s">
        <v>561</v>
      </c>
      <c r="BI95" s="317" t="s">
        <v>561</v>
      </c>
      <c r="BJ95" s="317" t="s">
        <v>53</v>
      </c>
      <c r="BK95" s="317" t="s">
        <v>561</v>
      </c>
      <c r="BL95" s="317" t="s">
        <v>2796</v>
      </c>
      <c r="BM95" s="317" t="s">
        <v>2796</v>
      </c>
      <c r="BN95" s="317" t="s">
        <v>561</v>
      </c>
      <c r="BO95" s="317" t="s">
        <v>2796</v>
      </c>
      <c r="BP95" s="317" t="s">
        <v>2806</v>
      </c>
      <c r="BQ95" s="317" t="s">
        <v>53</v>
      </c>
      <c r="BR95" s="317" t="s">
        <v>53</v>
      </c>
      <c r="BS95" s="317" t="s">
        <v>53</v>
      </c>
      <c r="BT95" s="317" t="s">
        <v>561</v>
      </c>
      <c r="BU95" s="317" t="s">
        <v>801</v>
      </c>
      <c r="BV95" s="317" t="s">
        <v>53</v>
      </c>
      <c r="BW95" s="317" t="s">
        <v>53</v>
      </c>
      <c r="BX95" s="317" t="s">
        <v>561</v>
      </c>
      <c r="BY95" s="317" t="s">
        <v>561</v>
      </c>
      <c r="BZ95" s="317" t="s">
        <v>561</v>
      </c>
      <c r="CA95" s="317" t="s">
        <v>53</v>
      </c>
      <c r="CB95" s="317" t="s">
        <v>53</v>
      </c>
      <c r="CC95" s="317" t="s">
        <v>53</v>
      </c>
      <c r="CD95" s="317" t="s">
        <v>561</v>
      </c>
      <c r="CE95" s="317" t="s">
        <v>561</v>
      </c>
      <c r="CF95" s="317" t="s">
        <v>53</v>
      </c>
      <c r="CG95" s="317" t="s">
        <v>561</v>
      </c>
      <c r="CH95" s="317" t="s">
        <v>561</v>
      </c>
      <c r="CI95" s="317" t="s">
        <v>561</v>
      </c>
      <c r="CJ95" s="317" t="s">
        <v>2806</v>
      </c>
      <c r="CK95" s="317" t="s">
        <v>561</v>
      </c>
      <c r="CL95" s="317" t="s">
        <v>561</v>
      </c>
      <c r="CM95" s="317" t="s">
        <v>561</v>
      </c>
      <c r="CN95" s="317" t="s">
        <v>561</v>
      </c>
      <c r="CO95" s="317" t="s">
        <v>801</v>
      </c>
      <c r="CP95" s="317" t="s">
        <v>561</v>
      </c>
      <c r="CQ95" s="319"/>
      <c r="CR95" s="319">
        <v>2013.0</v>
      </c>
      <c r="CS95" s="342" t="s">
        <v>2476</v>
      </c>
      <c r="CT95" s="334" t="s">
        <v>2030</v>
      </c>
      <c r="CU95" s="326" t="s">
        <v>2476</v>
      </c>
      <c r="CV95" s="327" t="s">
        <v>28</v>
      </c>
      <c r="CW95" s="319"/>
      <c r="CX95" s="319"/>
      <c r="CY95" s="323">
        <f t="shared" si="24"/>
        <v>0.437</v>
      </c>
      <c r="CZ95" s="324">
        <v>0.711</v>
      </c>
      <c r="DA95" s="323">
        <v>0.27399999999999997</v>
      </c>
      <c r="DB95" s="323"/>
      <c r="DC95" s="323">
        <f t="shared" si="25"/>
        <v>0.384</v>
      </c>
      <c r="DD95" s="324">
        <v>0.669</v>
      </c>
      <c r="DE95" s="323">
        <v>0.285</v>
      </c>
      <c r="DF95" s="323"/>
      <c r="DG95" s="324">
        <v>0.595</v>
      </c>
      <c r="DH95" s="323">
        <v>0.053</v>
      </c>
      <c r="DI95" s="323">
        <v>0.272</v>
      </c>
      <c r="DJ95" s="323">
        <v>0.065</v>
      </c>
      <c r="DK95" s="323">
        <v>0.017</v>
      </c>
      <c r="DL95" s="323">
        <v>0.001</v>
      </c>
      <c r="DM95" s="323"/>
      <c r="DN95" s="323">
        <v>0.43200000000000005</v>
      </c>
      <c r="DO95" s="324">
        <v>0.526</v>
      </c>
      <c r="DP95" s="323">
        <v>0.307</v>
      </c>
    </row>
    <row r="96">
      <c r="A96" s="311" t="s">
        <v>120</v>
      </c>
      <c r="B96" s="311" t="s">
        <v>121</v>
      </c>
      <c r="C96" s="311" t="s">
        <v>1197</v>
      </c>
      <c r="D96" s="311">
        <v>8.0</v>
      </c>
      <c r="E96" s="312">
        <f t="shared" si="19"/>
        <v>0.5</v>
      </c>
      <c r="F96" s="312" t="str">
        <f t="shared" si="20"/>
        <v>#DIV/0!</v>
      </c>
      <c r="G96" s="312" t="str">
        <f t="shared" si="21"/>
        <v>#DIV/0!</v>
      </c>
      <c r="H96" s="312" t="str">
        <f t="shared" si="22"/>
        <v>#DIV/0!</v>
      </c>
      <c r="I96" s="312" t="str">
        <f t="shared" si="58"/>
        <v>#DIV/0!</v>
      </c>
      <c r="J96" s="312" t="str">
        <f t="shared" si="59"/>
        <v>#DIV/0!</v>
      </c>
      <c r="K96" s="312" t="str">
        <f t="shared" si="60"/>
        <v>#DIV/0!</v>
      </c>
      <c r="L96" s="316" t="str">
        <f t="shared" si="23"/>
        <v>#DIV/0!</v>
      </c>
      <c r="M96" s="317" t="s">
        <v>487</v>
      </c>
      <c r="N96" s="317" t="s">
        <v>487</v>
      </c>
      <c r="O96" s="317" t="s">
        <v>487</v>
      </c>
      <c r="P96" s="317" t="s">
        <v>594</v>
      </c>
      <c r="Q96" s="317" t="s">
        <v>594</v>
      </c>
      <c r="R96" s="317" t="s">
        <v>594</v>
      </c>
      <c r="S96" s="318" t="s">
        <v>561</v>
      </c>
      <c r="T96" s="318" t="s">
        <v>561</v>
      </c>
      <c r="U96" s="330" t="s">
        <v>561</v>
      </c>
      <c r="V96" s="330" t="s">
        <v>561</v>
      </c>
      <c r="W96" s="318" t="s">
        <v>2795</v>
      </c>
      <c r="X96" s="340" t="s">
        <v>561</v>
      </c>
      <c r="Y96" s="318" t="s">
        <v>2795</v>
      </c>
      <c r="Z96" s="317" t="s">
        <v>2795</v>
      </c>
      <c r="AA96" s="317" t="s">
        <v>561</v>
      </c>
      <c r="AB96" s="317" t="s">
        <v>53</v>
      </c>
      <c r="AC96" s="317" t="s">
        <v>2795</v>
      </c>
      <c r="AD96" s="317" t="s">
        <v>2795</v>
      </c>
      <c r="AE96" s="317" t="s">
        <v>561</v>
      </c>
      <c r="AF96" s="317" t="s">
        <v>561</v>
      </c>
      <c r="AG96" s="317" t="s">
        <v>561</v>
      </c>
      <c r="AH96" s="317" t="s">
        <v>561</v>
      </c>
      <c r="AI96" s="317" t="s">
        <v>561</v>
      </c>
      <c r="AJ96" s="317" t="s">
        <v>2795</v>
      </c>
      <c r="AK96" s="317" t="s">
        <v>2795</v>
      </c>
      <c r="AL96" s="317" t="s">
        <v>2795</v>
      </c>
      <c r="AM96" s="317" t="s">
        <v>2795</v>
      </c>
      <c r="AN96" s="317" t="s">
        <v>2795</v>
      </c>
      <c r="AO96" s="317" t="s">
        <v>2795</v>
      </c>
      <c r="AP96" s="317" t="s">
        <v>561</v>
      </c>
      <c r="AQ96" s="317" t="s">
        <v>561</v>
      </c>
      <c r="AR96" s="317" t="s">
        <v>561</v>
      </c>
      <c r="AS96" s="317" t="s">
        <v>2795</v>
      </c>
      <c r="AT96" s="317" t="s">
        <v>561</v>
      </c>
      <c r="AU96" s="317" t="s">
        <v>561</v>
      </c>
      <c r="AV96" s="317" t="s">
        <v>2807</v>
      </c>
      <c r="AW96" s="317" t="s">
        <v>561</v>
      </c>
      <c r="AX96" s="317" t="s">
        <v>561</v>
      </c>
      <c r="AY96" s="317" t="s">
        <v>561</v>
      </c>
      <c r="AZ96" s="317" t="s">
        <v>561</v>
      </c>
      <c r="BA96" s="317" t="s">
        <v>2796</v>
      </c>
      <c r="BB96" s="317" t="s">
        <v>561</v>
      </c>
      <c r="BC96" s="317" t="s">
        <v>2806</v>
      </c>
      <c r="BD96" s="317" t="s">
        <v>2795</v>
      </c>
      <c r="BE96" s="317" t="s">
        <v>561</v>
      </c>
      <c r="BF96" s="317" t="s">
        <v>561</v>
      </c>
      <c r="BG96" s="317" t="s">
        <v>561</v>
      </c>
      <c r="BH96" s="317" t="s">
        <v>561</v>
      </c>
      <c r="BI96" s="317" t="s">
        <v>561</v>
      </c>
      <c r="BJ96" s="317" t="s">
        <v>561</v>
      </c>
      <c r="BK96" s="317" t="s">
        <v>561</v>
      </c>
      <c r="BL96" s="317" t="s">
        <v>2796</v>
      </c>
      <c r="BM96" s="317" t="s">
        <v>2796</v>
      </c>
      <c r="BN96" s="317" t="s">
        <v>561</v>
      </c>
      <c r="BO96" s="317" t="s">
        <v>2796</v>
      </c>
      <c r="BP96" s="317" t="s">
        <v>2806</v>
      </c>
      <c r="BQ96" s="317" t="s">
        <v>561</v>
      </c>
      <c r="BR96" s="317" t="s">
        <v>561</v>
      </c>
      <c r="BS96" s="317" t="s">
        <v>561</v>
      </c>
      <c r="BT96" s="317" t="s">
        <v>561</v>
      </c>
      <c r="BU96" s="317" t="s">
        <v>561</v>
      </c>
      <c r="BV96" s="317" t="s">
        <v>561</v>
      </c>
      <c r="BW96" s="317" t="s">
        <v>53</v>
      </c>
      <c r="BX96" s="317" t="s">
        <v>561</v>
      </c>
      <c r="BY96" s="317" t="s">
        <v>53</v>
      </c>
      <c r="BZ96" s="317" t="s">
        <v>561</v>
      </c>
      <c r="CA96" s="317" t="s">
        <v>53</v>
      </c>
      <c r="CB96" s="317" t="s">
        <v>53</v>
      </c>
      <c r="CC96" s="317" t="s">
        <v>561</v>
      </c>
      <c r="CD96" s="317" t="s">
        <v>561</v>
      </c>
      <c r="CE96" s="317" t="s">
        <v>561</v>
      </c>
      <c r="CF96" s="317" t="s">
        <v>53</v>
      </c>
      <c r="CG96" s="317" t="s">
        <v>561</v>
      </c>
      <c r="CH96" s="317" t="s">
        <v>561</v>
      </c>
      <c r="CI96" s="317" t="s">
        <v>561</v>
      </c>
      <c r="CJ96" s="317" t="s">
        <v>2796</v>
      </c>
      <c r="CK96" s="317" t="s">
        <v>561</v>
      </c>
      <c r="CL96" s="317" t="s">
        <v>561</v>
      </c>
      <c r="CM96" s="317" t="s">
        <v>561</v>
      </c>
      <c r="CN96" s="317" t="s">
        <v>561</v>
      </c>
      <c r="CO96" s="317" t="s">
        <v>53</v>
      </c>
      <c r="CP96" s="317" t="s">
        <v>561</v>
      </c>
      <c r="CQ96" s="319"/>
      <c r="CR96" s="319" t="s">
        <v>1808</v>
      </c>
      <c r="CS96" s="342" t="s">
        <v>2476</v>
      </c>
      <c r="CT96" s="319"/>
      <c r="CU96" s="319" t="s">
        <v>23</v>
      </c>
      <c r="CV96" s="332" t="s">
        <v>75</v>
      </c>
      <c r="CW96" s="319"/>
      <c r="CX96" s="319"/>
      <c r="CY96" s="323">
        <f t="shared" si="24"/>
        <v>0.54</v>
      </c>
      <c r="CZ96" s="324">
        <v>0.76</v>
      </c>
      <c r="DA96" s="323">
        <v>0.22</v>
      </c>
      <c r="DB96" s="323"/>
      <c r="DC96" s="323">
        <f t="shared" si="25"/>
        <v>0.559</v>
      </c>
      <c r="DD96" s="324">
        <v>0.753</v>
      </c>
      <c r="DE96" s="323">
        <v>0.19399999999999998</v>
      </c>
      <c r="DF96" s="323"/>
      <c r="DG96" s="323">
        <v>0.26899999999999996</v>
      </c>
      <c r="DH96" s="324">
        <v>0.315</v>
      </c>
      <c r="DI96" s="323">
        <v>0.177</v>
      </c>
      <c r="DJ96" s="323">
        <v>0.22399999999999998</v>
      </c>
      <c r="DK96" s="323">
        <v>0.036000000000000004</v>
      </c>
      <c r="DL96" s="323">
        <v>0.016</v>
      </c>
      <c r="DM96" s="323"/>
      <c r="DN96" s="323">
        <v>0.28600000000000003</v>
      </c>
      <c r="DO96" s="323">
        <v>0.371</v>
      </c>
      <c r="DP96" s="323">
        <v>0.215</v>
      </c>
    </row>
    <row r="97">
      <c r="A97" s="311" t="s">
        <v>1122</v>
      </c>
      <c r="B97" s="311" t="s">
        <v>1123</v>
      </c>
      <c r="C97" s="311" t="s">
        <v>2208</v>
      </c>
      <c r="D97" s="311">
        <v>11.0</v>
      </c>
      <c r="E97" s="312">
        <f t="shared" si="19"/>
        <v>0.1666666667</v>
      </c>
      <c r="F97" s="312" t="str">
        <f t="shared" si="20"/>
        <v>#DIV/0!</v>
      </c>
      <c r="G97" s="312" t="str">
        <f t="shared" si="21"/>
        <v>#DIV/0!</v>
      </c>
      <c r="H97" s="312" t="str">
        <f t="shared" si="22"/>
        <v>#DIV/0!</v>
      </c>
      <c r="I97" s="315" t="s">
        <v>2794</v>
      </c>
      <c r="J97" s="315" t="s">
        <v>2794</v>
      </c>
      <c r="K97" s="315" t="s">
        <v>2794</v>
      </c>
      <c r="L97" s="316" t="str">
        <f t="shared" si="23"/>
        <v>#DIV/0!</v>
      </c>
      <c r="M97" s="317" t="s">
        <v>487</v>
      </c>
      <c r="N97" s="317" t="s">
        <v>594</v>
      </c>
      <c r="O97" s="317" t="s">
        <v>594</v>
      </c>
      <c r="P97" s="317" t="s">
        <v>594</v>
      </c>
      <c r="Q97" s="317" t="s">
        <v>594</v>
      </c>
      <c r="R97" s="317" t="s">
        <v>594</v>
      </c>
      <c r="S97" s="318" t="s">
        <v>561</v>
      </c>
      <c r="T97" s="318" t="s">
        <v>561</v>
      </c>
      <c r="U97" s="330" t="s">
        <v>561</v>
      </c>
      <c r="V97" s="330" t="s">
        <v>561</v>
      </c>
      <c r="W97" s="318" t="s">
        <v>2795</v>
      </c>
      <c r="X97" s="340" t="s">
        <v>561</v>
      </c>
      <c r="Y97" s="318" t="s">
        <v>2795</v>
      </c>
      <c r="Z97" s="317" t="s">
        <v>2795</v>
      </c>
      <c r="AA97" s="317" t="s">
        <v>561</v>
      </c>
      <c r="AB97" s="317" t="s">
        <v>53</v>
      </c>
      <c r="AC97" s="317" t="s">
        <v>2795</v>
      </c>
      <c r="AD97" s="317" t="s">
        <v>2795</v>
      </c>
      <c r="AE97" s="317" t="s">
        <v>561</v>
      </c>
      <c r="AF97" s="317" t="s">
        <v>561</v>
      </c>
      <c r="AG97" s="317" t="s">
        <v>600</v>
      </c>
      <c r="AH97" s="317" t="s">
        <v>600</v>
      </c>
      <c r="AI97" s="317" t="s">
        <v>600</v>
      </c>
      <c r="AJ97" s="317" t="s">
        <v>600</v>
      </c>
      <c r="AK97" s="317" t="s">
        <v>600</v>
      </c>
      <c r="AL97" s="317" t="s">
        <v>600</v>
      </c>
      <c r="AM97" s="317" t="s">
        <v>600</v>
      </c>
      <c r="AN97" s="317" t="s">
        <v>600</v>
      </c>
      <c r="AO97" s="317" t="s">
        <v>600</v>
      </c>
      <c r="AP97" s="317" t="s">
        <v>600</v>
      </c>
      <c r="AQ97" s="317" t="s">
        <v>600</v>
      </c>
      <c r="AR97" s="317" t="s">
        <v>600</v>
      </c>
      <c r="AS97" s="317" t="s">
        <v>600</v>
      </c>
      <c r="AT97" s="317" t="s">
        <v>600</v>
      </c>
      <c r="AU97" s="317" t="s">
        <v>600</v>
      </c>
      <c r="AV97" s="317" t="s">
        <v>600</v>
      </c>
      <c r="AW97" s="317" t="s">
        <v>600</v>
      </c>
      <c r="AX97" s="317" t="s">
        <v>600</v>
      </c>
      <c r="AY97" s="317" t="s">
        <v>600</v>
      </c>
      <c r="AZ97" s="317" t="s">
        <v>600</v>
      </c>
      <c r="BA97" s="317" t="s">
        <v>600</v>
      </c>
      <c r="BB97" s="317" t="s">
        <v>600</v>
      </c>
      <c r="BC97" s="317" t="s">
        <v>600</v>
      </c>
      <c r="BD97" s="317" t="s">
        <v>600</v>
      </c>
      <c r="BE97" s="317" t="s">
        <v>600</v>
      </c>
      <c r="BF97" s="317" t="s">
        <v>600</v>
      </c>
      <c r="BG97" s="317" t="s">
        <v>600</v>
      </c>
      <c r="BH97" s="317" t="s">
        <v>600</v>
      </c>
      <c r="BI97" s="317" t="s">
        <v>600</v>
      </c>
      <c r="BJ97" s="317" t="s">
        <v>600</v>
      </c>
      <c r="BK97" s="317" t="s">
        <v>600</v>
      </c>
      <c r="BL97" s="317" t="s">
        <v>600</v>
      </c>
      <c r="BM97" s="317" t="s">
        <v>600</v>
      </c>
      <c r="BN97" s="317" t="s">
        <v>600</v>
      </c>
      <c r="BO97" s="317" t="s">
        <v>600</v>
      </c>
      <c r="BP97" s="317" t="s">
        <v>600</v>
      </c>
      <c r="BQ97" s="317" t="s">
        <v>600</v>
      </c>
      <c r="BR97" s="317" t="s">
        <v>600</v>
      </c>
      <c r="BS97" s="317" t="s">
        <v>600</v>
      </c>
      <c r="BT97" s="317" t="s">
        <v>600</v>
      </c>
      <c r="BU97" s="317" t="s">
        <v>600</v>
      </c>
      <c r="BV97" s="317" t="s">
        <v>600</v>
      </c>
      <c r="BW97" s="317" t="s">
        <v>600</v>
      </c>
      <c r="BX97" s="317" t="s">
        <v>600</v>
      </c>
      <c r="BY97" s="317" t="s">
        <v>600</v>
      </c>
      <c r="BZ97" s="317" t="s">
        <v>600</v>
      </c>
      <c r="CA97" s="317" t="s">
        <v>600</v>
      </c>
      <c r="CB97" s="317" t="s">
        <v>600</v>
      </c>
      <c r="CC97" s="317" t="s">
        <v>600</v>
      </c>
      <c r="CD97" s="317" t="s">
        <v>600</v>
      </c>
      <c r="CE97" s="317" t="s">
        <v>600</v>
      </c>
      <c r="CF97" s="317" t="s">
        <v>600</v>
      </c>
      <c r="CG97" s="317" t="s">
        <v>600</v>
      </c>
      <c r="CH97" s="317" t="s">
        <v>600</v>
      </c>
      <c r="CI97" s="317" t="s">
        <v>600</v>
      </c>
      <c r="CJ97" s="317" t="s">
        <v>600</v>
      </c>
      <c r="CK97" s="317" t="s">
        <v>600</v>
      </c>
      <c r="CL97" s="317" t="s">
        <v>600</v>
      </c>
      <c r="CM97" s="317" t="s">
        <v>600</v>
      </c>
      <c r="CN97" s="317" t="s">
        <v>600</v>
      </c>
      <c r="CO97" s="317" t="s">
        <v>600</v>
      </c>
      <c r="CP97" s="317" t="s">
        <v>600</v>
      </c>
      <c r="CQ97" s="319"/>
      <c r="CR97" s="319">
        <v>2021.0</v>
      </c>
      <c r="CS97" s="343" t="s">
        <v>1569</v>
      </c>
      <c r="CT97" s="334" t="s">
        <v>2030</v>
      </c>
      <c r="CU97" s="326" t="s">
        <v>600</v>
      </c>
      <c r="CV97" s="327" t="s">
        <v>28</v>
      </c>
      <c r="CW97" s="319"/>
      <c r="CX97" s="319"/>
      <c r="CY97" s="323">
        <f t="shared" si="24"/>
        <v>0.576</v>
      </c>
      <c r="CZ97" s="324">
        <v>0.7829999999999999</v>
      </c>
      <c r="DA97" s="323">
        <v>0.207</v>
      </c>
      <c r="DB97" s="323"/>
      <c r="DC97" s="323">
        <f t="shared" si="25"/>
        <v>0.606</v>
      </c>
      <c r="DD97" s="324">
        <v>0.789</v>
      </c>
      <c r="DE97" s="323">
        <v>0.183</v>
      </c>
      <c r="DF97" s="323"/>
      <c r="DG97" s="324">
        <v>0.445</v>
      </c>
      <c r="DH97" s="323">
        <v>0.069</v>
      </c>
      <c r="DI97" s="323">
        <v>0.44299999999999995</v>
      </c>
      <c r="DJ97" s="323">
        <v>0.036000000000000004</v>
      </c>
      <c r="DK97" s="323">
        <v>0.015</v>
      </c>
      <c r="DL97" s="323">
        <v>0.001</v>
      </c>
      <c r="DM97" s="323"/>
      <c r="DN97" s="323">
        <v>0.297</v>
      </c>
      <c r="DO97" s="323">
        <v>0.42200000000000004</v>
      </c>
      <c r="DP97" s="323">
        <v>0.275</v>
      </c>
    </row>
    <row r="98">
      <c r="A98" s="311" t="s">
        <v>95</v>
      </c>
      <c r="B98" s="311" t="s">
        <v>96</v>
      </c>
      <c r="C98" s="311" t="s">
        <v>1197</v>
      </c>
      <c r="D98" s="311">
        <v>4.0</v>
      </c>
      <c r="E98" s="312">
        <f t="shared" si="19"/>
        <v>0.3333333333</v>
      </c>
      <c r="F98" s="312" t="str">
        <f t="shared" si="20"/>
        <v>#DIV/0!</v>
      </c>
      <c r="G98" s="312" t="str">
        <f t="shared" si="21"/>
        <v>#DIV/0!</v>
      </c>
      <c r="H98" s="312" t="str">
        <f t="shared" si="22"/>
        <v>#DIV/0!</v>
      </c>
      <c r="I98" s="312" t="str">
        <f t="shared" ref="I98:I106" si="61">(COUNTIF(AW98:BP98, "Nay")+COUNTIF(AW98:BP98, "Yea (Amend)")+(0.5*COUNTIF(AW98:BP98, "Present")))/(COUNTIF(AW98:BP98, "Nay")+COUNTIF(AW98:BP98, "Yea (Amend)")+COUNTIF(AW98:BP98, "Yea")+COUNTIF(AW98:BP98, "Nay (Amend)")+COUNTIF(AW98:BP98, "Present"))</f>
        <v>#DIV/0!</v>
      </c>
      <c r="J98" s="312" t="str">
        <f t="shared" ref="J98:J103" si="62">(COUNTIF(BQ98:CL98, "Nay")+COUNTIF(BQ98:CL98, "Yea (Amend)")+(0.5*COUNTIF(BQ98:CL98, "Present")))/(COUNTIF(BQ98:CL98, "Nay")+COUNTIF(BQ98:CL98, "Yea (Amend)")+COUNTIF(BQ98:CL98, "Yea")+COUNTIF(BQ98:CL98, "Nay (Amend)")+COUNTIF(BQ98:CL98, "Present"))</f>
        <v>#DIV/0!</v>
      </c>
      <c r="K98" s="312" t="str">
        <f t="shared" ref="K98:K102" si="63">(COUNTIF(CM98:CP98, "Nay")+COUNTIF(CM98:CP98, "Yea (Amend)")+(0.5*COUNTIF(CM98:CP98, "Present")))/(COUNTIF(CM98:CP98, "Nay")+COUNTIF(CM98:CP98, "Yea (Amend)")+COUNTIF(CM98:CP98, "Yea")+COUNTIF(CM98:CP98, "Nay (Amend)")+COUNTIF(CM98:CP98, "Present"))</f>
        <v>#DIV/0!</v>
      </c>
      <c r="L98" s="316" t="str">
        <f t="shared" si="23"/>
        <v>#DIV/0!</v>
      </c>
      <c r="M98" s="317" t="s">
        <v>487</v>
      </c>
      <c r="N98" s="317" t="s">
        <v>487</v>
      </c>
      <c r="O98" s="317" t="s">
        <v>594</v>
      </c>
      <c r="P98" s="317" t="s">
        <v>594</v>
      </c>
      <c r="Q98" s="317" t="s">
        <v>594</v>
      </c>
      <c r="R98" s="317" t="s">
        <v>594</v>
      </c>
      <c r="S98" s="318" t="s">
        <v>561</v>
      </c>
      <c r="T98" s="318" t="s">
        <v>561</v>
      </c>
      <c r="U98" s="330" t="s">
        <v>561</v>
      </c>
      <c r="V98" s="330" t="s">
        <v>561</v>
      </c>
      <c r="W98" s="318" t="s">
        <v>2795</v>
      </c>
      <c r="X98" s="340" t="s">
        <v>561</v>
      </c>
      <c r="Y98" s="318" t="s">
        <v>2795</v>
      </c>
      <c r="Z98" s="317" t="s">
        <v>2795</v>
      </c>
      <c r="AA98" s="317" t="s">
        <v>561</v>
      </c>
      <c r="AB98" s="317" t="s">
        <v>53</v>
      </c>
      <c r="AC98" s="317" t="s">
        <v>2795</v>
      </c>
      <c r="AD98" s="317" t="s">
        <v>2795</v>
      </c>
      <c r="AE98" s="317" t="s">
        <v>561</v>
      </c>
      <c r="AF98" s="317" t="s">
        <v>561</v>
      </c>
      <c r="AG98" s="317" t="s">
        <v>561</v>
      </c>
      <c r="AH98" s="317" t="s">
        <v>561</v>
      </c>
      <c r="AI98" s="317" t="s">
        <v>561</v>
      </c>
      <c r="AJ98" s="317" t="s">
        <v>2795</v>
      </c>
      <c r="AK98" s="317" t="s">
        <v>2807</v>
      </c>
      <c r="AL98" s="317" t="s">
        <v>2795</v>
      </c>
      <c r="AM98" s="317" t="s">
        <v>2795</v>
      </c>
      <c r="AN98" s="317" t="s">
        <v>2795</v>
      </c>
      <c r="AO98" s="317" t="s">
        <v>2795</v>
      </c>
      <c r="AP98" s="317" t="s">
        <v>561</v>
      </c>
      <c r="AQ98" s="317" t="s">
        <v>561</v>
      </c>
      <c r="AR98" s="317" t="s">
        <v>561</v>
      </c>
      <c r="AS98" s="317" t="s">
        <v>2807</v>
      </c>
      <c r="AT98" s="317" t="s">
        <v>561</v>
      </c>
      <c r="AU98" s="317" t="s">
        <v>561</v>
      </c>
      <c r="AV98" s="317" t="s">
        <v>2807</v>
      </c>
      <c r="AW98" s="317" t="s">
        <v>561</v>
      </c>
      <c r="AX98" s="317" t="s">
        <v>561</v>
      </c>
      <c r="AY98" s="317" t="s">
        <v>561</v>
      </c>
      <c r="AZ98" s="317" t="s">
        <v>561</v>
      </c>
      <c r="BA98" s="317" t="s">
        <v>2806</v>
      </c>
      <c r="BB98" s="317" t="s">
        <v>561</v>
      </c>
      <c r="BC98" s="317" t="s">
        <v>2806</v>
      </c>
      <c r="BD98" s="317" t="s">
        <v>2795</v>
      </c>
      <c r="BE98" s="317" t="s">
        <v>561</v>
      </c>
      <c r="BF98" s="317" t="s">
        <v>561</v>
      </c>
      <c r="BG98" s="317" t="s">
        <v>561</v>
      </c>
      <c r="BH98" s="317" t="s">
        <v>561</v>
      </c>
      <c r="BI98" s="317" t="s">
        <v>561</v>
      </c>
      <c r="BJ98" s="317" t="s">
        <v>53</v>
      </c>
      <c r="BK98" s="317" t="s">
        <v>561</v>
      </c>
      <c r="BL98" s="317" t="s">
        <v>2796</v>
      </c>
      <c r="BM98" s="317" t="s">
        <v>2796</v>
      </c>
      <c r="BN98" s="317" t="s">
        <v>561</v>
      </c>
      <c r="BO98" s="317" t="s">
        <v>2796</v>
      </c>
      <c r="BP98" s="317" t="s">
        <v>2806</v>
      </c>
      <c r="BQ98" s="317" t="s">
        <v>53</v>
      </c>
      <c r="BR98" s="317" t="s">
        <v>561</v>
      </c>
      <c r="BS98" s="317" t="s">
        <v>561</v>
      </c>
      <c r="BT98" s="317" t="s">
        <v>53</v>
      </c>
      <c r="BU98" s="317" t="s">
        <v>53</v>
      </c>
      <c r="BV98" s="317" t="s">
        <v>53</v>
      </c>
      <c r="BW98" s="317" t="s">
        <v>53</v>
      </c>
      <c r="BX98" s="317" t="s">
        <v>561</v>
      </c>
      <c r="BY98" s="317" t="s">
        <v>53</v>
      </c>
      <c r="BZ98" s="317" t="s">
        <v>561</v>
      </c>
      <c r="CA98" s="317" t="s">
        <v>53</v>
      </c>
      <c r="CB98" s="317" t="s">
        <v>561</v>
      </c>
      <c r="CC98" s="317" t="s">
        <v>561</v>
      </c>
      <c r="CD98" s="317" t="s">
        <v>53</v>
      </c>
      <c r="CE98" s="317" t="s">
        <v>561</v>
      </c>
      <c r="CF98" s="317" t="s">
        <v>53</v>
      </c>
      <c r="CG98" s="317" t="s">
        <v>561</v>
      </c>
      <c r="CH98" s="317" t="s">
        <v>561</v>
      </c>
      <c r="CI98" s="317" t="s">
        <v>53</v>
      </c>
      <c r="CJ98" s="317" t="s">
        <v>2806</v>
      </c>
      <c r="CK98" s="317" t="s">
        <v>561</v>
      </c>
      <c r="CL98" s="317" t="s">
        <v>53</v>
      </c>
      <c r="CM98" s="317" t="s">
        <v>561</v>
      </c>
      <c r="CN98" s="317" t="s">
        <v>561</v>
      </c>
      <c r="CO98" s="317" t="s">
        <v>53</v>
      </c>
      <c r="CP98" s="317" t="s">
        <v>561</v>
      </c>
      <c r="CQ98" s="319"/>
      <c r="CR98" s="319">
        <v>1999.0</v>
      </c>
      <c r="CS98" s="334" t="s">
        <v>2602</v>
      </c>
      <c r="CT98" s="319"/>
      <c r="CU98" s="326" t="s">
        <v>2476</v>
      </c>
      <c r="CV98" s="332" t="s">
        <v>75</v>
      </c>
      <c r="CW98" s="319"/>
      <c r="CX98" s="319"/>
      <c r="CY98" s="323">
        <f t="shared" si="24"/>
        <v>0.366</v>
      </c>
      <c r="CZ98" s="324">
        <v>0.6709999999999999</v>
      </c>
      <c r="DA98" s="323">
        <v>0.305</v>
      </c>
      <c r="DB98" s="323"/>
      <c r="DC98" s="323">
        <f t="shared" si="25"/>
        <v>0.344</v>
      </c>
      <c r="DD98" s="324">
        <v>0.637</v>
      </c>
      <c r="DE98" s="323">
        <v>0.293</v>
      </c>
      <c r="DF98" s="323"/>
      <c r="DG98" s="324">
        <v>0.5529999999999999</v>
      </c>
      <c r="DH98" s="323">
        <v>0.275</v>
      </c>
      <c r="DI98" s="323">
        <v>0.040999999999999995</v>
      </c>
      <c r="DJ98" s="323">
        <v>0.1</v>
      </c>
      <c r="DK98" s="323">
        <v>0.04</v>
      </c>
      <c r="DL98" s="323">
        <v>0.008</v>
      </c>
      <c r="DM98" s="323"/>
      <c r="DN98" s="323">
        <v>0.342</v>
      </c>
      <c r="DO98" s="323">
        <v>0.40299999999999997</v>
      </c>
      <c r="DP98" s="323">
        <v>0.389</v>
      </c>
    </row>
    <row r="99">
      <c r="A99" s="311" t="s">
        <v>1028</v>
      </c>
      <c r="B99" s="311" t="s">
        <v>1068</v>
      </c>
      <c r="C99" s="311" t="s">
        <v>1530</v>
      </c>
      <c r="D99" s="311">
        <v>26.0</v>
      </c>
      <c r="E99" s="312">
        <f t="shared" si="19"/>
        <v>0.3333333333</v>
      </c>
      <c r="F99" s="312" t="str">
        <f t="shared" si="20"/>
        <v>#DIV/0!</v>
      </c>
      <c r="G99" s="312" t="str">
        <f t="shared" si="21"/>
        <v>#DIV/0!</v>
      </c>
      <c r="H99" s="312" t="str">
        <f t="shared" si="22"/>
        <v>#DIV/0!</v>
      </c>
      <c r="I99" s="312" t="str">
        <f t="shared" si="61"/>
        <v>#DIV/0!</v>
      </c>
      <c r="J99" s="312" t="str">
        <f t="shared" si="62"/>
        <v>#DIV/0!</v>
      </c>
      <c r="K99" s="312" t="str">
        <f t="shared" si="63"/>
        <v>#DIV/0!</v>
      </c>
      <c r="L99" s="316" t="str">
        <f t="shared" si="23"/>
        <v>#DIV/0!</v>
      </c>
      <c r="M99" s="317" t="s">
        <v>487</v>
      </c>
      <c r="N99" s="317" t="s">
        <v>487</v>
      </c>
      <c r="O99" s="317" t="s">
        <v>594</v>
      </c>
      <c r="P99" s="317" t="s">
        <v>594</v>
      </c>
      <c r="Q99" s="317" t="s">
        <v>594</v>
      </c>
      <c r="R99" s="317" t="s">
        <v>594</v>
      </c>
      <c r="S99" s="318" t="s">
        <v>561</v>
      </c>
      <c r="T99" s="318" t="s">
        <v>561</v>
      </c>
      <c r="U99" s="330" t="s">
        <v>561</v>
      </c>
      <c r="V99" s="330" t="s">
        <v>561</v>
      </c>
      <c r="W99" s="318" t="s">
        <v>2795</v>
      </c>
      <c r="X99" s="340" t="s">
        <v>561</v>
      </c>
      <c r="Y99" s="340" t="s">
        <v>2807</v>
      </c>
      <c r="Z99" s="317" t="s">
        <v>2795</v>
      </c>
      <c r="AA99" s="317" t="s">
        <v>561</v>
      </c>
      <c r="AB99" s="317" t="s">
        <v>53</v>
      </c>
      <c r="AC99" s="317" t="s">
        <v>2795</v>
      </c>
      <c r="AD99" s="317" t="s">
        <v>2795</v>
      </c>
      <c r="AE99" s="317" t="s">
        <v>561</v>
      </c>
      <c r="AF99" s="317" t="s">
        <v>561</v>
      </c>
      <c r="AG99" s="317" t="s">
        <v>561</v>
      </c>
      <c r="AH99" s="317" t="s">
        <v>561</v>
      </c>
      <c r="AI99" s="317" t="s">
        <v>561</v>
      </c>
      <c r="AJ99" s="317" t="s">
        <v>2807</v>
      </c>
      <c r="AK99" s="317" t="s">
        <v>2807</v>
      </c>
      <c r="AL99" s="317" t="s">
        <v>2795</v>
      </c>
      <c r="AM99" s="317" t="s">
        <v>2807</v>
      </c>
      <c r="AN99" s="317" t="s">
        <v>2795</v>
      </c>
      <c r="AO99" s="317" t="s">
        <v>2795</v>
      </c>
      <c r="AP99" s="317" t="s">
        <v>561</v>
      </c>
      <c r="AQ99" s="317" t="s">
        <v>561</v>
      </c>
      <c r="AR99" s="317" t="s">
        <v>561</v>
      </c>
      <c r="AS99" s="317" t="s">
        <v>2795</v>
      </c>
      <c r="AT99" s="317" t="s">
        <v>561</v>
      </c>
      <c r="AU99" s="317" t="s">
        <v>561</v>
      </c>
      <c r="AV99" s="317" t="s">
        <v>2795</v>
      </c>
      <c r="AW99" s="317" t="s">
        <v>561</v>
      </c>
      <c r="AX99" s="317" t="s">
        <v>561</v>
      </c>
      <c r="AY99" s="317" t="s">
        <v>561</v>
      </c>
      <c r="AZ99" s="317" t="s">
        <v>561</v>
      </c>
      <c r="BA99" s="317" t="s">
        <v>2796</v>
      </c>
      <c r="BB99" s="317" t="s">
        <v>561</v>
      </c>
      <c r="BC99" s="317" t="s">
        <v>2806</v>
      </c>
      <c r="BD99" s="317" t="s">
        <v>2795</v>
      </c>
      <c r="BE99" s="317" t="s">
        <v>561</v>
      </c>
      <c r="BF99" s="317" t="s">
        <v>561</v>
      </c>
      <c r="BG99" s="317" t="s">
        <v>561</v>
      </c>
      <c r="BH99" s="317" t="s">
        <v>561</v>
      </c>
      <c r="BI99" s="317" t="s">
        <v>561</v>
      </c>
      <c r="BJ99" s="317" t="s">
        <v>53</v>
      </c>
      <c r="BK99" s="317" t="s">
        <v>561</v>
      </c>
      <c r="BL99" s="317" t="s">
        <v>2796</v>
      </c>
      <c r="BM99" s="317" t="s">
        <v>2796</v>
      </c>
      <c r="BN99" s="317" t="s">
        <v>53</v>
      </c>
      <c r="BO99" s="317" t="s">
        <v>2796</v>
      </c>
      <c r="BP99" s="317" t="s">
        <v>2806</v>
      </c>
      <c r="BQ99" s="317" t="s">
        <v>53</v>
      </c>
      <c r="BR99" s="317" t="s">
        <v>561</v>
      </c>
      <c r="BS99" s="317" t="s">
        <v>53</v>
      </c>
      <c r="BT99" s="317" t="s">
        <v>561</v>
      </c>
      <c r="BU99" s="317" t="s">
        <v>53</v>
      </c>
      <c r="BV99" s="317" t="s">
        <v>561</v>
      </c>
      <c r="BW99" s="317" t="s">
        <v>53</v>
      </c>
      <c r="BX99" s="317" t="s">
        <v>561</v>
      </c>
      <c r="BY99" s="317" t="s">
        <v>53</v>
      </c>
      <c r="BZ99" s="317" t="s">
        <v>561</v>
      </c>
      <c r="CA99" s="317" t="s">
        <v>53</v>
      </c>
      <c r="CB99" s="317" t="s">
        <v>53</v>
      </c>
      <c r="CC99" s="317" t="s">
        <v>53</v>
      </c>
      <c r="CD99" s="317" t="s">
        <v>561</v>
      </c>
      <c r="CE99" s="317" t="s">
        <v>561</v>
      </c>
      <c r="CF99" s="317" t="s">
        <v>53</v>
      </c>
      <c r="CG99" s="317" t="s">
        <v>561</v>
      </c>
      <c r="CH99" s="317" t="s">
        <v>561</v>
      </c>
      <c r="CI99" s="317" t="s">
        <v>561</v>
      </c>
      <c r="CJ99" s="317" t="s">
        <v>2806</v>
      </c>
      <c r="CK99" s="317" t="s">
        <v>561</v>
      </c>
      <c r="CL99" s="317" t="s">
        <v>561</v>
      </c>
      <c r="CM99" s="317" t="s">
        <v>561</v>
      </c>
      <c r="CN99" s="317" t="s">
        <v>561</v>
      </c>
      <c r="CO99" s="317" t="s">
        <v>561</v>
      </c>
      <c r="CP99" s="317" t="s">
        <v>561</v>
      </c>
      <c r="CQ99" s="319"/>
      <c r="CR99" s="319">
        <v>2005.0</v>
      </c>
      <c r="CS99" s="342" t="s">
        <v>2476</v>
      </c>
      <c r="CT99" s="334" t="s">
        <v>122</v>
      </c>
      <c r="CU99" s="326" t="s">
        <v>2476</v>
      </c>
      <c r="CV99" s="332" t="s">
        <v>75</v>
      </c>
      <c r="CW99" s="336"/>
      <c r="CX99" s="319"/>
      <c r="CY99" s="323">
        <f t="shared" si="24"/>
        <v>0.234</v>
      </c>
      <c r="CZ99" s="324">
        <v>0.608</v>
      </c>
      <c r="DA99" s="323">
        <v>0.374</v>
      </c>
      <c r="DB99" s="323"/>
      <c r="DC99" s="323">
        <f t="shared" si="25"/>
        <v>0.158</v>
      </c>
      <c r="DD99" s="324">
        <v>0.555</v>
      </c>
      <c r="DE99" s="323">
        <v>0.397</v>
      </c>
      <c r="DF99" s="323"/>
      <c r="DG99" s="324">
        <v>0.688</v>
      </c>
      <c r="DH99" s="323">
        <v>0.059000000000000004</v>
      </c>
      <c r="DI99" s="323">
        <v>0.182</v>
      </c>
      <c r="DJ99" s="323">
        <v>0.059000000000000004</v>
      </c>
      <c r="DK99" s="323">
        <v>0.017</v>
      </c>
      <c r="DL99" s="323">
        <v>0.001</v>
      </c>
      <c r="DM99" s="323"/>
      <c r="DN99" s="323">
        <v>0.332</v>
      </c>
      <c r="DO99" s="323">
        <v>0.363</v>
      </c>
      <c r="DP99" s="323">
        <v>0.478</v>
      </c>
    </row>
    <row r="100">
      <c r="A100" s="311" t="s">
        <v>64</v>
      </c>
      <c r="B100" s="311" t="s">
        <v>65</v>
      </c>
      <c r="C100" s="311" t="s">
        <v>1262</v>
      </c>
      <c r="D100" s="311">
        <v>3.0</v>
      </c>
      <c r="E100" s="312">
        <f t="shared" si="19"/>
        <v>0.3333333333</v>
      </c>
      <c r="F100" s="312" t="str">
        <f t="shared" si="20"/>
        <v>#DIV/0!</v>
      </c>
      <c r="G100" s="312" t="str">
        <f t="shared" si="21"/>
        <v>#DIV/0!</v>
      </c>
      <c r="H100" s="312" t="str">
        <f t="shared" si="22"/>
        <v>#DIV/0!</v>
      </c>
      <c r="I100" s="312" t="str">
        <f t="shared" si="61"/>
        <v>#DIV/0!</v>
      </c>
      <c r="J100" s="312" t="str">
        <f t="shared" si="62"/>
        <v>#DIV/0!</v>
      </c>
      <c r="K100" s="312" t="str">
        <f t="shared" si="63"/>
        <v>#DIV/0!</v>
      </c>
      <c r="L100" s="316" t="str">
        <f t="shared" si="23"/>
        <v>#DIV/0!</v>
      </c>
      <c r="M100" s="317" t="s">
        <v>487</v>
      </c>
      <c r="N100" s="317" t="s">
        <v>594</v>
      </c>
      <c r="O100" s="317" t="s">
        <v>594</v>
      </c>
      <c r="P100" s="317" t="s">
        <v>487</v>
      </c>
      <c r="Q100" s="317" t="s">
        <v>594</v>
      </c>
      <c r="R100" s="317" t="s">
        <v>594</v>
      </c>
      <c r="S100" s="318" t="s">
        <v>561</v>
      </c>
      <c r="T100" s="318" t="s">
        <v>561</v>
      </c>
      <c r="U100" s="330" t="s">
        <v>561</v>
      </c>
      <c r="V100" s="330" t="s">
        <v>561</v>
      </c>
      <c r="W100" s="318" t="s">
        <v>2795</v>
      </c>
      <c r="X100" s="340" t="s">
        <v>561</v>
      </c>
      <c r="Y100" s="340" t="s">
        <v>2807</v>
      </c>
      <c r="Z100" s="317" t="s">
        <v>2795</v>
      </c>
      <c r="AA100" s="317" t="s">
        <v>561</v>
      </c>
      <c r="AB100" s="317" t="s">
        <v>561</v>
      </c>
      <c r="AC100" s="317" t="s">
        <v>2795</v>
      </c>
      <c r="AD100" s="317" t="s">
        <v>2795</v>
      </c>
      <c r="AE100" s="317" t="s">
        <v>561</v>
      </c>
      <c r="AF100" s="317" t="s">
        <v>561</v>
      </c>
      <c r="AG100" s="317" t="s">
        <v>561</v>
      </c>
      <c r="AH100" s="317" t="s">
        <v>561</v>
      </c>
      <c r="AI100" s="317" t="s">
        <v>561</v>
      </c>
      <c r="AJ100" s="317" t="s">
        <v>2795</v>
      </c>
      <c r="AK100" s="317" t="s">
        <v>2807</v>
      </c>
      <c r="AL100" s="317" t="s">
        <v>2795</v>
      </c>
      <c r="AM100" s="317" t="s">
        <v>2807</v>
      </c>
      <c r="AN100" s="317" t="s">
        <v>2795</v>
      </c>
      <c r="AO100" s="317" t="s">
        <v>2807</v>
      </c>
      <c r="AP100" s="317" t="s">
        <v>561</v>
      </c>
      <c r="AQ100" s="317" t="s">
        <v>561</v>
      </c>
      <c r="AR100" s="317" t="s">
        <v>561</v>
      </c>
      <c r="AS100" s="317" t="s">
        <v>2795</v>
      </c>
      <c r="AT100" s="317" t="s">
        <v>561</v>
      </c>
      <c r="AU100" s="317" t="s">
        <v>53</v>
      </c>
      <c r="AV100" s="317" t="s">
        <v>801</v>
      </c>
      <c r="AW100" s="317" t="s">
        <v>561</v>
      </c>
      <c r="AX100" s="317" t="s">
        <v>561</v>
      </c>
      <c r="AY100" s="317" t="s">
        <v>561</v>
      </c>
      <c r="AZ100" s="317" t="s">
        <v>561</v>
      </c>
      <c r="BA100" s="317" t="s">
        <v>2796</v>
      </c>
      <c r="BB100" s="317" t="s">
        <v>561</v>
      </c>
      <c r="BC100" s="317" t="s">
        <v>2806</v>
      </c>
      <c r="BD100" s="317" t="s">
        <v>2795</v>
      </c>
      <c r="BE100" s="317" t="s">
        <v>561</v>
      </c>
      <c r="BF100" s="317" t="s">
        <v>561</v>
      </c>
      <c r="BG100" s="317" t="s">
        <v>53</v>
      </c>
      <c r="BH100" s="317" t="s">
        <v>561</v>
      </c>
      <c r="BI100" s="317" t="s">
        <v>561</v>
      </c>
      <c r="BJ100" s="317" t="s">
        <v>561</v>
      </c>
      <c r="BK100" s="317" t="s">
        <v>561</v>
      </c>
      <c r="BL100" s="317" t="s">
        <v>2796</v>
      </c>
      <c r="BM100" s="317" t="s">
        <v>2796</v>
      </c>
      <c r="BN100" s="317" t="s">
        <v>53</v>
      </c>
      <c r="BO100" s="317" t="s">
        <v>2796</v>
      </c>
      <c r="BP100" s="317" t="s">
        <v>2796</v>
      </c>
      <c r="BQ100" s="317" t="s">
        <v>53</v>
      </c>
      <c r="BR100" s="317" t="s">
        <v>561</v>
      </c>
      <c r="BS100" s="317" t="s">
        <v>53</v>
      </c>
      <c r="BT100" s="317" t="s">
        <v>561</v>
      </c>
      <c r="BU100" s="317" t="s">
        <v>53</v>
      </c>
      <c r="BV100" s="317" t="s">
        <v>561</v>
      </c>
      <c r="BW100" s="317" t="s">
        <v>53</v>
      </c>
      <c r="BX100" s="317" t="s">
        <v>561</v>
      </c>
      <c r="BY100" s="317" t="s">
        <v>53</v>
      </c>
      <c r="BZ100" s="317" t="s">
        <v>561</v>
      </c>
      <c r="CA100" s="317" t="s">
        <v>53</v>
      </c>
      <c r="CB100" s="317" t="s">
        <v>561</v>
      </c>
      <c r="CC100" s="317" t="s">
        <v>561</v>
      </c>
      <c r="CD100" s="317" t="s">
        <v>561</v>
      </c>
      <c r="CE100" s="317" t="s">
        <v>561</v>
      </c>
      <c r="CF100" s="317" t="s">
        <v>53</v>
      </c>
      <c r="CG100" s="317" t="s">
        <v>561</v>
      </c>
      <c r="CH100" s="317" t="s">
        <v>53</v>
      </c>
      <c r="CI100" s="317" t="s">
        <v>561</v>
      </c>
      <c r="CJ100" s="317" t="s">
        <v>2806</v>
      </c>
      <c r="CK100" s="317" t="s">
        <v>561</v>
      </c>
      <c r="CL100" s="317" t="s">
        <v>561</v>
      </c>
      <c r="CM100" s="317" t="s">
        <v>561</v>
      </c>
      <c r="CN100" s="317" t="s">
        <v>561</v>
      </c>
      <c r="CO100" s="317" t="s">
        <v>53</v>
      </c>
      <c r="CP100" s="317" t="s">
        <v>561</v>
      </c>
      <c r="CQ100" s="319"/>
      <c r="CR100" s="319">
        <v>2015.0</v>
      </c>
      <c r="CS100" s="320" t="s">
        <v>850</v>
      </c>
      <c r="CT100" s="334" t="s">
        <v>2030</v>
      </c>
      <c r="CU100" s="319" t="s">
        <v>2839</v>
      </c>
      <c r="CV100" s="320" t="s">
        <v>66</v>
      </c>
      <c r="CW100" s="319"/>
      <c r="CX100" s="319"/>
      <c r="CY100" s="323">
        <f t="shared" si="24"/>
        <v>0.506</v>
      </c>
      <c r="CZ100" s="324">
        <v>0.745</v>
      </c>
      <c r="DA100" s="323">
        <v>0.239</v>
      </c>
      <c r="DB100" s="323"/>
      <c r="DC100" s="323">
        <f t="shared" si="25"/>
        <v>0.499</v>
      </c>
      <c r="DD100" s="324">
        <v>0.7140000000000001</v>
      </c>
      <c r="DE100" s="323">
        <v>0.215</v>
      </c>
      <c r="DF100" s="323"/>
      <c r="DG100" s="323">
        <v>0.23800000000000002</v>
      </c>
      <c r="DH100" s="324">
        <v>0.5820000000000001</v>
      </c>
      <c r="DI100" s="323">
        <v>0.11900000000000001</v>
      </c>
      <c r="DJ100" s="323">
        <v>0.038</v>
      </c>
      <c r="DK100" s="323">
        <v>0.051</v>
      </c>
      <c r="DL100" s="323">
        <v>0.005</v>
      </c>
      <c r="DM100" s="323"/>
      <c r="DN100" s="323">
        <v>0.161</v>
      </c>
      <c r="DO100" s="323">
        <v>0.315</v>
      </c>
      <c r="DP100" s="323">
        <v>0.205</v>
      </c>
    </row>
    <row r="101">
      <c r="A101" s="311" t="s">
        <v>911</v>
      </c>
      <c r="B101" s="311" t="s">
        <v>912</v>
      </c>
      <c r="C101" s="311" t="s">
        <v>587</v>
      </c>
      <c r="D101" s="311">
        <v>1.0</v>
      </c>
      <c r="E101" s="312">
        <f t="shared" si="19"/>
        <v>0.3333333333</v>
      </c>
      <c r="F101" s="312" t="str">
        <f t="shared" si="20"/>
        <v>#DIV/0!</v>
      </c>
      <c r="G101" s="312" t="str">
        <f t="shared" si="21"/>
        <v>#DIV/0!</v>
      </c>
      <c r="H101" s="312" t="str">
        <f t="shared" si="22"/>
        <v>#DIV/0!</v>
      </c>
      <c r="I101" s="312" t="str">
        <f t="shared" si="61"/>
        <v>#DIV/0!</v>
      </c>
      <c r="J101" s="312" t="str">
        <f t="shared" si="62"/>
        <v>#DIV/0!</v>
      </c>
      <c r="K101" s="312" t="str">
        <f t="shared" si="63"/>
        <v>#DIV/0!</v>
      </c>
      <c r="L101" s="316" t="str">
        <f t="shared" si="23"/>
        <v>#DIV/0!</v>
      </c>
      <c r="M101" s="317" t="s">
        <v>487</v>
      </c>
      <c r="N101" s="317" t="s">
        <v>594</v>
      </c>
      <c r="O101" s="317" t="s">
        <v>594</v>
      </c>
      <c r="P101" s="317" t="s">
        <v>487</v>
      </c>
      <c r="Q101" s="317" t="s">
        <v>594</v>
      </c>
      <c r="R101" s="317" t="s">
        <v>594</v>
      </c>
      <c r="S101" s="318" t="s">
        <v>561</v>
      </c>
      <c r="T101" s="318" t="s">
        <v>53</v>
      </c>
      <c r="U101" s="330" t="s">
        <v>561</v>
      </c>
      <c r="V101" s="330" t="s">
        <v>561</v>
      </c>
      <c r="W101" s="340" t="s">
        <v>2807</v>
      </c>
      <c r="X101" s="340" t="s">
        <v>561</v>
      </c>
      <c r="Y101" s="340" t="s">
        <v>2807</v>
      </c>
      <c r="Z101" s="317" t="s">
        <v>2795</v>
      </c>
      <c r="AA101" s="317" t="s">
        <v>561</v>
      </c>
      <c r="AB101" s="317" t="s">
        <v>53</v>
      </c>
      <c r="AC101" s="317" t="s">
        <v>2795</v>
      </c>
      <c r="AD101" s="317" t="s">
        <v>2795</v>
      </c>
      <c r="AE101" s="317" t="s">
        <v>561</v>
      </c>
      <c r="AF101" s="317" t="s">
        <v>561</v>
      </c>
      <c r="AG101" s="317" t="s">
        <v>561</v>
      </c>
      <c r="AH101" s="317" t="s">
        <v>561</v>
      </c>
      <c r="AI101" s="317" t="s">
        <v>561</v>
      </c>
      <c r="AJ101" s="317" t="s">
        <v>2807</v>
      </c>
      <c r="AK101" s="317" t="s">
        <v>2807</v>
      </c>
      <c r="AL101" s="317" t="s">
        <v>2807</v>
      </c>
      <c r="AM101" s="317" t="s">
        <v>2807</v>
      </c>
      <c r="AN101" s="317" t="s">
        <v>2795</v>
      </c>
      <c r="AO101" s="317" t="s">
        <v>2807</v>
      </c>
      <c r="AP101" s="317" t="s">
        <v>561</v>
      </c>
      <c r="AQ101" s="317" t="s">
        <v>561</v>
      </c>
      <c r="AR101" s="317" t="s">
        <v>561</v>
      </c>
      <c r="AS101" s="317" t="s">
        <v>2795</v>
      </c>
      <c r="AT101" s="317" t="s">
        <v>561</v>
      </c>
      <c r="AU101" s="317" t="s">
        <v>561</v>
      </c>
      <c r="AV101" s="317" t="s">
        <v>2807</v>
      </c>
      <c r="AW101" s="317" t="s">
        <v>561</v>
      </c>
      <c r="AX101" s="317" t="s">
        <v>561</v>
      </c>
      <c r="AY101" s="317" t="s">
        <v>561</v>
      </c>
      <c r="AZ101" s="317" t="s">
        <v>561</v>
      </c>
      <c r="BA101" s="317" t="s">
        <v>2806</v>
      </c>
      <c r="BB101" s="317" t="s">
        <v>561</v>
      </c>
      <c r="BC101" s="317" t="s">
        <v>2806</v>
      </c>
      <c r="BD101" s="317" t="s">
        <v>2795</v>
      </c>
      <c r="BE101" s="317" t="s">
        <v>561</v>
      </c>
      <c r="BF101" s="317" t="s">
        <v>53</v>
      </c>
      <c r="BG101" s="317" t="s">
        <v>53</v>
      </c>
      <c r="BH101" s="317" t="s">
        <v>561</v>
      </c>
      <c r="BI101" s="317" t="s">
        <v>561</v>
      </c>
      <c r="BJ101" s="317" t="s">
        <v>53</v>
      </c>
      <c r="BK101" s="317" t="s">
        <v>561</v>
      </c>
      <c r="BL101" s="317" t="s">
        <v>2796</v>
      </c>
      <c r="BM101" s="317" t="s">
        <v>2796</v>
      </c>
      <c r="BN101" s="317" t="s">
        <v>53</v>
      </c>
      <c r="BO101" s="317" t="s">
        <v>2796</v>
      </c>
      <c r="BP101" s="317" t="s">
        <v>2806</v>
      </c>
      <c r="BQ101" s="317" t="s">
        <v>53</v>
      </c>
      <c r="BR101" s="317" t="s">
        <v>561</v>
      </c>
      <c r="BS101" s="317" t="s">
        <v>53</v>
      </c>
      <c r="BT101" s="317" t="s">
        <v>561</v>
      </c>
      <c r="BU101" s="317" t="s">
        <v>53</v>
      </c>
      <c r="BV101" s="317" t="s">
        <v>561</v>
      </c>
      <c r="BW101" s="317" t="s">
        <v>53</v>
      </c>
      <c r="BX101" s="317" t="s">
        <v>561</v>
      </c>
      <c r="BY101" s="317" t="s">
        <v>53</v>
      </c>
      <c r="BZ101" s="317" t="s">
        <v>561</v>
      </c>
      <c r="CA101" s="317" t="s">
        <v>53</v>
      </c>
      <c r="CB101" s="317" t="s">
        <v>53</v>
      </c>
      <c r="CC101" s="317" t="s">
        <v>53</v>
      </c>
      <c r="CD101" s="317" t="s">
        <v>561</v>
      </c>
      <c r="CE101" s="317" t="s">
        <v>561</v>
      </c>
      <c r="CF101" s="317" t="s">
        <v>53</v>
      </c>
      <c r="CG101" s="317" t="s">
        <v>561</v>
      </c>
      <c r="CH101" s="317" t="s">
        <v>561</v>
      </c>
      <c r="CI101" s="317" t="s">
        <v>561</v>
      </c>
      <c r="CJ101" s="317" t="s">
        <v>2806</v>
      </c>
      <c r="CK101" s="317" t="s">
        <v>561</v>
      </c>
      <c r="CL101" s="317" t="s">
        <v>561</v>
      </c>
      <c r="CM101" s="317" t="s">
        <v>561</v>
      </c>
      <c r="CN101" s="317" t="s">
        <v>561</v>
      </c>
      <c r="CO101" s="317" t="s">
        <v>53</v>
      </c>
      <c r="CP101" s="317" t="s">
        <v>561</v>
      </c>
      <c r="CQ101" s="319"/>
      <c r="CR101" s="319" t="s">
        <v>2582</v>
      </c>
      <c r="CS101" s="343" t="s">
        <v>1199</v>
      </c>
      <c r="CT101" s="334" t="s">
        <v>122</v>
      </c>
      <c r="CU101" s="319" t="s">
        <v>2822</v>
      </c>
      <c r="CV101" s="332" t="s">
        <v>75</v>
      </c>
      <c r="CW101" s="319"/>
      <c r="CX101" s="319"/>
      <c r="CY101" s="323">
        <f t="shared" si="24"/>
        <v>0.244</v>
      </c>
      <c r="CZ101" s="324">
        <v>0.615</v>
      </c>
      <c r="DA101" s="323">
        <v>0.371</v>
      </c>
      <c r="DB101" s="323"/>
      <c r="DC101" s="323">
        <f t="shared" si="25"/>
        <v>0.233</v>
      </c>
      <c r="DD101" s="324">
        <v>0.6</v>
      </c>
      <c r="DE101" s="323">
        <v>0.36700000000000005</v>
      </c>
      <c r="DF101" s="323"/>
      <c r="DG101" s="324">
        <v>0.631</v>
      </c>
      <c r="DH101" s="323">
        <v>0.126</v>
      </c>
      <c r="DI101" s="323">
        <v>0.17800000000000002</v>
      </c>
      <c r="DJ101" s="323">
        <v>0.06</v>
      </c>
      <c r="DK101" s="323">
        <v>0.016</v>
      </c>
      <c r="DL101" s="323">
        <v>0.002</v>
      </c>
      <c r="DM101" s="323"/>
      <c r="DN101" s="323">
        <v>0.321</v>
      </c>
      <c r="DO101" s="323">
        <v>0.353</v>
      </c>
      <c r="DP101" s="323">
        <v>0.441</v>
      </c>
    </row>
    <row r="102">
      <c r="A102" s="311" t="s">
        <v>95</v>
      </c>
      <c r="B102" s="311" t="s">
        <v>595</v>
      </c>
      <c r="C102" s="311" t="s">
        <v>848</v>
      </c>
      <c r="D102" s="311">
        <v>5.0</v>
      </c>
      <c r="E102" s="312">
        <f t="shared" si="19"/>
        <v>0.3333333333</v>
      </c>
      <c r="F102" s="312" t="str">
        <f t="shared" si="20"/>
        <v>#DIV/0!</v>
      </c>
      <c r="G102" s="312" t="str">
        <f t="shared" si="21"/>
        <v>#DIV/0!</v>
      </c>
      <c r="H102" s="312" t="str">
        <f t="shared" si="22"/>
        <v>#DIV/0!</v>
      </c>
      <c r="I102" s="312" t="str">
        <f t="shared" si="61"/>
        <v>#DIV/0!</v>
      </c>
      <c r="J102" s="312" t="str">
        <f t="shared" si="62"/>
        <v>#DIV/0!</v>
      </c>
      <c r="K102" s="312" t="str">
        <f t="shared" si="63"/>
        <v>#DIV/0!</v>
      </c>
      <c r="L102" s="316" t="str">
        <f t="shared" si="23"/>
        <v>#DIV/0!</v>
      </c>
      <c r="M102" s="317" t="s">
        <v>487</v>
      </c>
      <c r="N102" s="317" t="s">
        <v>487</v>
      </c>
      <c r="O102" s="317" t="s">
        <v>594</v>
      </c>
      <c r="P102" s="317" t="s">
        <v>594</v>
      </c>
      <c r="Q102" s="317" t="s">
        <v>594</v>
      </c>
      <c r="R102" s="317" t="s">
        <v>594</v>
      </c>
      <c r="S102" s="318" t="s">
        <v>561</v>
      </c>
      <c r="T102" s="318" t="s">
        <v>561</v>
      </c>
      <c r="U102" s="330" t="s">
        <v>561</v>
      </c>
      <c r="V102" s="330" t="s">
        <v>561</v>
      </c>
      <c r="W102" s="340" t="s">
        <v>2807</v>
      </c>
      <c r="X102" s="340" t="s">
        <v>561</v>
      </c>
      <c r="Y102" s="318" t="s">
        <v>2795</v>
      </c>
      <c r="Z102" s="317" t="s">
        <v>2795</v>
      </c>
      <c r="AA102" s="317" t="s">
        <v>561</v>
      </c>
      <c r="AB102" s="317" t="s">
        <v>53</v>
      </c>
      <c r="AC102" s="317" t="s">
        <v>2795</v>
      </c>
      <c r="AD102" s="317" t="s">
        <v>2795</v>
      </c>
      <c r="AE102" s="317" t="s">
        <v>561</v>
      </c>
      <c r="AF102" s="317" t="s">
        <v>561</v>
      </c>
      <c r="AG102" s="317" t="s">
        <v>561</v>
      </c>
      <c r="AH102" s="317" t="s">
        <v>561</v>
      </c>
      <c r="AI102" s="317" t="s">
        <v>561</v>
      </c>
      <c r="AJ102" s="317" t="s">
        <v>2795</v>
      </c>
      <c r="AK102" s="317" t="s">
        <v>2807</v>
      </c>
      <c r="AL102" s="317" t="s">
        <v>2795</v>
      </c>
      <c r="AM102" s="317" t="s">
        <v>2795</v>
      </c>
      <c r="AN102" s="317" t="s">
        <v>2795</v>
      </c>
      <c r="AO102" s="317" t="s">
        <v>2807</v>
      </c>
      <c r="AP102" s="317" t="s">
        <v>561</v>
      </c>
      <c r="AQ102" s="317" t="s">
        <v>561</v>
      </c>
      <c r="AR102" s="317" t="s">
        <v>561</v>
      </c>
      <c r="AS102" s="317" t="s">
        <v>2795</v>
      </c>
      <c r="AT102" s="317" t="s">
        <v>561</v>
      </c>
      <c r="AU102" s="317" t="s">
        <v>801</v>
      </c>
      <c r="AV102" s="317" t="s">
        <v>2807</v>
      </c>
      <c r="AW102" s="317" t="s">
        <v>561</v>
      </c>
      <c r="AX102" s="317" t="s">
        <v>561</v>
      </c>
      <c r="AY102" s="317" t="s">
        <v>561</v>
      </c>
      <c r="AZ102" s="317" t="s">
        <v>561</v>
      </c>
      <c r="BA102" s="317" t="s">
        <v>2796</v>
      </c>
      <c r="BB102" s="317" t="s">
        <v>561</v>
      </c>
      <c r="BC102" s="317" t="s">
        <v>2806</v>
      </c>
      <c r="BD102" s="317" t="s">
        <v>2795</v>
      </c>
      <c r="BE102" s="317" t="s">
        <v>561</v>
      </c>
      <c r="BF102" s="317" t="s">
        <v>561</v>
      </c>
      <c r="BG102" s="317" t="s">
        <v>561</v>
      </c>
      <c r="BH102" s="317" t="s">
        <v>561</v>
      </c>
      <c r="BI102" s="317" t="s">
        <v>561</v>
      </c>
      <c r="BJ102" s="317" t="s">
        <v>561</v>
      </c>
      <c r="BK102" s="317" t="s">
        <v>561</v>
      </c>
      <c r="BL102" s="317" t="s">
        <v>2796</v>
      </c>
      <c r="BM102" s="317" t="s">
        <v>2796</v>
      </c>
      <c r="BN102" s="317" t="s">
        <v>53</v>
      </c>
      <c r="BO102" s="317" t="s">
        <v>2796</v>
      </c>
      <c r="BP102" s="317" t="s">
        <v>2806</v>
      </c>
      <c r="BQ102" s="317" t="s">
        <v>53</v>
      </c>
      <c r="BR102" s="317" t="s">
        <v>53</v>
      </c>
      <c r="BS102" s="317" t="s">
        <v>53</v>
      </c>
      <c r="BT102" s="317" t="s">
        <v>561</v>
      </c>
      <c r="BU102" s="317" t="s">
        <v>801</v>
      </c>
      <c r="BV102" s="317" t="s">
        <v>561</v>
      </c>
      <c r="BW102" s="317" t="s">
        <v>53</v>
      </c>
      <c r="BX102" s="317" t="s">
        <v>561</v>
      </c>
      <c r="BY102" s="317" t="s">
        <v>561</v>
      </c>
      <c r="BZ102" s="317" t="s">
        <v>561</v>
      </c>
      <c r="CA102" s="317" t="s">
        <v>53</v>
      </c>
      <c r="CB102" s="317" t="s">
        <v>561</v>
      </c>
      <c r="CC102" s="317" t="s">
        <v>561</v>
      </c>
      <c r="CD102" s="317" t="s">
        <v>561</v>
      </c>
      <c r="CE102" s="317" t="s">
        <v>561</v>
      </c>
      <c r="CF102" s="317" t="s">
        <v>53</v>
      </c>
      <c r="CG102" s="317" t="s">
        <v>561</v>
      </c>
      <c r="CH102" s="317" t="s">
        <v>561</v>
      </c>
      <c r="CI102" s="317" t="s">
        <v>561</v>
      </c>
      <c r="CJ102" s="317" t="s">
        <v>2796</v>
      </c>
      <c r="CK102" s="317" t="s">
        <v>561</v>
      </c>
      <c r="CL102" s="317" t="s">
        <v>561</v>
      </c>
      <c r="CM102" s="317" t="s">
        <v>561</v>
      </c>
      <c r="CN102" s="317" t="s">
        <v>561</v>
      </c>
      <c r="CO102" s="317" t="s">
        <v>561</v>
      </c>
      <c r="CP102" s="317" t="s">
        <v>561</v>
      </c>
      <c r="CQ102" s="319"/>
      <c r="CR102" s="319" t="s">
        <v>1808</v>
      </c>
      <c r="CS102" s="343" t="s">
        <v>1569</v>
      </c>
      <c r="CT102" s="334" t="s">
        <v>122</v>
      </c>
      <c r="CU102" s="319" t="s">
        <v>23</v>
      </c>
      <c r="CV102" s="332" t="s">
        <v>75</v>
      </c>
      <c r="CW102" s="319"/>
      <c r="CX102" s="319"/>
      <c r="CY102" s="323">
        <f t="shared" si="24"/>
        <v>0.396</v>
      </c>
      <c r="CZ102" s="324">
        <v>0.6890000000000001</v>
      </c>
      <c r="DA102" s="323">
        <v>0.293</v>
      </c>
      <c r="DB102" s="323"/>
      <c r="DC102" s="323">
        <f t="shared" si="25"/>
        <v>0.382</v>
      </c>
      <c r="DD102" s="324">
        <v>0.655</v>
      </c>
      <c r="DE102" s="323">
        <v>0.273</v>
      </c>
      <c r="DF102" s="323"/>
      <c r="DG102" s="324">
        <v>0.733</v>
      </c>
      <c r="DH102" s="323">
        <v>0.107</v>
      </c>
      <c r="DI102" s="323">
        <v>0.033</v>
      </c>
      <c r="DJ102" s="323">
        <v>0.11800000000000001</v>
      </c>
      <c r="DK102" s="323">
        <v>0.012</v>
      </c>
      <c r="DL102" s="323">
        <v>0.001</v>
      </c>
      <c r="DM102" s="323"/>
      <c r="DN102" s="324">
        <v>0.629</v>
      </c>
      <c r="DO102" s="324">
        <v>0.6579999999999999</v>
      </c>
      <c r="DP102" s="323">
        <v>0.26899999999999996</v>
      </c>
    </row>
    <row r="103">
      <c r="A103" s="311" t="s">
        <v>438</v>
      </c>
      <c r="B103" s="311" t="s">
        <v>439</v>
      </c>
      <c r="C103" s="311" t="s">
        <v>788</v>
      </c>
      <c r="D103" s="311" t="s">
        <v>307</v>
      </c>
      <c r="E103" s="312">
        <f t="shared" si="19"/>
        <v>0.3333333333</v>
      </c>
      <c r="F103" s="312" t="str">
        <f t="shared" si="20"/>
        <v>#DIV/0!</v>
      </c>
      <c r="G103" s="312" t="str">
        <f t="shared" si="21"/>
        <v>#DIV/0!</v>
      </c>
      <c r="H103" s="312" t="str">
        <f t="shared" si="22"/>
        <v>#DIV/0!</v>
      </c>
      <c r="I103" s="312" t="str">
        <f t="shared" si="61"/>
        <v>#DIV/0!</v>
      </c>
      <c r="J103" s="312" t="str">
        <f t="shared" si="62"/>
        <v>#DIV/0!</v>
      </c>
      <c r="K103" s="315" t="s">
        <v>2794</v>
      </c>
      <c r="L103" s="316" t="str">
        <f t="shared" si="23"/>
        <v>#DIV/0!</v>
      </c>
      <c r="M103" s="317" t="s">
        <v>594</v>
      </c>
      <c r="N103" s="317" t="s">
        <v>594</v>
      </c>
      <c r="O103" s="317" t="s">
        <v>594</v>
      </c>
      <c r="P103" s="317" t="s">
        <v>487</v>
      </c>
      <c r="Q103" s="317" t="s">
        <v>594</v>
      </c>
      <c r="R103" s="317" t="s">
        <v>487</v>
      </c>
      <c r="S103" s="318" t="s">
        <v>561</v>
      </c>
      <c r="T103" s="318" t="s">
        <v>561</v>
      </c>
      <c r="U103" s="330" t="s">
        <v>561</v>
      </c>
      <c r="V103" s="330" t="s">
        <v>561</v>
      </c>
      <c r="W103" s="318" t="s">
        <v>2795</v>
      </c>
      <c r="X103" s="340" t="s">
        <v>561</v>
      </c>
      <c r="Y103" s="318" t="s">
        <v>2795</v>
      </c>
      <c r="Z103" s="317" t="s">
        <v>2795</v>
      </c>
      <c r="AA103" s="317" t="s">
        <v>561</v>
      </c>
      <c r="AB103" s="317" t="s">
        <v>561</v>
      </c>
      <c r="AC103" s="317" t="s">
        <v>2795</v>
      </c>
      <c r="AD103" s="317" t="s">
        <v>2795</v>
      </c>
      <c r="AE103" s="317" t="s">
        <v>561</v>
      </c>
      <c r="AF103" s="317" t="s">
        <v>561</v>
      </c>
      <c r="AG103" s="317" t="s">
        <v>561</v>
      </c>
      <c r="AH103" s="317" t="s">
        <v>561</v>
      </c>
      <c r="AI103" s="317" t="s">
        <v>561</v>
      </c>
      <c r="AJ103" s="317" t="s">
        <v>2795</v>
      </c>
      <c r="AK103" s="317" t="s">
        <v>2807</v>
      </c>
      <c r="AL103" s="317" t="s">
        <v>2795</v>
      </c>
      <c r="AM103" s="317" t="s">
        <v>2795</v>
      </c>
      <c r="AN103" s="317" t="s">
        <v>2795</v>
      </c>
      <c r="AO103" s="317" t="s">
        <v>2795</v>
      </c>
      <c r="AP103" s="317" t="s">
        <v>561</v>
      </c>
      <c r="AQ103" s="317" t="s">
        <v>561</v>
      </c>
      <c r="AR103" s="317" t="s">
        <v>561</v>
      </c>
      <c r="AS103" s="317" t="s">
        <v>2795</v>
      </c>
      <c r="AT103" s="317" t="s">
        <v>561</v>
      </c>
      <c r="AU103" s="317" t="s">
        <v>53</v>
      </c>
      <c r="AV103" s="317" t="s">
        <v>2795</v>
      </c>
      <c r="AW103" s="317" t="s">
        <v>561</v>
      </c>
      <c r="AX103" s="317" t="s">
        <v>561</v>
      </c>
      <c r="AY103" s="317" t="s">
        <v>561</v>
      </c>
      <c r="AZ103" s="317" t="s">
        <v>561</v>
      </c>
      <c r="BA103" s="317" t="s">
        <v>2796</v>
      </c>
      <c r="BB103" s="317" t="s">
        <v>561</v>
      </c>
      <c r="BC103" s="317" t="s">
        <v>2806</v>
      </c>
      <c r="BD103" s="317" t="s">
        <v>2795</v>
      </c>
      <c r="BE103" s="317" t="s">
        <v>561</v>
      </c>
      <c r="BF103" s="317" t="s">
        <v>561</v>
      </c>
      <c r="BG103" s="317" t="s">
        <v>561</v>
      </c>
      <c r="BH103" s="317" t="s">
        <v>561</v>
      </c>
      <c r="BI103" s="317" t="s">
        <v>561</v>
      </c>
      <c r="BJ103" s="317" t="s">
        <v>561</v>
      </c>
      <c r="BK103" s="317" t="s">
        <v>561</v>
      </c>
      <c r="BL103" s="317" t="s">
        <v>2796</v>
      </c>
      <c r="BM103" s="317" t="s">
        <v>2796</v>
      </c>
      <c r="BN103" s="317" t="s">
        <v>561</v>
      </c>
      <c r="BO103" s="317" t="s">
        <v>2796</v>
      </c>
      <c r="BP103" s="317" t="s">
        <v>2796</v>
      </c>
      <c r="BQ103" s="317" t="s">
        <v>53</v>
      </c>
      <c r="BR103" s="317" t="s">
        <v>561</v>
      </c>
      <c r="BS103" s="317" t="s">
        <v>53</v>
      </c>
      <c r="BT103" s="317" t="s">
        <v>561</v>
      </c>
      <c r="BU103" s="317" t="s">
        <v>801</v>
      </c>
      <c r="BV103" s="317" t="s">
        <v>561</v>
      </c>
      <c r="BW103" s="317" t="s">
        <v>561</v>
      </c>
      <c r="BX103" s="317" t="s">
        <v>561</v>
      </c>
      <c r="BY103" s="317" t="s">
        <v>561</v>
      </c>
      <c r="BZ103" s="317" t="s">
        <v>561</v>
      </c>
      <c r="CA103" s="317" t="s">
        <v>53</v>
      </c>
      <c r="CB103" s="317" t="s">
        <v>561</v>
      </c>
      <c r="CC103" s="317" t="s">
        <v>561</v>
      </c>
      <c r="CD103" s="317" t="s">
        <v>561</v>
      </c>
      <c r="CE103" s="317" t="s">
        <v>561</v>
      </c>
      <c r="CF103" s="317" t="s">
        <v>53</v>
      </c>
      <c r="CG103" s="317" t="s">
        <v>561</v>
      </c>
      <c r="CH103" s="317" t="s">
        <v>561</v>
      </c>
      <c r="CI103" s="317" t="s">
        <v>53</v>
      </c>
      <c r="CJ103" s="317" t="s">
        <v>2806</v>
      </c>
      <c r="CK103" s="317" t="s">
        <v>561</v>
      </c>
      <c r="CL103" s="317" t="s">
        <v>561</v>
      </c>
      <c r="CM103" s="317" t="s">
        <v>600</v>
      </c>
      <c r="CN103" s="317" t="s">
        <v>600</v>
      </c>
      <c r="CO103" s="317" t="s">
        <v>600</v>
      </c>
      <c r="CP103" s="317" t="s">
        <v>600</v>
      </c>
      <c r="CQ103" s="319"/>
      <c r="CR103" s="319">
        <v>2017.0</v>
      </c>
      <c r="CS103" s="343" t="s">
        <v>1199</v>
      </c>
      <c r="CT103" s="319"/>
      <c r="CU103" s="319" t="s">
        <v>23</v>
      </c>
      <c r="CV103" s="327" t="s">
        <v>28</v>
      </c>
      <c r="CW103" s="319"/>
      <c r="CX103" s="319"/>
      <c r="CY103" s="323">
        <f t="shared" si="24"/>
        <v>0.19</v>
      </c>
      <c r="CZ103" s="324">
        <v>0.588</v>
      </c>
      <c r="DA103" s="323">
        <v>0.39799999999999996</v>
      </c>
      <c r="DB103" s="323"/>
      <c r="DC103" s="323">
        <f t="shared" si="25"/>
        <v>0.115</v>
      </c>
      <c r="DD103" s="324">
        <v>0.534</v>
      </c>
      <c r="DE103" s="323">
        <v>0.419</v>
      </c>
      <c r="DF103" s="323"/>
      <c r="DG103" s="324">
        <v>0.624</v>
      </c>
      <c r="DH103" s="323">
        <v>0.087</v>
      </c>
      <c r="DI103" s="323">
        <v>0.228</v>
      </c>
      <c r="DJ103" s="323">
        <v>0.048</v>
      </c>
      <c r="DK103" s="323">
        <v>0.02</v>
      </c>
      <c r="DL103" s="323">
        <v>0.001</v>
      </c>
      <c r="DM103" s="323"/>
      <c r="DN103" s="323">
        <v>0.327</v>
      </c>
      <c r="DO103" s="323">
        <v>0.35200000000000004</v>
      </c>
      <c r="DP103" s="323">
        <v>0.445</v>
      </c>
    </row>
    <row r="104">
      <c r="A104" s="311" t="s">
        <v>1170</v>
      </c>
      <c r="B104" s="311" t="s">
        <v>1171</v>
      </c>
      <c r="C104" s="311" t="s">
        <v>1661</v>
      </c>
      <c r="D104" s="311">
        <v>5.0</v>
      </c>
      <c r="E104" s="312">
        <f t="shared" si="19"/>
        <v>0.1666666667</v>
      </c>
      <c r="F104" s="312" t="str">
        <f t="shared" si="20"/>
        <v>#DIV/0!</v>
      </c>
      <c r="G104" s="312" t="str">
        <f t="shared" si="21"/>
        <v>#DIV/0!</v>
      </c>
      <c r="H104" s="312" t="str">
        <f t="shared" si="22"/>
        <v>#DIV/0!</v>
      </c>
      <c r="I104" s="312" t="str">
        <f t="shared" si="61"/>
        <v>#DIV/0!</v>
      </c>
      <c r="J104" s="315" t="s">
        <v>2794</v>
      </c>
      <c r="K104" s="315" t="s">
        <v>2794</v>
      </c>
      <c r="L104" s="316" t="str">
        <f t="shared" si="23"/>
        <v>#DIV/0!</v>
      </c>
      <c r="M104" s="317" t="s">
        <v>594</v>
      </c>
      <c r="N104" s="317" t="s">
        <v>594</v>
      </c>
      <c r="O104" s="317" t="s">
        <v>487</v>
      </c>
      <c r="P104" s="317" t="s">
        <v>594</v>
      </c>
      <c r="Q104" s="317" t="s">
        <v>594</v>
      </c>
      <c r="R104" s="317" t="s">
        <v>594</v>
      </c>
      <c r="S104" s="318" t="s">
        <v>561</v>
      </c>
      <c r="T104" s="318" t="s">
        <v>561</v>
      </c>
      <c r="U104" s="330" t="s">
        <v>561</v>
      </c>
      <c r="V104" s="330" t="s">
        <v>561</v>
      </c>
      <c r="W104" s="318" t="s">
        <v>2795</v>
      </c>
      <c r="X104" s="340" t="s">
        <v>561</v>
      </c>
      <c r="Y104" s="318" t="s">
        <v>2795</v>
      </c>
      <c r="Z104" s="317" t="s">
        <v>2795</v>
      </c>
      <c r="AA104" s="317" t="s">
        <v>561</v>
      </c>
      <c r="AB104" s="317" t="s">
        <v>53</v>
      </c>
      <c r="AC104" s="317" t="s">
        <v>2795</v>
      </c>
      <c r="AD104" s="317" t="s">
        <v>2795</v>
      </c>
      <c r="AE104" s="317" t="s">
        <v>561</v>
      </c>
      <c r="AF104" s="317" t="s">
        <v>561</v>
      </c>
      <c r="AG104" s="317" t="s">
        <v>561</v>
      </c>
      <c r="AH104" s="317" t="s">
        <v>561</v>
      </c>
      <c r="AI104" s="317" t="s">
        <v>561</v>
      </c>
      <c r="AJ104" s="317" t="s">
        <v>2807</v>
      </c>
      <c r="AK104" s="317" t="s">
        <v>2807</v>
      </c>
      <c r="AL104" s="317" t="s">
        <v>2795</v>
      </c>
      <c r="AM104" s="317" t="s">
        <v>2795</v>
      </c>
      <c r="AN104" s="317" t="s">
        <v>2795</v>
      </c>
      <c r="AO104" s="317" t="s">
        <v>2795</v>
      </c>
      <c r="AP104" s="317" t="s">
        <v>561</v>
      </c>
      <c r="AQ104" s="317" t="s">
        <v>561</v>
      </c>
      <c r="AR104" s="317" t="s">
        <v>561</v>
      </c>
      <c r="AS104" s="317" t="s">
        <v>2795</v>
      </c>
      <c r="AT104" s="317" t="s">
        <v>561</v>
      </c>
      <c r="AU104" s="317" t="s">
        <v>53</v>
      </c>
      <c r="AV104" s="317" t="s">
        <v>2807</v>
      </c>
      <c r="AW104" s="317" t="s">
        <v>561</v>
      </c>
      <c r="AX104" s="317" t="s">
        <v>561</v>
      </c>
      <c r="AY104" s="317" t="s">
        <v>561</v>
      </c>
      <c r="AZ104" s="317" t="s">
        <v>561</v>
      </c>
      <c r="BA104" s="317" t="s">
        <v>2796</v>
      </c>
      <c r="BB104" s="317" t="s">
        <v>561</v>
      </c>
      <c r="BC104" s="317" t="s">
        <v>2806</v>
      </c>
      <c r="BD104" s="317" t="s">
        <v>2795</v>
      </c>
      <c r="BE104" s="317" t="s">
        <v>561</v>
      </c>
      <c r="BF104" s="317" t="s">
        <v>561</v>
      </c>
      <c r="BG104" s="317" t="s">
        <v>561</v>
      </c>
      <c r="BH104" s="317" t="s">
        <v>561</v>
      </c>
      <c r="BI104" s="317" t="s">
        <v>561</v>
      </c>
      <c r="BJ104" s="317" t="s">
        <v>53</v>
      </c>
      <c r="BK104" s="317" t="s">
        <v>561</v>
      </c>
      <c r="BL104" s="317" t="s">
        <v>2806</v>
      </c>
      <c r="BM104" s="317" t="s">
        <v>2796</v>
      </c>
      <c r="BN104" s="317" t="s">
        <v>53</v>
      </c>
      <c r="BO104" s="317" t="s">
        <v>2796</v>
      </c>
      <c r="BP104" s="317" t="s">
        <v>2796</v>
      </c>
      <c r="BQ104" s="317" t="s">
        <v>600</v>
      </c>
      <c r="BR104" s="317" t="s">
        <v>600</v>
      </c>
      <c r="BS104" s="317" t="s">
        <v>600</v>
      </c>
      <c r="BT104" s="317" t="s">
        <v>600</v>
      </c>
      <c r="BU104" s="317" t="s">
        <v>600</v>
      </c>
      <c r="BV104" s="317" t="s">
        <v>600</v>
      </c>
      <c r="BW104" s="317" t="s">
        <v>600</v>
      </c>
      <c r="BX104" s="317" t="s">
        <v>600</v>
      </c>
      <c r="BY104" s="317" t="s">
        <v>600</v>
      </c>
      <c r="BZ104" s="317" t="s">
        <v>600</v>
      </c>
      <c r="CA104" s="317" t="s">
        <v>600</v>
      </c>
      <c r="CB104" s="317" t="s">
        <v>600</v>
      </c>
      <c r="CC104" s="317" t="s">
        <v>600</v>
      </c>
      <c r="CD104" s="317" t="s">
        <v>600</v>
      </c>
      <c r="CE104" s="317" t="s">
        <v>600</v>
      </c>
      <c r="CF104" s="317" t="s">
        <v>600</v>
      </c>
      <c r="CG104" s="317" t="s">
        <v>600</v>
      </c>
      <c r="CH104" s="317" t="s">
        <v>600</v>
      </c>
      <c r="CI104" s="317" t="s">
        <v>600</v>
      </c>
      <c r="CJ104" s="317" t="s">
        <v>600</v>
      </c>
      <c r="CK104" s="317" t="s">
        <v>600</v>
      </c>
      <c r="CL104" s="317" t="s">
        <v>600</v>
      </c>
      <c r="CM104" s="317" t="s">
        <v>600</v>
      </c>
      <c r="CN104" s="317" t="s">
        <v>600</v>
      </c>
      <c r="CO104" s="317" t="s">
        <v>600</v>
      </c>
      <c r="CP104" s="317" t="s">
        <v>600</v>
      </c>
      <c r="CQ104" s="319"/>
      <c r="CR104" s="319" t="s">
        <v>2840</v>
      </c>
      <c r="CS104" s="320" t="s">
        <v>850</v>
      </c>
      <c r="CT104" s="319"/>
      <c r="CU104" s="319" t="s">
        <v>23</v>
      </c>
      <c r="CV104" s="332" t="s">
        <v>75</v>
      </c>
      <c r="CW104" s="319"/>
      <c r="CX104" s="319"/>
      <c r="CY104" s="323">
        <f t="shared" si="24"/>
        <v>0.323</v>
      </c>
      <c r="CZ104" s="324">
        <v>0.657</v>
      </c>
      <c r="DA104" s="323">
        <v>0.33399999999999996</v>
      </c>
      <c r="DB104" s="323"/>
      <c r="DC104" s="323">
        <f t="shared" si="25"/>
        <v>0.29</v>
      </c>
      <c r="DD104" s="324">
        <v>0.63</v>
      </c>
      <c r="DE104" s="323">
        <v>0.34</v>
      </c>
      <c r="DF104" s="323"/>
      <c r="DG104" s="324">
        <v>0.616</v>
      </c>
      <c r="DH104" s="323">
        <v>0.053</v>
      </c>
      <c r="DI104" s="323">
        <v>0.247</v>
      </c>
      <c r="DJ104" s="323">
        <v>0.076</v>
      </c>
      <c r="DK104" s="323">
        <v>0.012</v>
      </c>
      <c r="DL104" s="323">
        <v>0.001</v>
      </c>
      <c r="DM104" s="323"/>
      <c r="DN104" s="323">
        <v>0.396</v>
      </c>
      <c r="DO104" s="323">
        <v>0.45</v>
      </c>
      <c r="DP104" s="323">
        <v>0.37200000000000005</v>
      </c>
    </row>
    <row r="105">
      <c r="A105" s="311" t="s">
        <v>419</v>
      </c>
      <c r="B105" s="311" t="s">
        <v>420</v>
      </c>
      <c r="C105" s="311" t="s">
        <v>1083</v>
      </c>
      <c r="D105" s="311">
        <v>3.0</v>
      </c>
      <c r="E105" s="312">
        <f t="shared" si="19"/>
        <v>0.1666666667</v>
      </c>
      <c r="F105" s="312" t="str">
        <f t="shared" si="20"/>
        <v>#DIV/0!</v>
      </c>
      <c r="G105" s="312" t="str">
        <f t="shared" si="21"/>
        <v>#DIV/0!</v>
      </c>
      <c r="H105" s="312" t="str">
        <f t="shared" si="22"/>
        <v>#DIV/0!</v>
      </c>
      <c r="I105" s="312" t="str">
        <f t="shared" si="61"/>
        <v>#DIV/0!</v>
      </c>
      <c r="J105" s="312" t="str">
        <f t="shared" ref="J105:J106" si="64">(COUNTIF(BQ105:CL105, "Nay")+COUNTIF(BQ105:CL105, "Yea (Amend)")+(0.5*COUNTIF(BQ105:CL105, "Present")))/(COUNTIF(BQ105:CL105, "Nay")+COUNTIF(BQ105:CL105, "Yea (Amend)")+COUNTIF(BQ105:CL105, "Yea")+COUNTIF(BQ105:CL105, "Nay (Amend)")+COUNTIF(BQ105:CL105, "Present"))</f>
        <v>#DIV/0!</v>
      </c>
      <c r="K105" s="312" t="str">
        <f t="shared" ref="K105:K106" si="65">(COUNTIF(CM105:CP105, "Nay")+COUNTIF(CM105:CP105, "Yea (Amend)")+(0.5*COUNTIF(CM105:CP105, "Present")))/(COUNTIF(CM105:CP105, "Nay")+COUNTIF(CM105:CP105, "Yea (Amend)")+COUNTIF(CM105:CP105, "Yea")+COUNTIF(CM105:CP105, "Nay (Amend)")+COUNTIF(CM105:CP105, "Present"))</f>
        <v>#DIV/0!</v>
      </c>
      <c r="L105" s="316" t="str">
        <f t="shared" si="23"/>
        <v>#DIV/0!</v>
      </c>
      <c r="M105" s="317" t="s">
        <v>594</v>
      </c>
      <c r="N105" s="317" t="s">
        <v>487</v>
      </c>
      <c r="O105" s="317" t="s">
        <v>594</v>
      </c>
      <c r="P105" s="317" t="s">
        <v>594</v>
      </c>
      <c r="Q105" s="317" t="s">
        <v>594</v>
      </c>
      <c r="R105" s="317" t="s">
        <v>594</v>
      </c>
      <c r="S105" s="318" t="s">
        <v>561</v>
      </c>
      <c r="T105" s="318" t="s">
        <v>561</v>
      </c>
      <c r="U105" s="330" t="s">
        <v>561</v>
      </c>
      <c r="V105" s="330" t="s">
        <v>561</v>
      </c>
      <c r="W105" s="318" t="s">
        <v>2795</v>
      </c>
      <c r="X105" s="340" t="s">
        <v>561</v>
      </c>
      <c r="Y105" s="318" t="s">
        <v>2795</v>
      </c>
      <c r="Z105" s="317" t="s">
        <v>2795</v>
      </c>
      <c r="AA105" s="317" t="s">
        <v>561</v>
      </c>
      <c r="AB105" s="317" t="s">
        <v>53</v>
      </c>
      <c r="AC105" s="317" t="s">
        <v>2795</v>
      </c>
      <c r="AD105" s="317" t="s">
        <v>2795</v>
      </c>
      <c r="AE105" s="317" t="s">
        <v>561</v>
      </c>
      <c r="AF105" s="317" t="s">
        <v>561</v>
      </c>
      <c r="AG105" s="317" t="s">
        <v>53</v>
      </c>
      <c r="AH105" s="317" t="s">
        <v>53</v>
      </c>
      <c r="AI105" s="317" t="s">
        <v>561</v>
      </c>
      <c r="AJ105" s="317" t="s">
        <v>2795</v>
      </c>
      <c r="AK105" s="317" t="s">
        <v>2807</v>
      </c>
      <c r="AL105" s="317" t="s">
        <v>2807</v>
      </c>
      <c r="AM105" s="317" t="s">
        <v>2795</v>
      </c>
      <c r="AN105" s="317" t="s">
        <v>2795</v>
      </c>
      <c r="AO105" s="317" t="s">
        <v>2795</v>
      </c>
      <c r="AP105" s="317" t="s">
        <v>561</v>
      </c>
      <c r="AQ105" s="317" t="s">
        <v>561</v>
      </c>
      <c r="AR105" s="317" t="s">
        <v>561</v>
      </c>
      <c r="AS105" s="317" t="s">
        <v>2807</v>
      </c>
      <c r="AT105" s="317" t="s">
        <v>561</v>
      </c>
      <c r="AU105" s="317" t="s">
        <v>53</v>
      </c>
      <c r="AV105" s="317" t="s">
        <v>2807</v>
      </c>
      <c r="AW105" s="317" t="s">
        <v>561</v>
      </c>
      <c r="AX105" s="317" t="s">
        <v>561</v>
      </c>
      <c r="AY105" s="317" t="s">
        <v>561</v>
      </c>
      <c r="AZ105" s="317" t="s">
        <v>561</v>
      </c>
      <c r="BA105" s="317" t="s">
        <v>2796</v>
      </c>
      <c r="BB105" s="317" t="s">
        <v>561</v>
      </c>
      <c r="BC105" s="317" t="s">
        <v>2806</v>
      </c>
      <c r="BD105" s="317" t="s">
        <v>2795</v>
      </c>
      <c r="BE105" s="317" t="s">
        <v>561</v>
      </c>
      <c r="BF105" s="317" t="s">
        <v>561</v>
      </c>
      <c r="BG105" s="317" t="s">
        <v>561</v>
      </c>
      <c r="BH105" s="317" t="s">
        <v>561</v>
      </c>
      <c r="BI105" s="317" t="s">
        <v>561</v>
      </c>
      <c r="BJ105" s="317" t="s">
        <v>561</v>
      </c>
      <c r="BK105" s="317" t="s">
        <v>561</v>
      </c>
      <c r="BL105" s="317" t="s">
        <v>2796</v>
      </c>
      <c r="BM105" s="317" t="s">
        <v>2796</v>
      </c>
      <c r="BN105" s="317" t="s">
        <v>53</v>
      </c>
      <c r="BO105" s="317" t="s">
        <v>2796</v>
      </c>
      <c r="BP105" s="317" t="s">
        <v>2796</v>
      </c>
      <c r="BQ105" s="317" t="s">
        <v>53</v>
      </c>
      <c r="BR105" s="317" t="s">
        <v>561</v>
      </c>
      <c r="BS105" s="317" t="s">
        <v>53</v>
      </c>
      <c r="BT105" s="317" t="s">
        <v>561</v>
      </c>
      <c r="BU105" s="317" t="s">
        <v>53</v>
      </c>
      <c r="BV105" s="317" t="s">
        <v>561</v>
      </c>
      <c r="BW105" s="317" t="s">
        <v>53</v>
      </c>
      <c r="BX105" s="317" t="s">
        <v>561</v>
      </c>
      <c r="BY105" s="317" t="s">
        <v>53</v>
      </c>
      <c r="BZ105" s="317" t="s">
        <v>561</v>
      </c>
      <c r="CA105" s="317" t="s">
        <v>53</v>
      </c>
      <c r="CB105" s="317" t="s">
        <v>561</v>
      </c>
      <c r="CC105" s="317" t="s">
        <v>561</v>
      </c>
      <c r="CD105" s="317" t="s">
        <v>561</v>
      </c>
      <c r="CE105" s="317" t="s">
        <v>561</v>
      </c>
      <c r="CF105" s="317" t="s">
        <v>53</v>
      </c>
      <c r="CG105" s="317" t="s">
        <v>561</v>
      </c>
      <c r="CH105" s="317" t="s">
        <v>561</v>
      </c>
      <c r="CI105" s="317" t="s">
        <v>561</v>
      </c>
      <c r="CJ105" s="317" t="s">
        <v>2806</v>
      </c>
      <c r="CK105" s="317" t="s">
        <v>561</v>
      </c>
      <c r="CL105" s="317" t="s">
        <v>561</v>
      </c>
      <c r="CM105" s="317" t="s">
        <v>561</v>
      </c>
      <c r="CN105" s="317" t="s">
        <v>561</v>
      </c>
      <c r="CO105" s="317" t="s">
        <v>561</v>
      </c>
      <c r="CP105" s="317" t="s">
        <v>561</v>
      </c>
      <c r="CQ105" s="319"/>
      <c r="CR105" s="319">
        <v>1991.0</v>
      </c>
      <c r="CS105" s="320" t="s">
        <v>850</v>
      </c>
      <c r="CT105" s="334" t="s">
        <v>122</v>
      </c>
      <c r="CU105" s="326" t="s">
        <v>2476</v>
      </c>
      <c r="CV105" s="332" t="s">
        <v>75</v>
      </c>
      <c r="CW105" s="319"/>
      <c r="CX105" s="319"/>
      <c r="CY105" s="323">
        <f t="shared" si="24"/>
        <v>0.197</v>
      </c>
      <c r="CZ105" s="324">
        <v>0.5920000000000001</v>
      </c>
      <c r="DA105" s="323">
        <v>0.395</v>
      </c>
      <c r="DB105" s="323"/>
      <c r="DC105" s="323">
        <f t="shared" si="25"/>
        <v>0.139</v>
      </c>
      <c r="DD105" s="324">
        <v>0.55</v>
      </c>
      <c r="DE105" s="323">
        <v>0.41100000000000003</v>
      </c>
      <c r="DF105" s="323"/>
      <c r="DG105" s="324">
        <v>0.647</v>
      </c>
      <c r="DH105" s="323">
        <v>0.14300000000000002</v>
      </c>
      <c r="DI105" s="323">
        <v>0.149</v>
      </c>
      <c r="DJ105" s="323">
        <v>0.053</v>
      </c>
      <c r="DK105" s="323">
        <v>0.015</v>
      </c>
      <c r="DL105" s="323">
        <v>0.001</v>
      </c>
      <c r="DM105" s="323"/>
      <c r="DN105" s="323">
        <v>0.374</v>
      </c>
      <c r="DO105" s="323">
        <v>0.41700000000000004</v>
      </c>
      <c r="DP105" s="323">
        <v>0.409</v>
      </c>
    </row>
    <row r="106">
      <c r="A106" s="311" t="s">
        <v>476</v>
      </c>
      <c r="B106" s="311" t="s">
        <v>477</v>
      </c>
      <c r="C106" s="311" t="s">
        <v>2827</v>
      </c>
      <c r="D106" s="311">
        <v>22.0</v>
      </c>
      <c r="E106" s="312">
        <f t="shared" si="19"/>
        <v>0.1666666667</v>
      </c>
      <c r="F106" s="312" t="str">
        <f t="shared" si="20"/>
        <v>#DIV/0!</v>
      </c>
      <c r="G106" s="312" t="str">
        <f t="shared" si="21"/>
        <v>#DIV/0!</v>
      </c>
      <c r="H106" s="312" t="str">
        <f t="shared" si="22"/>
        <v>#DIV/0!</v>
      </c>
      <c r="I106" s="312" t="str">
        <f t="shared" si="61"/>
        <v>#DIV/0!</v>
      </c>
      <c r="J106" s="312" t="str">
        <f t="shared" si="64"/>
        <v>#DIV/0!</v>
      </c>
      <c r="K106" s="312" t="str">
        <f t="shared" si="65"/>
        <v>#DIV/0!</v>
      </c>
      <c r="L106" s="316" t="str">
        <f t="shared" si="23"/>
        <v>#DIV/0!</v>
      </c>
      <c r="M106" s="317" t="s">
        <v>487</v>
      </c>
      <c r="N106" s="317" t="s">
        <v>594</v>
      </c>
      <c r="O106" s="317" t="s">
        <v>594</v>
      </c>
      <c r="P106" s="317" t="s">
        <v>594</v>
      </c>
      <c r="Q106" s="317" t="s">
        <v>594</v>
      </c>
      <c r="R106" s="317" t="s">
        <v>594</v>
      </c>
      <c r="S106" s="318" t="s">
        <v>561</v>
      </c>
      <c r="T106" s="318" t="s">
        <v>561</v>
      </c>
      <c r="U106" s="330" t="s">
        <v>561</v>
      </c>
      <c r="V106" s="330" t="s">
        <v>561</v>
      </c>
      <c r="W106" s="340" t="s">
        <v>2807</v>
      </c>
      <c r="X106" s="340" t="s">
        <v>561</v>
      </c>
      <c r="Y106" s="318" t="s">
        <v>2795</v>
      </c>
      <c r="Z106" s="317" t="s">
        <v>2795</v>
      </c>
      <c r="AA106" s="317" t="s">
        <v>561</v>
      </c>
      <c r="AB106" s="317" t="s">
        <v>53</v>
      </c>
      <c r="AC106" s="317" t="s">
        <v>2795</v>
      </c>
      <c r="AD106" s="317" t="s">
        <v>2795</v>
      </c>
      <c r="AE106" s="317" t="s">
        <v>561</v>
      </c>
      <c r="AF106" s="317" t="s">
        <v>561</v>
      </c>
      <c r="AG106" s="317" t="s">
        <v>561</v>
      </c>
      <c r="AH106" s="317" t="s">
        <v>561</v>
      </c>
      <c r="AI106" s="317" t="s">
        <v>561</v>
      </c>
      <c r="AJ106" s="317" t="s">
        <v>2795</v>
      </c>
      <c r="AK106" s="317" t="s">
        <v>2795</v>
      </c>
      <c r="AL106" s="317" t="s">
        <v>2795</v>
      </c>
      <c r="AM106" s="317" t="s">
        <v>2807</v>
      </c>
      <c r="AN106" s="317" t="s">
        <v>2795</v>
      </c>
      <c r="AO106" s="317" t="s">
        <v>2807</v>
      </c>
      <c r="AP106" s="317" t="s">
        <v>561</v>
      </c>
      <c r="AQ106" s="317" t="s">
        <v>561</v>
      </c>
      <c r="AR106" s="317" t="s">
        <v>561</v>
      </c>
      <c r="AS106" s="317" t="s">
        <v>2795</v>
      </c>
      <c r="AT106" s="317" t="s">
        <v>561</v>
      </c>
      <c r="AU106" s="317" t="s">
        <v>53</v>
      </c>
      <c r="AV106" s="317" t="s">
        <v>2807</v>
      </c>
      <c r="AW106" s="317" t="s">
        <v>561</v>
      </c>
      <c r="AX106" s="317" t="s">
        <v>561</v>
      </c>
      <c r="AY106" s="317" t="s">
        <v>561</v>
      </c>
      <c r="AZ106" s="317" t="s">
        <v>561</v>
      </c>
      <c r="BA106" s="317" t="s">
        <v>2796</v>
      </c>
      <c r="BB106" s="317" t="s">
        <v>561</v>
      </c>
      <c r="BC106" s="317" t="s">
        <v>2796</v>
      </c>
      <c r="BD106" s="317" t="s">
        <v>2795</v>
      </c>
      <c r="BE106" s="317" t="s">
        <v>561</v>
      </c>
      <c r="BF106" s="317" t="s">
        <v>561</v>
      </c>
      <c r="BG106" s="317" t="s">
        <v>561</v>
      </c>
      <c r="BH106" s="317" t="s">
        <v>561</v>
      </c>
      <c r="BI106" s="317" t="s">
        <v>561</v>
      </c>
      <c r="BJ106" s="317" t="s">
        <v>561</v>
      </c>
      <c r="BK106" s="317" t="s">
        <v>561</v>
      </c>
      <c r="BL106" s="317" t="s">
        <v>2796</v>
      </c>
      <c r="BM106" s="317" t="s">
        <v>2796</v>
      </c>
      <c r="BN106" s="317" t="s">
        <v>561</v>
      </c>
      <c r="BO106" s="317" t="s">
        <v>2796</v>
      </c>
      <c r="BP106" s="317" t="s">
        <v>2806</v>
      </c>
      <c r="BQ106" s="317" t="s">
        <v>53</v>
      </c>
      <c r="BR106" s="317" t="s">
        <v>561</v>
      </c>
      <c r="BS106" s="317" t="s">
        <v>53</v>
      </c>
      <c r="BT106" s="317" t="s">
        <v>561</v>
      </c>
      <c r="BU106" s="317" t="s">
        <v>53</v>
      </c>
      <c r="BV106" s="317" t="s">
        <v>561</v>
      </c>
      <c r="BW106" s="317" t="s">
        <v>53</v>
      </c>
      <c r="BX106" s="317" t="s">
        <v>53</v>
      </c>
      <c r="BY106" s="317" t="s">
        <v>801</v>
      </c>
      <c r="BZ106" s="317" t="s">
        <v>561</v>
      </c>
      <c r="CA106" s="317" t="s">
        <v>53</v>
      </c>
      <c r="CB106" s="317" t="s">
        <v>53</v>
      </c>
      <c r="CC106" s="317" t="s">
        <v>53</v>
      </c>
      <c r="CD106" s="317" t="s">
        <v>561</v>
      </c>
      <c r="CE106" s="317" t="s">
        <v>561</v>
      </c>
      <c r="CF106" s="317" t="s">
        <v>53</v>
      </c>
      <c r="CG106" s="317" t="s">
        <v>561</v>
      </c>
      <c r="CH106" s="317" t="s">
        <v>561</v>
      </c>
      <c r="CI106" s="317" t="s">
        <v>561</v>
      </c>
      <c r="CJ106" s="317" t="s">
        <v>2806</v>
      </c>
      <c r="CK106" s="317" t="s">
        <v>561</v>
      </c>
      <c r="CL106" s="317" t="s">
        <v>561</v>
      </c>
      <c r="CM106" s="317" t="s">
        <v>561</v>
      </c>
      <c r="CN106" s="317" t="s">
        <v>561</v>
      </c>
      <c r="CO106" s="317" t="s">
        <v>53</v>
      </c>
      <c r="CP106" s="317" t="s">
        <v>561</v>
      </c>
      <c r="CQ106" s="319"/>
      <c r="CR106" s="319">
        <v>2013.0</v>
      </c>
      <c r="CS106" s="320" t="s">
        <v>850</v>
      </c>
      <c r="CT106" s="334" t="s">
        <v>2030</v>
      </c>
      <c r="CU106" s="319" t="s">
        <v>23</v>
      </c>
      <c r="CV106" s="332" t="s">
        <v>75</v>
      </c>
      <c r="CW106" s="319"/>
      <c r="CX106" s="319"/>
      <c r="CY106" s="323">
        <f t="shared" si="24"/>
        <v>0.176</v>
      </c>
      <c r="CZ106" s="324">
        <v>0.585</v>
      </c>
      <c r="DA106" s="323">
        <v>0.409</v>
      </c>
      <c r="DB106" s="323"/>
      <c r="DC106" s="323">
        <f t="shared" si="25"/>
        <v>0.202</v>
      </c>
      <c r="DD106" s="324">
        <v>0.5870000000000001</v>
      </c>
      <c r="DE106" s="323">
        <v>0.385</v>
      </c>
      <c r="DF106" s="323"/>
      <c r="DG106" s="324">
        <v>0.5529999999999999</v>
      </c>
      <c r="DH106" s="323">
        <v>0.247</v>
      </c>
      <c r="DI106" s="323">
        <v>0.159</v>
      </c>
      <c r="DJ106" s="323">
        <v>0.033</v>
      </c>
      <c r="DK106" s="323">
        <v>0.015</v>
      </c>
      <c r="DL106" s="323">
        <v>0.002</v>
      </c>
      <c r="DM106" s="323"/>
      <c r="DN106" s="323">
        <v>0.34700000000000003</v>
      </c>
      <c r="DO106" s="323">
        <v>0.434</v>
      </c>
      <c r="DP106" s="323">
        <v>0.361</v>
      </c>
    </row>
    <row r="107">
      <c r="A107" s="311" t="s">
        <v>678</v>
      </c>
      <c r="B107" s="311" t="s">
        <v>679</v>
      </c>
      <c r="C107" s="311" t="s">
        <v>2841</v>
      </c>
      <c r="D107" s="311">
        <v>2.0</v>
      </c>
      <c r="E107" s="312">
        <f t="shared" si="19"/>
        <v>0.1666666667</v>
      </c>
      <c r="F107" s="312" t="str">
        <f t="shared" si="20"/>
        <v>#DIV/0!</v>
      </c>
      <c r="G107" s="312" t="str">
        <f t="shared" si="21"/>
        <v>#DIV/0!</v>
      </c>
      <c r="H107" s="312" t="str">
        <f t="shared" si="22"/>
        <v>#DIV/0!</v>
      </c>
      <c r="I107" s="315" t="s">
        <v>2794</v>
      </c>
      <c r="J107" s="315" t="s">
        <v>2794</v>
      </c>
      <c r="K107" s="315" t="s">
        <v>2794</v>
      </c>
      <c r="L107" s="316" t="str">
        <f t="shared" si="23"/>
        <v>#DIV/0!</v>
      </c>
      <c r="M107" s="317" t="s">
        <v>594</v>
      </c>
      <c r="N107" s="317" t="s">
        <v>594</v>
      </c>
      <c r="O107" s="317" t="s">
        <v>594</v>
      </c>
      <c r="P107" s="317" t="s">
        <v>487</v>
      </c>
      <c r="Q107" s="317" t="s">
        <v>594</v>
      </c>
      <c r="R107" s="317" t="s">
        <v>594</v>
      </c>
      <c r="S107" s="318" t="s">
        <v>561</v>
      </c>
      <c r="T107" s="318" t="s">
        <v>561</v>
      </c>
      <c r="U107" s="330" t="s">
        <v>561</v>
      </c>
      <c r="V107" s="330" t="s">
        <v>561</v>
      </c>
      <c r="W107" s="318" t="s">
        <v>2795</v>
      </c>
      <c r="X107" s="340" t="s">
        <v>561</v>
      </c>
      <c r="Y107" s="340" t="s">
        <v>2807</v>
      </c>
      <c r="Z107" s="317" t="s">
        <v>2795</v>
      </c>
      <c r="AA107" s="317" t="s">
        <v>561</v>
      </c>
      <c r="AB107" s="317" t="s">
        <v>53</v>
      </c>
      <c r="AC107" s="317" t="s">
        <v>2795</v>
      </c>
      <c r="AD107" s="317" t="s">
        <v>2795</v>
      </c>
      <c r="AE107" s="317" t="s">
        <v>561</v>
      </c>
      <c r="AF107" s="317" t="s">
        <v>561</v>
      </c>
      <c r="AG107" s="317" t="s">
        <v>561</v>
      </c>
      <c r="AH107" s="317" t="s">
        <v>561</v>
      </c>
      <c r="AI107" s="317" t="s">
        <v>561</v>
      </c>
      <c r="AJ107" s="317" t="s">
        <v>2807</v>
      </c>
      <c r="AK107" s="317" t="s">
        <v>2807</v>
      </c>
      <c r="AL107" s="317" t="s">
        <v>2795</v>
      </c>
      <c r="AM107" s="317" t="s">
        <v>2807</v>
      </c>
      <c r="AN107" s="317" t="s">
        <v>2795</v>
      </c>
      <c r="AO107" s="317" t="s">
        <v>2795</v>
      </c>
      <c r="AP107" s="317" t="s">
        <v>561</v>
      </c>
      <c r="AQ107" s="317" t="s">
        <v>561</v>
      </c>
      <c r="AR107" s="317" t="s">
        <v>561</v>
      </c>
      <c r="AS107" s="317" t="s">
        <v>2795</v>
      </c>
      <c r="AT107" s="317" t="s">
        <v>561</v>
      </c>
      <c r="AU107" s="317" t="s">
        <v>53</v>
      </c>
      <c r="AV107" s="317" t="s">
        <v>600</v>
      </c>
      <c r="AW107" s="317" t="s">
        <v>600</v>
      </c>
      <c r="AX107" s="317" t="s">
        <v>600</v>
      </c>
      <c r="AY107" s="317" t="s">
        <v>600</v>
      </c>
      <c r="AZ107" s="317" t="s">
        <v>600</v>
      </c>
      <c r="BA107" s="317" t="s">
        <v>600</v>
      </c>
      <c r="BB107" s="317" t="s">
        <v>600</v>
      </c>
      <c r="BC107" s="317" t="s">
        <v>600</v>
      </c>
      <c r="BD107" s="317" t="s">
        <v>600</v>
      </c>
      <c r="BE107" s="317" t="s">
        <v>600</v>
      </c>
      <c r="BF107" s="317" t="s">
        <v>600</v>
      </c>
      <c r="BG107" s="317" t="s">
        <v>600</v>
      </c>
      <c r="BH107" s="317" t="s">
        <v>600</v>
      </c>
      <c r="BI107" s="317" t="s">
        <v>600</v>
      </c>
      <c r="BJ107" s="317" t="s">
        <v>600</v>
      </c>
      <c r="BK107" s="317" t="s">
        <v>600</v>
      </c>
      <c r="BL107" s="317" t="s">
        <v>600</v>
      </c>
      <c r="BM107" s="317" t="s">
        <v>600</v>
      </c>
      <c r="BN107" s="317" t="s">
        <v>600</v>
      </c>
      <c r="BO107" s="317" t="s">
        <v>600</v>
      </c>
      <c r="BP107" s="317" t="s">
        <v>600</v>
      </c>
      <c r="BQ107" s="317" t="s">
        <v>600</v>
      </c>
      <c r="BR107" s="317" t="s">
        <v>600</v>
      </c>
      <c r="BS107" s="317" t="s">
        <v>600</v>
      </c>
      <c r="BT107" s="317" t="s">
        <v>600</v>
      </c>
      <c r="BU107" s="317" t="s">
        <v>600</v>
      </c>
      <c r="BV107" s="317" t="s">
        <v>600</v>
      </c>
      <c r="BW107" s="317" t="s">
        <v>600</v>
      </c>
      <c r="BX107" s="317" t="s">
        <v>600</v>
      </c>
      <c r="BY107" s="317" t="s">
        <v>600</v>
      </c>
      <c r="BZ107" s="317" t="s">
        <v>600</v>
      </c>
      <c r="CA107" s="317" t="s">
        <v>600</v>
      </c>
      <c r="CB107" s="317" t="s">
        <v>600</v>
      </c>
      <c r="CC107" s="317" t="s">
        <v>600</v>
      </c>
      <c r="CD107" s="317" t="s">
        <v>600</v>
      </c>
      <c r="CE107" s="317" t="s">
        <v>600</v>
      </c>
      <c r="CF107" s="317" t="s">
        <v>600</v>
      </c>
      <c r="CG107" s="317" t="s">
        <v>600</v>
      </c>
      <c r="CH107" s="317" t="s">
        <v>600</v>
      </c>
      <c r="CI107" s="317" t="s">
        <v>600</v>
      </c>
      <c r="CJ107" s="317" t="s">
        <v>600</v>
      </c>
      <c r="CK107" s="317" t="s">
        <v>600</v>
      </c>
      <c r="CL107" s="317" t="s">
        <v>600</v>
      </c>
      <c r="CM107" s="317" t="s">
        <v>600</v>
      </c>
      <c r="CN107" s="317" t="s">
        <v>600</v>
      </c>
      <c r="CO107" s="317" t="s">
        <v>600</v>
      </c>
      <c r="CP107" s="317" t="s">
        <v>600</v>
      </c>
      <c r="CQ107" s="319"/>
      <c r="CR107" s="319" t="s">
        <v>2572</v>
      </c>
      <c r="CS107" s="343" t="s">
        <v>1569</v>
      </c>
      <c r="CT107" s="334" t="s">
        <v>122</v>
      </c>
      <c r="CU107" s="345" t="s">
        <v>600</v>
      </c>
      <c r="CV107" s="327" t="s">
        <v>28</v>
      </c>
      <c r="CW107" s="319"/>
      <c r="CX107" s="319"/>
      <c r="CY107" s="323">
        <f t="shared" si="24"/>
        <v>0.525</v>
      </c>
      <c r="CZ107" s="324">
        <v>0.754</v>
      </c>
      <c r="DA107" s="323">
        <v>0.22899999999999998</v>
      </c>
      <c r="DB107" s="323"/>
      <c r="DC107" s="323">
        <f t="shared" si="25"/>
        <v>0.524</v>
      </c>
      <c r="DD107" s="324">
        <v>0.746</v>
      </c>
      <c r="DE107" s="323">
        <v>0.222</v>
      </c>
      <c r="DF107" s="323"/>
      <c r="DG107" s="323">
        <v>0.298</v>
      </c>
      <c r="DH107" s="323">
        <v>0.078</v>
      </c>
      <c r="DI107" s="324">
        <v>0.586</v>
      </c>
      <c r="DJ107" s="323">
        <v>0.033</v>
      </c>
      <c r="DK107" s="323">
        <v>0.015</v>
      </c>
      <c r="DL107" s="323">
        <v>0.001</v>
      </c>
      <c r="DM107" s="323"/>
      <c r="DN107" s="323">
        <v>0.248</v>
      </c>
      <c r="DO107" s="323">
        <v>0.379</v>
      </c>
      <c r="DP107" s="323">
        <v>0.195</v>
      </c>
    </row>
    <row r="108">
      <c r="A108" s="311" t="s">
        <v>1277</v>
      </c>
      <c r="B108" s="311" t="s">
        <v>313</v>
      </c>
      <c r="C108" s="311" t="s">
        <v>2824</v>
      </c>
      <c r="D108" s="311">
        <v>29.0</v>
      </c>
      <c r="E108" s="312">
        <f t="shared" si="19"/>
        <v>0</v>
      </c>
      <c r="F108" s="312" t="str">
        <f t="shared" si="20"/>
        <v>#DIV/0!</v>
      </c>
      <c r="G108" s="312" t="str">
        <f t="shared" si="21"/>
        <v>#DIV/0!</v>
      </c>
      <c r="H108" s="312" t="str">
        <f t="shared" si="22"/>
        <v>#DIV/0!</v>
      </c>
      <c r="I108" s="312" t="str">
        <f t="shared" ref="I108:I118" si="66">(COUNTIF(AW108:BP108, "Nay")+COUNTIF(AW108:BP108, "Yea (Amend)")+(0.5*COUNTIF(AW108:BP108, "Present")))/(COUNTIF(AW108:BP108, "Nay")+COUNTIF(AW108:BP108, "Yea (Amend)")+COUNTIF(AW108:BP108, "Yea")+COUNTIF(AW108:BP108, "Nay (Amend)")+COUNTIF(AW108:BP108, "Present"))</f>
        <v>#DIV/0!</v>
      </c>
      <c r="J108" s="315" t="s">
        <v>2794</v>
      </c>
      <c r="K108" s="315" t="s">
        <v>2794</v>
      </c>
      <c r="L108" s="316" t="str">
        <f t="shared" si="23"/>
        <v>#DIV/0!</v>
      </c>
      <c r="M108" s="317" t="s">
        <v>594</v>
      </c>
      <c r="N108" s="317" t="s">
        <v>594</v>
      </c>
      <c r="O108" s="317" t="s">
        <v>594</v>
      </c>
      <c r="P108" s="317" t="s">
        <v>594</v>
      </c>
      <c r="Q108" s="317" t="s">
        <v>594</v>
      </c>
      <c r="R108" s="317" t="s">
        <v>594</v>
      </c>
      <c r="S108" s="318" t="s">
        <v>561</v>
      </c>
      <c r="T108" s="318" t="s">
        <v>561</v>
      </c>
      <c r="U108" s="330" t="s">
        <v>561</v>
      </c>
      <c r="V108" s="330" t="s">
        <v>561</v>
      </c>
      <c r="W108" s="318" t="s">
        <v>2795</v>
      </c>
      <c r="X108" s="340" t="s">
        <v>561</v>
      </c>
      <c r="Y108" s="318" t="s">
        <v>2795</v>
      </c>
      <c r="Z108" s="317" t="s">
        <v>2795</v>
      </c>
      <c r="AA108" s="317" t="s">
        <v>561</v>
      </c>
      <c r="AB108" s="317" t="s">
        <v>53</v>
      </c>
      <c r="AC108" s="317" t="s">
        <v>2795</v>
      </c>
      <c r="AD108" s="317" t="s">
        <v>2795</v>
      </c>
      <c r="AE108" s="317" t="s">
        <v>561</v>
      </c>
      <c r="AF108" s="317" t="s">
        <v>561</v>
      </c>
      <c r="AG108" s="317" t="s">
        <v>561</v>
      </c>
      <c r="AH108" s="317" t="s">
        <v>561</v>
      </c>
      <c r="AI108" s="317" t="s">
        <v>561</v>
      </c>
      <c r="AJ108" s="317" t="s">
        <v>2795</v>
      </c>
      <c r="AK108" s="317" t="s">
        <v>2807</v>
      </c>
      <c r="AL108" s="317" t="s">
        <v>2795</v>
      </c>
      <c r="AM108" s="317" t="s">
        <v>2807</v>
      </c>
      <c r="AN108" s="317" t="s">
        <v>2795</v>
      </c>
      <c r="AO108" s="317" t="s">
        <v>2807</v>
      </c>
      <c r="AP108" s="317" t="s">
        <v>561</v>
      </c>
      <c r="AQ108" s="317" t="s">
        <v>561</v>
      </c>
      <c r="AR108" s="317" t="s">
        <v>561</v>
      </c>
      <c r="AS108" s="317" t="s">
        <v>2795</v>
      </c>
      <c r="AT108" s="317" t="s">
        <v>561</v>
      </c>
      <c r="AU108" s="317" t="s">
        <v>53</v>
      </c>
      <c r="AV108" s="317" t="s">
        <v>2795</v>
      </c>
      <c r="AW108" s="317" t="s">
        <v>561</v>
      </c>
      <c r="AX108" s="317" t="s">
        <v>561</v>
      </c>
      <c r="AY108" s="317" t="s">
        <v>561</v>
      </c>
      <c r="AZ108" s="317" t="s">
        <v>561</v>
      </c>
      <c r="BA108" s="317" t="s">
        <v>2796</v>
      </c>
      <c r="BB108" s="317" t="s">
        <v>561</v>
      </c>
      <c r="BC108" s="317" t="s">
        <v>2806</v>
      </c>
      <c r="BD108" s="317" t="s">
        <v>2795</v>
      </c>
      <c r="BE108" s="317" t="s">
        <v>561</v>
      </c>
      <c r="BF108" s="317" t="s">
        <v>561</v>
      </c>
      <c r="BG108" s="317" t="s">
        <v>53</v>
      </c>
      <c r="BH108" s="317" t="s">
        <v>561</v>
      </c>
      <c r="BI108" s="317" t="s">
        <v>561</v>
      </c>
      <c r="BJ108" s="317" t="s">
        <v>53</v>
      </c>
      <c r="BK108" s="317" t="s">
        <v>561</v>
      </c>
      <c r="BL108" s="317" t="s">
        <v>2796</v>
      </c>
      <c r="BM108" s="317" t="s">
        <v>2796</v>
      </c>
      <c r="BN108" s="317" t="s">
        <v>53</v>
      </c>
      <c r="BO108" s="317" t="s">
        <v>2796</v>
      </c>
      <c r="BP108" s="317" t="s">
        <v>2806</v>
      </c>
      <c r="BQ108" s="317" t="s">
        <v>600</v>
      </c>
      <c r="BR108" s="317" t="s">
        <v>600</v>
      </c>
      <c r="BS108" s="317" t="s">
        <v>600</v>
      </c>
      <c r="BT108" s="317" t="s">
        <v>600</v>
      </c>
      <c r="BU108" s="317" t="s">
        <v>600</v>
      </c>
      <c r="BV108" s="317" t="s">
        <v>600</v>
      </c>
      <c r="BW108" s="317" t="s">
        <v>600</v>
      </c>
      <c r="BX108" s="317" t="s">
        <v>600</v>
      </c>
      <c r="BY108" s="317" t="s">
        <v>600</v>
      </c>
      <c r="BZ108" s="317" t="s">
        <v>600</v>
      </c>
      <c r="CA108" s="317" t="s">
        <v>600</v>
      </c>
      <c r="CB108" s="317" t="s">
        <v>600</v>
      </c>
      <c r="CC108" s="317" t="s">
        <v>600</v>
      </c>
      <c r="CD108" s="317" t="s">
        <v>600</v>
      </c>
      <c r="CE108" s="317" t="s">
        <v>600</v>
      </c>
      <c r="CF108" s="317" t="s">
        <v>600</v>
      </c>
      <c r="CG108" s="317" t="s">
        <v>600</v>
      </c>
      <c r="CH108" s="317" t="s">
        <v>600</v>
      </c>
      <c r="CI108" s="317" t="s">
        <v>600</v>
      </c>
      <c r="CJ108" s="317" t="s">
        <v>600</v>
      </c>
      <c r="CK108" s="317" t="s">
        <v>600</v>
      </c>
      <c r="CL108" s="317" t="s">
        <v>600</v>
      </c>
      <c r="CM108" s="317" t="s">
        <v>600</v>
      </c>
      <c r="CN108" s="317" t="s">
        <v>600</v>
      </c>
      <c r="CO108" s="317" t="s">
        <v>600</v>
      </c>
      <c r="CP108" s="317" t="s">
        <v>600</v>
      </c>
      <c r="CQ108" s="319"/>
      <c r="CR108" s="319">
        <v>2019.0</v>
      </c>
      <c r="CS108" s="320" t="s">
        <v>850</v>
      </c>
      <c r="CT108" s="334" t="s">
        <v>122</v>
      </c>
      <c r="CU108" s="319" t="s">
        <v>23</v>
      </c>
      <c r="CV108" s="320" t="s">
        <v>83</v>
      </c>
      <c r="CW108" s="319"/>
      <c r="CX108" s="319"/>
      <c r="CY108" s="323">
        <f t="shared" si="24"/>
        <v>0.368</v>
      </c>
      <c r="CZ108" s="324">
        <v>0.6779999999999999</v>
      </c>
      <c r="DA108" s="323">
        <v>0.31</v>
      </c>
      <c r="DB108" s="323"/>
      <c r="DC108" s="323">
        <f t="shared" si="25"/>
        <v>0.496</v>
      </c>
      <c r="DD108" s="324">
        <v>0.73</v>
      </c>
      <c r="DE108" s="323">
        <v>0.23399999999999999</v>
      </c>
      <c r="DF108" s="323"/>
      <c r="DG108" s="323">
        <v>0.1</v>
      </c>
      <c r="DH108" s="324">
        <v>0.7240000000000001</v>
      </c>
      <c r="DI108" s="323">
        <v>0.146</v>
      </c>
      <c r="DJ108" s="323">
        <v>0.03</v>
      </c>
      <c r="DK108" s="323">
        <v>0.03</v>
      </c>
      <c r="DL108" s="323">
        <v>0.002</v>
      </c>
      <c r="DM108" s="323"/>
      <c r="DN108" s="323">
        <v>0.109</v>
      </c>
      <c r="DO108" s="323">
        <v>0.247</v>
      </c>
      <c r="DP108" s="323">
        <v>0.105</v>
      </c>
    </row>
    <row r="109">
      <c r="A109" s="311" t="s">
        <v>1359</v>
      </c>
      <c r="B109" s="311" t="s">
        <v>1360</v>
      </c>
      <c r="C109" s="311" t="s">
        <v>1217</v>
      </c>
      <c r="D109" s="311">
        <v>1.0</v>
      </c>
      <c r="E109" s="312">
        <f t="shared" si="19"/>
        <v>0.1666666667</v>
      </c>
      <c r="F109" s="312" t="str">
        <f t="shared" si="20"/>
        <v>#DIV/0!</v>
      </c>
      <c r="G109" s="312" t="str">
        <f t="shared" si="21"/>
        <v>#DIV/0!</v>
      </c>
      <c r="H109" s="312" t="str">
        <f t="shared" si="22"/>
        <v>#DIV/0!</v>
      </c>
      <c r="I109" s="312" t="str">
        <f t="shared" si="66"/>
        <v>#DIV/0!</v>
      </c>
      <c r="J109" s="312" t="str">
        <f t="shared" ref="J109:J118" si="67">(COUNTIF(BQ109:CL109, "Nay")+COUNTIF(BQ109:CL109, "Yea (Amend)")+(0.5*COUNTIF(BQ109:CL109, "Present")))/(COUNTIF(BQ109:CL109, "Nay")+COUNTIF(BQ109:CL109, "Yea (Amend)")+COUNTIF(BQ109:CL109, "Yea")+COUNTIF(BQ109:CL109, "Nay (Amend)")+COUNTIF(BQ109:CL109, "Present"))</f>
        <v>#DIV/0!</v>
      </c>
      <c r="K109" s="312" t="str">
        <f t="shared" ref="K109:K115" si="68">(COUNTIF(CM109:CP109, "Nay")+COUNTIF(CM109:CP109, "Yea (Amend)")+(0.5*COUNTIF(CM109:CP109, "Present")))/(COUNTIF(CM109:CP109, "Nay")+COUNTIF(CM109:CP109, "Yea (Amend)")+COUNTIF(CM109:CP109, "Yea")+COUNTIF(CM109:CP109, "Nay (Amend)")+COUNTIF(CM109:CP109, "Present"))</f>
        <v>#DIV/0!</v>
      </c>
      <c r="L109" s="316" t="str">
        <f t="shared" si="23"/>
        <v>#DIV/0!</v>
      </c>
      <c r="M109" s="317" t="s">
        <v>594</v>
      </c>
      <c r="N109" s="317" t="s">
        <v>594</v>
      </c>
      <c r="O109" s="317" t="s">
        <v>487</v>
      </c>
      <c r="P109" s="317" t="s">
        <v>594</v>
      </c>
      <c r="Q109" s="317" t="s">
        <v>594</v>
      </c>
      <c r="R109" s="317" t="s">
        <v>594</v>
      </c>
      <c r="S109" s="318" t="s">
        <v>561</v>
      </c>
      <c r="T109" s="318" t="s">
        <v>561</v>
      </c>
      <c r="U109" s="330" t="s">
        <v>561</v>
      </c>
      <c r="V109" s="330" t="s">
        <v>561</v>
      </c>
      <c r="W109" s="318" t="s">
        <v>2795</v>
      </c>
      <c r="X109" s="340" t="s">
        <v>561</v>
      </c>
      <c r="Y109" s="318" t="s">
        <v>2795</v>
      </c>
      <c r="Z109" s="317" t="s">
        <v>2795</v>
      </c>
      <c r="AA109" s="317" t="s">
        <v>561</v>
      </c>
      <c r="AB109" s="317" t="s">
        <v>53</v>
      </c>
      <c r="AC109" s="317" t="s">
        <v>2795</v>
      </c>
      <c r="AD109" s="317" t="s">
        <v>2795</v>
      </c>
      <c r="AE109" s="317" t="s">
        <v>561</v>
      </c>
      <c r="AF109" s="317" t="s">
        <v>561</v>
      </c>
      <c r="AG109" s="317" t="s">
        <v>561</v>
      </c>
      <c r="AH109" s="317" t="s">
        <v>561</v>
      </c>
      <c r="AI109" s="317" t="s">
        <v>561</v>
      </c>
      <c r="AJ109" s="317" t="s">
        <v>2795</v>
      </c>
      <c r="AK109" s="317" t="s">
        <v>2807</v>
      </c>
      <c r="AL109" s="317" t="s">
        <v>2795</v>
      </c>
      <c r="AM109" s="317" t="s">
        <v>2807</v>
      </c>
      <c r="AN109" s="317" t="s">
        <v>2795</v>
      </c>
      <c r="AO109" s="317" t="s">
        <v>2807</v>
      </c>
      <c r="AP109" s="317" t="s">
        <v>561</v>
      </c>
      <c r="AQ109" s="317" t="s">
        <v>561</v>
      </c>
      <c r="AR109" s="317" t="s">
        <v>561</v>
      </c>
      <c r="AS109" s="317" t="s">
        <v>2807</v>
      </c>
      <c r="AT109" s="317" t="s">
        <v>561</v>
      </c>
      <c r="AU109" s="317" t="s">
        <v>561</v>
      </c>
      <c r="AV109" s="317" t="s">
        <v>2807</v>
      </c>
      <c r="AW109" s="317" t="s">
        <v>561</v>
      </c>
      <c r="AX109" s="317" t="s">
        <v>561</v>
      </c>
      <c r="AY109" s="317" t="s">
        <v>561</v>
      </c>
      <c r="AZ109" s="317" t="s">
        <v>561</v>
      </c>
      <c r="BA109" s="317" t="s">
        <v>2796</v>
      </c>
      <c r="BB109" s="317" t="s">
        <v>561</v>
      </c>
      <c r="BC109" s="317" t="s">
        <v>2806</v>
      </c>
      <c r="BD109" s="317" t="s">
        <v>2795</v>
      </c>
      <c r="BE109" s="317" t="s">
        <v>53</v>
      </c>
      <c r="BF109" s="317" t="s">
        <v>561</v>
      </c>
      <c r="BG109" s="317" t="s">
        <v>561</v>
      </c>
      <c r="BH109" s="317" t="s">
        <v>561</v>
      </c>
      <c r="BI109" s="317" t="s">
        <v>561</v>
      </c>
      <c r="BJ109" s="317" t="s">
        <v>561</v>
      </c>
      <c r="BK109" s="317" t="s">
        <v>561</v>
      </c>
      <c r="BL109" s="317" t="s">
        <v>2796</v>
      </c>
      <c r="BM109" s="317" t="s">
        <v>2796</v>
      </c>
      <c r="BN109" s="317" t="s">
        <v>561</v>
      </c>
      <c r="BO109" s="317" t="s">
        <v>2796</v>
      </c>
      <c r="BP109" s="317" t="s">
        <v>2796</v>
      </c>
      <c r="BQ109" s="317" t="s">
        <v>53</v>
      </c>
      <c r="BR109" s="317" t="s">
        <v>561</v>
      </c>
      <c r="BS109" s="317" t="s">
        <v>53</v>
      </c>
      <c r="BT109" s="317" t="s">
        <v>561</v>
      </c>
      <c r="BU109" s="317" t="s">
        <v>53</v>
      </c>
      <c r="BV109" s="317" t="s">
        <v>561</v>
      </c>
      <c r="BW109" s="317" t="s">
        <v>53</v>
      </c>
      <c r="BX109" s="317" t="s">
        <v>561</v>
      </c>
      <c r="BY109" s="317" t="s">
        <v>561</v>
      </c>
      <c r="BZ109" s="317" t="s">
        <v>561</v>
      </c>
      <c r="CA109" s="317" t="s">
        <v>53</v>
      </c>
      <c r="CB109" s="317" t="s">
        <v>561</v>
      </c>
      <c r="CC109" s="317" t="s">
        <v>561</v>
      </c>
      <c r="CD109" s="317" t="s">
        <v>561</v>
      </c>
      <c r="CE109" s="317" t="s">
        <v>561</v>
      </c>
      <c r="CF109" s="317" t="s">
        <v>53</v>
      </c>
      <c r="CG109" s="317" t="s">
        <v>53</v>
      </c>
      <c r="CH109" s="317" t="s">
        <v>561</v>
      </c>
      <c r="CI109" s="317" t="s">
        <v>561</v>
      </c>
      <c r="CJ109" s="317" t="s">
        <v>2806</v>
      </c>
      <c r="CK109" s="317" t="s">
        <v>561</v>
      </c>
      <c r="CL109" s="317" t="s">
        <v>561</v>
      </c>
      <c r="CM109" s="317" t="s">
        <v>561</v>
      </c>
      <c r="CN109" s="317" t="s">
        <v>53</v>
      </c>
      <c r="CO109" s="317" t="s">
        <v>561</v>
      </c>
      <c r="CP109" s="317" t="s">
        <v>561</v>
      </c>
      <c r="CQ109" s="319"/>
      <c r="CR109" s="319" t="s">
        <v>2367</v>
      </c>
      <c r="CS109" s="343" t="s">
        <v>1569</v>
      </c>
      <c r="CT109" s="319"/>
      <c r="CU109" s="326" t="s">
        <v>2476</v>
      </c>
      <c r="CV109" s="332" t="s">
        <v>75</v>
      </c>
      <c r="CW109" s="319"/>
      <c r="CX109" s="319"/>
      <c r="CY109" s="323">
        <f t="shared" si="24"/>
        <v>0.307</v>
      </c>
      <c r="CZ109" s="324">
        <v>0.64</v>
      </c>
      <c r="DA109" s="323">
        <v>0.33299999999999996</v>
      </c>
      <c r="DB109" s="323"/>
      <c r="DC109" s="323">
        <f t="shared" si="25"/>
        <v>0.258</v>
      </c>
      <c r="DD109" s="324">
        <v>0.589</v>
      </c>
      <c r="DE109" s="323">
        <v>0.331</v>
      </c>
      <c r="DF109" s="323"/>
      <c r="DG109" s="324">
        <v>0.629</v>
      </c>
      <c r="DH109" s="323">
        <v>0.085</v>
      </c>
      <c r="DI109" s="323">
        <v>0.035</v>
      </c>
      <c r="DJ109" s="323">
        <v>0.217</v>
      </c>
      <c r="DK109" s="323">
        <v>0.024</v>
      </c>
      <c r="DL109" s="323">
        <v>0.008</v>
      </c>
      <c r="DM109" s="323"/>
      <c r="DN109" s="323">
        <v>0.48</v>
      </c>
      <c r="DO109" s="323">
        <v>0.442</v>
      </c>
      <c r="DP109" s="323">
        <v>0.425</v>
      </c>
    </row>
    <row r="110">
      <c r="A110" s="311" t="s">
        <v>426</v>
      </c>
      <c r="B110" s="311" t="s">
        <v>1233</v>
      </c>
      <c r="C110" s="311" t="s">
        <v>2842</v>
      </c>
      <c r="D110" s="311">
        <v>6.0</v>
      </c>
      <c r="E110" s="312">
        <f t="shared" si="19"/>
        <v>0</v>
      </c>
      <c r="F110" s="312" t="str">
        <f t="shared" si="20"/>
        <v>#DIV/0!</v>
      </c>
      <c r="G110" s="312" t="str">
        <f t="shared" si="21"/>
        <v>#DIV/0!</v>
      </c>
      <c r="H110" s="312" t="str">
        <f t="shared" si="22"/>
        <v>#DIV/0!</v>
      </c>
      <c r="I110" s="312" t="str">
        <f t="shared" si="66"/>
        <v>#DIV/0!</v>
      </c>
      <c r="J110" s="312" t="str">
        <f t="shared" si="67"/>
        <v>#DIV/0!</v>
      </c>
      <c r="K110" s="312" t="str">
        <f t="shared" si="68"/>
        <v>#DIV/0!</v>
      </c>
      <c r="L110" s="316" t="str">
        <f t="shared" si="23"/>
        <v>#DIV/0!</v>
      </c>
      <c r="M110" s="317" t="s">
        <v>594</v>
      </c>
      <c r="N110" s="317" t="s">
        <v>594</v>
      </c>
      <c r="O110" s="317" t="s">
        <v>594</v>
      </c>
      <c r="P110" s="317" t="s">
        <v>594</v>
      </c>
      <c r="Q110" s="317" t="s">
        <v>594</v>
      </c>
      <c r="R110" s="317" t="s">
        <v>594</v>
      </c>
      <c r="S110" s="318" t="s">
        <v>561</v>
      </c>
      <c r="T110" s="318" t="s">
        <v>561</v>
      </c>
      <c r="U110" s="330" t="s">
        <v>561</v>
      </c>
      <c r="V110" s="330" t="s">
        <v>561</v>
      </c>
      <c r="W110" s="318" t="s">
        <v>2795</v>
      </c>
      <c r="X110" s="340" t="s">
        <v>561</v>
      </c>
      <c r="Y110" s="318" t="s">
        <v>2795</v>
      </c>
      <c r="Z110" s="317" t="s">
        <v>2795</v>
      </c>
      <c r="AA110" s="317" t="s">
        <v>561</v>
      </c>
      <c r="AB110" s="317" t="s">
        <v>53</v>
      </c>
      <c r="AC110" s="317" t="s">
        <v>2795</v>
      </c>
      <c r="AD110" s="317" t="s">
        <v>2795</v>
      </c>
      <c r="AE110" s="317" t="s">
        <v>561</v>
      </c>
      <c r="AF110" s="317" t="s">
        <v>561</v>
      </c>
      <c r="AG110" s="317" t="s">
        <v>561</v>
      </c>
      <c r="AH110" s="317" t="s">
        <v>561</v>
      </c>
      <c r="AI110" s="317" t="s">
        <v>561</v>
      </c>
      <c r="AJ110" s="317" t="s">
        <v>2795</v>
      </c>
      <c r="AK110" s="317" t="s">
        <v>2807</v>
      </c>
      <c r="AL110" s="317" t="s">
        <v>2795</v>
      </c>
      <c r="AM110" s="317" t="s">
        <v>2807</v>
      </c>
      <c r="AN110" s="317" t="s">
        <v>2795</v>
      </c>
      <c r="AO110" s="317" t="s">
        <v>2807</v>
      </c>
      <c r="AP110" s="317" t="s">
        <v>561</v>
      </c>
      <c r="AQ110" s="317" t="s">
        <v>561</v>
      </c>
      <c r="AR110" s="317" t="s">
        <v>561</v>
      </c>
      <c r="AS110" s="317" t="s">
        <v>2795</v>
      </c>
      <c r="AT110" s="317" t="s">
        <v>561</v>
      </c>
      <c r="AU110" s="317" t="s">
        <v>561</v>
      </c>
      <c r="AV110" s="317" t="s">
        <v>2795</v>
      </c>
      <c r="AW110" s="317" t="s">
        <v>561</v>
      </c>
      <c r="AX110" s="317" t="s">
        <v>561</v>
      </c>
      <c r="AY110" s="317" t="s">
        <v>561</v>
      </c>
      <c r="AZ110" s="317" t="s">
        <v>561</v>
      </c>
      <c r="BA110" s="317" t="s">
        <v>2806</v>
      </c>
      <c r="BB110" s="317" t="s">
        <v>561</v>
      </c>
      <c r="BC110" s="317" t="s">
        <v>2806</v>
      </c>
      <c r="BD110" s="317" t="s">
        <v>2795</v>
      </c>
      <c r="BE110" s="317" t="s">
        <v>561</v>
      </c>
      <c r="BF110" s="317" t="s">
        <v>561</v>
      </c>
      <c r="BG110" s="317" t="s">
        <v>561</v>
      </c>
      <c r="BH110" s="317" t="s">
        <v>561</v>
      </c>
      <c r="BI110" s="317" t="s">
        <v>561</v>
      </c>
      <c r="BJ110" s="317" t="s">
        <v>561</v>
      </c>
      <c r="BK110" s="317" t="s">
        <v>801</v>
      </c>
      <c r="BL110" s="317" t="s">
        <v>2796</v>
      </c>
      <c r="BM110" s="317" t="s">
        <v>2796</v>
      </c>
      <c r="BN110" s="317" t="s">
        <v>561</v>
      </c>
      <c r="BO110" s="317" t="s">
        <v>2796</v>
      </c>
      <c r="BP110" s="317" t="s">
        <v>2796</v>
      </c>
      <c r="BQ110" s="317" t="s">
        <v>53</v>
      </c>
      <c r="BR110" s="317" t="s">
        <v>53</v>
      </c>
      <c r="BS110" s="317" t="s">
        <v>53</v>
      </c>
      <c r="BT110" s="317" t="s">
        <v>561</v>
      </c>
      <c r="BU110" s="317" t="s">
        <v>53</v>
      </c>
      <c r="BV110" s="317" t="s">
        <v>561</v>
      </c>
      <c r="BW110" s="317" t="s">
        <v>53</v>
      </c>
      <c r="BX110" s="317" t="s">
        <v>561</v>
      </c>
      <c r="BY110" s="317" t="s">
        <v>53</v>
      </c>
      <c r="BZ110" s="317" t="s">
        <v>561</v>
      </c>
      <c r="CA110" s="317" t="s">
        <v>53</v>
      </c>
      <c r="CB110" s="317" t="s">
        <v>561</v>
      </c>
      <c r="CC110" s="317" t="s">
        <v>53</v>
      </c>
      <c r="CD110" s="317" t="s">
        <v>561</v>
      </c>
      <c r="CE110" s="317" t="s">
        <v>561</v>
      </c>
      <c r="CF110" s="317" t="s">
        <v>53</v>
      </c>
      <c r="CG110" s="317" t="s">
        <v>561</v>
      </c>
      <c r="CH110" s="317" t="s">
        <v>561</v>
      </c>
      <c r="CI110" s="317" t="s">
        <v>561</v>
      </c>
      <c r="CJ110" s="317" t="s">
        <v>2796</v>
      </c>
      <c r="CK110" s="317" t="s">
        <v>53</v>
      </c>
      <c r="CL110" s="317" t="s">
        <v>561</v>
      </c>
      <c r="CM110" s="317" t="s">
        <v>561</v>
      </c>
      <c r="CN110" s="317" t="s">
        <v>561</v>
      </c>
      <c r="CO110" s="317" t="s">
        <v>53</v>
      </c>
      <c r="CP110" s="317" t="s">
        <v>561</v>
      </c>
      <c r="CQ110" s="319"/>
      <c r="CR110" s="319">
        <v>1993.0</v>
      </c>
      <c r="CS110" s="342" t="s">
        <v>2476</v>
      </c>
      <c r="CT110" s="334" t="s">
        <v>122</v>
      </c>
      <c r="CU110" s="319" t="s">
        <v>23</v>
      </c>
      <c r="CV110" s="327" t="s">
        <v>28</v>
      </c>
      <c r="CW110" s="319"/>
      <c r="CX110" s="319"/>
      <c r="CY110" s="323">
        <f t="shared" si="24"/>
        <v>0.321</v>
      </c>
      <c r="CZ110" s="324">
        <v>0.653</v>
      </c>
      <c r="DA110" s="323">
        <v>0.332</v>
      </c>
      <c r="DB110" s="323"/>
      <c r="DC110" s="323">
        <f t="shared" si="25"/>
        <v>0.316</v>
      </c>
      <c r="DD110" s="324">
        <v>0.639</v>
      </c>
      <c r="DE110" s="323">
        <v>0.32299999999999995</v>
      </c>
      <c r="DF110" s="323"/>
      <c r="DG110" s="323">
        <v>0.446</v>
      </c>
      <c r="DH110" s="323">
        <v>0.053</v>
      </c>
      <c r="DI110" s="324">
        <v>0.469</v>
      </c>
      <c r="DJ110" s="323">
        <v>0.021</v>
      </c>
      <c r="DK110" s="323">
        <v>0.016</v>
      </c>
      <c r="DL110" s="323">
        <v>0.002</v>
      </c>
      <c r="DM110" s="323"/>
      <c r="DN110" s="323">
        <v>0.258</v>
      </c>
      <c r="DO110" s="323">
        <v>0.364</v>
      </c>
      <c r="DP110" s="323">
        <v>0.289</v>
      </c>
    </row>
    <row r="111">
      <c r="A111" s="311" t="s">
        <v>781</v>
      </c>
      <c r="B111" s="311" t="s">
        <v>782</v>
      </c>
      <c r="C111" s="311" t="s">
        <v>677</v>
      </c>
      <c r="D111" s="311">
        <v>8.0</v>
      </c>
      <c r="E111" s="312">
        <f t="shared" si="19"/>
        <v>0.3333333333</v>
      </c>
      <c r="F111" s="312" t="str">
        <f t="shared" si="20"/>
        <v>#DIV/0!</v>
      </c>
      <c r="G111" s="312" t="str">
        <f t="shared" si="21"/>
        <v>#DIV/0!</v>
      </c>
      <c r="H111" s="312" t="str">
        <f t="shared" si="22"/>
        <v>#DIV/0!</v>
      </c>
      <c r="I111" s="312" t="str">
        <f t="shared" si="66"/>
        <v>#DIV/0!</v>
      </c>
      <c r="J111" s="312" t="str">
        <f t="shared" si="67"/>
        <v>#DIV/0!</v>
      </c>
      <c r="K111" s="312" t="str">
        <f t="shared" si="68"/>
        <v>#DIV/0!</v>
      </c>
      <c r="L111" s="316" t="str">
        <f t="shared" si="23"/>
        <v>#DIV/0!</v>
      </c>
      <c r="M111" s="317" t="s">
        <v>594</v>
      </c>
      <c r="N111" s="317" t="s">
        <v>487</v>
      </c>
      <c r="O111" s="317" t="s">
        <v>594</v>
      </c>
      <c r="P111" s="317" t="s">
        <v>594</v>
      </c>
      <c r="Q111" s="317" t="s">
        <v>594</v>
      </c>
      <c r="R111" s="317" t="s">
        <v>487</v>
      </c>
      <c r="S111" s="318" t="s">
        <v>561</v>
      </c>
      <c r="T111" s="318" t="s">
        <v>561</v>
      </c>
      <c r="U111" s="330" t="s">
        <v>561</v>
      </c>
      <c r="V111" s="330" t="s">
        <v>561</v>
      </c>
      <c r="W111" s="318" t="s">
        <v>2795</v>
      </c>
      <c r="X111" s="340" t="s">
        <v>561</v>
      </c>
      <c r="Y111" s="318" t="s">
        <v>2795</v>
      </c>
      <c r="Z111" s="317" t="s">
        <v>2795</v>
      </c>
      <c r="AA111" s="317" t="s">
        <v>561</v>
      </c>
      <c r="AB111" s="317" t="s">
        <v>561</v>
      </c>
      <c r="AC111" s="317" t="s">
        <v>2795</v>
      </c>
      <c r="AD111" s="317" t="s">
        <v>2795</v>
      </c>
      <c r="AE111" s="317" t="s">
        <v>561</v>
      </c>
      <c r="AF111" s="317" t="s">
        <v>561</v>
      </c>
      <c r="AG111" s="317" t="s">
        <v>561</v>
      </c>
      <c r="AH111" s="317" t="s">
        <v>561</v>
      </c>
      <c r="AI111" s="317" t="s">
        <v>561</v>
      </c>
      <c r="AJ111" s="317" t="s">
        <v>2807</v>
      </c>
      <c r="AK111" s="317" t="s">
        <v>2807</v>
      </c>
      <c r="AL111" s="317" t="s">
        <v>2795</v>
      </c>
      <c r="AM111" s="317" t="s">
        <v>2807</v>
      </c>
      <c r="AN111" s="317" t="s">
        <v>2795</v>
      </c>
      <c r="AO111" s="317" t="s">
        <v>2807</v>
      </c>
      <c r="AP111" s="317" t="s">
        <v>561</v>
      </c>
      <c r="AQ111" s="317" t="s">
        <v>561</v>
      </c>
      <c r="AR111" s="317" t="s">
        <v>561</v>
      </c>
      <c r="AS111" s="317" t="s">
        <v>2807</v>
      </c>
      <c r="AT111" s="317" t="s">
        <v>561</v>
      </c>
      <c r="AU111" s="317" t="s">
        <v>561</v>
      </c>
      <c r="AV111" s="317" t="s">
        <v>2807</v>
      </c>
      <c r="AW111" s="317" t="s">
        <v>561</v>
      </c>
      <c r="AX111" s="317" t="s">
        <v>561</v>
      </c>
      <c r="AY111" s="317" t="s">
        <v>561</v>
      </c>
      <c r="AZ111" s="317" t="s">
        <v>561</v>
      </c>
      <c r="BA111" s="317" t="s">
        <v>2806</v>
      </c>
      <c r="BB111" s="317" t="s">
        <v>561</v>
      </c>
      <c r="BC111" s="317" t="s">
        <v>2796</v>
      </c>
      <c r="BD111" s="317" t="s">
        <v>2795</v>
      </c>
      <c r="BE111" s="317" t="s">
        <v>561</v>
      </c>
      <c r="BF111" s="317" t="s">
        <v>561</v>
      </c>
      <c r="BG111" s="317" t="s">
        <v>561</v>
      </c>
      <c r="BH111" s="317" t="s">
        <v>561</v>
      </c>
      <c r="BI111" s="317" t="s">
        <v>561</v>
      </c>
      <c r="BJ111" s="317" t="s">
        <v>561</v>
      </c>
      <c r="BK111" s="317" t="s">
        <v>561</v>
      </c>
      <c r="BL111" s="317" t="s">
        <v>2806</v>
      </c>
      <c r="BM111" s="317" t="s">
        <v>2796</v>
      </c>
      <c r="BN111" s="317" t="s">
        <v>561</v>
      </c>
      <c r="BO111" s="317" t="s">
        <v>2796</v>
      </c>
      <c r="BP111" s="317" t="s">
        <v>2796</v>
      </c>
      <c r="BQ111" s="317" t="s">
        <v>53</v>
      </c>
      <c r="BR111" s="317" t="s">
        <v>561</v>
      </c>
      <c r="BS111" s="317" t="s">
        <v>561</v>
      </c>
      <c r="BT111" s="317" t="s">
        <v>561</v>
      </c>
      <c r="BU111" s="317" t="s">
        <v>561</v>
      </c>
      <c r="BV111" s="317" t="s">
        <v>561</v>
      </c>
      <c r="BW111" s="317" t="s">
        <v>53</v>
      </c>
      <c r="BX111" s="317" t="s">
        <v>561</v>
      </c>
      <c r="BY111" s="317" t="s">
        <v>53</v>
      </c>
      <c r="BZ111" s="317" t="s">
        <v>561</v>
      </c>
      <c r="CA111" s="317" t="s">
        <v>53</v>
      </c>
      <c r="CB111" s="317" t="s">
        <v>561</v>
      </c>
      <c r="CC111" s="317" t="s">
        <v>561</v>
      </c>
      <c r="CD111" s="317" t="s">
        <v>53</v>
      </c>
      <c r="CE111" s="317" t="s">
        <v>561</v>
      </c>
      <c r="CF111" s="317" t="s">
        <v>53</v>
      </c>
      <c r="CG111" s="317" t="s">
        <v>561</v>
      </c>
      <c r="CH111" s="317" t="s">
        <v>561</v>
      </c>
      <c r="CI111" s="317" t="s">
        <v>561</v>
      </c>
      <c r="CJ111" s="317" t="s">
        <v>2806</v>
      </c>
      <c r="CK111" s="317" t="s">
        <v>561</v>
      </c>
      <c r="CL111" s="317" t="s">
        <v>801</v>
      </c>
      <c r="CM111" s="317" t="s">
        <v>561</v>
      </c>
      <c r="CN111" s="317" t="s">
        <v>561</v>
      </c>
      <c r="CO111" s="317" t="s">
        <v>561</v>
      </c>
      <c r="CP111" s="317" t="s">
        <v>561</v>
      </c>
      <c r="CQ111" s="319"/>
      <c r="CR111" s="319" t="s">
        <v>2576</v>
      </c>
      <c r="CS111" s="342" t="s">
        <v>2476</v>
      </c>
      <c r="CT111" s="319"/>
      <c r="CU111" s="319" t="s">
        <v>23</v>
      </c>
      <c r="CV111" s="332" t="s">
        <v>75</v>
      </c>
      <c r="CW111" s="319"/>
      <c r="CX111" s="319"/>
      <c r="CY111" s="323">
        <f t="shared" si="24"/>
        <v>0.355</v>
      </c>
      <c r="CZ111" s="324">
        <v>0.669</v>
      </c>
      <c r="DA111" s="323">
        <v>0.314</v>
      </c>
      <c r="DB111" s="323"/>
      <c r="DC111" s="323">
        <f t="shared" si="25"/>
        <v>0.276</v>
      </c>
      <c r="DD111" s="324">
        <v>0.605</v>
      </c>
      <c r="DE111" s="323">
        <v>0.32899999999999996</v>
      </c>
      <c r="DF111" s="323"/>
      <c r="DG111" s="324">
        <v>0.691</v>
      </c>
      <c r="DH111" s="323">
        <v>0.06</v>
      </c>
      <c r="DI111" s="323">
        <v>0.12300000000000001</v>
      </c>
      <c r="DJ111" s="323">
        <v>0.102</v>
      </c>
      <c r="DK111" s="323">
        <v>0.009000000000000001</v>
      </c>
      <c r="DL111" s="323">
        <v>0.001</v>
      </c>
      <c r="DM111" s="323"/>
      <c r="DN111" s="323">
        <v>0.493</v>
      </c>
      <c r="DO111" s="324">
        <v>0.53</v>
      </c>
      <c r="DP111" s="323">
        <v>0.364</v>
      </c>
    </row>
    <row r="112">
      <c r="A112" s="311" t="s">
        <v>347</v>
      </c>
      <c r="B112" s="311" t="s">
        <v>789</v>
      </c>
      <c r="C112" s="311" t="s">
        <v>677</v>
      </c>
      <c r="D112" s="311">
        <v>9.0</v>
      </c>
      <c r="E112" s="312">
        <f t="shared" si="19"/>
        <v>0.3333333333</v>
      </c>
      <c r="F112" s="312" t="str">
        <f t="shared" si="20"/>
        <v>#DIV/0!</v>
      </c>
      <c r="G112" s="312" t="str">
        <f t="shared" si="21"/>
        <v>#DIV/0!</v>
      </c>
      <c r="H112" s="312" t="str">
        <f t="shared" si="22"/>
        <v>#DIV/0!</v>
      </c>
      <c r="I112" s="312" t="str">
        <f t="shared" si="66"/>
        <v>#DIV/0!</v>
      </c>
      <c r="J112" s="312" t="str">
        <f t="shared" si="67"/>
        <v>#DIV/0!</v>
      </c>
      <c r="K112" s="312" t="str">
        <f t="shared" si="68"/>
        <v>#DIV/0!</v>
      </c>
      <c r="L112" s="316" t="str">
        <f t="shared" si="23"/>
        <v>#DIV/0!</v>
      </c>
      <c r="M112" s="317" t="s">
        <v>487</v>
      </c>
      <c r="N112" s="317" t="s">
        <v>487</v>
      </c>
      <c r="O112" s="317" t="s">
        <v>594</v>
      </c>
      <c r="P112" s="317" t="s">
        <v>594</v>
      </c>
      <c r="Q112" s="317" t="s">
        <v>594</v>
      </c>
      <c r="R112" s="317" t="s">
        <v>594</v>
      </c>
      <c r="S112" s="318" t="s">
        <v>561</v>
      </c>
      <c r="T112" s="318" t="s">
        <v>561</v>
      </c>
      <c r="U112" s="330" t="s">
        <v>561</v>
      </c>
      <c r="V112" s="330" t="s">
        <v>561</v>
      </c>
      <c r="W112" s="318" t="s">
        <v>2795</v>
      </c>
      <c r="X112" s="340" t="s">
        <v>561</v>
      </c>
      <c r="Y112" s="340" t="s">
        <v>2807</v>
      </c>
      <c r="Z112" s="317" t="s">
        <v>2795</v>
      </c>
      <c r="AA112" s="317" t="s">
        <v>561</v>
      </c>
      <c r="AB112" s="317" t="s">
        <v>561</v>
      </c>
      <c r="AC112" s="317" t="s">
        <v>2795</v>
      </c>
      <c r="AD112" s="317" t="s">
        <v>2795</v>
      </c>
      <c r="AE112" s="317" t="s">
        <v>561</v>
      </c>
      <c r="AF112" s="317" t="s">
        <v>561</v>
      </c>
      <c r="AG112" s="317" t="s">
        <v>561</v>
      </c>
      <c r="AH112" s="317" t="s">
        <v>561</v>
      </c>
      <c r="AI112" s="317" t="s">
        <v>561</v>
      </c>
      <c r="AJ112" s="317" t="s">
        <v>2807</v>
      </c>
      <c r="AK112" s="317" t="s">
        <v>2807</v>
      </c>
      <c r="AL112" s="317" t="s">
        <v>801</v>
      </c>
      <c r="AM112" s="317" t="s">
        <v>2807</v>
      </c>
      <c r="AN112" s="317" t="s">
        <v>2795</v>
      </c>
      <c r="AO112" s="317" t="s">
        <v>2795</v>
      </c>
      <c r="AP112" s="317" t="s">
        <v>561</v>
      </c>
      <c r="AQ112" s="317" t="s">
        <v>561</v>
      </c>
      <c r="AR112" s="317" t="s">
        <v>561</v>
      </c>
      <c r="AS112" s="317" t="s">
        <v>2807</v>
      </c>
      <c r="AT112" s="317" t="s">
        <v>561</v>
      </c>
      <c r="AU112" s="317" t="s">
        <v>561</v>
      </c>
      <c r="AV112" s="317" t="s">
        <v>2807</v>
      </c>
      <c r="AW112" s="317" t="s">
        <v>561</v>
      </c>
      <c r="AX112" s="317" t="s">
        <v>561</v>
      </c>
      <c r="AY112" s="317" t="s">
        <v>561</v>
      </c>
      <c r="AZ112" s="317" t="s">
        <v>561</v>
      </c>
      <c r="BA112" s="317" t="s">
        <v>2796</v>
      </c>
      <c r="BB112" s="317" t="s">
        <v>561</v>
      </c>
      <c r="BC112" s="317" t="s">
        <v>2796</v>
      </c>
      <c r="BD112" s="317" t="s">
        <v>2795</v>
      </c>
      <c r="BE112" s="317" t="s">
        <v>561</v>
      </c>
      <c r="BF112" s="317" t="s">
        <v>561</v>
      </c>
      <c r="BG112" s="317" t="s">
        <v>561</v>
      </c>
      <c r="BH112" s="317" t="s">
        <v>561</v>
      </c>
      <c r="BI112" s="317" t="s">
        <v>561</v>
      </c>
      <c r="BJ112" s="317" t="s">
        <v>561</v>
      </c>
      <c r="BK112" s="317" t="s">
        <v>561</v>
      </c>
      <c r="BL112" s="317" t="s">
        <v>2796</v>
      </c>
      <c r="BM112" s="317" t="s">
        <v>2796</v>
      </c>
      <c r="BN112" s="317" t="s">
        <v>561</v>
      </c>
      <c r="BO112" s="317" t="s">
        <v>2796</v>
      </c>
      <c r="BP112" s="317" t="s">
        <v>2806</v>
      </c>
      <c r="BQ112" s="317" t="s">
        <v>53</v>
      </c>
      <c r="BR112" s="317" t="s">
        <v>561</v>
      </c>
      <c r="BS112" s="317" t="s">
        <v>561</v>
      </c>
      <c r="BT112" s="317" t="s">
        <v>561</v>
      </c>
      <c r="BU112" s="317" t="s">
        <v>561</v>
      </c>
      <c r="BV112" s="317" t="s">
        <v>561</v>
      </c>
      <c r="BW112" s="317" t="s">
        <v>53</v>
      </c>
      <c r="BX112" s="317" t="s">
        <v>561</v>
      </c>
      <c r="BY112" s="317" t="s">
        <v>53</v>
      </c>
      <c r="BZ112" s="317" t="s">
        <v>561</v>
      </c>
      <c r="CA112" s="317" t="s">
        <v>53</v>
      </c>
      <c r="CB112" s="317" t="s">
        <v>561</v>
      </c>
      <c r="CC112" s="317" t="s">
        <v>561</v>
      </c>
      <c r="CD112" s="317" t="s">
        <v>561</v>
      </c>
      <c r="CE112" s="317" t="s">
        <v>561</v>
      </c>
      <c r="CF112" s="317" t="s">
        <v>53</v>
      </c>
      <c r="CG112" s="317" t="s">
        <v>561</v>
      </c>
      <c r="CH112" s="317" t="s">
        <v>561</v>
      </c>
      <c r="CI112" s="317" t="s">
        <v>561</v>
      </c>
      <c r="CJ112" s="317" t="s">
        <v>2806</v>
      </c>
      <c r="CK112" s="317" t="s">
        <v>561</v>
      </c>
      <c r="CL112" s="317" t="s">
        <v>561</v>
      </c>
      <c r="CM112" s="317" t="s">
        <v>561</v>
      </c>
      <c r="CN112" s="317" t="s">
        <v>561</v>
      </c>
      <c r="CO112" s="317" t="s">
        <v>561</v>
      </c>
      <c r="CP112" s="317" t="s">
        <v>561</v>
      </c>
      <c r="CQ112" s="319"/>
      <c r="CR112" s="319">
        <v>2011.0</v>
      </c>
      <c r="CS112" s="343" t="s">
        <v>1569</v>
      </c>
      <c r="CT112" s="334" t="s">
        <v>122</v>
      </c>
      <c r="CU112" s="326" t="s">
        <v>2476</v>
      </c>
      <c r="CV112" s="332" t="s">
        <v>75</v>
      </c>
      <c r="CW112" s="319"/>
      <c r="CX112" s="319"/>
      <c r="CY112" s="323">
        <f t="shared" si="24"/>
        <v>0.182</v>
      </c>
      <c r="CZ112" s="324">
        <v>0.5820000000000001</v>
      </c>
      <c r="DA112" s="323">
        <v>0.4</v>
      </c>
      <c r="DB112" s="323"/>
      <c r="DC112" s="323">
        <f t="shared" si="25"/>
        <v>0.099</v>
      </c>
      <c r="DD112" s="324">
        <v>0.514</v>
      </c>
      <c r="DE112" s="323">
        <v>0.415</v>
      </c>
      <c r="DF112" s="323"/>
      <c r="DG112" s="324">
        <v>0.852</v>
      </c>
      <c r="DH112" s="323">
        <v>0.048</v>
      </c>
      <c r="DI112" s="323">
        <v>0.045</v>
      </c>
      <c r="DJ112" s="323">
        <v>0.017</v>
      </c>
      <c r="DK112" s="323">
        <v>0.013000000000000001</v>
      </c>
      <c r="DL112" s="323">
        <v>0.001</v>
      </c>
      <c r="DM112" s="323"/>
      <c r="DN112" s="323">
        <v>0.392</v>
      </c>
      <c r="DO112" s="323">
        <v>0.409</v>
      </c>
      <c r="DP112" s="324">
        <v>0.539</v>
      </c>
    </row>
    <row r="113">
      <c r="A113" s="311" t="s">
        <v>120</v>
      </c>
      <c r="B113" s="311" t="s">
        <v>409</v>
      </c>
      <c r="C113" s="311" t="s">
        <v>1083</v>
      </c>
      <c r="D113" s="311">
        <v>1.0</v>
      </c>
      <c r="E113" s="312">
        <f t="shared" si="19"/>
        <v>0.1666666667</v>
      </c>
      <c r="F113" s="312" t="str">
        <f t="shared" si="20"/>
        <v>#DIV/0!</v>
      </c>
      <c r="G113" s="312" t="str">
        <f t="shared" si="21"/>
        <v>#DIV/0!</v>
      </c>
      <c r="H113" s="312" t="str">
        <f t="shared" si="22"/>
        <v>#DIV/0!</v>
      </c>
      <c r="I113" s="312" t="str">
        <f t="shared" si="66"/>
        <v>#DIV/0!</v>
      </c>
      <c r="J113" s="312" t="str">
        <f t="shared" si="67"/>
        <v>#DIV/0!</v>
      </c>
      <c r="K113" s="312" t="str">
        <f t="shared" si="68"/>
        <v>#DIV/0!</v>
      </c>
      <c r="L113" s="316" t="str">
        <f t="shared" si="23"/>
        <v>#DIV/0!</v>
      </c>
      <c r="M113" s="317" t="s">
        <v>594</v>
      </c>
      <c r="N113" s="317" t="s">
        <v>487</v>
      </c>
      <c r="O113" s="317" t="s">
        <v>594</v>
      </c>
      <c r="P113" s="317" t="s">
        <v>594</v>
      </c>
      <c r="Q113" s="317" t="s">
        <v>594</v>
      </c>
      <c r="R113" s="317" t="s">
        <v>594</v>
      </c>
      <c r="S113" s="318" t="s">
        <v>561</v>
      </c>
      <c r="T113" s="318" t="s">
        <v>561</v>
      </c>
      <c r="U113" s="330" t="s">
        <v>561</v>
      </c>
      <c r="V113" s="330" t="s">
        <v>561</v>
      </c>
      <c r="W113" s="318" t="s">
        <v>2795</v>
      </c>
      <c r="X113" s="340" t="s">
        <v>561</v>
      </c>
      <c r="Y113" s="340" t="s">
        <v>2807</v>
      </c>
      <c r="Z113" s="317" t="s">
        <v>2795</v>
      </c>
      <c r="AA113" s="317" t="s">
        <v>561</v>
      </c>
      <c r="AB113" s="317" t="s">
        <v>53</v>
      </c>
      <c r="AC113" s="317" t="s">
        <v>2795</v>
      </c>
      <c r="AD113" s="317" t="s">
        <v>2795</v>
      </c>
      <c r="AE113" s="317" t="s">
        <v>561</v>
      </c>
      <c r="AF113" s="317" t="s">
        <v>561</v>
      </c>
      <c r="AG113" s="317" t="s">
        <v>561</v>
      </c>
      <c r="AH113" s="317" t="s">
        <v>561</v>
      </c>
      <c r="AI113" s="317" t="s">
        <v>561</v>
      </c>
      <c r="AJ113" s="317" t="s">
        <v>2807</v>
      </c>
      <c r="AK113" s="317" t="s">
        <v>2807</v>
      </c>
      <c r="AL113" s="317" t="s">
        <v>2807</v>
      </c>
      <c r="AM113" s="317" t="s">
        <v>2795</v>
      </c>
      <c r="AN113" s="317" t="s">
        <v>2795</v>
      </c>
      <c r="AO113" s="317" t="s">
        <v>2795</v>
      </c>
      <c r="AP113" s="317" t="s">
        <v>561</v>
      </c>
      <c r="AQ113" s="317" t="s">
        <v>561</v>
      </c>
      <c r="AR113" s="317" t="s">
        <v>561</v>
      </c>
      <c r="AS113" s="317" t="s">
        <v>2795</v>
      </c>
      <c r="AT113" s="317" t="s">
        <v>561</v>
      </c>
      <c r="AU113" s="317" t="s">
        <v>53</v>
      </c>
      <c r="AV113" s="317" t="s">
        <v>2807</v>
      </c>
      <c r="AW113" s="317" t="s">
        <v>561</v>
      </c>
      <c r="AX113" s="317" t="s">
        <v>561</v>
      </c>
      <c r="AY113" s="317" t="s">
        <v>561</v>
      </c>
      <c r="AZ113" s="317" t="s">
        <v>561</v>
      </c>
      <c r="BA113" s="317" t="s">
        <v>2806</v>
      </c>
      <c r="BB113" s="317" t="s">
        <v>561</v>
      </c>
      <c r="BC113" s="317" t="s">
        <v>2806</v>
      </c>
      <c r="BD113" s="317" t="s">
        <v>2795</v>
      </c>
      <c r="BE113" s="317" t="s">
        <v>561</v>
      </c>
      <c r="BF113" s="317" t="s">
        <v>561</v>
      </c>
      <c r="BG113" s="317" t="s">
        <v>561</v>
      </c>
      <c r="BH113" s="317" t="s">
        <v>561</v>
      </c>
      <c r="BI113" s="317" t="s">
        <v>561</v>
      </c>
      <c r="BJ113" s="317" t="s">
        <v>561</v>
      </c>
      <c r="BK113" s="317" t="s">
        <v>561</v>
      </c>
      <c r="BL113" s="317" t="s">
        <v>2796</v>
      </c>
      <c r="BM113" s="317" t="s">
        <v>2796</v>
      </c>
      <c r="BN113" s="317" t="s">
        <v>561</v>
      </c>
      <c r="BO113" s="317" t="s">
        <v>2796</v>
      </c>
      <c r="BP113" s="317" t="s">
        <v>2796</v>
      </c>
      <c r="BQ113" s="317" t="s">
        <v>53</v>
      </c>
      <c r="BR113" s="317" t="s">
        <v>561</v>
      </c>
      <c r="BS113" s="317" t="s">
        <v>53</v>
      </c>
      <c r="BT113" s="317" t="s">
        <v>561</v>
      </c>
      <c r="BU113" s="317" t="s">
        <v>801</v>
      </c>
      <c r="BV113" s="317" t="s">
        <v>561</v>
      </c>
      <c r="BW113" s="317" t="s">
        <v>53</v>
      </c>
      <c r="BX113" s="317" t="s">
        <v>561</v>
      </c>
      <c r="BY113" s="317" t="s">
        <v>53</v>
      </c>
      <c r="BZ113" s="317" t="s">
        <v>561</v>
      </c>
      <c r="CA113" s="317" t="s">
        <v>53</v>
      </c>
      <c r="CB113" s="317" t="s">
        <v>561</v>
      </c>
      <c r="CC113" s="317" t="s">
        <v>561</v>
      </c>
      <c r="CD113" s="317" t="s">
        <v>561</v>
      </c>
      <c r="CE113" s="317" t="s">
        <v>561</v>
      </c>
      <c r="CF113" s="317" t="s">
        <v>53</v>
      </c>
      <c r="CG113" s="317" t="s">
        <v>801</v>
      </c>
      <c r="CH113" s="317" t="s">
        <v>561</v>
      </c>
      <c r="CI113" s="317" t="s">
        <v>561</v>
      </c>
      <c r="CJ113" s="317" t="s">
        <v>2806</v>
      </c>
      <c r="CK113" s="317" t="s">
        <v>561</v>
      </c>
      <c r="CL113" s="317" t="s">
        <v>561</v>
      </c>
      <c r="CM113" s="317" t="s">
        <v>561</v>
      </c>
      <c r="CN113" s="317" t="s">
        <v>561</v>
      </c>
      <c r="CO113" s="317" t="s">
        <v>561</v>
      </c>
      <c r="CP113" s="317" t="s">
        <v>561</v>
      </c>
      <c r="CQ113" s="319"/>
      <c r="CR113" s="319">
        <v>1999.0</v>
      </c>
      <c r="CS113" s="342" t="s">
        <v>2476</v>
      </c>
      <c r="CT113" s="334" t="s">
        <v>2030</v>
      </c>
      <c r="CU113" s="326" t="s">
        <v>2476</v>
      </c>
      <c r="CV113" s="332" t="s">
        <v>75</v>
      </c>
      <c r="CW113" s="319"/>
      <c r="CX113" s="319"/>
      <c r="CY113" s="323">
        <f t="shared" si="24"/>
        <v>0.281</v>
      </c>
      <c r="CZ113" s="324">
        <v>0.633</v>
      </c>
      <c r="DA113" s="323">
        <v>0.35200000000000004</v>
      </c>
      <c r="DB113" s="323"/>
      <c r="DC113" s="323">
        <f t="shared" si="25"/>
        <v>0.232</v>
      </c>
      <c r="DD113" s="324">
        <v>0.594</v>
      </c>
      <c r="DE113" s="323">
        <v>0.36200000000000004</v>
      </c>
      <c r="DF113" s="323"/>
      <c r="DG113" s="324">
        <v>0.609</v>
      </c>
      <c r="DH113" s="323">
        <v>0.155</v>
      </c>
      <c r="DI113" s="323">
        <v>0.16899999999999998</v>
      </c>
      <c r="DJ113" s="323">
        <v>0.062</v>
      </c>
      <c r="DK113" s="323">
        <v>0.015</v>
      </c>
      <c r="DL113" s="323">
        <v>0.001</v>
      </c>
      <c r="DM113" s="323"/>
      <c r="DN113" s="323">
        <v>0.37200000000000005</v>
      </c>
      <c r="DO113" s="323">
        <v>0.423</v>
      </c>
      <c r="DP113" s="323">
        <v>0.385</v>
      </c>
    </row>
    <row r="114">
      <c r="A114" s="311" t="s">
        <v>1479</v>
      </c>
      <c r="B114" s="311" t="s">
        <v>731</v>
      </c>
      <c r="C114" s="311" t="s">
        <v>677</v>
      </c>
      <c r="D114" s="311">
        <v>1.0</v>
      </c>
      <c r="E114" s="312">
        <f t="shared" si="19"/>
        <v>0</v>
      </c>
      <c r="F114" s="312" t="str">
        <f t="shared" si="20"/>
        <v>#DIV/0!</v>
      </c>
      <c r="G114" s="312" t="str">
        <f t="shared" si="21"/>
        <v>#DIV/0!</v>
      </c>
      <c r="H114" s="312" t="str">
        <f t="shared" si="22"/>
        <v>#DIV/0!</v>
      </c>
      <c r="I114" s="312" t="str">
        <f t="shared" si="66"/>
        <v>#DIV/0!</v>
      </c>
      <c r="J114" s="312" t="str">
        <f t="shared" si="67"/>
        <v>#DIV/0!</v>
      </c>
      <c r="K114" s="312" t="str">
        <f t="shared" si="68"/>
        <v>#DIV/0!</v>
      </c>
      <c r="L114" s="316" t="str">
        <f t="shared" si="23"/>
        <v>#DIV/0!</v>
      </c>
      <c r="M114" s="317" t="s">
        <v>594</v>
      </c>
      <c r="N114" s="317" t="s">
        <v>594</v>
      </c>
      <c r="O114" s="317" t="s">
        <v>594</v>
      </c>
      <c r="P114" s="317" t="s">
        <v>594</v>
      </c>
      <c r="Q114" s="317" t="s">
        <v>594</v>
      </c>
      <c r="R114" s="317" t="s">
        <v>594</v>
      </c>
      <c r="S114" s="318" t="s">
        <v>561</v>
      </c>
      <c r="T114" s="318" t="s">
        <v>561</v>
      </c>
      <c r="U114" s="330" t="s">
        <v>561</v>
      </c>
      <c r="V114" s="330" t="s">
        <v>561</v>
      </c>
      <c r="W114" s="318" t="s">
        <v>2795</v>
      </c>
      <c r="X114" s="340" t="s">
        <v>561</v>
      </c>
      <c r="Y114" s="340" t="s">
        <v>2807</v>
      </c>
      <c r="Z114" s="317" t="s">
        <v>2795</v>
      </c>
      <c r="AA114" s="317" t="s">
        <v>561</v>
      </c>
      <c r="AB114" s="317" t="s">
        <v>53</v>
      </c>
      <c r="AC114" s="317" t="s">
        <v>2795</v>
      </c>
      <c r="AD114" s="317" t="s">
        <v>2795</v>
      </c>
      <c r="AE114" s="317" t="s">
        <v>561</v>
      </c>
      <c r="AF114" s="317" t="s">
        <v>561</v>
      </c>
      <c r="AG114" s="317" t="s">
        <v>561</v>
      </c>
      <c r="AH114" s="317" t="s">
        <v>561</v>
      </c>
      <c r="AI114" s="317" t="s">
        <v>561</v>
      </c>
      <c r="AJ114" s="317" t="s">
        <v>2807</v>
      </c>
      <c r="AK114" s="317" t="s">
        <v>2807</v>
      </c>
      <c r="AL114" s="317" t="s">
        <v>2795</v>
      </c>
      <c r="AM114" s="317" t="s">
        <v>2807</v>
      </c>
      <c r="AN114" s="317" t="s">
        <v>2795</v>
      </c>
      <c r="AO114" s="317" t="s">
        <v>2795</v>
      </c>
      <c r="AP114" s="317" t="s">
        <v>561</v>
      </c>
      <c r="AQ114" s="317" t="s">
        <v>561</v>
      </c>
      <c r="AR114" s="317" t="s">
        <v>561</v>
      </c>
      <c r="AS114" s="317" t="s">
        <v>2807</v>
      </c>
      <c r="AT114" s="317" t="s">
        <v>561</v>
      </c>
      <c r="AU114" s="317" t="s">
        <v>561</v>
      </c>
      <c r="AV114" s="317" t="s">
        <v>2795</v>
      </c>
      <c r="AW114" s="317" t="s">
        <v>561</v>
      </c>
      <c r="AX114" s="317" t="s">
        <v>561</v>
      </c>
      <c r="AY114" s="317" t="s">
        <v>561</v>
      </c>
      <c r="AZ114" s="317" t="s">
        <v>561</v>
      </c>
      <c r="BA114" s="317" t="s">
        <v>2796</v>
      </c>
      <c r="BB114" s="317" t="s">
        <v>561</v>
      </c>
      <c r="BC114" s="317" t="s">
        <v>2796</v>
      </c>
      <c r="BD114" s="317" t="s">
        <v>2795</v>
      </c>
      <c r="BE114" s="317" t="s">
        <v>561</v>
      </c>
      <c r="BF114" s="317" t="s">
        <v>561</v>
      </c>
      <c r="BG114" s="317" t="s">
        <v>561</v>
      </c>
      <c r="BH114" s="317" t="s">
        <v>561</v>
      </c>
      <c r="BI114" s="317" t="s">
        <v>561</v>
      </c>
      <c r="BJ114" s="317" t="s">
        <v>561</v>
      </c>
      <c r="BK114" s="317" t="s">
        <v>561</v>
      </c>
      <c r="BL114" s="317" t="s">
        <v>2796</v>
      </c>
      <c r="BM114" s="317" t="s">
        <v>2796</v>
      </c>
      <c r="BN114" s="317" t="s">
        <v>561</v>
      </c>
      <c r="BO114" s="317" t="s">
        <v>2796</v>
      </c>
      <c r="BP114" s="317" t="s">
        <v>2796</v>
      </c>
      <c r="BQ114" s="317" t="s">
        <v>53</v>
      </c>
      <c r="BR114" s="317" t="s">
        <v>53</v>
      </c>
      <c r="BS114" s="317" t="s">
        <v>53</v>
      </c>
      <c r="BT114" s="317" t="s">
        <v>561</v>
      </c>
      <c r="BU114" s="317" t="s">
        <v>801</v>
      </c>
      <c r="BV114" s="317" t="s">
        <v>561</v>
      </c>
      <c r="BW114" s="317" t="s">
        <v>53</v>
      </c>
      <c r="BX114" s="317" t="s">
        <v>561</v>
      </c>
      <c r="BY114" s="317" t="s">
        <v>53</v>
      </c>
      <c r="BZ114" s="317" t="s">
        <v>561</v>
      </c>
      <c r="CA114" s="317" t="s">
        <v>53</v>
      </c>
      <c r="CB114" s="317" t="s">
        <v>561</v>
      </c>
      <c r="CC114" s="317" t="s">
        <v>561</v>
      </c>
      <c r="CD114" s="317" t="s">
        <v>561</v>
      </c>
      <c r="CE114" s="317" t="s">
        <v>561</v>
      </c>
      <c r="CF114" s="317" t="s">
        <v>53</v>
      </c>
      <c r="CG114" s="317" t="s">
        <v>561</v>
      </c>
      <c r="CH114" s="317" t="s">
        <v>561</v>
      </c>
      <c r="CI114" s="317" t="s">
        <v>53</v>
      </c>
      <c r="CJ114" s="317" t="s">
        <v>2806</v>
      </c>
      <c r="CK114" s="317" t="s">
        <v>561</v>
      </c>
      <c r="CL114" s="317" t="s">
        <v>561</v>
      </c>
      <c r="CM114" s="317" t="s">
        <v>561</v>
      </c>
      <c r="CN114" s="317" t="s">
        <v>561</v>
      </c>
      <c r="CO114" s="317" t="s">
        <v>561</v>
      </c>
      <c r="CP114" s="317" t="s">
        <v>53</v>
      </c>
      <c r="CQ114" s="319"/>
      <c r="CR114" s="319">
        <v>1989.0</v>
      </c>
      <c r="CS114" s="342" t="s">
        <v>2476</v>
      </c>
      <c r="CT114" s="334" t="s">
        <v>122</v>
      </c>
      <c r="CU114" s="319" t="s">
        <v>676</v>
      </c>
      <c r="CV114" s="332" t="s">
        <v>75</v>
      </c>
      <c r="CW114" s="319"/>
      <c r="CX114" s="319"/>
      <c r="CY114" s="323">
        <f t="shared" si="24"/>
        <v>0.216</v>
      </c>
      <c r="CZ114" s="324">
        <v>0.598</v>
      </c>
      <c r="DA114" s="323">
        <v>0.382</v>
      </c>
      <c r="DB114" s="323"/>
      <c r="DC114" s="323">
        <f t="shared" si="25"/>
        <v>0.175</v>
      </c>
      <c r="DD114" s="324">
        <v>0.5489999999999999</v>
      </c>
      <c r="DE114" s="323">
        <v>0.374</v>
      </c>
      <c r="DF114" s="323"/>
      <c r="DG114" s="324">
        <v>0.732</v>
      </c>
      <c r="DH114" s="323">
        <v>0.158</v>
      </c>
      <c r="DI114" s="323">
        <v>0.073</v>
      </c>
      <c r="DJ114" s="323">
        <v>0.027000000000000003</v>
      </c>
      <c r="DK114" s="323">
        <v>0.018000000000000002</v>
      </c>
      <c r="DL114" s="323">
        <v>0.002</v>
      </c>
      <c r="DM114" s="323"/>
      <c r="DN114" s="323">
        <v>0.301</v>
      </c>
      <c r="DO114" s="323">
        <v>0.332</v>
      </c>
      <c r="DP114" s="324">
        <v>0.516</v>
      </c>
    </row>
    <row r="115">
      <c r="A115" s="311" t="s">
        <v>1297</v>
      </c>
      <c r="B115" s="311" t="s">
        <v>1298</v>
      </c>
      <c r="C115" s="311" t="s">
        <v>2824</v>
      </c>
      <c r="D115" s="311">
        <v>33.0</v>
      </c>
      <c r="E115" s="312">
        <f t="shared" si="19"/>
        <v>0.1666666667</v>
      </c>
      <c r="F115" s="312">
        <f t="shared" si="20"/>
        <v>0.5</v>
      </c>
      <c r="G115" s="312" t="str">
        <f t="shared" si="21"/>
        <v>#DIV/0!</v>
      </c>
      <c r="H115" s="312" t="str">
        <f t="shared" si="22"/>
        <v>#DIV/0!</v>
      </c>
      <c r="I115" s="312" t="str">
        <f t="shared" si="66"/>
        <v>#DIV/0!</v>
      </c>
      <c r="J115" s="312">
        <f t="shared" si="67"/>
        <v>0.5</v>
      </c>
      <c r="K115" s="312" t="str">
        <f t="shared" si="68"/>
        <v>#DIV/0!</v>
      </c>
      <c r="L115" s="316" t="str">
        <f t="shared" si="23"/>
        <v>#DIV/0!</v>
      </c>
      <c r="M115" s="317" t="s">
        <v>487</v>
      </c>
      <c r="N115" s="317" t="s">
        <v>594</v>
      </c>
      <c r="O115" s="317" t="s">
        <v>594</v>
      </c>
      <c r="P115" s="317" t="s">
        <v>594</v>
      </c>
      <c r="Q115" s="317" t="s">
        <v>594</v>
      </c>
      <c r="R115" s="317" t="s">
        <v>594</v>
      </c>
      <c r="S115" s="318" t="s">
        <v>561</v>
      </c>
      <c r="T115" s="318" t="s">
        <v>561</v>
      </c>
      <c r="U115" s="330" t="s">
        <v>561</v>
      </c>
      <c r="V115" s="330" t="s">
        <v>561</v>
      </c>
      <c r="W115" s="340" t="s">
        <v>2807</v>
      </c>
      <c r="X115" s="340" t="s">
        <v>561</v>
      </c>
      <c r="Y115" s="340" t="s">
        <v>2807</v>
      </c>
      <c r="Z115" s="317" t="s">
        <v>2795</v>
      </c>
      <c r="AA115" s="317" t="s">
        <v>561</v>
      </c>
      <c r="AB115" s="317" t="s">
        <v>561</v>
      </c>
      <c r="AC115" s="317" t="s">
        <v>2795</v>
      </c>
      <c r="AD115" s="317" t="s">
        <v>2795</v>
      </c>
      <c r="AE115" s="317" t="s">
        <v>561</v>
      </c>
      <c r="AF115" s="317" t="s">
        <v>561</v>
      </c>
      <c r="AG115" s="317" t="s">
        <v>561</v>
      </c>
      <c r="AH115" s="317" t="s">
        <v>561</v>
      </c>
      <c r="AI115" s="317" t="s">
        <v>561</v>
      </c>
      <c r="AJ115" s="317" t="s">
        <v>2807</v>
      </c>
      <c r="AK115" s="317" t="s">
        <v>2807</v>
      </c>
      <c r="AL115" s="317" t="s">
        <v>2807</v>
      </c>
      <c r="AM115" s="317" t="s">
        <v>2807</v>
      </c>
      <c r="AN115" s="317" t="s">
        <v>2795</v>
      </c>
      <c r="AO115" s="317" t="s">
        <v>2795</v>
      </c>
      <c r="AP115" s="317" t="s">
        <v>561</v>
      </c>
      <c r="AQ115" s="317" t="s">
        <v>561</v>
      </c>
      <c r="AR115" s="317" t="s">
        <v>561</v>
      </c>
      <c r="AS115" s="317" t="s">
        <v>2795</v>
      </c>
      <c r="AT115" s="317" t="s">
        <v>561</v>
      </c>
      <c r="AU115" s="317" t="s">
        <v>561</v>
      </c>
      <c r="AV115" s="317" t="s">
        <v>2807</v>
      </c>
      <c r="AW115" s="317" t="s">
        <v>561</v>
      </c>
      <c r="AX115" s="317" t="s">
        <v>561</v>
      </c>
      <c r="AY115" s="317" t="s">
        <v>561</v>
      </c>
      <c r="AZ115" s="317" t="s">
        <v>561</v>
      </c>
      <c r="BA115" s="317" t="s">
        <v>2806</v>
      </c>
      <c r="BB115" s="317" t="s">
        <v>561</v>
      </c>
      <c r="BC115" s="317" t="s">
        <v>2806</v>
      </c>
      <c r="BD115" s="317" t="s">
        <v>2795</v>
      </c>
      <c r="BE115" s="317" t="s">
        <v>561</v>
      </c>
      <c r="BF115" s="317" t="s">
        <v>561</v>
      </c>
      <c r="BG115" s="317" t="s">
        <v>561</v>
      </c>
      <c r="BH115" s="317" t="s">
        <v>561</v>
      </c>
      <c r="BI115" s="317" t="s">
        <v>561</v>
      </c>
      <c r="BJ115" s="317" t="s">
        <v>561</v>
      </c>
      <c r="BK115" s="317" t="s">
        <v>561</v>
      </c>
      <c r="BL115" s="317" t="s">
        <v>2796</v>
      </c>
      <c r="BM115" s="317" t="s">
        <v>2796</v>
      </c>
      <c r="BN115" s="317" t="s">
        <v>53</v>
      </c>
      <c r="BO115" s="317" t="s">
        <v>2796</v>
      </c>
      <c r="BP115" s="317" t="s">
        <v>2806</v>
      </c>
      <c r="BQ115" s="317" t="s">
        <v>53</v>
      </c>
      <c r="BR115" s="317" t="s">
        <v>53</v>
      </c>
      <c r="BS115" s="317" t="s">
        <v>53</v>
      </c>
      <c r="BT115" s="317" t="s">
        <v>561</v>
      </c>
      <c r="BU115" s="317" t="s">
        <v>53</v>
      </c>
      <c r="BV115" s="317" t="s">
        <v>561</v>
      </c>
      <c r="BW115" s="317" t="s">
        <v>561</v>
      </c>
      <c r="BX115" s="317" t="s">
        <v>561</v>
      </c>
      <c r="BY115" s="317" t="s">
        <v>561</v>
      </c>
      <c r="BZ115" s="317" t="s">
        <v>561</v>
      </c>
      <c r="CA115" s="317" t="s">
        <v>53</v>
      </c>
      <c r="CB115" s="317" t="s">
        <v>799</v>
      </c>
      <c r="CC115" s="317" t="s">
        <v>799</v>
      </c>
      <c r="CD115" s="317" t="s">
        <v>561</v>
      </c>
      <c r="CE115" s="317" t="s">
        <v>561</v>
      </c>
      <c r="CF115" s="317" t="s">
        <v>53</v>
      </c>
      <c r="CG115" s="317" t="s">
        <v>561</v>
      </c>
      <c r="CH115" s="317" t="s">
        <v>53</v>
      </c>
      <c r="CI115" s="317" t="s">
        <v>561</v>
      </c>
      <c r="CJ115" s="317" t="s">
        <v>2806</v>
      </c>
      <c r="CK115" s="317" t="s">
        <v>53</v>
      </c>
      <c r="CL115" s="317" t="s">
        <v>561</v>
      </c>
      <c r="CM115" s="317" t="s">
        <v>561</v>
      </c>
      <c r="CN115" s="317" t="s">
        <v>561</v>
      </c>
      <c r="CO115" s="317" t="s">
        <v>53</v>
      </c>
      <c r="CP115" s="317" t="s">
        <v>561</v>
      </c>
      <c r="CQ115" s="319"/>
      <c r="CR115" s="319">
        <v>2013.0</v>
      </c>
      <c r="CS115" s="343" t="s">
        <v>1569</v>
      </c>
      <c r="CT115" s="334" t="s">
        <v>122</v>
      </c>
      <c r="CU115" s="319" t="s">
        <v>23</v>
      </c>
      <c r="CV115" s="327" t="s">
        <v>28</v>
      </c>
      <c r="CW115" s="319"/>
      <c r="CX115" s="319"/>
      <c r="CY115" s="323">
        <f t="shared" si="24"/>
        <v>0.498</v>
      </c>
      <c r="CZ115" s="324">
        <v>0.742</v>
      </c>
      <c r="DA115" s="323">
        <v>0.244</v>
      </c>
      <c r="DB115" s="323"/>
      <c r="DC115" s="323">
        <f t="shared" si="25"/>
        <v>0.515</v>
      </c>
      <c r="DD115" s="324">
        <v>0.7390000000000001</v>
      </c>
      <c r="DE115" s="323">
        <v>0.22399999999999998</v>
      </c>
      <c r="DF115" s="323"/>
      <c r="DG115" s="323">
        <v>0.158</v>
      </c>
      <c r="DH115" s="324">
        <v>0.545</v>
      </c>
      <c r="DI115" s="323">
        <v>0.204</v>
      </c>
      <c r="DJ115" s="323">
        <v>0.087</v>
      </c>
      <c r="DK115" s="323">
        <v>0.027000000000000003</v>
      </c>
      <c r="DL115" s="323">
        <v>0.002</v>
      </c>
      <c r="DM115" s="323"/>
      <c r="DN115" s="323">
        <v>0.204</v>
      </c>
      <c r="DO115" s="323">
        <v>0.34700000000000003</v>
      </c>
      <c r="DP115" s="323">
        <v>0.157</v>
      </c>
    </row>
    <row r="116">
      <c r="A116" s="311" t="s">
        <v>191</v>
      </c>
      <c r="B116" s="311" t="s">
        <v>192</v>
      </c>
      <c r="C116" s="311" t="s">
        <v>1197</v>
      </c>
      <c r="D116" s="311">
        <v>19.0</v>
      </c>
      <c r="E116" s="312">
        <f t="shared" si="19"/>
        <v>0.3333333333</v>
      </c>
      <c r="F116" s="312" t="str">
        <f t="shared" si="20"/>
        <v>#DIV/0!</v>
      </c>
      <c r="G116" s="312" t="str">
        <f t="shared" si="21"/>
        <v>#DIV/0!</v>
      </c>
      <c r="H116" s="312" t="str">
        <f t="shared" si="22"/>
        <v>#DIV/0!</v>
      </c>
      <c r="I116" s="312" t="str">
        <f t="shared" si="66"/>
        <v>#DIV/0!</v>
      </c>
      <c r="J116" s="312" t="str">
        <f t="shared" si="67"/>
        <v>#DIV/0!</v>
      </c>
      <c r="K116" s="315" t="s">
        <v>2794</v>
      </c>
      <c r="L116" s="316" t="str">
        <f t="shared" si="23"/>
        <v>#DIV/0!</v>
      </c>
      <c r="M116" s="317" t="s">
        <v>487</v>
      </c>
      <c r="N116" s="317" t="s">
        <v>487</v>
      </c>
      <c r="O116" s="317" t="s">
        <v>594</v>
      </c>
      <c r="P116" s="317" t="s">
        <v>594</v>
      </c>
      <c r="Q116" s="317" t="s">
        <v>594</v>
      </c>
      <c r="R116" s="317" t="s">
        <v>594</v>
      </c>
      <c r="S116" s="318" t="s">
        <v>561</v>
      </c>
      <c r="T116" s="318" t="s">
        <v>561</v>
      </c>
      <c r="U116" s="330" t="s">
        <v>561</v>
      </c>
      <c r="V116" s="330" t="s">
        <v>561</v>
      </c>
      <c r="W116" s="318" t="s">
        <v>2795</v>
      </c>
      <c r="X116" s="340" t="s">
        <v>561</v>
      </c>
      <c r="Y116" s="318" t="s">
        <v>2795</v>
      </c>
      <c r="Z116" s="317" t="s">
        <v>2807</v>
      </c>
      <c r="AA116" s="317" t="s">
        <v>561</v>
      </c>
      <c r="AB116" s="317" t="s">
        <v>561</v>
      </c>
      <c r="AC116" s="317" t="s">
        <v>2807</v>
      </c>
      <c r="AD116" s="317" t="s">
        <v>2795</v>
      </c>
      <c r="AE116" s="317" t="s">
        <v>561</v>
      </c>
      <c r="AF116" s="317" t="s">
        <v>561</v>
      </c>
      <c r="AG116" s="317" t="s">
        <v>561</v>
      </c>
      <c r="AH116" s="317" t="s">
        <v>561</v>
      </c>
      <c r="AI116" s="317" t="s">
        <v>561</v>
      </c>
      <c r="AJ116" s="317" t="s">
        <v>2795</v>
      </c>
      <c r="AK116" s="317" t="s">
        <v>2807</v>
      </c>
      <c r="AL116" s="317" t="s">
        <v>2807</v>
      </c>
      <c r="AM116" s="317" t="s">
        <v>2807</v>
      </c>
      <c r="AN116" s="317" t="s">
        <v>2795</v>
      </c>
      <c r="AO116" s="317" t="s">
        <v>2807</v>
      </c>
      <c r="AP116" s="317" t="s">
        <v>561</v>
      </c>
      <c r="AQ116" s="317" t="s">
        <v>561</v>
      </c>
      <c r="AR116" s="317" t="s">
        <v>561</v>
      </c>
      <c r="AS116" s="317" t="s">
        <v>2807</v>
      </c>
      <c r="AT116" s="317" t="s">
        <v>561</v>
      </c>
      <c r="AU116" s="317" t="s">
        <v>561</v>
      </c>
      <c r="AV116" s="317" t="s">
        <v>2807</v>
      </c>
      <c r="AW116" s="317" t="s">
        <v>561</v>
      </c>
      <c r="AX116" s="317" t="s">
        <v>561</v>
      </c>
      <c r="AY116" s="317" t="s">
        <v>561</v>
      </c>
      <c r="AZ116" s="317" t="s">
        <v>561</v>
      </c>
      <c r="BA116" s="317" t="s">
        <v>2806</v>
      </c>
      <c r="BB116" s="317" t="s">
        <v>561</v>
      </c>
      <c r="BC116" s="317" t="s">
        <v>2806</v>
      </c>
      <c r="BD116" s="317" t="s">
        <v>2795</v>
      </c>
      <c r="BE116" s="317" t="s">
        <v>561</v>
      </c>
      <c r="BF116" s="317" t="s">
        <v>561</v>
      </c>
      <c r="BG116" s="317" t="s">
        <v>53</v>
      </c>
      <c r="BH116" s="317" t="s">
        <v>561</v>
      </c>
      <c r="BI116" s="317" t="s">
        <v>561</v>
      </c>
      <c r="BJ116" s="317" t="s">
        <v>561</v>
      </c>
      <c r="BK116" s="317" t="s">
        <v>561</v>
      </c>
      <c r="BL116" s="317" t="s">
        <v>2796</v>
      </c>
      <c r="BM116" s="317" t="s">
        <v>2796</v>
      </c>
      <c r="BN116" s="317" t="s">
        <v>561</v>
      </c>
      <c r="BO116" s="317" t="s">
        <v>2796</v>
      </c>
      <c r="BP116" s="317" t="s">
        <v>2806</v>
      </c>
      <c r="BQ116" s="317" t="s">
        <v>53</v>
      </c>
      <c r="BR116" s="317" t="s">
        <v>561</v>
      </c>
      <c r="BS116" s="317" t="s">
        <v>561</v>
      </c>
      <c r="BT116" s="317" t="s">
        <v>561</v>
      </c>
      <c r="BU116" s="317" t="s">
        <v>561</v>
      </c>
      <c r="BV116" s="317" t="s">
        <v>561</v>
      </c>
      <c r="BW116" s="317" t="s">
        <v>53</v>
      </c>
      <c r="BX116" s="317" t="s">
        <v>561</v>
      </c>
      <c r="BY116" s="317" t="s">
        <v>561</v>
      </c>
      <c r="BZ116" s="317" t="s">
        <v>561</v>
      </c>
      <c r="CA116" s="317" t="s">
        <v>53</v>
      </c>
      <c r="CB116" s="317" t="s">
        <v>561</v>
      </c>
      <c r="CC116" s="317" t="s">
        <v>561</v>
      </c>
      <c r="CD116" s="317" t="s">
        <v>561</v>
      </c>
      <c r="CE116" s="317" t="s">
        <v>561</v>
      </c>
      <c r="CF116" s="317" t="s">
        <v>53</v>
      </c>
      <c r="CG116" s="317" t="s">
        <v>561</v>
      </c>
      <c r="CH116" s="317" t="s">
        <v>561</v>
      </c>
      <c r="CI116" s="317" t="s">
        <v>561</v>
      </c>
      <c r="CJ116" s="317" t="s">
        <v>2796</v>
      </c>
      <c r="CK116" s="317" t="s">
        <v>561</v>
      </c>
      <c r="CL116" s="317" t="s">
        <v>53</v>
      </c>
      <c r="CM116" s="317" t="s">
        <v>600</v>
      </c>
      <c r="CN116" s="317" t="s">
        <v>600</v>
      </c>
      <c r="CO116" s="317" t="s">
        <v>600</v>
      </c>
      <c r="CP116" s="317" t="s">
        <v>600</v>
      </c>
      <c r="CQ116" s="319"/>
      <c r="CR116" s="319">
        <v>2017.0</v>
      </c>
      <c r="CS116" s="343" t="s">
        <v>1199</v>
      </c>
      <c r="CT116" s="334" t="s">
        <v>122</v>
      </c>
      <c r="CU116" s="326" t="s">
        <v>2476</v>
      </c>
      <c r="CV116" s="332" t="s">
        <v>75</v>
      </c>
      <c r="CW116" s="319"/>
      <c r="CX116" s="319"/>
      <c r="CY116" s="323">
        <f t="shared" si="24"/>
        <v>0.396</v>
      </c>
      <c r="CZ116" s="324">
        <v>0.687</v>
      </c>
      <c r="DA116" s="323">
        <v>0.29100000000000004</v>
      </c>
      <c r="DB116" s="323"/>
      <c r="DC116" s="323">
        <f t="shared" si="25"/>
        <v>0.394</v>
      </c>
      <c r="DD116" s="324">
        <v>0.664</v>
      </c>
      <c r="DE116" s="323">
        <v>0.27</v>
      </c>
      <c r="DF116" s="323"/>
      <c r="DG116" s="324">
        <v>0.517</v>
      </c>
      <c r="DH116" s="323">
        <v>0.22</v>
      </c>
      <c r="DI116" s="323">
        <v>0.032</v>
      </c>
      <c r="DJ116" s="323">
        <v>0.209</v>
      </c>
      <c r="DK116" s="323">
        <v>0.031</v>
      </c>
      <c r="DL116" s="323">
        <v>0.008</v>
      </c>
      <c r="DM116" s="323"/>
      <c r="DN116" s="323">
        <v>0.452</v>
      </c>
      <c r="DO116" s="324">
        <v>0.5</v>
      </c>
      <c r="DP116" s="323">
        <v>0.3</v>
      </c>
    </row>
    <row r="117">
      <c r="A117" s="311" t="s">
        <v>377</v>
      </c>
      <c r="B117" s="311" t="s">
        <v>414</v>
      </c>
      <c r="C117" s="311" t="s">
        <v>1083</v>
      </c>
      <c r="D117" s="311">
        <v>2.0</v>
      </c>
      <c r="E117" s="312">
        <f t="shared" si="19"/>
        <v>0.1666666667</v>
      </c>
      <c r="F117" s="312" t="str">
        <f t="shared" si="20"/>
        <v>#DIV/0!</v>
      </c>
      <c r="G117" s="312" t="str">
        <f t="shared" si="21"/>
        <v>#DIV/0!</v>
      </c>
      <c r="H117" s="312" t="str">
        <f t="shared" si="22"/>
        <v>#DIV/0!</v>
      </c>
      <c r="I117" s="312" t="str">
        <f t="shared" si="66"/>
        <v>#DIV/0!</v>
      </c>
      <c r="J117" s="312" t="str">
        <f t="shared" si="67"/>
        <v>#DIV/0!</v>
      </c>
      <c r="K117" s="312" t="str">
        <f t="shared" ref="K117:K118" si="69">(COUNTIF(CM117:CP117, "Nay")+COUNTIF(CM117:CP117, "Yea (Amend)")+(0.5*COUNTIF(CM117:CP117, "Present")))/(COUNTIF(CM117:CP117, "Nay")+COUNTIF(CM117:CP117, "Yea (Amend)")+COUNTIF(CM117:CP117, "Yea")+COUNTIF(CM117:CP117, "Nay (Amend)")+COUNTIF(CM117:CP117, "Present"))</f>
        <v>#DIV/0!</v>
      </c>
      <c r="L117" s="316" t="str">
        <f t="shared" si="23"/>
        <v>#DIV/0!</v>
      </c>
      <c r="M117" s="317" t="s">
        <v>594</v>
      </c>
      <c r="N117" s="317" t="s">
        <v>487</v>
      </c>
      <c r="O117" s="317" t="s">
        <v>594</v>
      </c>
      <c r="P117" s="317" t="s">
        <v>594</v>
      </c>
      <c r="Q117" s="317" t="s">
        <v>594</v>
      </c>
      <c r="R117" s="317" t="s">
        <v>594</v>
      </c>
      <c r="S117" s="318" t="s">
        <v>561</v>
      </c>
      <c r="T117" s="318" t="s">
        <v>561</v>
      </c>
      <c r="U117" s="330" t="s">
        <v>561</v>
      </c>
      <c r="V117" s="330" t="s">
        <v>561</v>
      </c>
      <c r="W117" s="318" t="s">
        <v>2795</v>
      </c>
      <c r="X117" s="340" t="s">
        <v>561</v>
      </c>
      <c r="Y117" s="340" t="s">
        <v>2807</v>
      </c>
      <c r="Z117" s="317" t="s">
        <v>2795</v>
      </c>
      <c r="AA117" s="317" t="s">
        <v>561</v>
      </c>
      <c r="AB117" s="317" t="s">
        <v>561</v>
      </c>
      <c r="AC117" s="317" t="s">
        <v>2795</v>
      </c>
      <c r="AD117" s="317" t="s">
        <v>2795</v>
      </c>
      <c r="AE117" s="317" t="s">
        <v>561</v>
      </c>
      <c r="AF117" s="317" t="s">
        <v>561</v>
      </c>
      <c r="AG117" s="317" t="s">
        <v>561</v>
      </c>
      <c r="AH117" s="317" t="s">
        <v>561</v>
      </c>
      <c r="AI117" s="317" t="s">
        <v>561</v>
      </c>
      <c r="AJ117" s="317" t="s">
        <v>2807</v>
      </c>
      <c r="AK117" s="317" t="s">
        <v>2807</v>
      </c>
      <c r="AL117" s="317" t="s">
        <v>2807</v>
      </c>
      <c r="AM117" s="317" t="s">
        <v>2795</v>
      </c>
      <c r="AN117" s="317" t="s">
        <v>2795</v>
      </c>
      <c r="AO117" s="317" t="s">
        <v>2795</v>
      </c>
      <c r="AP117" s="317" t="s">
        <v>561</v>
      </c>
      <c r="AQ117" s="317" t="s">
        <v>561</v>
      </c>
      <c r="AR117" s="317" t="s">
        <v>561</v>
      </c>
      <c r="AS117" s="317" t="s">
        <v>2795</v>
      </c>
      <c r="AT117" s="317" t="s">
        <v>561</v>
      </c>
      <c r="AU117" s="317" t="s">
        <v>53</v>
      </c>
      <c r="AV117" s="317" t="s">
        <v>2807</v>
      </c>
      <c r="AW117" s="317" t="s">
        <v>561</v>
      </c>
      <c r="AX117" s="317" t="s">
        <v>561</v>
      </c>
      <c r="AY117" s="317" t="s">
        <v>561</v>
      </c>
      <c r="AZ117" s="317" t="s">
        <v>561</v>
      </c>
      <c r="BA117" s="317" t="s">
        <v>2806</v>
      </c>
      <c r="BB117" s="317" t="s">
        <v>561</v>
      </c>
      <c r="BC117" s="317" t="s">
        <v>2806</v>
      </c>
      <c r="BD117" s="317" t="s">
        <v>2795</v>
      </c>
      <c r="BE117" s="317" t="s">
        <v>561</v>
      </c>
      <c r="BF117" s="317" t="s">
        <v>561</v>
      </c>
      <c r="BG117" s="317" t="s">
        <v>561</v>
      </c>
      <c r="BH117" s="317" t="s">
        <v>561</v>
      </c>
      <c r="BI117" s="317" t="s">
        <v>561</v>
      </c>
      <c r="BJ117" s="317" t="s">
        <v>561</v>
      </c>
      <c r="BK117" s="317" t="s">
        <v>561</v>
      </c>
      <c r="BL117" s="317" t="s">
        <v>2796</v>
      </c>
      <c r="BM117" s="317" t="s">
        <v>2796</v>
      </c>
      <c r="BN117" s="317" t="s">
        <v>561</v>
      </c>
      <c r="BO117" s="317" t="s">
        <v>2796</v>
      </c>
      <c r="BP117" s="317" t="s">
        <v>2796</v>
      </c>
      <c r="BQ117" s="317" t="s">
        <v>53</v>
      </c>
      <c r="BR117" s="317" t="s">
        <v>561</v>
      </c>
      <c r="BS117" s="317" t="s">
        <v>53</v>
      </c>
      <c r="BT117" s="317" t="s">
        <v>561</v>
      </c>
      <c r="BU117" s="317" t="s">
        <v>53</v>
      </c>
      <c r="BV117" s="317" t="s">
        <v>561</v>
      </c>
      <c r="BW117" s="317" t="s">
        <v>53</v>
      </c>
      <c r="BX117" s="317" t="s">
        <v>561</v>
      </c>
      <c r="BY117" s="317" t="s">
        <v>53</v>
      </c>
      <c r="BZ117" s="317" t="s">
        <v>561</v>
      </c>
      <c r="CA117" s="317" t="s">
        <v>801</v>
      </c>
      <c r="CB117" s="317" t="s">
        <v>561</v>
      </c>
      <c r="CC117" s="317" t="s">
        <v>561</v>
      </c>
      <c r="CD117" s="317" t="s">
        <v>561</v>
      </c>
      <c r="CE117" s="317" t="s">
        <v>561</v>
      </c>
      <c r="CF117" s="317" t="s">
        <v>53</v>
      </c>
      <c r="CG117" s="317" t="s">
        <v>561</v>
      </c>
      <c r="CH117" s="317" t="s">
        <v>561</v>
      </c>
      <c r="CI117" s="317" t="s">
        <v>561</v>
      </c>
      <c r="CJ117" s="317" t="s">
        <v>2806</v>
      </c>
      <c r="CK117" s="317" t="s">
        <v>561</v>
      </c>
      <c r="CL117" s="317" t="s">
        <v>561</v>
      </c>
      <c r="CM117" s="317" t="s">
        <v>561</v>
      </c>
      <c r="CN117" s="317" t="s">
        <v>561</v>
      </c>
      <c r="CO117" s="317" t="s">
        <v>561</v>
      </c>
      <c r="CP117" s="317" t="s">
        <v>561</v>
      </c>
      <c r="CQ117" s="319"/>
      <c r="CR117" s="319">
        <v>2007.0</v>
      </c>
      <c r="CS117" s="342" t="s">
        <v>2476</v>
      </c>
      <c r="CT117" s="334" t="s">
        <v>122</v>
      </c>
      <c r="CU117" s="326" t="s">
        <v>2476</v>
      </c>
      <c r="CV117" s="332" t="s">
        <v>75</v>
      </c>
      <c r="CW117" s="319"/>
      <c r="CX117" s="319"/>
      <c r="CY117" s="323">
        <f t="shared" si="24"/>
        <v>0.114</v>
      </c>
      <c r="CZ117" s="324">
        <v>0.547</v>
      </c>
      <c r="DA117" s="323">
        <v>0.433</v>
      </c>
      <c r="DB117" s="323"/>
      <c r="DC117" s="323">
        <f t="shared" si="25"/>
        <v>0.034</v>
      </c>
      <c r="DD117" s="324">
        <v>0.488</v>
      </c>
      <c r="DE117" s="323">
        <v>0.45399999999999996</v>
      </c>
      <c r="DF117" s="323"/>
      <c r="DG117" s="324">
        <v>0.8059999999999999</v>
      </c>
      <c r="DH117" s="323">
        <v>0.077</v>
      </c>
      <c r="DI117" s="323">
        <v>0.052000000000000005</v>
      </c>
      <c r="DJ117" s="323">
        <v>0.044000000000000004</v>
      </c>
      <c r="DK117" s="323">
        <v>0.021</v>
      </c>
      <c r="DL117" s="323">
        <v>0.002</v>
      </c>
      <c r="DM117" s="323"/>
      <c r="DN117" s="323">
        <v>0.37</v>
      </c>
      <c r="DO117" s="323">
        <v>0.384</v>
      </c>
      <c r="DP117" s="324">
        <v>0.526</v>
      </c>
    </row>
    <row r="118">
      <c r="A118" s="311" t="s">
        <v>1117</v>
      </c>
      <c r="B118" s="311" t="s">
        <v>1118</v>
      </c>
      <c r="C118" s="311" t="s">
        <v>2208</v>
      </c>
      <c r="D118" s="311">
        <v>9.0</v>
      </c>
      <c r="E118" s="312">
        <f t="shared" si="19"/>
        <v>0.1666666667</v>
      </c>
      <c r="F118" s="312" t="str">
        <f t="shared" si="20"/>
        <v>#DIV/0!</v>
      </c>
      <c r="G118" s="312" t="str">
        <f t="shared" si="21"/>
        <v>#DIV/0!</v>
      </c>
      <c r="H118" s="312" t="str">
        <f t="shared" si="22"/>
        <v>#DIV/0!</v>
      </c>
      <c r="I118" s="312" t="str">
        <f t="shared" si="66"/>
        <v>#DIV/0!</v>
      </c>
      <c r="J118" s="312" t="str">
        <f t="shared" si="67"/>
        <v>#DIV/0!</v>
      </c>
      <c r="K118" s="312" t="str">
        <f t="shared" si="69"/>
        <v>#DIV/0!</v>
      </c>
      <c r="L118" s="316" t="str">
        <f t="shared" si="23"/>
        <v>#DIV/0!</v>
      </c>
      <c r="M118" s="317" t="s">
        <v>594</v>
      </c>
      <c r="N118" s="317" t="s">
        <v>594</v>
      </c>
      <c r="O118" s="317" t="s">
        <v>487</v>
      </c>
      <c r="P118" s="317" t="s">
        <v>594</v>
      </c>
      <c r="Q118" s="317" t="s">
        <v>594</v>
      </c>
      <c r="R118" s="317" t="s">
        <v>594</v>
      </c>
      <c r="S118" s="318" t="s">
        <v>561</v>
      </c>
      <c r="T118" s="318" t="s">
        <v>561</v>
      </c>
      <c r="U118" s="330" t="s">
        <v>561</v>
      </c>
      <c r="V118" s="330" t="s">
        <v>561</v>
      </c>
      <c r="W118" s="318" t="s">
        <v>2795</v>
      </c>
      <c r="X118" s="340" t="s">
        <v>561</v>
      </c>
      <c r="Y118" s="340" t="s">
        <v>2807</v>
      </c>
      <c r="Z118" s="317" t="s">
        <v>2795</v>
      </c>
      <c r="AA118" s="317" t="s">
        <v>561</v>
      </c>
      <c r="AB118" s="317" t="s">
        <v>53</v>
      </c>
      <c r="AC118" s="317" t="s">
        <v>2795</v>
      </c>
      <c r="AD118" s="317" t="s">
        <v>2795</v>
      </c>
      <c r="AE118" s="317" t="s">
        <v>561</v>
      </c>
      <c r="AF118" s="317" t="s">
        <v>561</v>
      </c>
      <c r="AG118" s="317" t="s">
        <v>561</v>
      </c>
      <c r="AH118" s="317" t="s">
        <v>561</v>
      </c>
      <c r="AI118" s="317" t="s">
        <v>561</v>
      </c>
      <c r="AJ118" s="317" t="s">
        <v>2807</v>
      </c>
      <c r="AK118" s="317" t="s">
        <v>2807</v>
      </c>
      <c r="AL118" s="317" t="s">
        <v>2795</v>
      </c>
      <c r="AM118" s="317" t="s">
        <v>2807</v>
      </c>
      <c r="AN118" s="317" t="s">
        <v>2795</v>
      </c>
      <c r="AO118" s="317" t="s">
        <v>2795</v>
      </c>
      <c r="AP118" s="317" t="s">
        <v>561</v>
      </c>
      <c r="AQ118" s="317" t="s">
        <v>561</v>
      </c>
      <c r="AR118" s="317" t="s">
        <v>561</v>
      </c>
      <c r="AS118" s="317" t="s">
        <v>2807</v>
      </c>
      <c r="AT118" s="317" t="s">
        <v>561</v>
      </c>
      <c r="AU118" s="317" t="s">
        <v>561</v>
      </c>
      <c r="AV118" s="317" t="s">
        <v>2807</v>
      </c>
      <c r="AW118" s="317" t="s">
        <v>561</v>
      </c>
      <c r="AX118" s="317" t="s">
        <v>561</v>
      </c>
      <c r="AY118" s="317" t="s">
        <v>561</v>
      </c>
      <c r="AZ118" s="317" t="s">
        <v>561</v>
      </c>
      <c r="BA118" s="317" t="s">
        <v>2806</v>
      </c>
      <c r="BB118" s="317" t="s">
        <v>561</v>
      </c>
      <c r="BC118" s="317" t="s">
        <v>2806</v>
      </c>
      <c r="BD118" s="317" t="s">
        <v>2795</v>
      </c>
      <c r="BE118" s="317" t="s">
        <v>561</v>
      </c>
      <c r="BF118" s="317" t="s">
        <v>53</v>
      </c>
      <c r="BG118" s="317" t="s">
        <v>561</v>
      </c>
      <c r="BH118" s="317" t="s">
        <v>561</v>
      </c>
      <c r="BI118" s="317" t="s">
        <v>561</v>
      </c>
      <c r="BJ118" s="317" t="s">
        <v>561</v>
      </c>
      <c r="BK118" s="317" t="s">
        <v>561</v>
      </c>
      <c r="BL118" s="317" t="s">
        <v>2806</v>
      </c>
      <c r="BM118" s="317" t="s">
        <v>2806</v>
      </c>
      <c r="BN118" s="317" t="s">
        <v>801</v>
      </c>
      <c r="BO118" s="317" t="s">
        <v>2796</v>
      </c>
      <c r="BP118" s="317" t="s">
        <v>2806</v>
      </c>
      <c r="BQ118" s="317" t="s">
        <v>53</v>
      </c>
      <c r="BR118" s="317" t="s">
        <v>561</v>
      </c>
      <c r="BS118" s="317" t="s">
        <v>53</v>
      </c>
      <c r="BT118" s="317" t="s">
        <v>561</v>
      </c>
      <c r="BU118" s="317" t="s">
        <v>561</v>
      </c>
      <c r="BV118" s="317" t="s">
        <v>561</v>
      </c>
      <c r="BW118" s="317" t="s">
        <v>53</v>
      </c>
      <c r="BX118" s="317" t="s">
        <v>561</v>
      </c>
      <c r="BY118" s="317" t="s">
        <v>53</v>
      </c>
      <c r="BZ118" s="317" t="s">
        <v>561</v>
      </c>
      <c r="CA118" s="317" t="s">
        <v>53</v>
      </c>
      <c r="CB118" s="317" t="s">
        <v>561</v>
      </c>
      <c r="CC118" s="317" t="s">
        <v>561</v>
      </c>
      <c r="CD118" s="317" t="s">
        <v>561</v>
      </c>
      <c r="CE118" s="317" t="s">
        <v>561</v>
      </c>
      <c r="CF118" s="317" t="s">
        <v>53</v>
      </c>
      <c r="CG118" s="317" t="s">
        <v>561</v>
      </c>
      <c r="CH118" s="317" t="s">
        <v>53</v>
      </c>
      <c r="CI118" s="317" t="s">
        <v>561</v>
      </c>
      <c r="CJ118" s="317" t="s">
        <v>2796</v>
      </c>
      <c r="CK118" s="317" t="s">
        <v>561</v>
      </c>
      <c r="CL118" s="317" t="s">
        <v>801</v>
      </c>
      <c r="CM118" s="317" t="s">
        <v>561</v>
      </c>
      <c r="CN118" s="317" t="s">
        <v>561</v>
      </c>
      <c r="CO118" s="317" t="s">
        <v>53</v>
      </c>
      <c r="CP118" s="317" t="s">
        <v>561</v>
      </c>
      <c r="CQ118" s="319"/>
      <c r="CR118" s="319">
        <v>1983.0</v>
      </c>
      <c r="CS118" s="342" t="s">
        <v>2476</v>
      </c>
      <c r="CT118" s="319"/>
      <c r="CU118" s="319" t="s">
        <v>23</v>
      </c>
      <c r="CV118" s="332" t="s">
        <v>75</v>
      </c>
      <c r="CW118" s="319"/>
      <c r="CX118" s="319"/>
      <c r="CY118" s="323">
        <f t="shared" si="24"/>
        <v>-0.029</v>
      </c>
      <c r="CZ118" s="323">
        <v>0.47700000000000004</v>
      </c>
      <c r="DA118" s="324">
        <v>0.506</v>
      </c>
      <c r="DB118" s="324"/>
      <c r="DC118" s="348">
        <f t="shared" si="25"/>
        <v>-0.009</v>
      </c>
      <c r="DD118" s="348">
        <v>0.46799999999999997</v>
      </c>
      <c r="DE118" s="316">
        <v>0.47700000000000004</v>
      </c>
      <c r="DF118" s="316"/>
      <c r="DG118" s="324">
        <v>0.777</v>
      </c>
      <c r="DH118" s="323">
        <v>0.059000000000000004</v>
      </c>
      <c r="DI118" s="323">
        <v>0.126</v>
      </c>
      <c r="DJ118" s="323">
        <v>0.017</v>
      </c>
      <c r="DK118" s="323">
        <v>0.02</v>
      </c>
      <c r="DL118" s="323">
        <v>0.001</v>
      </c>
      <c r="DM118" s="323"/>
      <c r="DN118" s="323">
        <v>0.249</v>
      </c>
      <c r="DO118" s="323">
        <v>0.265</v>
      </c>
      <c r="DP118" s="324">
        <v>0.593</v>
      </c>
    </row>
    <row r="119">
      <c r="A119" s="311" t="s">
        <v>1393</v>
      </c>
      <c r="B119" s="311" t="s">
        <v>1394</v>
      </c>
      <c r="C119" s="311" t="s">
        <v>1217</v>
      </c>
      <c r="D119" s="311">
        <v>10.0</v>
      </c>
      <c r="E119" s="312">
        <f t="shared" si="19"/>
        <v>0.1666666667</v>
      </c>
      <c r="F119" s="312" t="str">
        <f t="shared" si="20"/>
        <v>#DIV/0!</v>
      </c>
      <c r="G119" s="312" t="str">
        <f t="shared" si="21"/>
        <v>#DIV/0!</v>
      </c>
      <c r="H119" s="312" t="str">
        <f t="shared" si="22"/>
        <v>#DIV/0!</v>
      </c>
      <c r="I119" s="315" t="s">
        <v>2794</v>
      </c>
      <c r="J119" s="315" t="s">
        <v>2794</v>
      </c>
      <c r="K119" s="315" t="s">
        <v>2794</v>
      </c>
      <c r="L119" s="316" t="str">
        <f t="shared" si="23"/>
        <v>#DIV/0!</v>
      </c>
      <c r="M119" s="317" t="s">
        <v>594</v>
      </c>
      <c r="N119" s="317" t="s">
        <v>594</v>
      </c>
      <c r="O119" s="317" t="s">
        <v>487</v>
      </c>
      <c r="P119" s="317" t="s">
        <v>594</v>
      </c>
      <c r="Q119" s="317" t="s">
        <v>594</v>
      </c>
      <c r="R119" s="317" t="s">
        <v>594</v>
      </c>
      <c r="S119" s="318" t="s">
        <v>561</v>
      </c>
      <c r="T119" s="318" t="s">
        <v>561</v>
      </c>
      <c r="U119" s="330" t="s">
        <v>561</v>
      </c>
      <c r="V119" s="330" t="s">
        <v>561</v>
      </c>
      <c r="W119" s="318" t="s">
        <v>2795</v>
      </c>
      <c r="X119" s="340" t="s">
        <v>561</v>
      </c>
      <c r="Y119" s="318" t="s">
        <v>2795</v>
      </c>
      <c r="Z119" s="317" t="s">
        <v>2795</v>
      </c>
      <c r="AA119" s="317" t="s">
        <v>561</v>
      </c>
      <c r="AB119" s="317" t="s">
        <v>53</v>
      </c>
      <c r="AC119" s="317" t="s">
        <v>2807</v>
      </c>
      <c r="AD119" s="317" t="s">
        <v>2795</v>
      </c>
      <c r="AE119" s="317" t="s">
        <v>561</v>
      </c>
      <c r="AF119" s="317" t="s">
        <v>561</v>
      </c>
      <c r="AG119" s="317" t="s">
        <v>561</v>
      </c>
      <c r="AH119" s="317" t="s">
        <v>561</v>
      </c>
      <c r="AI119" s="317" t="s">
        <v>561</v>
      </c>
      <c r="AJ119" s="317" t="s">
        <v>2795</v>
      </c>
      <c r="AK119" s="317" t="s">
        <v>2807</v>
      </c>
      <c r="AL119" s="317" t="s">
        <v>2807</v>
      </c>
      <c r="AM119" s="317" t="s">
        <v>2807</v>
      </c>
      <c r="AN119" s="317" t="s">
        <v>2795</v>
      </c>
      <c r="AO119" s="317" t="s">
        <v>2807</v>
      </c>
      <c r="AP119" s="317" t="s">
        <v>561</v>
      </c>
      <c r="AQ119" s="317" t="s">
        <v>561</v>
      </c>
      <c r="AR119" s="317" t="s">
        <v>561</v>
      </c>
      <c r="AS119" s="317" t="s">
        <v>2807</v>
      </c>
      <c r="AT119" s="317" t="s">
        <v>561</v>
      </c>
      <c r="AU119" s="317" t="s">
        <v>53</v>
      </c>
      <c r="AV119" s="317" t="s">
        <v>2807</v>
      </c>
      <c r="AW119" s="317" t="s">
        <v>600</v>
      </c>
      <c r="AX119" s="317" t="s">
        <v>600</v>
      </c>
      <c r="AY119" s="317" t="s">
        <v>600</v>
      </c>
      <c r="AZ119" s="317" t="s">
        <v>600</v>
      </c>
      <c r="BA119" s="317" t="s">
        <v>600</v>
      </c>
      <c r="BB119" s="317" t="s">
        <v>600</v>
      </c>
      <c r="BC119" s="317" t="s">
        <v>600</v>
      </c>
      <c r="BD119" s="317" t="s">
        <v>600</v>
      </c>
      <c r="BE119" s="317" t="s">
        <v>600</v>
      </c>
      <c r="BF119" s="317" t="s">
        <v>600</v>
      </c>
      <c r="BG119" s="317" t="s">
        <v>600</v>
      </c>
      <c r="BH119" s="317" t="s">
        <v>600</v>
      </c>
      <c r="BI119" s="317" t="s">
        <v>600</v>
      </c>
      <c r="BJ119" s="317" t="s">
        <v>600</v>
      </c>
      <c r="BK119" s="317" t="s">
        <v>600</v>
      </c>
      <c r="BL119" s="317" t="s">
        <v>600</v>
      </c>
      <c r="BM119" s="317" t="s">
        <v>600</v>
      </c>
      <c r="BN119" s="317" t="s">
        <v>600</v>
      </c>
      <c r="BO119" s="317" t="s">
        <v>600</v>
      </c>
      <c r="BP119" s="317" t="s">
        <v>600</v>
      </c>
      <c r="BQ119" s="317" t="s">
        <v>600</v>
      </c>
      <c r="BR119" s="317" t="s">
        <v>600</v>
      </c>
      <c r="BS119" s="317" t="s">
        <v>600</v>
      </c>
      <c r="BT119" s="317" t="s">
        <v>600</v>
      </c>
      <c r="BU119" s="317" t="s">
        <v>600</v>
      </c>
      <c r="BV119" s="317" t="s">
        <v>600</v>
      </c>
      <c r="BW119" s="317" t="s">
        <v>600</v>
      </c>
      <c r="BX119" s="317" t="s">
        <v>600</v>
      </c>
      <c r="BY119" s="317" t="s">
        <v>600</v>
      </c>
      <c r="BZ119" s="317" t="s">
        <v>600</v>
      </c>
      <c r="CA119" s="317" t="s">
        <v>600</v>
      </c>
      <c r="CB119" s="317" t="s">
        <v>600</v>
      </c>
      <c r="CC119" s="317" t="s">
        <v>600</v>
      </c>
      <c r="CD119" s="317" t="s">
        <v>600</v>
      </c>
      <c r="CE119" s="317" t="s">
        <v>600</v>
      </c>
      <c r="CF119" s="317" t="s">
        <v>600</v>
      </c>
      <c r="CG119" s="317" t="s">
        <v>600</v>
      </c>
      <c r="CH119" s="317" t="s">
        <v>600</v>
      </c>
      <c r="CI119" s="317" t="s">
        <v>600</v>
      </c>
      <c r="CJ119" s="317" t="s">
        <v>600</v>
      </c>
      <c r="CK119" s="317" t="s">
        <v>600</v>
      </c>
      <c r="CL119" s="317" t="s">
        <v>600</v>
      </c>
      <c r="CM119" s="317" t="s">
        <v>600</v>
      </c>
      <c r="CN119" s="317" t="s">
        <v>600</v>
      </c>
      <c r="CO119" s="317" t="s">
        <v>600</v>
      </c>
      <c r="CP119" s="317" t="s">
        <v>600</v>
      </c>
      <c r="CQ119" s="319"/>
      <c r="CR119" s="319">
        <v>2021.0</v>
      </c>
      <c r="CS119" s="343" t="s">
        <v>1569</v>
      </c>
      <c r="CT119" s="334" t="s">
        <v>122</v>
      </c>
      <c r="CU119" s="326" t="s">
        <v>600</v>
      </c>
      <c r="CV119" s="326" t="s">
        <v>2843</v>
      </c>
      <c r="CW119" s="319"/>
      <c r="CX119" s="319"/>
      <c r="CY119" s="323">
        <f t="shared" si="24"/>
        <v>0.177</v>
      </c>
      <c r="CZ119" s="324">
        <v>0.573</v>
      </c>
      <c r="DA119" s="323">
        <v>0.396</v>
      </c>
      <c r="DB119" s="323"/>
      <c r="DC119" s="323">
        <f t="shared" si="25"/>
        <v>0.131</v>
      </c>
      <c r="DD119" s="324">
        <v>0.522</v>
      </c>
      <c r="DE119" s="323">
        <v>0.391</v>
      </c>
      <c r="DF119" s="323"/>
      <c r="DG119" s="324">
        <v>0.6409999999999999</v>
      </c>
      <c r="DH119" s="323">
        <v>0.107</v>
      </c>
      <c r="DI119" s="323">
        <v>0.091</v>
      </c>
      <c r="DJ119" s="323">
        <v>0.10800000000000001</v>
      </c>
      <c r="DK119" s="323">
        <v>0.04</v>
      </c>
      <c r="DL119" s="323">
        <v>0.027000000000000003</v>
      </c>
      <c r="DM119" s="323"/>
      <c r="DN119" s="323">
        <v>0.297</v>
      </c>
      <c r="DO119" s="323">
        <v>0.324</v>
      </c>
      <c r="DP119" s="323">
        <v>0.48200000000000004</v>
      </c>
    </row>
    <row r="120">
      <c r="A120" s="311" t="s">
        <v>2634</v>
      </c>
      <c r="B120" s="311" t="s">
        <v>1062</v>
      </c>
      <c r="C120" s="311" t="s">
        <v>1530</v>
      </c>
      <c r="D120" s="311">
        <v>25.0</v>
      </c>
      <c r="E120" s="312">
        <f t="shared" si="19"/>
        <v>0.3333333333</v>
      </c>
      <c r="F120" s="312" t="str">
        <f t="shared" si="20"/>
        <v>#DIV/0!</v>
      </c>
      <c r="G120" s="312" t="str">
        <f t="shared" si="21"/>
        <v>#DIV/0!</v>
      </c>
      <c r="H120" s="312" t="str">
        <f t="shared" si="22"/>
        <v>#DIV/0!</v>
      </c>
      <c r="I120" s="312" t="str">
        <f t="shared" ref="I120:I147" si="70">(COUNTIF(AW120:BP120, "Nay")+COUNTIF(AW120:BP120, "Yea (Amend)")+(0.5*COUNTIF(AW120:BP120, "Present")))/(COUNTIF(AW120:BP120, "Nay")+COUNTIF(AW120:BP120, "Yea (Amend)")+COUNTIF(AW120:BP120, "Yea")+COUNTIF(AW120:BP120, "Nay (Amend)")+COUNTIF(AW120:BP120, "Present"))</f>
        <v>#DIV/0!</v>
      </c>
      <c r="J120" s="315" t="s">
        <v>2794</v>
      </c>
      <c r="K120" s="315" t="s">
        <v>2794</v>
      </c>
      <c r="L120" s="316" t="str">
        <f t="shared" si="23"/>
        <v>#DIV/0!</v>
      </c>
      <c r="M120" s="317" t="s">
        <v>594</v>
      </c>
      <c r="N120" s="317" t="s">
        <v>594</v>
      </c>
      <c r="O120" s="317" t="s">
        <v>487</v>
      </c>
      <c r="P120" s="317" t="s">
        <v>487</v>
      </c>
      <c r="Q120" s="317" t="s">
        <v>594</v>
      </c>
      <c r="R120" s="317" t="s">
        <v>594</v>
      </c>
      <c r="S120" s="318" t="s">
        <v>561</v>
      </c>
      <c r="T120" s="318" t="s">
        <v>561</v>
      </c>
      <c r="U120" s="330" t="s">
        <v>561</v>
      </c>
      <c r="V120" s="330" t="s">
        <v>561</v>
      </c>
      <c r="W120" s="318" t="s">
        <v>2795</v>
      </c>
      <c r="X120" s="340" t="s">
        <v>561</v>
      </c>
      <c r="Y120" s="340" t="s">
        <v>2807</v>
      </c>
      <c r="Z120" s="317" t="s">
        <v>2795</v>
      </c>
      <c r="AA120" s="317" t="s">
        <v>561</v>
      </c>
      <c r="AB120" s="317" t="s">
        <v>53</v>
      </c>
      <c r="AC120" s="317" t="s">
        <v>2795</v>
      </c>
      <c r="AD120" s="317" t="s">
        <v>2795</v>
      </c>
      <c r="AE120" s="317" t="s">
        <v>561</v>
      </c>
      <c r="AF120" s="317" t="s">
        <v>561</v>
      </c>
      <c r="AG120" s="317" t="s">
        <v>561</v>
      </c>
      <c r="AH120" s="317" t="s">
        <v>561</v>
      </c>
      <c r="AI120" s="317" t="s">
        <v>561</v>
      </c>
      <c r="AJ120" s="317" t="s">
        <v>2795</v>
      </c>
      <c r="AK120" s="317" t="s">
        <v>2807</v>
      </c>
      <c r="AL120" s="317" t="s">
        <v>2795</v>
      </c>
      <c r="AM120" s="317" t="s">
        <v>2807</v>
      </c>
      <c r="AN120" s="317" t="s">
        <v>2795</v>
      </c>
      <c r="AO120" s="317" t="s">
        <v>2807</v>
      </c>
      <c r="AP120" s="317" t="s">
        <v>561</v>
      </c>
      <c r="AQ120" s="317" t="s">
        <v>561</v>
      </c>
      <c r="AR120" s="317" t="s">
        <v>561</v>
      </c>
      <c r="AS120" s="317" t="s">
        <v>2807</v>
      </c>
      <c r="AT120" s="317" t="s">
        <v>561</v>
      </c>
      <c r="AU120" s="317" t="s">
        <v>561</v>
      </c>
      <c r="AV120" s="317" t="s">
        <v>2807</v>
      </c>
      <c r="AW120" s="317" t="s">
        <v>561</v>
      </c>
      <c r="AX120" s="317" t="s">
        <v>561</v>
      </c>
      <c r="AY120" s="317" t="s">
        <v>561</v>
      </c>
      <c r="AZ120" s="317" t="s">
        <v>561</v>
      </c>
      <c r="BA120" s="317" t="s">
        <v>2796</v>
      </c>
      <c r="BB120" s="317" t="s">
        <v>561</v>
      </c>
      <c r="BC120" s="317" t="s">
        <v>2806</v>
      </c>
      <c r="BD120" s="317" t="s">
        <v>2795</v>
      </c>
      <c r="BE120" s="317" t="s">
        <v>561</v>
      </c>
      <c r="BF120" s="317" t="s">
        <v>561</v>
      </c>
      <c r="BG120" s="317" t="s">
        <v>561</v>
      </c>
      <c r="BH120" s="317" t="s">
        <v>561</v>
      </c>
      <c r="BI120" s="317" t="s">
        <v>561</v>
      </c>
      <c r="BJ120" s="317" t="s">
        <v>561</v>
      </c>
      <c r="BK120" s="317" t="s">
        <v>561</v>
      </c>
      <c r="BL120" s="317" t="s">
        <v>2806</v>
      </c>
      <c r="BM120" s="317" t="s">
        <v>2806</v>
      </c>
      <c r="BN120" s="317" t="s">
        <v>561</v>
      </c>
      <c r="BO120" s="317" t="s">
        <v>2796</v>
      </c>
      <c r="BP120" s="317" t="s">
        <v>2806</v>
      </c>
      <c r="BQ120" s="317" t="s">
        <v>600</v>
      </c>
      <c r="BR120" s="317" t="s">
        <v>600</v>
      </c>
      <c r="BS120" s="317" t="s">
        <v>600</v>
      </c>
      <c r="BT120" s="317" t="s">
        <v>600</v>
      </c>
      <c r="BU120" s="317" t="s">
        <v>600</v>
      </c>
      <c r="BV120" s="317" t="s">
        <v>600</v>
      </c>
      <c r="BW120" s="317" t="s">
        <v>600</v>
      </c>
      <c r="BX120" s="317" t="s">
        <v>600</v>
      </c>
      <c r="BY120" s="317" t="s">
        <v>600</v>
      </c>
      <c r="BZ120" s="317" t="s">
        <v>600</v>
      </c>
      <c r="CA120" s="317" t="s">
        <v>600</v>
      </c>
      <c r="CB120" s="317" t="s">
        <v>600</v>
      </c>
      <c r="CC120" s="317" t="s">
        <v>600</v>
      </c>
      <c r="CD120" s="317" t="s">
        <v>600</v>
      </c>
      <c r="CE120" s="317" t="s">
        <v>600</v>
      </c>
      <c r="CF120" s="317" t="s">
        <v>600</v>
      </c>
      <c r="CG120" s="317" t="s">
        <v>600</v>
      </c>
      <c r="CH120" s="317" t="s">
        <v>600</v>
      </c>
      <c r="CI120" s="317" t="s">
        <v>600</v>
      </c>
      <c r="CJ120" s="317" t="s">
        <v>600</v>
      </c>
      <c r="CK120" s="317" t="s">
        <v>600</v>
      </c>
      <c r="CL120" s="317" t="s">
        <v>600</v>
      </c>
      <c r="CM120" s="317" t="s">
        <v>600</v>
      </c>
      <c r="CN120" s="317" t="s">
        <v>600</v>
      </c>
      <c r="CO120" s="317" t="s">
        <v>600</v>
      </c>
      <c r="CP120" s="317" t="s">
        <v>600</v>
      </c>
      <c r="CQ120" s="319"/>
      <c r="CR120" s="319" t="s">
        <v>2840</v>
      </c>
      <c r="CS120" s="343" t="s">
        <v>1199</v>
      </c>
      <c r="CT120" s="334" t="s">
        <v>2030</v>
      </c>
      <c r="CU120" s="326" t="s">
        <v>2476</v>
      </c>
      <c r="CV120" s="332" t="s">
        <v>75</v>
      </c>
      <c r="CW120" s="319"/>
      <c r="CX120" s="319"/>
      <c r="CY120" s="323">
        <f t="shared" si="24"/>
        <v>0.197</v>
      </c>
      <c r="CZ120" s="324">
        <v>0.588</v>
      </c>
      <c r="DA120" s="323">
        <v>0.391</v>
      </c>
      <c r="DB120" s="323"/>
      <c r="DC120" s="323">
        <f t="shared" si="25"/>
        <v>0.137</v>
      </c>
      <c r="DD120" s="324">
        <v>0.536</v>
      </c>
      <c r="DE120" s="323">
        <v>0.39899999999999997</v>
      </c>
      <c r="DF120" s="323"/>
      <c r="DG120" s="324">
        <v>0.7070000000000001</v>
      </c>
      <c r="DH120" s="323">
        <v>0.079</v>
      </c>
      <c r="DI120" s="323">
        <v>0.155</v>
      </c>
      <c r="DJ120" s="323">
        <v>0.049</v>
      </c>
      <c r="DK120" s="323">
        <v>0.015</v>
      </c>
      <c r="DL120" s="323">
        <v>0.001</v>
      </c>
      <c r="DM120" s="323"/>
      <c r="DN120" s="323">
        <v>0.389</v>
      </c>
      <c r="DO120" s="323">
        <v>0.442</v>
      </c>
      <c r="DP120" s="323">
        <v>0.423</v>
      </c>
    </row>
    <row r="121">
      <c r="A121" s="311" t="s">
        <v>767</v>
      </c>
      <c r="B121" s="311" t="s">
        <v>768</v>
      </c>
      <c r="C121" s="311" t="s">
        <v>677</v>
      </c>
      <c r="D121" s="311">
        <v>6.0</v>
      </c>
      <c r="E121" s="312">
        <f t="shared" si="19"/>
        <v>0.1666666667</v>
      </c>
      <c r="F121" s="312" t="str">
        <f t="shared" si="20"/>
        <v>#DIV/0!</v>
      </c>
      <c r="G121" s="312" t="str">
        <f t="shared" si="21"/>
        <v>#DIV/0!</v>
      </c>
      <c r="H121" s="312" t="str">
        <f t="shared" si="22"/>
        <v>#DIV/0!</v>
      </c>
      <c r="I121" s="312" t="str">
        <f t="shared" si="70"/>
        <v>#DIV/0!</v>
      </c>
      <c r="J121" s="312" t="str">
        <f t="shared" ref="J121:J125" si="71">(COUNTIF(BQ121:CL121, "Nay")+COUNTIF(BQ121:CL121, "Yea (Amend)")+(0.5*COUNTIF(BQ121:CL121, "Present")))/(COUNTIF(BQ121:CL121, "Nay")+COUNTIF(BQ121:CL121, "Yea (Amend)")+COUNTIF(BQ121:CL121, "Yea")+COUNTIF(BQ121:CL121, "Nay (Amend)")+COUNTIF(BQ121:CL121, "Present"))</f>
        <v>#DIV/0!</v>
      </c>
      <c r="K121" s="312" t="str">
        <f t="shared" ref="K121:K124" si="72">(COUNTIF(CM121:CP121, "Nay")+COUNTIF(CM121:CP121, "Yea (Amend)")+(0.5*COUNTIF(CM121:CP121, "Present")))/(COUNTIF(CM121:CP121, "Nay")+COUNTIF(CM121:CP121, "Yea (Amend)")+COUNTIF(CM121:CP121, "Yea")+COUNTIF(CM121:CP121, "Nay (Amend)")+COUNTIF(CM121:CP121, "Present"))</f>
        <v>#DIV/0!</v>
      </c>
      <c r="L121" s="316" t="str">
        <f t="shared" si="23"/>
        <v>#DIV/0!</v>
      </c>
      <c r="M121" s="317" t="s">
        <v>594</v>
      </c>
      <c r="N121" s="317" t="s">
        <v>487</v>
      </c>
      <c r="O121" s="317" t="s">
        <v>594</v>
      </c>
      <c r="P121" s="317" t="s">
        <v>594</v>
      </c>
      <c r="Q121" s="317" t="s">
        <v>594</v>
      </c>
      <c r="R121" s="317" t="s">
        <v>594</v>
      </c>
      <c r="S121" s="318" t="s">
        <v>561</v>
      </c>
      <c r="T121" s="318" t="s">
        <v>561</v>
      </c>
      <c r="U121" s="330" t="s">
        <v>561</v>
      </c>
      <c r="V121" s="330" t="s">
        <v>561</v>
      </c>
      <c r="W121" s="318" t="s">
        <v>2795</v>
      </c>
      <c r="X121" s="340" t="s">
        <v>561</v>
      </c>
      <c r="Y121" s="318" t="s">
        <v>2795</v>
      </c>
      <c r="Z121" s="317" t="s">
        <v>2795</v>
      </c>
      <c r="AA121" s="317" t="s">
        <v>561</v>
      </c>
      <c r="AB121" s="317" t="s">
        <v>53</v>
      </c>
      <c r="AC121" s="317" t="s">
        <v>2807</v>
      </c>
      <c r="AD121" s="317" t="s">
        <v>2795</v>
      </c>
      <c r="AE121" s="317" t="s">
        <v>561</v>
      </c>
      <c r="AF121" s="317" t="s">
        <v>561</v>
      </c>
      <c r="AG121" s="317" t="s">
        <v>561</v>
      </c>
      <c r="AH121" s="317" t="s">
        <v>561</v>
      </c>
      <c r="AI121" s="317" t="s">
        <v>561</v>
      </c>
      <c r="AJ121" s="317" t="s">
        <v>2807</v>
      </c>
      <c r="AK121" s="317" t="s">
        <v>2807</v>
      </c>
      <c r="AL121" s="317" t="s">
        <v>2795</v>
      </c>
      <c r="AM121" s="317" t="s">
        <v>2807</v>
      </c>
      <c r="AN121" s="317" t="s">
        <v>2795</v>
      </c>
      <c r="AO121" s="317" t="s">
        <v>2795</v>
      </c>
      <c r="AP121" s="317" t="s">
        <v>561</v>
      </c>
      <c r="AQ121" s="317" t="s">
        <v>561</v>
      </c>
      <c r="AR121" s="317" t="s">
        <v>561</v>
      </c>
      <c r="AS121" s="317" t="s">
        <v>2795</v>
      </c>
      <c r="AT121" s="317" t="s">
        <v>561</v>
      </c>
      <c r="AU121" s="317" t="s">
        <v>561</v>
      </c>
      <c r="AV121" s="317" t="s">
        <v>2807</v>
      </c>
      <c r="AW121" s="317" t="s">
        <v>561</v>
      </c>
      <c r="AX121" s="317" t="s">
        <v>561</v>
      </c>
      <c r="AY121" s="317" t="s">
        <v>561</v>
      </c>
      <c r="AZ121" s="317" t="s">
        <v>561</v>
      </c>
      <c r="BA121" s="317" t="s">
        <v>2806</v>
      </c>
      <c r="BB121" s="317" t="s">
        <v>561</v>
      </c>
      <c r="BC121" s="317" t="s">
        <v>2806</v>
      </c>
      <c r="BD121" s="317" t="s">
        <v>2795</v>
      </c>
      <c r="BE121" s="317" t="s">
        <v>561</v>
      </c>
      <c r="BF121" s="317" t="s">
        <v>561</v>
      </c>
      <c r="BG121" s="317" t="s">
        <v>561</v>
      </c>
      <c r="BH121" s="317" t="s">
        <v>561</v>
      </c>
      <c r="BI121" s="317" t="s">
        <v>801</v>
      </c>
      <c r="BJ121" s="317" t="s">
        <v>53</v>
      </c>
      <c r="BK121" s="317" t="s">
        <v>561</v>
      </c>
      <c r="BL121" s="317" t="s">
        <v>2806</v>
      </c>
      <c r="BM121" s="317" t="s">
        <v>2806</v>
      </c>
      <c r="BN121" s="317" t="s">
        <v>801</v>
      </c>
      <c r="BO121" s="317" t="s">
        <v>801</v>
      </c>
      <c r="BP121" s="317" t="s">
        <v>801</v>
      </c>
      <c r="BQ121" s="317" t="s">
        <v>53</v>
      </c>
      <c r="BR121" s="317" t="s">
        <v>561</v>
      </c>
      <c r="BS121" s="317" t="s">
        <v>53</v>
      </c>
      <c r="BT121" s="317" t="s">
        <v>561</v>
      </c>
      <c r="BU121" s="317" t="s">
        <v>53</v>
      </c>
      <c r="BV121" s="317" t="s">
        <v>561</v>
      </c>
      <c r="BW121" s="317" t="s">
        <v>53</v>
      </c>
      <c r="BX121" s="317" t="s">
        <v>561</v>
      </c>
      <c r="BY121" s="317" t="s">
        <v>561</v>
      </c>
      <c r="BZ121" s="317" t="s">
        <v>561</v>
      </c>
      <c r="CA121" s="317" t="s">
        <v>53</v>
      </c>
      <c r="CB121" s="317" t="s">
        <v>53</v>
      </c>
      <c r="CC121" s="317" t="s">
        <v>53</v>
      </c>
      <c r="CD121" s="317" t="s">
        <v>561</v>
      </c>
      <c r="CE121" s="317" t="s">
        <v>561</v>
      </c>
      <c r="CF121" s="317" t="s">
        <v>53</v>
      </c>
      <c r="CG121" s="317" t="s">
        <v>561</v>
      </c>
      <c r="CH121" s="317" t="s">
        <v>561</v>
      </c>
      <c r="CI121" s="317" t="s">
        <v>561</v>
      </c>
      <c r="CJ121" s="317" t="s">
        <v>2806</v>
      </c>
      <c r="CK121" s="317" t="s">
        <v>561</v>
      </c>
      <c r="CL121" s="317" t="s">
        <v>561</v>
      </c>
      <c r="CM121" s="317" t="s">
        <v>561</v>
      </c>
      <c r="CN121" s="317" t="s">
        <v>561</v>
      </c>
      <c r="CO121" s="317" t="s">
        <v>53</v>
      </c>
      <c r="CP121" s="317" t="s">
        <v>561</v>
      </c>
      <c r="CQ121" s="319"/>
      <c r="CR121" s="319">
        <v>2015.0</v>
      </c>
      <c r="CS121" s="343" t="s">
        <v>1569</v>
      </c>
      <c r="CT121" s="319"/>
      <c r="CU121" s="319" t="s">
        <v>23</v>
      </c>
      <c r="CV121" s="332" t="s">
        <v>75</v>
      </c>
      <c r="CW121" s="319"/>
      <c r="CX121" s="319"/>
      <c r="CY121" s="323">
        <f t="shared" si="24"/>
        <v>0.276</v>
      </c>
      <c r="CZ121" s="324">
        <v>0.629</v>
      </c>
      <c r="DA121" s="323">
        <v>0.353</v>
      </c>
      <c r="DB121" s="323"/>
      <c r="DC121" s="323">
        <f t="shared" si="25"/>
        <v>0.181</v>
      </c>
      <c r="DD121" s="324">
        <v>0.5539999999999999</v>
      </c>
      <c r="DE121" s="323">
        <v>0.373</v>
      </c>
      <c r="DF121" s="323"/>
      <c r="DG121" s="324">
        <v>0.7959999999999999</v>
      </c>
      <c r="DH121" s="323">
        <v>0.092</v>
      </c>
      <c r="DI121" s="323">
        <v>0.044000000000000004</v>
      </c>
      <c r="DJ121" s="323">
        <v>0.053</v>
      </c>
      <c r="DK121" s="323">
        <v>0.011000000000000001</v>
      </c>
      <c r="DL121" s="323">
        <v>0.001</v>
      </c>
      <c r="DM121" s="323"/>
      <c r="DN121" s="323">
        <v>0.475</v>
      </c>
      <c r="DO121" s="324">
        <v>0.49700000000000005</v>
      </c>
      <c r="DP121" s="323">
        <v>0.434</v>
      </c>
    </row>
    <row r="122">
      <c r="A122" s="311" t="s">
        <v>266</v>
      </c>
      <c r="B122" s="311" t="s">
        <v>268</v>
      </c>
      <c r="C122" s="311" t="s">
        <v>1197</v>
      </c>
      <c r="D122" s="311">
        <v>33.0</v>
      </c>
      <c r="E122" s="312">
        <f t="shared" si="19"/>
        <v>0.1666666667</v>
      </c>
      <c r="F122" s="312" t="str">
        <f t="shared" si="20"/>
        <v>#DIV/0!</v>
      </c>
      <c r="G122" s="312" t="str">
        <f t="shared" si="21"/>
        <v>#DIV/0!</v>
      </c>
      <c r="H122" s="312" t="str">
        <f t="shared" si="22"/>
        <v>#DIV/0!</v>
      </c>
      <c r="I122" s="312" t="str">
        <f t="shared" si="70"/>
        <v>#DIV/0!</v>
      </c>
      <c r="J122" s="312" t="str">
        <f t="shared" si="71"/>
        <v>#DIV/0!</v>
      </c>
      <c r="K122" s="312" t="str">
        <f t="shared" si="72"/>
        <v>#DIV/0!</v>
      </c>
      <c r="L122" s="316" t="str">
        <f t="shared" si="23"/>
        <v>#DIV/0!</v>
      </c>
      <c r="M122" s="317" t="s">
        <v>594</v>
      </c>
      <c r="N122" s="317" t="s">
        <v>487</v>
      </c>
      <c r="O122" s="317" t="s">
        <v>594</v>
      </c>
      <c r="P122" s="317" t="s">
        <v>594</v>
      </c>
      <c r="Q122" s="317" t="s">
        <v>594</v>
      </c>
      <c r="R122" s="317" t="s">
        <v>594</v>
      </c>
      <c r="S122" s="318" t="s">
        <v>561</v>
      </c>
      <c r="T122" s="318" t="s">
        <v>561</v>
      </c>
      <c r="U122" s="330" t="s">
        <v>561</v>
      </c>
      <c r="V122" s="330" t="s">
        <v>561</v>
      </c>
      <c r="W122" s="318" t="s">
        <v>2795</v>
      </c>
      <c r="X122" s="340" t="s">
        <v>561</v>
      </c>
      <c r="Y122" s="318" t="s">
        <v>2795</v>
      </c>
      <c r="Z122" s="317" t="s">
        <v>2795</v>
      </c>
      <c r="AA122" s="317" t="s">
        <v>561</v>
      </c>
      <c r="AB122" s="317" t="s">
        <v>53</v>
      </c>
      <c r="AC122" s="317" t="s">
        <v>2795</v>
      </c>
      <c r="AD122" s="317" t="s">
        <v>2795</v>
      </c>
      <c r="AE122" s="317" t="s">
        <v>561</v>
      </c>
      <c r="AF122" s="317" t="s">
        <v>561</v>
      </c>
      <c r="AG122" s="317" t="s">
        <v>561</v>
      </c>
      <c r="AH122" s="317" t="s">
        <v>561</v>
      </c>
      <c r="AI122" s="317" t="s">
        <v>561</v>
      </c>
      <c r="AJ122" s="317" t="s">
        <v>2795</v>
      </c>
      <c r="AK122" s="317" t="s">
        <v>2807</v>
      </c>
      <c r="AL122" s="317" t="s">
        <v>2795</v>
      </c>
      <c r="AM122" s="317" t="s">
        <v>2807</v>
      </c>
      <c r="AN122" s="317" t="s">
        <v>2795</v>
      </c>
      <c r="AO122" s="317" t="s">
        <v>2807</v>
      </c>
      <c r="AP122" s="317" t="s">
        <v>561</v>
      </c>
      <c r="AQ122" s="317" t="s">
        <v>561</v>
      </c>
      <c r="AR122" s="317" t="s">
        <v>561</v>
      </c>
      <c r="AS122" s="317" t="s">
        <v>2807</v>
      </c>
      <c r="AT122" s="317" t="s">
        <v>561</v>
      </c>
      <c r="AU122" s="317" t="s">
        <v>561</v>
      </c>
      <c r="AV122" s="317" t="s">
        <v>2807</v>
      </c>
      <c r="AW122" s="317" t="s">
        <v>561</v>
      </c>
      <c r="AX122" s="317" t="s">
        <v>561</v>
      </c>
      <c r="AY122" s="317" t="s">
        <v>561</v>
      </c>
      <c r="AZ122" s="317" t="s">
        <v>561</v>
      </c>
      <c r="BA122" s="317" t="s">
        <v>2806</v>
      </c>
      <c r="BB122" s="317" t="s">
        <v>561</v>
      </c>
      <c r="BC122" s="317" t="s">
        <v>2806</v>
      </c>
      <c r="BD122" s="317" t="s">
        <v>2795</v>
      </c>
      <c r="BE122" s="317" t="s">
        <v>561</v>
      </c>
      <c r="BF122" s="317" t="s">
        <v>561</v>
      </c>
      <c r="BG122" s="317" t="s">
        <v>53</v>
      </c>
      <c r="BH122" s="317" t="s">
        <v>561</v>
      </c>
      <c r="BI122" s="317" t="s">
        <v>561</v>
      </c>
      <c r="BJ122" s="317" t="s">
        <v>561</v>
      </c>
      <c r="BK122" s="317" t="s">
        <v>561</v>
      </c>
      <c r="BL122" s="317" t="s">
        <v>2796</v>
      </c>
      <c r="BM122" s="317" t="s">
        <v>2796</v>
      </c>
      <c r="BN122" s="317" t="s">
        <v>53</v>
      </c>
      <c r="BO122" s="317" t="s">
        <v>2796</v>
      </c>
      <c r="BP122" s="317" t="s">
        <v>2806</v>
      </c>
      <c r="BQ122" s="317" t="s">
        <v>561</v>
      </c>
      <c r="BR122" s="317" t="s">
        <v>561</v>
      </c>
      <c r="BS122" s="317" t="s">
        <v>53</v>
      </c>
      <c r="BT122" s="317" t="s">
        <v>561</v>
      </c>
      <c r="BU122" s="317" t="s">
        <v>53</v>
      </c>
      <c r="BV122" s="317" t="s">
        <v>561</v>
      </c>
      <c r="BW122" s="317" t="s">
        <v>53</v>
      </c>
      <c r="BX122" s="317" t="s">
        <v>561</v>
      </c>
      <c r="BY122" s="317" t="s">
        <v>561</v>
      </c>
      <c r="BZ122" s="317" t="s">
        <v>561</v>
      </c>
      <c r="CA122" s="317" t="s">
        <v>561</v>
      </c>
      <c r="CB122" s="317" t="s">
        <v>561</v>
      </c>
      <c r="CC122" s="317" t="s">
        <v>561</v>
      </c>
      <c r="CD122" s="317" t="s">
        <v>561</v>
      </c>
      <c r="CE122" s="317" t="s">
        <v>561</v>
      </c>
      <c r="CF122" s="317" t="s">
        <v>53</v>
      </c>
      <c r="CG122" s="317" t="s">
        <v>561</v>
      </c>
      <c r="CH122" s="317" t="s">
        <v>561</v>
      </c>
      <c r="CI122" s="317" t="s">
        <v>561</v>
      </c>
      <c r="CJ122" s="317" t="s">
        <v>2806</v>
      </c>
      <c r="CK122" s="317" t="s">
        <v>561</v>
      </c>
      <c r="CL122" s="317" t="s">
        <v>561</v>
      </c>
      <c r="CM122" s="317" t="s">
        <v>801</v>
      </c>
      <c r="CN122" s="317" t="s">
        <v>561</v>
      </c>
      <c r="CO122" s="317" t="s">
        <v>561</v>
      </c>
      <c r="CP122" s="317" t="s">
        <v>561</v>
      </c>
      <c r="CQ122" s="319"/>
      <c r="CR122" s="319">
        <v>2015.0</v>
      </c>
      <c r="CS122" s="343" t="s">
        <v>1569</v>
      </c>
      <c r="CT122" s="334" t="s">
        <v>2030</v>
      </c>
      <c r="CU122" s="319" t="s">
        <v>2834</v>
      </c>
      <c r="CV122" s="320" t="s">
        <v>83</v>
      </c>
      <c r="CW122" s="319"/>
      <c r="CX122" s="319"/>
      <c r="CY122" s="323">
        <f t="shared" si="24"/>
        <v>0.253</v>
      </c>
      <c r="CZ122" s="324">
        <v>0.615</v>
      </c>
      <c r="DA122" s="323">
        <v>0.36200000000000004</v>
      </c>
      <c r="DB122" s="323"/>
      <c r="DC122" s="323">
        <f t="shared" si="25"/>
        <v>0.299</v>
      </c>
      <c r="DD122" s="324">
        <v>0.622</v>
      </c>
      <c r="DE122" s="323">
        <v>0.32299999999999995</v>
      </c>
      <c r="DF122" s="323"/>
      <c r="DG122" s="323">
        <v>0.201</v>
      </c>
      <c r="DH122" s="324">
        <v>0.5870000000000001</v>
      </c>
      <c r="DI122" s="323">
        <v>0.11900000000000001</v>
      </c>
      <c r="DJ122" s="323">
        <v>0.08900000000000001</v>
      </c>
      <c r="DK122" s="323">
        <v>0.039</v>
      </c>
      <c r="DL122" s="323">
        <v>0.006</v>
      </c>
      <c r="DM122" s="323"/>
      <c r="DN122" s="323">
        <v>0.19899999999999998</v>
      </c>
      <c r="DO122" s="323">
        <v>0.28300000000000003</v>
      </c>
      <c r="DP122" s="323">
        <v>0.183</v>
      </c>
    </row>
    <row r="123">
      <c r="A123" s="311" t="s">
        <v>461</v>
      </c>
      <c r="B123" s="311" t="s">
        <v>462</v>
      </c>
      <c r="C123" s="311" t="s">
        <v>2827</v>
      </c>
      <c r="D123" s="311">
        <v>14.0</v>
      </c>
      <c r="E123" s="312">
        <f t="shared" si="19"/>
        <v>0</v>
      </c>
      <c r="F123" s="312" t="str">
        <f t="shared" si="20"/>
        <v>#DIV/0!</v>
      </c>
      <c r="G123" s="312" t="str">
        <f t="shared" si="21"/>
        <v>#DIV/0!</v>
      </c>
      <c r="H123" s="312" t="str">
        <f t="shared" si="22"/>
        <v>#DIV/0!</v>
      </c>
      <c r="I123" s="312" t="str">
        <f t="shared" si="70"/>
        <v>#DIV/0!</v>
      </c>
      <c r="J123" s="312" t="str">
        <f t="shared" si="71"/>
        <v>#DIV/0!</v>
      </c>
      <c r="K123" s="312" t="str">
        <f t="shared" si="72"/>
        <v>#DIV/0!</v>
      </c>
      <c r="L123" s="316" t="str">
        <f t="shared" si="23"/>
        <v>#DIV/0!</v>
      </c>
      <c r="M123" s="317" t="s">
        <v>594</v>
      </c>
      <c r="N123" s="317" t="s">
        <v>594</v>
      </c>
      <c r="O123" s="317" t="s">
        <v>594</v>
      </c>
      <c r="P123" s="317" t="s">
        <v>594</v>
      </c>
      <c r="Q123" s="317" t="s">
        <v>594</v>
      </c>
      <c r="R123" s="317" t="s">
        <v>594</v>
      </c>
      <c r="S123" s="318" t="s">
        <v>561</v>
      </c>
      <c r="T123" s="318" t="s">
        <v>561</v>
      </c>
      <c r="U123" s="330" t="s">
        <v>561</v>
      </c>
      <c r="V123" s="330" t="s">
        <v>561</v>
      </c>
      <c r="W123" s="340" t="s">
        <v>2807</v>
      </c>
      <c r="X123" s="340" t="s">
        <v>561</v>
      </c>
      <c r="Y123" s="340" t="s">
        <v>2807</v>
      </c>
      <c r="Z123" s="317" t="s">
        <v>2795</v>
      </c>
      <c r="AA123" s="317" t="s">
        <v>561</v>
      </c>
      <c r="AB123" s="317" t="s">
        <v>53</v>
      </c>
      <c r="AC123" s="317" t="s">
        <v>2807</v>
      </c>
      <c r="AD123" s="317" t="s">
        <v>2795</v>
      </c>
      <c r="AE123" s="317" t="s">
        <v>561</v>
      </c>
      <c r="AF123" s="317" t="s">
        <v>561</v>
      </c>
      <c r="AG123" s="317" t="s">
        <v>561</v>
      </c>
      <c r="AH123" s="317" t="s">
        <v>801</v>
      </c>
      <c r="AI123" s="317" t="s">
        <v>561</v>
      </c>
      <c r="AJ123" s="317" t="s">
        <v>2795</v>
      </c>
      <c r="AK123" s="317" t="s">
        <v>2795</v>
      </c>
      <c r="AL123" s="317" t="s">
        <v>2807</v>
      </c>
      <c r="AM123" s="317" t="s">
        <v>2795</v>
      </c>
      <c r="AN123" s="317" t="s">
        <v>2795</v>
      </c>
      <c r="AO123" s="317" t="s">
        <v>2807</v>
      </c>
      <c r="AP123" s="317" t="s">
        <v>561</v>
      </c>
      <c r="AQ123" s="317" t="s">
        <v>561</v>
      </c>
      <c r="AR123" s="317" t="s">
        <v>561</v>
      </c>
      <c r="AS123" s="317" t="s">
        <v>2795</v>
      </c>
      <c r="AT123" s="317" t="s">
        <v>561</v>
      </c>
      <c r="AU123" s="317" t="s">
        <v>561</v>
      </c>
      <c r="AV123" s="317" t="s">
        <v>2807</v>
      </c>
      <c r="AW123" s="317" t="s">
        <v>561</v>
      </c>
      <c r="AX123" s="317" t="s">
        <v>561</v>
      </c>
      <c r="AY123" s="317" t="s">
        <v>561</v>
      </c>
      <c r="AZ123" s="317" t="s">
        <v>561</v>
      </c>
      <c r="BA123" s="317" t="s">
        <v>2796</v>
      </c>
      <c r="BB123" s="317" t="s">
        <v>561</v>
      </c>
      <c r="BC123" s="317" t="s">
        <v>2796</v>
      </c>
      <c r="BD123" s="317" t="s">
        <v>2795</v>
      </c>
      <c r="BE123" s="317" t="s">
        <v>561</v>
      </c>
      <c r="BF123" s="317" t="s">
        <v>561</v>
      </c>
      <c r="BG123" s="317" t="s">
        <v>561</v>
      </c>
      <c r="BH123" s="317" t="s">
        <v>561</v>
      </c>
      <c r="BI123" s="317" t="s">
        <v>561</v>
      </c>
      <c r="BJ123" s="317" t="s">
        <v>561</v>
      </c>
      <c r="BK123" s="317" t="s">
        <v>561</v>
      </c>
      <c r="BL123" s="317" t="s">
        <v>2796</v>
      </c>
      <c r="BM123" s="317" t="s">
        <v>2796</v>
      </c>
      <c r="BN123" s="317" t="s">
        <v>561</v>
      </c>
      <c r="BO123" s="317" t="s">
        <v>2796</v>
      </c>
      <c r="BP123" s="317" t="s">
        <v>2806</v>
      </c>
      <c r="BQ123" s="317" t="s">
        <v>53</v>
      </c>
      <c r="BR123" s="317" t="s">
        <v>561</v>
      </c>
      <c r="BS123" s="317" t="s">
        <v>53</v>
      </c>
      <c r="BT123" s="317" t="s">
        <v>561</v>
      </c>
      <c r="BU123" s="317" t="s">
        <v>53</v>
      </c>
      <c r="BV123" s="317" t="s">
        <v>561</v>
      </c>
      <c r="BW123" s="317" t="s">
        <v>53</v>
      </c>
      <c r="BX123" s="317" t="s">
        <v>561</v>
      </c>
      <c r="BY123" s="317" t="s">
        <v>53</v>
      </c>
      <c r="BZ123" s="317" t="s">
        <v>561</v>
      </c>
      <c r="CA123" s="317" t="s">
        <v>53</v>
      </c>
      <c r="CB123" s="317" t="s">
        <v>561</v>
      </c>
      <c r="CC123" s="317" t="s">
        <v>561</v>
      </c>
      <c r="CD123" s="317" t="s">
        <v>561</v>
      </c>
      <c r="CE123" s="317" t="s">
        <v>561</v>
      </c>
      <c r="CF123" s="317" t="s">
        <v>53</v>
      </c>
      <c r="CG123" s="317" t="s">
        <v>561</v>
      </c>
      <c r="CH123" s="317" t="s">
        <v>561</v>
      </c>
      <c r="CI123" s="317" t="s">
        <v>561</v>
      </c>
      <c r="CJ123" s="317" t="s">
        <v>2796</v>
      </c>
      <c r="CK123" s="317" t="s">
        <v>561</v>
      </c>
      <c r="CL123" s="317" t="s">
        <v>561</v>
      </c>
      <c r="CM123" s="317" t="s">
        <v>561</v>
      </c>
      <c r="CN123" s="317" t="s">
        <v>561</v>
      </c>
      <c r="CO123" s="317" t="s">
        <v>561</v>
      </c>
      <c r="CP123" s="317" t="s">
        <v>561</v>
      </c>
      <c r="CQ123" s="319"/>
      <c r="CR123" s="319">
        <v>2007.0</v>
      </c>
      <c r="CS123" s="342" t="s">
        <v>2476</v>
      </c>
      <c r="CT123" s="334" t="s">
        <v>122</v>
      </c>
      <c r="CU123" s="319" t="s">
        <v>23</v>
      </c>
      <c r="CV123" s="332" t="s">
        <v>75</v>
      </c>
      <c r="CW123" s="319"/>
      <c r="CX123" s="319"/>
      <c r="CY123" s="323">
        <f t="shared" si="24"/>
        <v>0.192</v>
      </c>
      <c r="CZ123" s="324">
        <v>0.59</v>
      </c>
      <c r="DA123" s="323">
        <v>0.39799999999999996</v>
      </c>
      <c r="DB123" s="323"/>
      <c r="DC123" s="323">
        <f t="shared" si="25"/>
        <v>0.216</v>
      </c>
      <c r="DD123" s="324">
        <v>0.583</v>
      </c>
      <c r="DE123" s="323">
        <v>0.36700000000000005</v>
      </c>
      <c r="DF123" s="323"/>
      <c r="DG123" s="324">
        <v>0.494</v>
      </c>
      <c r="DH123" s="323">
        <v>0.26</v>
      </c>
      <c r="DI123" s="323">
        <v>0.191</v>
      </c>
      <c r="DJ123" s="323">
        <v>0.05</v>
      </c>
      <c r="DK123" s="323">
        <v>0.016</v>
      </c>
      <c r="DL123" s="323">
        <v>0.002</v>
      </c>
      <c r="DM123" s="323"/>
      <c r="DN123" s="323">
        <v>0.365</v>
      </c>
      <c r="DO123" s="323">
        <v>0.47100000000000003</v>
      </c>
      <c r="DP123" s="323">
        <v>0.29</v>
      </c>
    </row>
    <row r="124">
      <c r="A124" s="311" t="s">
        <v>275</v>
      </c>
      <c r="B124" s="311" t="s">
        <v>276</v>
      </c>
      <c r="C124" s="311" t="s">
        <v>1197</v>
      </c>
      <c r="D124" s="311">
        <v>35.0</v>
      </c>
      <c r="E124" s="312">
        <f t="shared" si="19"/>
        <v>0</v>
      </c>
      <c r="F124" s="312" t="str">
        <f t="shared" si="20"/>
        <v>#DIV/0!</v>
      </c>
      <c r="G124" s="312" t="str">
        <f t="shared" si="21"/>
        <v>#DIV/0!</v>
      </c>
      <c r="H124" s="312" t="str">
        <f t="shared" si="22"/>
        <v>#DIV/0!</v>
      </c>
      <c r="I124" s="312" t="str">
        <f t="shared" si="70"/>
        <v>#DIV/0!</v>
      </c>
      <c r="J124" s="312" t="str">
        <f t="shared" si="71"/>
        <v>#DIV/0!</v>
      </c>
      <c r="K124" s="312" t="str">
        <f t="shared" si="72"/>
        <v>#DIV/0!</v>
      </c>
      <c r="L124" s="316" t="str">
        <f t="shared" si="23"/>
        <v>#DIV/0!</v>
      </c>
      <c r="M124" s="317" t="s">
        <v>594</v>
      </c>
      <c r="N124" s="317" t="s">
        <v>594</v>
      </c>
      <c r="O124" s="317" t="s">
        <v>594</v>
      </c>
      <c r="P124" s="317" t="s">
        <v>594</v>
      </c>
      <c r="Q124" s="317" t="s">
        <v>594</v>
      </c>
      <c r="R124" s="317" t="s">
        <v>594</v>
      </c>
      <c r="S124" s="318" t="s">
        <v>561</v>
      </c>
      <c r="T124" s="318" t="s">
        <v>53</v>
      </c>
      <c r="U124" s="330" t="s">
        <v>801</v>
      </c>
      <c r="V124" s="330" t="s">
        <v>561</v>
      </c>
      <c r="W124" s="318" t="s">
        <v>2795</v>
      </c>
      <c r="X124" s="340" t="s">
        <v>561</v>
      </c>
      <c r="Y124" s="340" t="s">
        <v>2807</v>
      </c>
      <c r="Z124" s="317" t="s">
        <v>2795</v>
      </c>
      <c r="AA124" s="317" t="s">
        <v>561</v>
      </c>
      <c r="AB124" s="317" t="s">
        <v>53</v>
      </c>
      <c r="AC124" s="317" t="s">
        <v>2795</v>
      </c>
      <c r="AD124" s="317" t="s">
        <v>2795</v>
      </c>
      <c r="AE124" s="317" t="s">
        <v>561</v>
      </c>
      <c r="AF124" s="317" t="s">
        <v>561</v>
      </c>
      <c r="AG124" s="317" t="s">
        <v>561</v>
      </c>
      <c r="AH124" s="317" t="s">
        <v>561</v>
      </c>
      <c r="AI124" s="317" t="s">
        <v>561</v>
      </c>
      <c r="AJ124" s="317" t="s">
        <v>2807</v>
      </c>
      <c r="AK124" s="317" t="s">
        <v>2807</v>
      </c>
      <c r="AL124" s="317" t="s">
        <v>2795</v>
      </c>
      <c r="AM124" s="317" t="s">
        <v>2807</v>
      </c>
      <c r="AN124" s="317" t="s">
        <v>2795</v>
      </c>
      <c r="AO124" s="317" t="s">
        <v>2807</v>
      </c>
      <c r="AP124" s="317" t="s">
        <v>561</v>
      </c>
      <c r="AQ124" s="317" t="s">
        <v>561</v>
      </c>
      <c r="AR124" s="317" t="s">
        <v>561</v>
      </c>
      <c r="AS124" s="317" t="s">
        <v>2795</v>
      </c>
      <c r="AT124" s="317" t="s">
        <v>561</v>
      </c>
      <c r="AU124" s="317" t="s">
        <v>561</v>
      </c>
      <c r="AV124" s="317" t="s">
        <v>2807</v>
      </c>
      <c r="AW124" s="317" t="s">
        <v>561</v>
      </c>
      <c r="AX124" s="317" t="s">
        <v>561</v>
      </c>
      <c r="AY124" s="317" t="s">
        <v>561</v>
      </c>
      <c r="AZ124" s="317" t="s">
        <v>561</v>
      </c>
      <c r="BA124" s="317" t="s">
        <v>2806</v>
      </c>
      <c r="BB124" s="317" t="s">
        <v>561</v>
      </c>
      <c r="BC124" s="317" t="s">
        <v>2806</v>
      </c>
      <c r="BD124" s="317" t="s">
        <v>2795</v>
      </c>
      <c r="BE124" s="317" t="s">
        <v>53</v>
      </c>
      <c r="BF124" s="317" t="s">
        <v>561</v>
      </c>
      <c r="BG124" s="317" t="s">
        <v>53</v>
      </c>
      <c r="BH124" s="317" t="s">
        <v>561</v>
      </c>
      <c r="BI124" s="317" t="s">
        <v>561</v>
      </c>
      <c r="BJ124" s="317" t="s">
        <v>53</v>
      </c>
      <c r="BK124" s="317" t="s">
        <v>561</v>
      </c>
      <c r="BL124" s="317" t="s">
        <v>2796</v>
      </c>
      <c r="BM124" s="317" t="s">
        <v>2796</v>
      </c>
      <c r="BN124" s="317" t="s">
        <v>53</v>
      </c>
      <c r="BO124" s="317" t="s">
        <v>2796</v>
      </c>
      <c r="BP124" s="317" t="s">
        <v>2806</v>
      </c>
      <c r="BQ124" s="317" t="s">
        <v>53</v>
      </c>
      <c r="BR124" s="317" t="s">
        <v>561</v>
      </c>
      <c r="BS124" s="317" t="s">
        <v>53</v>
      </c>
      <c r="BT124" s="317" t="s">
        <v>561</v>
      </c>
      <c r="BU124" s="317" t="s">
        <v>561</v>
      </c>
      <c r="BV124" s="317" t="s">
        <v>561</v>
      </c>
      <c r="BW124" s="317" t="s">
        <v>53</v>
      </c>
      <c r="BX124" s="317" t="s">
        <v>561</v>
      </c>
      <c r="BY124" s="317" t="s">
        <v>53</v>
      </c>
      <c r="BZ124" s="317" t="s">
        <v>561</v>
      </c>
      <c r="CA124" s="317" t="s">
        <v>561</v>
      </c>
      <c r="CB124" s="317" t="s">
        <v>561</v>
      </c>
      <c r="CC124" s="317" t="s">
        <v>561</v>
      </c>
      <c r="CD124" s="317" t="s">
        <v>561</v>
      </c>
      <c r="CE124" s="317" t="s">
        <v>561</v>
      </c>
      <c r="CF124" s="317" t="s">
        <v>53</v>
      </c>
      <c r="CG124" s="317" t="s">
        <v>561</v>
      </c>
      <c r="CH124" s="317" t="s">
        <v>561</v>
      </c>
      <c r="CI124" s="317" t="s">
        <v>561</v>
      </c>
      <c r="CJ124" s="317" t="s">
        <v>2806</v>
      </c>
      <c r="CK124" s="317" t="s">
        <v>561</v>
      </c>
      <c r="CL124" s="317" t="s">
        <v>561</v>
      </c>
      <c r="CM124" s="317" t="s">
        <v>561</v>
      </c>
      <c r="CN124" s="317" t="s">
        <v>561</v>
      </c>
      <c r="CO124" s="317" t="s">
        <v>561</v>
      </c>
      <c r="CP124" s="317" t="s">
        <v>561</v>
      </c>
      <c r="CQ124" s="319"/>
      <c r="CR124" s="319">
        <v>2015.0</v>
      </c>
      <c r="CS124" s="343" t="s">
        <v>1569</v>
      </c>
      <c r="CT124" s="334" t="s">
        <v>122</v>
      </c>
      <c r="CU124" s="326" t="s">
        <v>2476</v>
      </c>
      <c r="CV124" s="320" t="s">
        <v>277</v>
      </c>
      <c r="CW124" s="319"/>
      <c r="CX124" s="319"/>
      <c r="CY124" s="323">
        <f t="shared" si="24"/>
        <v>0.276</v>
      </c>
      <c r="CZ124" s="324">
        <v>0.627</v>
      </c>
      <c r="DA124" s="323">
        <v>0.35100000000000003</v>
      </c>
      <c r="DB124" s="323"/>
      <c r="DC124" s="323">
        <f t="shared" si="25"/>
        <v>0.346</v>
      </c>
      <c r="DD124" s="324">
        <v>0.6459999999999999</v>
      </c>
      <c r="DE124" s="323">
        <v>0.3</v>
      </c>
      <c r="DF124" s="323"/>
      <c r="DG124" s="323">
        <v>0.17</v>
      </c>
      <c r="DH124" s="324">
        <v>0.612</v>
      </c>
      <c r="DI124" s="323">
        <v>0.076</v>
      </c>
      <c r="DJ124" s="323">
        <v>0.139</v>
      </c>
      <c r="DK124" s="323">
        <v>0.039</v>
      </c>
      <c r="DL124" s="323">
        <v>0.005</v>
      </c>
      <c r="DM124" s="323"/>
      <c r="DN124" s="323">
        <v>0.207</v>
      </c>
      <c r="DO124" s="323">
        <v>0.278</v>
      </c>
      <c r="DP124" s="323">
        <v>0.16399999999999998</v>
      </c>
    </row>
    <row r="125">
      <c r="A125" s="311" t="s">
        <v>614</v>
      </c>
      <c r="B125" s="311" t="s">
        <v>615</v>
      </c>
      <c r="C125" s="311" t="s">
        <v>848</v>
      </c>
      <c r="D125" s="311">
        <v>8.0</v>
      </c>
      <c r="E125" s="312">
        <f t="shared" si="19"/>
        <v>0</v>
      </c>
      <c r="F125" s="312" t="str">
        <f t="shared" si="20"/>
        <v>#DIV/0!</v>
      </c>
      <c r="G125" s="312" t="str">
        <f t="shared" si="21"/>
        <v>#DIV/0!</v>
      </c>
      <c r="H125" s="312" t="str">
        <f t="shared" si="22"/>
        <v>#DIV/0!</v>
      </c>
      <c r="I125" s="312" t="str">
        <f t="shared" si="70"/>
        <v>#DIV/0!</v>
      </c>
      <c r="J125" s="312" t="str">
        <f t="shared" si="71"/>
        <v>#DIV/0!</v>
      </c>
      <c r="K125" s="315" t="s">
        <v>2794</v>
      </c>
      <c r="L125" s="316" t="str">
        <f t="shared" si="23"/>
        <v>#DIV/0!</v>
      </c>
      <c r="M125" s="317" t="s">
        <v>594</v>
      </c>
      <c r="N125" s="317" t="s">
        <v>594</v>
      </c>
      <c r="O125" s="317" t="s">
        <v>594</v>
      </c>
      <c r="P125" s="317" t="s">
        <v>594</v>
      </c>
      <c r="Q125" s="317" t="s">
        <v>594</v>
      </c>
      <c r="R125" s="317" t="s">
        <v>594</v>
      </c>
      <c r="S125" s="318" t="s">
        <v>561</v>
      </c>
      <c r="T125" s="318" t="s">
        <v>561</v>
      </c>
      <c r="U125" s="330" t="s">
        <v>561</v>
      </c>
      <c r="V125" s="330" t="s">
        <v>561</v>
      </c>
      <c r="W125" s="318" t="s">
        <v>2795</v>
      </c>
      <c r="X125" s="340" t="s">
        <v>561</v>
      </c>
      <c r="Y125" s="340" t="s">
        <v>2807</v>
      </c>
      <c r="Z125" s="317" t="s">
        <v>2795</v>
      </c>
      <c r="AA125" s="317" t="s">
        <v>561</v>
      </c>
      <c r="AB125" s="317" t="s">
        <v>53</v>
      </c>
      <c r="AC125" s="317" t="s">
        <v>2795</v>
      </c>
      <c r="AD125" s="317" t="s">
        <v>2795</v>
      </c>
      <c r="AE125" s="317" t="s">
        <v>561</v>
      </c>
      <c r="AF125" s="317" t="s">
        <v>561</v>
      </c>
      <c r="AG125" s="317" t="s">
        <v>561</v>
      </c>
      <c r="AH125" s="317" t="s">
        <v>561</v>
      </c>
      <c r="AI125" s="317" t="s">
        <v>561</v>
      </c>
      <c r="AJ125" s="317" t="s">
        <v>2795</v>
      </c>
      <c r="AK125" s="317" t="s">
        <v>2807</v>
      </c>
      <c r="AL125" s="317" t="s">
        <v>2795</v>
      </c>
      <c r="AM125" s="317" t="s">
        <v>2807</v>
      </c>
      <c r="AN125" s="317" t="s">
        <v>2795</v>
      </c>
      <c r="AO125" s="317" t="s">
        <v>2795</v>
      </c>
      <c r="AP125" s="317" t="s">
        <v>561</v>
      </c>
      <c r="AQ125" s="317" t="s">
        <v>561</v>
      </c>
      <c r="AR125" s="317" t="s">
        <v>561</v>
      </c>
      <c r="AS125" s="317" t="s">
        <v>2795</v>
      </c>
      <c r="AT125" s="317" t="s">
        <v>561</v>
      </c>
      <c r="AU125" s="317" t="s">
        <v>561</v>
      </c>
      <c r="AV125" s="317" t="s">
        <v>2795</v>
      </c>
      <c r="AW125" s="317" t="s">
        <v>561</v>
      </c>
      <c r="AX125" s="317" t="s">
        <v>561</v>
      </c>
      <c r="AY125" s="317" t="s">
        <v>561</v>
      </c>
      <c r="AZ125" s="317" t="s">
        <v>561</v>
      </c>
      <c r="BA125" s="317" t="s">
        <v>2796</v>
      </c>
      <c r="BB125" s="317" t="s">
        <v>561</v>
      </c>
      <c r="BC125" s="317" t="s">
        <v>2806</v>
      </c>
      <c r="BD125" s="317" t="s">
        <v>2795</v>
      </c>
      <c r="BE125" s="317" t="s">
        <v>561</v>
      </c>
      <c r="BF125" s="317" t="s">
        <v>561</v>
      </c>
      <c r="BG125" s="317" t="s">
        <v>561</v>
      </c>
      <c r="BH125" s="317" t="s">
        <v>561</v>
      </c>
      <c r="BI125" s="317" t="s">
        <v>561</v>
      </c>
      <c r="BJ125" s="317" t="s">
        <v>561</v>
      </c>
      <c r="BK125" s="317" t="s">
        <v>561</v>
      </c>
      <c r="BL125" s="317" t="s">
        <v>2796</v>
      </c>
      <c r="BM125" s="317" t="s">
        <v>2796</v>
      </c>
      <c r="BN125" s="317" t="s">
        <v>561</v>
      </c>
      <c r="BO125" s="317" t="s">
        <v>2796</v>
      </c>
      <c r="BP125" s="317" t="s">
        <v>2806</v>
      </c>
      <c r="BQ125" s="317" t="s">
        <v>53</v>
      </c>
      <c r="BR125" s="317" t="s">
        <v>561</v>
      </c>
      <c r="BS125" s="317" t="s">
        <v>53</v>
      </c>
      <c r="BT125" s="317" t="s">
        <v>561</v>
      </c>
      <c r="BU125" s="317" t="s">
        <v>53</v>
      </c>
      <c r="BV125" s="317" t="s">
        <v>561</v>
      </c>
      <c r="BW125" s="317" t="s">
        <v>53</v>
      </c>
      <c r="BX125" s="317" t="s">
        <v>561</v>
      </c>
      <c r="BY125" s="317" t="s">
        <v>53</v>
      </c>
      <c r="BZ125" s="317" t="s">
        <v>561</v>
      </c>
      <c r="CA125" s="317" t="s">
        <v>53</v>
      </c>
      <c r="CB125" s="317" t="s">
        <v>561</v>
      </c>
      <c r="CC125" s="317" t="s">
        <v>561</v>
      </c>
      <c r="CD125" s="317" t="s">
        <v>561</v>
      </c>
      <c r="CE125" s="317" t="s">
        <v>561</v>
      </c>
      <c r="CF125" s="317" t="s">
        <v>53</v>
      </c>
      <c r="CG125" s="317" t="s">
        <v>561</v>
      </c>
      <c r="CH125" s="317" t="s">
        <v>561</v>
      </c>
      <c r="CI125" s="317" t="s">
        <v>561</v>
      </c>
      <c r="CJ125" s="317" t="s">
        <v>2806</v>
      </c>
      <c r="CK125" s="317" t="s">
        <v>561</v>
      </c>
      <c r="CL125" s="317" t="s">
        <v>561</v>
      </c>
      <c r="CM125" s="317" t="s">
        <v>600</v>
      </c>
      <c r="CN125" s="317" t="s">
        <v>600</v>
      </c>
      <c r="CO125" s="317" t="s">
        <v>600</v>
      </c>
      <c r="CP125" s="317" t="s">
        <v>600</v>
      </c>
      <c r="CQ125" s="319"/>
      <c r="CR125" s="319">
        <v>2017.0</v>
      </c>
      <c r="CS125" s="343" t="s">
        <v>1569</v>
      </c>
      <c r="CT125" s="334" t="s">
        <v>2030</v>
      </c>
      <c r="CU125" s="319" t="s">
        <v>23</v>
      </c>
      <c r="CV125" s="331" t="s">
        <v>105</v>
      </c>
      <c r="CW125" s="319"/>
      <c r="CX125" s="319"/>
      <c r="CY125" s="323">
        <f t="shared" si="24"/>
        <v>0.154</v>
      </c>
      <c r="CZ125" s="324">
        <v>0.568</v>
      </c>
      <c r="DA125" s="323">
        <v>0.414</v>
      </c>
      <c r="DB125" s="323"/>
      <c r="DC125" s="323">
        <f t="shared" si="25"/>
        <v>0.157</v>
      </c>
      <c r="DD125" s="324">
        <v>0.546</v>
      </c>
      <c r="DE125" s="323">
        <v>0.389</v>
      </c>
      <c r="DF125" s="323"/>
      <c r="DG125" s="324">
        <v>0.584</v>
      </c>
      <c r="DH125" s="323">
        <v>0.207</v>
      </c>
      <c r="DI125" s="323">
        <v>0.048</v>
      </c>
      <c r="DJ125" s="323">
        <v>0.152</v>
      </c>
      <c r="DK125" s="323">
        <v>0.021</v>
      </c>
      <c r="DL125" s="323">
        <v>0.001</v>
      </c>
      <c r="DM125" s="323"/>
      <c r="DN125" s="323">
        <v>0.375</v>
      </c>
      <c r="DO125" s="323">
        <v>0.39</v>
      </c>
      <c r="DP125" s="323">
        <v>0.414</v>
      </c>
    </row>
    <row r="126">
      <c r="A126" s="311" t="s">
        <v>95</v>
      </c>
      <c r="B126" s="311" t="s">
        <v>2498</v>
      </c>
      <c r="C126" s="311" t="s">
        <v>1197</v>
      </c>
      <c r="D126" s="311">
        <v>49.0</v>
      </c>
      <c r="E126" s="312">
        <f t="shared" si="19"/>
        <v>0.3333333333</v>
      </c>
      <c r="F126" s="312" t="str">
        <f t="shared" si="20"/>
        <v>#DIV/0!</v>
      </c>
      <c r="G126" s="312" t="str">
        <f t="shared" si="21"/>
        <v>#DIV/0!</v>
      </c>
      <c r="H126" s="312" t="str">
        <f t="shared" si="22"/>
        <v>#DIV/0!</v>
      </c>
      <c r="I126" s="312" t="str">
        <f t="shared" si="70"/>
        <v>#DIV/0!</v>
      </c>
      <c r="J126" s="315" t="s">
        <v>2794</v>
      </c>
      <c r="K126" s="315" t="s">
        <v>2794</v>
      </c>
      <c r="L126" s="316" t="str">
        <f t="shared" si="23"/>
        <v>#DIV/0!</v>
      </c>
      <c r="M126" s="317" t="s">
        <v>487</v>
      </c>
      <c r="N126" s="317" t="s">
        <v>487</v>
      </c>
      <c r="O126" s="317" t="s">
        <v>594</v>
      </c>
      <c r="P126" s="317" t="s">
        <v>594</v>
      </c>
      <c r="Q126" s="317" t="s">
        <v>594</v>
      </c>
      <c r="R126" s="317" t="s">
        <v>594</v>
      </c>
      <c r="S126" s="318" t="s">
        <v>561</v>
      </c>
      <c r="T126" s="318" t="s">
        <v>561</v>
      </c>
      <c r="U126" s="330" t="s">
        <v>561</v>
      </c>
      <c r="V126" s="330" t="s">
        <v>561</v>
      </c>
      <c r="W126" s="318" t="s">
        <v>2795</v>
      </c>
      <c r="X126" s="340" t="s">
        <v>561</v>
      </c>
      <c r="Y126" s="340" t="s">
        <v>2807</v>
      </c>
      <c r="Z126" s="317" t="s">
        <v>2795</v>
      </c>
      <c r="AA126" s="317" t="s">
        <v>561</v>
      </c>
      <c r="AB126" s="317" t="s">
        <v>561</v>
      </c>
      <c r="AC126" s="317" t="s">
        <v>2795</v>
      </c>
      <c r="AD126" s="317" t="s">
        <v>2795</v>
      </c>
      <c r="AE126" s="317" t="s">
        <v>561</v>
      </c>
      <c r="AF126" s="317" t="s">
        <v>561</v>
      </c>
      <c r="AG126" s="317" t="s">
        <v>561</v>
      </c>
      <c r="AH126" s="317" t="s">
        <v>561</v>
      </c>
      <c r="AI126" s="317" t="s">
        <v>561</v>
      </c>
      <c r="AJ126" s="317" t="s">
        <v>2807</v>
      </c>
      <c r="AK126" s="317" t="s">
        <v>2807</v>
      </c>
      <c r="AL126" s="317" t="s">
        <v>2807</v>
      </c>
      <c r="AM126" s="317" t="s">
        <v>2795</v>
      </c>
      <c r="AN126" s="317" t="s">
        <v>2795</v>
      </c>
      <c r="AO126" s="317" t="s">
        <v>2807</v>
      </c>
      <c r="AP126" s="317" t="s">
        <v>561</v>
      </c>
      <c r="AQ126" s="317" t="s">
        <v>561</v>
      </c>
      <c r="AR126" s="317" t="s">
        <v>561</v>
      </c>
      <c r="AS126" s="317" t="s">
        <v>2807</v>
      </c>
      <c r="AT126" s="317" t="s">
        <v>561</v>
      </c>
      <c r="AU126" s="317" t="s">
        <v>561</v>
      </c>
      <c r="AV126" s="317" t="s">
        <v>2807</v>
      </c>
      <c r="AW126" s="317" t="s">
        <v>561</v>
      </c>
      <c r="AX126" s="317" t="s">
        <v>561</v>
      </c>
      <c r="AY126" s="317" t="s">
        <v>561</v>
      </c>
      <c r="AZ126" s="317" t="s">
        <v>561</v>
      </c>
      <c r="BA126" s="317" t="s">
        <v>2806</v>
      </c>
      <c r="BB126" s="317" t="s">
        <v>561</v>
      </c>
      <c r="BC126" s="317" t="s">
        <v>2806</v>
      </c>
      <c r="BD126" s="317" t="s">
        <v>2795</v>
      </c>
      <c r="BE126" s="317" t="s">
        <v>561</v>
      </c>
      <c r="BF126" s="317" t="s">
        <v>561</v>
      </c>
      <c r="BG126" s="317" t="s">
        <v>561</v>
      </c>
      <c r="BH126" s="317" t="s">
        <v>561</v>
      </c>
      <c r="BI126" s="317" t="s">
        <v>561</v>
      </c>
      <c r="BJ126" s="317" t="s">
        <v>53</v>
      </c>
      <c r="BK126" s="317" t="s">
        <v>561</v>
      </c>
      <c r="BL126" s="317" t="s">
        <v>2806</v>
      </c>
      <c r="BM126" s="317" t="s">
        <v>2796</v>
      </c>
      <c r="BN126" s="317" t="s">
        <v>561</v>
      </c>
      <c r="BO126" s="317" t="s">
        <v>2796</v>
      </c>
      <c r="BP126" s="317" t="s">
        <v>2806</v>
      </c>
      <c r="BQ126" s="317" t="s">
        <v>600</v>
      </c>
      <c r="BR126" s="317" t="s">
        <v>600</v>
      </c>
      <c r="BS126" s="317" t="s">
        <v>600</v>
      </c>
      <c r="BT126" s="317" t="s">
        <v>600</v>
      </c>
      <c r="BU126" s="317" t="s">
        <v>600</v>
      </c>
      <c r="BV126" s="317" t="s">
        <v>600</v>
      </c>
      <c r="BW126" s="317" t="s">
        <v>600</v>
      </c>
      <c r="BX126" s="317" t="s">
        <v>600</v>
      </c>
      <c r="BY126" s="317" t="s">
        <v>600</v>
      </c>
      <c r="BZ126" s="317" t="s">
        <v>600</v>
      </c>
      <c r="CA126" s="317" t="s">
        <v>600</v>
      </c>
      <c r="CB126" s="317" t="s">
        <v>600</v>
      </c>
      <c r="CC126" s="317" t="s">
        <v>600</v>
      </c>
      <c r="CD126" s="317" t="s">
        <v>600</v>
      </c>
      <c r="CE126" s="317" t="s">
        <v>600</v>
      </c>
      <c r="CF126" s="317" t="s">
        <v>600</v>
      </c>
      <c r="CG126" s="317" t="s">
        <v>600</v>
      </c>
      <c r="CH126" s="317" t="s">
        <v>600</v>
      </c>
      <c r="CI126" s="317" t="s">
        <v>600</v>
      </c>
      <c r="CJ126" s="317" t="s">
        <v>600</v>
      </c>
      <c r="CK126" s="317" t="s">
        <v>600</v>
      </c>
      <c r="CL126" s="317" t="s">
        <v>600</v>
      </c>
      <c r="CM126" s="317" t="s">
        <v>600</v>
      </c>
      <c r="CN126" s="317" t="s">
        <v>600</v>
      </c>
      <c r="CO126" s="317" t="s">
        <v>600</v>
      </c>
      <c r="CP126" s="317" t="s">
        <v>600</v>
      </c>
      <c r="CQ126" s="319"/>
      <c r="CR126" s="319">
        <v>2019.0</v>
      </c>
      <c r="CS126" s="320" t="s">
        <v>850</v>
      </c>
      <c r="CT126" s="334" t="s">
        <v>2030</v>
      </c>
      <c r="CU126" s="326" t="s">
        <v>2476</v>
      </c>
      <c r="CV126" s="349" t="s">
        <v>83</v>
      </c>
      <c r="CW126" s="336"/>
      <c r="CX126" s="319"/>
      <c r="CY126" s="323">
        <f t="shared" si="24"/>
        <v>0.114</v>
      </c>
      <c r="CZ126" s="337">
        <v>0.546</v>
      </c>
      <c r="DA126" s="338">
        <v>0.43200000000000005</v>
      </c>
      <c r="DB126" s="338"/>
      <c r="DC126" s="323">
        <f t="shared" si="25"/>
        <v>0.056</v>
      </c>
      <c r="DD126" s="337">
        <v>0.49700000000000005</v>
      </c>
      <c r="DE126" s="338">
        <v>0.441</v>
      </c>
      <c r="DF126" s="338"/>
      <c r="DG126" s="337">
        <v>0.61</v>
      </c>
      <c r="DH126" s="338">
        <v>0.245</v>
      </c>
      <c r="DI126" s="338">
        <v>0.033</v>
      </c>
      <c r="DJ126" s="338">
        <v>0.091</v>
      </c>
      <c r="DK126" s="338">
        <v>0.027999999999999997</v>
      </c>
      <c r="DL126" s="338">
        <v>0.009000000000000001</v>
      </c>
      <c r="DM126" s="338"/>
      <c r="DN126" s="338">
        <v>0.456</v>
      </c>
      <c r="DO126" s="337">
        <v>0.5379999999999999</v>
      </c>
      <c r="DP126" s="338">
        <v>0.31</v>
      </c>
    </row>
    <row r="127">
      <c r="A127" s="311" t="s">
        <v>347</v>
      </c>
      <c r="B127" s="311" t="s">
        <v>628</v>
      </c>
      <c r="C127" s="311" t="s">
        <v>848</v>
      </c>
      <c r="D127" s="311">
        <v>11.0</v>
      </c>
      <c r="E127" s="312">
        <f t="shared" si="19"/>
        <v>0</v>
      </c>
      <c r="F127" s="312" t="str">
        <f t="shared" si="20"/>
        <v>#DIV/0!</v>
      </c>
      <c r="G127" s="312" t="str">
        <f t="shared" si="21"/>
        <v>#DIV/0!</v>
      </c>
      <c r="H127" s="312" t="str">
        <f t="shared" si="22"/>
        <v>#DIV/0!</v>
      </c>
      <c r="I127" s="312" t="str">
        <f t="shared" si="70"/>
        <v>#DIV/0!</v>
      </c>
      <c r="J127" s="312" t="str">
        <f t="shared" ref="J127:J131" si="73">(COUNTIF(BQ127:CL127, "Nay")+COUNTIF(BQ127:CL127, "Yea (Amend)")+(0.5*COUNTIF(BQ127:CL127, "Present")))/(COUNTIF(BQ127:CL127, "Nay")+COUNTIF(BQ127:CL127, "Yea (Amend)")+COUNTIF(BQ127:CL127, "Yea")+COUNTIF(BQ127:CL127, "Nay (Amend)")+COUNTIF(BQ127:CL127, "Present"))</f>
        <v>#DIV/0!</v>
      </c>
      <c r="K127" s="312" t="str">
        <f t="shared" ref="K127:K128" si="74">(COUNTIF(CM127:CP127, "Nay")+COUNTIF(CM127:CP127, "Yea (Amend)")+(0.5*COUNTIF(CM127:CP127, "Present")))/(COUNTIF(CM127:CP127, "Nay")+COUNTIF(CM127:CP127, "Yea (Amend)")+COUNTIF(CM127:CP127, "Yea")+COUNTIF(CM127:CP127, "Nay (Amend)")+COUNTIF(CM127:CP127, "Present"))</f>
        <v>#DIV/0!</v>
      </c>
      <c r="L127" s="316" t="str">
        <f t="shared" si="23"/>
        <v>#DIV/0!</v>
      </c>
      <c r="M127" s="317" t="s">
        <v>594</v>
      </c>
      <c r="N127" s="317" t="s">
        <v>594</v>
      </c>
      <c r="O127" s="317" t="s">
        <v>594</v>
      </c>
      <c r="P127" s="317" t="s">
        <v>594</v>
      </c>
      <c r="Q127" s="317" t="s">
        <v>594</v>
      </c>
      <c r="R127" s="317" t="s">
        <v>594</v>
      </c>
      <c r="S127" s="318" t="s">
        <v>561</v>
      </c>
      <c r="T127" s="318" t="s">
        <v>561</v>
      </c>
      <c r="U127" s="330" t="s">
        <v>561</v>
      </c>
      <c r="V127" s="330" t="s">
        <v>561</v>
      </c>
      <c r="W127" s="318" t="s">
        <v>2795</v>
      </c>
      <c r="X127" s="340" t="s">
        <v>561</v>
      </c>
      <c r="Y127" s="318" t="s">
        <v>2795</v>
      </c>
      <c r="Z127" s="317" t="s">
        <v>2795</v>
      </c>
      <c r="AA127" s="317" t="s">
        <v>561</v>
      </c>
      <c r="AB127" s="317" t="s">
        <v>53</v>
      </c>
      <c r="AC127" s="317" t="s">
        <v>2795</v>
      </c>
      <c r="AD127" s="317" t="s">
        <v>2795</v>
      </c>
      <c r="AE127" s="317" t="s">
        <v>561</v>
      </c>
      <c r="AF127" s="317" t="s">
        <v>561</v>
      </c>
      <c r="AG127" s="317" t="s">
        <v>561</v>
      </c>
      <c r="AH127" s="317" t="s">
        <v>561</v>
      </c>
      <c r="AI127" s="317" t="s">
        <v>561</v>
      </c>
      <c r="AJ127" s="317" t="s">
        <v>2795</v>
      </c>
      <c r="AK127" s="317" t="s">
        <v>2807</v>
      </c>
      <c r="AL127" s="317" t="s">
        <v>2795</v>
      </c>
      <c r="AM127" s="317" t="s">
        <v>2795</v>
      </c>
      <c r="AN127" s="317" t="s">
        <v>2795</v>
      </c>
      <c r="AO127" s="317" t="s">
        <v>2795</v>
      </c>
      <c r="AP127" s="317" t="s">
        <v>561</v>
      </c>
      <c r="AQ127" s="317" t="s">
        <v>561</v>
      </c>
      <c r="AR127" s="317" t="s">
        <v>561</v>
      </c>
      <c r="AS127" s="317" t="s">
        <v>2795</v>
      </c>
      <c r="AT127" s="317" t="s">
        <v>561</v>
      </c>
      <c r="AU127" s="317" t="s">
        <v>561</v>
      </c>
      <c r="AV127" s="317" t="s">
        <v>2795</v>
      </c>
      <c r="AW127" s="317" t="s">
        <v>561</v>
      </c>
      <c r="AX127" s="317" t="s">
        <v>561</v>
      </c>
      <c r="AY127" s="317" t="s">
        <v>561</v>
      </c>
      <c r="AZ127" s="317" t="s">
        <v>561</v>
      </c>
      <c r="BA127" s="317" t="s">
        <v>2806</v>
      </c>
      <c r="BB127" s="317" t="s">
        <v>561</v>
      </c>
      <c r="BC127" s="317" t="s">
        <v>2806</v>
      </c>
      <c r="BD127" s="317" t="s">
        <v>2795</v>
      </c>
      <c r="BE127" s="317" t="s">
        <v>561</v>
      </c>
      <c r="BF127" s="317" t="s">
        <v>561</v>
      </c>
      <c r="BG127" s="317" t="s">
        <v>561</v>
      </c>
      <c r="BH127" s="317" t="s">
        <v>561</v>
      </c>
      <c r="BI127" s="317" t="s">
        <v>561</v>
      </c>
      <c r="BJ127" s="317" t="s">
        <v>561</v>
      </c>
      <c r="BK127" s="317" t="s">
        <v>561</v>
      </c>
      <c r="BL127" s="317" t="s">
        <v>2796</v>
      </c>
      <c r="BM127" s="317" t="s">
        <v>2796</v>
      </c>
      <c r="BN127" s="317" t="s">
        <v>561</v>
      </c>
      <c r="BO127" s="317" t="s">
        <v>2796</v>
      </c>
      <c r="BP127" s="317" t="s">
        <v>2796</v>
      </c>
      <c r="BQ127" s="317" t="s">
        <v>53</v>
      </c>
      <c r="BR127" s="317" t="s">
        <v>561</v>
      </c>
      <c r="BS127" s="317" t="s">
        <v>53</v>
      </c>
      <c r="BT127" s="317" t="s">
        <v>561</v>
      </c>
      <c r="BU127" s="317" t="s">
        <v>53</v>
      </c>
      <c r="BV127" s="317" t="s">
        <v>561</v>
      </c>
      <c r="BW127" s="317" t="s">
        <v>561</v>
      </c>
      <c r="BX127" s="317" t="s">
        <v>53</v>
      </c>
      <c r="BY127" s="317" t="s">
        <v>561</v>
      </c>
      <c r="BZ127" s="317" t="s">
        <v>561</v>
      </c>
      <c r="CA127" s="317" t="s">
        <v>561</v>
      </c>
      <c r="CB127" s="317" t="s">
        <v>561</v>
      </c>
      <c r="CC127" s="317" t="s">
        <v>561</v>
      </c>
      <c r="CD127" s="317" t="s">
        <v>561</v>
      </c>
      <c r="CE127" s="317" t="s">
        <v>561</v>
      </c>
      <c r="CF127" s="317" t="s">
        <v>53</v>
      </c>
      <c r="CG127" s="317" t="s">
        <v>561</v>
      </c>
      <c r="CH127" s="317" t="s">
        <v>561</v>
      </c>
      <c r="CI127" s="317" t="s">
        <v>561</v>
      </c>
      <c r="CJ127" s="317" t="s">
        <v>2806</v>
      </c>
      <c r="CK127" s="317" t="s">
        <v>561</v>
      </c>
      <c r="CL127" s="317" t="s">
        <v>561</v>
      </c>
      <c r="CM127" s="317" t="s">
        <v>561</v>
      </c>
      <c r="CN127" s="317" t="s">
        <v>561</v>
      </c>
      <c r="CO127" s="317" t="s">
        <v>561</v>
      </c>
      <c r="CP127" s="317" t="s">
        <v>561</v>
      </c>
      <c r="CQ127" s="319"/>
      <c r="CR127" s="319">
        <v>2013.0</v>
      </c>
      <c r="CS127" s="343" t="s">
        <v>1569</v>
      </c>
      <c r="CT127" s="319"/>
      <c r="CU127" s="319" t="s">
        <v>23</v>
      </c>
      <c r="CV127" s="332" t="s">
        <v>75</v>
      </c>
      <c r="CW127" s="319"/>
      <c r="CX127" s="319"/>
      <c r="CY127" s="323">
        <f t="shared" si="24"/>
        <v>0.153</v>
      </c>
      <c r="CZ127" s="324">
        <v>0.5660000000000001</v>
      </c>
      <c r="DA127" s="323">
        <v>0.413</v>
      </c>
      <c r="DB127" s="323"/>
      <c r="DC127" s="323">
        <f t="shared" si="25"/>
        <v>0.106</v>
      </c>
      <c r="DD127" s="324">
        <v>0.517</v>
      </c>
      <c r="DE127" s="323">
        <v>0.41100000000000003</v>
      </c>
      <c r="DF127" s="323"/>
      <c r="DG127" s="324">
        <v>0.6659999999999999</v>
      </c>
      <c r="DH127" s="323">
        <v>0.16399999999999998</v>
      </c>
      <c r="DI127" s="323">
        <v>0.066</v>
      </c>
      <c r="DJ127" s="323">
        <v>0.09</v>
      </c>
      <c r="DK127" s="323">
        <v>0.018000000000000002</v>
      </c>
      <c r="DL127" s="323">
        <v>0.001</v>
      </c>
      <c r="DM127" s="323"/>
      <c r="DN127" s="323">
        <v>0.435</v>
      </c>
      <c r="DO127" s="323">
        <v>0.46799999999999997</v>
      </c>
      <c r="DP127" s="323">
        <v>0.395</v>
      </c>
    </row>
    <row r="128">
      <c r="A128" s="311" t="s">
        <v>689</v>
      </c>
      <c r="B128" s="311" t="s">
        <v>690</v>
      </c>
      <c r="C128" s="311" t="s">
        <v>646</v>
      </c>
      <c r="D128" s="311">
        <v>2.0</v>
      </c>
      <c r="E128" s="312">
        <f t="shared" si="19"/>
        <v>0.1666666667</v>
      </c>
      <c r="F128" s="312" t="str">
        <f t="shared" si="20"/>
        <v>#DIV/0!</v>
      </c>
      <c r="G128" s="312" t="str">
        <f t="shared" si="21"/>
        <v>#DIV/0!</v>
      </c>
      <c r="H128" s="312" t="str">
        <f t="shared" si="22"/>
        <v>#DIV/0!</v>
      </c>
      <c r="I128" s="312" t="str">
        <f t="shared" si="70"/>
        <v>#DIV/0!</v>
      </c>
      <c r="J128" s="312" t="str">
        <f t="shared" si="73"/>
        <v>#DIV/0!</v>
      </c>
      <c r="K128" s="312" t="str">
        <f t="shared" si="74"/>
        <v>#DIV/0!</v>
      </c>
      <c r="L128" s="316" t="str">
        <f t="shared" si="23"/>
        <v>#DIV/0!</v>
      </c>
      <c r="M128" s="317" t="s">
        <v>594</v>
      </c>
      <c r="N128" s="317" t="s">
        <v>487</v>
      </c>
      <c r="O128" s="317" t="s">
        <v>594</v>
      </c>
      <c r="P128" s="317" t="s">
        <v>594</v>
      </c>
      <c r="Q128" s="317" t="s">
        <v>594</v>
      </c>
      <c r="R128" s="317" t="s">
        <v>594</v>
      </c>
      <c r="S128" s="318" t="s">
        <v>561</v>
      </c>
      <c r="T128" s="318" t="s">
        <v>561</v>
      </c>
      <c r="U128" s="330" t="s">
        <v>561</v>
      </c>
      <c r="V128" s="330" t="s">
        <v>561</v>
      </c>
      <c r="W128" s="340" t="s">
        <v>2807</v>
      </c>
      <c r="X128" s="340" t="s">
        <v>561</v>
      </c>
      <c r="Y128" s="318" t="s">
        <v>2795</v>
      </c>
      <c r="Z128" s="317" t="s">
        <v>2795</v>
      </c>
      <c r="AA128" s="317" t="s">
        <v>561</v>
      </c>
      <c r="AB128" s="317" t="s">
        <v>53</v>
      </c>
      <c r="AC128" s="317" t="s">
        <v>2795</v>
      </c>
      <c r="AD128" s="317" t="s">
        <v>2795</v>
      </c>
      <c r="AE128" s="317" t="s">
        <v>561</v>
      </c>
      <c r="AF128" s="317" t="s">
        <v>561</v>
      </c>
      <c r="AG128" s="317" t="s">
        <v>561</v>
      </c>
      <c r="AH128" s="317" t="s">
        <v>561</v>
      </c>
      <c r="AI128" s="317" t="s">
        <v>561</v>
      </c>
      <c r="AJ128" s="317" t="s">
        <v>2795</v>
      </c>
      <c r="AK128" s="317" t="s">
        <v>2807</v>
      </c>
      <c r="AL128" s="317" t="s">
        <v>2807</v>
      </c>
      <c r="AM128" s="317" t="s">
        <v>2807</v>
      </c>
      <c r="AN128" s="317" t="s">
        <v>2795</v>
      </c>
      <c r="AO128" s="317" t="s">
        <v>2795</v>
      </c>
      <c r="AP128" s="317" t="s">
        <v>561</v>
      </c>
      <c r="AQ128" s="317" t="s">
        <v>561</v>
      </c>
      <c r="AR128" s="317" t="s">
        <v>561</v>
      </c>
      <c r="AS128" s="317" t="s">
        <v>2807</v>
      </c>
      <c r="AT128" s="317" t="s">
        <v>561</v>
      </c>
      <c r="AU128" s="317" t="s">
        <v>561</v>
      </c>
      <c r="AV128" s="317" t="s">
        <v>2807</v>
      </c>
      <c r="AW128" s="317" t="s">
        <v>561</v>
      </c>
      <c r="AX128" s="317" t="s">
        <v>561</v>
      </c>
      <c r="AY128" s="317" t="s">
        <v>561</v>
      </c>
      <c r="AZ128" s="317" t="s">
        <v>561</v>
      </c>
      <c r="BA128" s="317" t="s">
        <v>2806</v>
      </c>
      <c r="BB128" s="317" t="s">
        <v>561</v>
      </c>
      <c r="BC128" s="317" t="s">
        <v>2806</v>
      </c>
      <c r="BD128" s="317" t="s">
        <v>2795</v>
      </c>
      <c r="BE128" s="317" t="s">
        <v>561</v>
      </c>
      <c r="BF128" s="317" t="s">
        <v>561</v>
      </c>
      <c r="BG128" s="317" t="s">
        <v>561</v>
      </c>
      <c r="BH128" s="317" t="s">
        <v>561</v>
      </c>
      <c r="BI128" s="317" t="s">
        <v>561</v>
      </c>
      <c r="BJ128" s="317" t="s">
        <v>561</v>
      </c>
      <c r="BK128" s="317" t="s">
        <v>561</v>
      </c>
      <c r="BL128" s="317" t="s">
        <v>2796</v>
      </c>
      <c r="BM128" s="317" t="s">
        <v>2796</v>
      </c>
      <c r="BN128" s="317" t="s">
        <v>561</v>
      </c>
      <c r="BO128" s="317" t="s">
        <v>2796</v>
      </c>
      <c r="BP128" s="317" t="s">
        <v>2806</v>
      </c>
      <c r="BQ128" s="317" t="s">
        <v>53</v>
      </c>
      <c r="BR128" s="317" t="s">
        <v>561</v>
      </c>
      <c r="BS128" s="317" t="s">
        <v>53</v>
      </c>
      <c r="BT128" s="317" t="s">
        <v>561</v>
      </c>
      <c r="BU128" s="317" t="s">
        <v>561</v>
      </c>
      <c r="BV128" s="317" t="s">
        <v>561</v>
      </c>
      <c r="BW128" s="317" t="s">
        <v>53</v>
      </c>
      <c r="BX128" s="317" t="s">
        <v>561</v>
      </c>
      <c r="BY128" s="317" t="s">
        <v>561</v>
      </c>
      <c r="BZ128" s="317" t="s">
        <v>561</v>
      </c>
      <c r="CA128" s="317" t="s">
        <v>53</v>
      </c>
      <c r="CB128" s="317" t="s">
        <v>561</v>
      </c>
      <c r="CC128" s="317" t="s">
        <v>561</v>
      </c>
      <c r="CD128" s="317" t="s">
        <v>53</v>
      </c>
      <c r="CE128" s="317" t="s">
        <v>561</v>
      </c>
      <c r="CF128" s="317" t="s">
        <v>53</v>
      </c>
      <c r="CG128" s="317" t="s">
        <v>561</v>
      </c>
      <c r="CH128" s="317" t="s">
        <v>561</v>
      </c>
      <c r="CI128" s="317" t="s">
        <v>561</v>
      </c>
      <c r="CJ128" s="317" t="s">
        <v>2806</v>
      </c>
      <c r="CK128" s="317" t="s">
        <v>561</v>
      </c>
      <c r="CL128" s="317" t="s">
        <v>561</v>
      </c>
      <c r="CM128" s="317" t="s">
        <v>561</v>
      </c>
      <c r="CN128" s="317" t="s">
        <v>561</v>
      </c>
      <c r="CO128" s="317" t="s">
        <v>561</v>
      </c>
      <c r="CP128" s="317" t="s">
        <v>561</v>
      </c>
      <c r="CQ128" s="319"/>
      <c r="CR128" s="319">
        <v>2003.0</v>
      </c>
      <c r="CS128" s="342" t="s">
        <v>2476</v>
      </c>
      <c r="CT128" s="334" t="s">
        <v>122</v>
      </c>
      <c r="CU128" s="319" t="s">
        <v>23</v>
      </c>
      <c r="CV128" s="332" t="s">
        <v>75</v>
      </c>
      <c r="CW128" s="336"/>
      <c r="CX128" s="319"/>
      <c r="CY128" s="323">
        <f t="shared" si="24"/>
        <v>0.208</v>
      </c>
      <c r="CZ128" s="324">
        <v>0.594</v>
      </c>
      <c r="DA128" s="323">
        <v>0.386</v>
      </c>
      <c r="DB128" s="323"/>
      <c r="DC128" s="323">
        <f t="shared" si="25"/>
        <v>0.111</v>
      </c>
      <c r="DD128" s="324">
        <v>0.523</v>
      </c>
      <c r="DE128" s="323">
        <v>0.41200000000000003</v>
      </c>
      <c r="DF128" s="323"/>
      <c r="DG128" s="324">
        <v>0.624</v>
      </c>
      <c r="DH128" s="323">
        <v>0.051</v>
      </c>
      <c r="DI128" s="323">
        <v>0.243</v>
      </c>
      <c r="DJ128" s="323">
        <v>0.069</v>
      </c>
      <c r="DK128" s="323">
        <v>0.016</v>
      </c>
      <c r="DL128" s="323">
        <v>0.001</v>
      </c>
      <c r="DM128" s="323"/>
      <c r="DN128" s="323">
        <v>0.308</v>
      </c>
      <c r="DO128" s="323">
        <v>0.322</v>
      </c>
      <c r="DP128" s="323">
        <v>0.469</v>
      </c>
    </row>
    <row r="129">
      <c r="A129" s="311" t="s">
        <v>444</v>
      </c>
      <c r="B129" s="311" t="s">
        <v>445</v>
      </c>
      <c r="C129" s="311" t="s">
        <v>2827</v>
      </c>
      <c r="D129" s="311">
        <v>9.0</v>
      </c>
      <c r="E129" s="312">
        <f t="shared" si="19"/>
        <v>0.1666666667</v>
      </c>
      <c r="F129" s="312" t="str">
        <f t="shared" si="20"/>
        <v>#DIV/0!</v>
      </c>
      <c r="G129" s="312" t="str">
        <f t="shared" si="21"/>
        <v>#DIV/0!</v>
      </c>
      <c r="H129" s="312" t="str">
        <f t="shared" si="22"/>
        <v>#DIV/0!</v>
      </c>
      <c r="I129" s="312" t="str">
        <f t="shared" si="70"/>
        <v>#DIV/0!</v>
      </c>
      <c r="J129" s="312" t="str">
        <f t="shared" si="73"/>
        <v>#DIV/0!</v>
      </c>
      <c r="K129" s="315" t="s">
        <v>2794</v>
      </c>
      <c r="L129" s="316" t="str">
        <f t="shared" si="23"/>
        <v>#DIV/0!</v>
      </c>
      <c r="M129" s="317" t="s">
        <v>594</v>
      </c>
      <c r="N129" s="317" t="s">
        <v>594</v>
      </c>
      <c r="O129" s="317" t="s">
        <v>594</v>
      </c>
      <c r="P129" s="317" t="s">
        <v>487</v>
      </c>
      <c r="Q129" s="317" t="s">
        <v>594</v>
      </c>
      <c r="R129" s="317" t="s">
        <v>594</v>
      </c>
      <c r="S129" s="318" t="s">
        <v>561</v>
      </c>
      <c r="T129" s="318" t="s">
        <v>561</v>
      </c>
      <c r="U129" s="330" t="s">
        <v>561</v>
      </c>
      <c r="V129" s="330" t="s">
        <v>561</v>
      </c>
      <c r="W129" s="340" t="s">
        <v>2807</v>
      </c>
      <c r="X129" s="340" t="s">
        <v>561</v>
      </c>
      <c r="Y129" s="340" t="s">
        <v>2807</v>
      </c>
      <c r="Z129" s="317" t="s">
        <v>2795</v>
      </c>
      <c r="AA129" s="317" t="s">
        <v>561</v>
      </c>
      <c r="AB129" s="317" t="s">
        <v>561</v>
      </c>
      <c r="AC129" s="317" t="s">
        <v>2795</v>
      </c>
      <c r="AD129" s="317" t="s">
        <v>2795</v>
      </c>
      <c r="AE129" s="317" t="s">
        <v>561</v>
      </c>
      <c r="AF129" s="317" t="s">
        <v>561</v>
      </c>
      <c r="AG129" s="317" t="s">
        <v>561</v>
      </c>
      <c r="AH129" s="317" t="s">
        <v>561</v>
      </c>
      <c r="AI129" s="317" t="s">
        <v>561</v>
      </c>
      <c r="AJ129" s="317" t="s">
        <v>2807</v>
      </c>
      <c r="AK129" s="317" t="s">
        <v>2807</v>
      </c>
      <c r="AL129" s="317" t="s">
        <v>2795</v>
      </c>
      <c r="AM129" s="317" t="s">
        <v>2807</v>
      </c>
      <c r="AN129" s="317" t="s">
        <v>2795</v>
      </c>
      <c r="AO129" s="317" t="s">
        <v>2807</v>
      </c>
      <c r="AP129" s="317" t="s">
        <v>561</v>
      </c>
      <c r="AQ129" s="317" t="s">
        <v>561</v>
      </c>
      <c r="AR129" s="317" t="s">
        <v>561</v>
      </c>
      <c r="AS129" s="317" t="s">
        <v>2807</v>
      </c>
      <c r="AT129" s="317" t="s">
        <v>561</v>
      </c>
      <c r="AU129" s="317" t="s">
        <v>561</v>
      </c>
      <c r="AV129" s="317" t="s">
        <v>2807</v>
      </c>
      <c r="AW129" s="317" t="s">
        <v>561</v>
      </c>
      <c r="AX129" s="317" t="s">
        <v>561</v>
      </c>
      <c r="AY129" s="317" t="s">
        <v>561</v>
      </c>
      <c r="AZ129" s="317" t="s">
        <v>561</v>
      </c>
      <c r="BA129" s="317" t="s">
        <v>2796</v>
      </c>
      <c r="BB129" s="317" t="s">
        <v>561</v>
      </c>
      <c r="BC129" s="317" t="s">
        <v>2806</v>
      </c>
      <c r="BD129" s="317" t="s">
        <v>2795</v>
      </c>
      <c r="BE129" s="317" t="s">
        <v>561</v>
      </c>
      <c r="BF129" s="317" t="s">
        <v>561</v>
      </c>
      <c r="BG129" s="317" t="s">
        <v>561</v>
      </c>
      <c r="BH129" s="317" t="s">
        <v>561</v>
      </c>
      <c r="BI129" s="317" t="s">
        <v>561</v>
      </c>
      <c r="BJ129" s="317" t="s">
        <v>561</v>
      </c>
      <c r="BK129" s="317" t="s">
        <v>561</v>
      </c>
      <c r="BL129" s="317" t="s">
        <v>2796</v>
      </c>
      <c r="BM129" s="317" t="s">
        <v>2796</v>
      </c>
      <c r="BN129" s="317" t="s">
        <v>53</v>
      </c>
      <c r="BO129" s="317" t="s">
        <v>2796</v>
      </c>
      <c r="BP129" s="317" t="s">
        <v>2806</v>
      </c>
      <c r="BQ129" s="317" t="s">
        <v>53</v>
      </c>
      <c r="BR129" s="317" t="s">
        <v>561</v>
      </c>
      <c r="BS129" s="317" t="s">
        <v>53</v>
      </c>
      <c r="BT129" s="317" t="s">
        <v>561</v>
      </c>
      <c r="BU129" s="317" t="s">
        <v>561</v>
      </c>
      <c r="BV129" s="317" t="s">
        <v>561</v>
      </c>
      <c r="BW129" s="317" t="s">
        <v>53</v>
      </c>
      <c r="BX129" s="317" t="s">
        <v>561</v>
      </c>
      <c r="BY129" s="317" t="s">
        <v>53</v>
      </c>
      <c r="BZ129" s="317" t="s">
        <v>561</v>
      </c>
      <c r="CA129" s="317" t="s">
        <v>53</v>
      </c>
      <c r="CB129" s="317" t="s">
        <v>561</v>
      </c>
      <c r="CC129" s="317" t="s">
        <v>561</v>
      </c>
      <c r="CD129" s="317" t="s">
        <v>561</v>
      </c>
      <c r="CE129" s="317" t="s">
        <v>561</v>
      </c>
      <c r="CF129" s="317" t="s">
        <v>53</v>
      </c>
      <c r="CG129" s="317" t="s">
        <v>561</v>
      </c>
      <c r="CH129" s="317" t="s">
        <v>561</v>
      </c>
      <c r="CI129" s="317" t="s">
        <v>561</v>
      </c>
      <c r="CJ129" s="317" t="s">
        <v>2806</v>
      </c>
      <c r="CK129" s="317" t="s">
        <v>561</v>
      </c>
      <c r="CL129" s="317" t="s">
        <v>561</v>
      </c>
      <c r="CM129" s="317" t="s">
        <v>600</v>
      </c>
      <c r="CN129" s="317" t="s">
        <v>600</v>
      </c>
      <c r="CO129" s="317" t="s">
        <v>600</v>
      </c>
      <c r="CP129" s="317" t="s">
        <v>600</v>
      </c>
      <c r="CQ129" s="319"/>
      <c r="CR129" s="319">
        <v>2017.0</v>
      </c>
      <c r="CS129" s="343" t="s">
        <v>1199</v>
      </c>
      <c r="CT129" s="334" t="s">
        <v>122</v>
      </c>
      <c r="CU129" s="319" t="s">
        <v>23</v>
      </c>
      <c r="CV129" s="320" t="s">
        <v>446</v>
      </c>
      <c r="CW129" s="319"/>
      <c r="CX129" s="319"/>
      <c r="CY129" s="323">
        <f t="shared" si="24"/>
        <v>0.174</v>
      </c>
      <c r="CZ129" s="324">
        <v>0.5820000000000001</v>
      </c>
      <c r="DA129" s="323">
        <v>0.408</v>
      </c>
      <c r="DB129" s="323"/>
      <c r="DC129" s="323">
        <f t="shared" si="25"/>
        <v>0.263</v>
      </c>
      <c r="DD129" s="324">
        <v>0.61</v>
      </c>
      <c r="DE129" s="323">
        <v>0.34700000000000003</v>
      </c>
      <c r="DF129" s="323"/>
      <c r="DG129" s="323">
        <v>0.32299999999999995</v>
      </c>
      <c r="DH129" s="324">
        <v>0.5</v>
      </c>
      <c r="DI129" s="323">
        <v>0.13</v>
      </c>
      <c r="DJ129" s="323">
        <v>0.052000000000000005</v>
      </c>
      <c r="DK129" s="323">
        <v>0.019</v>
      </c>
      <c r="DL129" s="323">
        <v>0.003</v>
      </c>
      <c r="DM129" s="323"/>
      <c r="DN129" s="323">
        <v>0.28800000000000003</v>
      </c>
      <c r="DO129" s="323">
        <v>0.34700000000000003</v>
      </c>
      <c r="DP129" s="323">
        <v>0.245</v>
      </c>
    </row>
    <row r="130">
      <c r="A130" s="311" t="s">
        <v>503</v>
      </c>
      <c r="B130" s="311" t="s">
        <v>504</v>
      </c>
      <c r="C130" s="311" t="s">
        <v>2827</v>
      </c>
      <c r="D130" s="311">
        <v>25.0</v>
      </c>
      <c r="E130" s="312">
        <f t="shared" si="19"/>
        <v>0.1666666667</v>
      </c>
      <c r="F130" s="312" t="str">
        <f t="shared" si="20"/>
        <v>#DIV/0!</v>
      </c>
      <c r="G130" s="312" t="str">
        <f t="shared" si="21"/>
        <v>#DIV/0!</v>
      </c>
      <c r="H130" s="312" t="str">
        <f t="shared" si="22"/>
        <v>#DIV/0!</v>
      </c>
      <c r="I130" s="312" t="str">
        <f t="shared" si="70"/>
        <v>#DIV/0!</v>
      </c>
      <c r="J130" s="312" t="str">
        <f t="shared" si="73"/>
        <v>#DIV/0!</v>
      </c>
      <c r="K130" s="312" t="str">
        <f>(COUNTIF(CM130:CP130, "Nay")+COUNTIF(CM130:CP130, "Yea (Amend)")+(0.5*COUNTIF(CM130:CP130, "Present")))/(COUNTIF(CM130:CP130, "Nay")+COUNTIF(CM130:CP130, "Yea (Amend)")+COUNTIF(CM130:CP130, "Yea")+COUNTIF(CM130:CP130, "Nay (Amend)")+COUNTIF(CM130:CP130, "Present"))</f>
        <v>#DIV/0!</v>
      </c>
      <c r="L130" s="316" t="str">
        <f t="shared" si="23"/>
        <v>#DIV/0!</v>
      </c>
      <c r="M130" s="317" t="s">
        <v>594</v>
      </c>
      <c r="N130" s="317" t="s">
        <v>594</v>
      </c>
      <c r="O130" s="317" t="s">
        <v>487</v>
      </c>
      <c r="P130" s="317" t="s">
        <v>594</v>
      </c>
      <c r="Q130" s="317" t="s">
        <v>594</v>
      </c>
      <c r="R130" s="317" t="s">
        <v>594</v>
      </c>
      <c r="S130" s="318" t="s">
        <v>561</v>
      </c>
      <c r="T130" s="318" t="s">
        <v>561</v>
      </c>
      <c r="U130" s="330" t="s">
        <v>561</v>
      </c>
      <c r="V130" s="330" t="s">
        <v>561</v>
      </c>
      <c r="W130" s="340" t="s">
        <v>2807</v>
      </c>
      <c r="X130" s="340" t="s">
        <v>561</v>
      </c>
      <c r="Y130" s="340" t="s">
        <v>2807</v>
      </c>
      <c r="Z130" s="317" t="s">
        <v>2795</v>
      </c>
      <c r="AA130" s="317" t="s">
        <v>561</v>
      </c>
      <c r="AB130" s="317" t="s">
        <v>53</v>
      </c>
      <c r="AC130" s="317" t="s">
        <v>2795</v>
      </c>
      <c r="AD130" s="317" t="s">
        <v>2795</v>
      </c>
      <c r="AE130" s="317" t="s">
        <v>561</v>
      </c>
      <c r="AF130" s="317" t="s">
        <v>561</v>
      </c>
      <c r="AG130" s="317" t="s">
        <v>561</v>
      </c>
      <c r="AH130" s="317" t="s">
        <v>561</v>
      </c>
      <c r="AI130" s="317" t="s">
        <v>561</v>
      </c>
      <c r="AJ130" s="317" t="s">
        <v>2807</v>
      </c>
      <c r="AK130" s="317" t="s">
        <v>2807</v>
      </c>
      <c r="AL130" s="317" t="s">
        <v>2795</v>
      </c>
      <c r="AM130" s="317" t="s">
        <v>2807</v>
      </c>
      <c r="AN130" s="317" t="s">
        <v>2795</v>
      </c>
      <c r="AO130" s="317" t="s">
        <v>2807</v>
      </c>
      <c r="AP130" s="317" t="s">
        <v>561</v>
      </c>
      <c r="AQ130" s="317" t="s">
        <v>561</v>
      </c>
      <c r="AR130" s="317" t="s">
        <v>561</v>
      </c>
      <c r="AS130" s="317" t="s">
        <v>2807</v>
      </c>
      <c r="AT130" s="317" t="s">
        <v>561</v>
      </c>
      <c r="AU130" s="317" t="s">
        <v>561</v>
      </c>
      <c r="AV130" s="317" t="s">
        <v>2795</v>
      </c>
      <c r="AW130" s="317" t="s">
        <v>561</v>
      </c>
      <c r="AX130" s="317" t="s">
        <v>561</v>
      </c>
      <c r="AY130" s="317" t="s">
        <v>561</v>
      </c>
      <c r="AZ130" s="317" t="s">
        <v>561</v>
      </c>
      <c r="BA130" s="317" t="s">
        <v>2796</v>
      </c>
      <c r="BB130" s="317" t="s">
        <v>561</v>
      </c>
      <c r="BC130" s="317" t="s">
        <v>2806</v>
      </c>
      <c r="BD130" s="317" t="s">
        <v>2795</v>
      </c>
      <c r="BE130" s="317" t="s">
        <v>561</v>
      </c>
      <c r="BF130" s="317" t="s">
        <v>561</v>
      </c>
      <c r="BG130" s="317" t="s">
        <v>561</v>
      </c>
      <c r="BH130" s="317" t="s">
        <v>561</v>
      </c>
      <c r="BI130" s="317" t="s">
        <v>561</v>
      </c>
      <c r="BJ130" s="317" t="s">
        <v>561</v>
      </c>
      <c r="BK130" s="317" t="s">
        <v>561</v>
      </c>
      <c r="BL130" s="317" t="s">
        <v>2796</v>
      </c>
      <c r="BM130" s="317" t="s">
        <v>2806</v>
      </c>
      <c r="BN130" s="317" t="s">
        <v>561</v>
      </c>
      <c r="BO130" s="317" t="s">
        <v>2796</v>
      </c>
      <c r="BP130" s="317" t="s">
        <v>2806</v>
      </c>
      <c r="BQ130" s="317" t="s">
        <v>53</v>
      </c>
      <c r="BR130" s="317" t="s">
        <v>561</v>
      </c>
      <c r="BS130" s="317" t="s">
        <v>53</v>
      </c>
      <c r="BT130" s="317" t="s">
        <v>561</v>
      </c>
      <c r="BU130" s="317" t="s">
        <v>53</v>
      </c>
      <c r="BV130" s="317" t="s">
        <v>561</v>
      </c>
      <c r="BW130" s="317" t="s">
        <v>53</v>
      </c>
      <c r="BX130" s="317" t="s">
        <v>561</v>
      </c>
      <c r="BY130" s="317" t="s">
        <v>561</v>
      </c>
      <c r="BZ130" s="317" t="s">
        <v>561</v>
      </c>
      <c r="CA130" s="317" t="s">
        <v>801</v>
      </c>
      <c r="CB130" s="317" t="s">
        <v>561</v>
      </c>
      <c r="CC130" s="317" t="s">
        <v>561</v>
      </c>
      <c r="CD130" s="317" t="s">
        <v>561</v>
      </c>
      <c r="CE130" s="317" t="s">
        <v>561</v>
      </c>
      <c r="CF130" s="317" t="s">
        <v>53</v>
      </c>
      <c r="CG130" s="317" t="s">
        <v>561</v>
      </c>
      <c r="CH130" s="317" t="s">
        <v>561</v>
      </c>
      <c r="CI130" s="317" t="s">
        <v>561</v>
      </c>
      <c r="CJ130" s="317" t="s">
        <v>2806</v>
      </c>
      <c r="CK130" s="317" t="s">
        <v>53</v>
      </c>
      <c r="CL130" s="317" t="s">
        <v>561</v>
      </c>
      <c r="CM130" s="317" t="s">
        <v>561</v>
      </c>
      <c r="CN130" s="317" t="s">
        <v>561</v>
      </c>
      <c r="CO130" s="317" t="s">
        <v>561</v>
      </c>
      <c r="CP130" s="317" t="s">
        <v>561</v>
      </c>
      <c r="CQ130" s="319"/>
      <c r="CR130" s="319">
        <v>2005.0</v>
      </c>
      <c r="CS130" s="343" t="s">
        <v>1569</v>
      </c>
      <c r="CT130" s="334" t="s">
        <v>2030</v>
      </c>
      <c r="CU130" s="319" t="s">
        <v>23</v>
      </c>
      <c r="CV130" s="332" t="s">
        <v>75</v>
      </c>
      <c r="CW130" s="319"/>
      <c r="CX130" s="319"/>
      <c r="CY130" s="323">
        <f t="shared" si="24"/>
        <v>0.2</v>
      </c>
      <c r="CZ130" s="324">
        <v>0.597</v>
      </c>
      <c r="DA130" s="323">
        <v>0.397</v>
      </c>
      <c r="DB130" s="323"/>
      <c r="DC130" s="323">
        <f t="shared" si="25"/>
        <v>0.284</v>
      </c>
      <c r="DD130" s="324">
        <v>0.627</v>
      </c>
      <c r="DE130" s="323">
        <v>0.34299999999999997</v>
      </c>
      <c r="DF130" s="323"/>
      <c r="DG130" s="323">
        <v>0.344</v>
      </c>
      <c r="DH130" s="324">
        <v>0.423</v>
      </c>
      <c r="DI130" s="323">
        <v>0.175</v>
      </c>
      <c r="DJ130" s="323">
        <v>0.06</v>
      </c>
      <c r="DK130" s="323">
        <v>0.013000000000000001</v>
      </c>
      <c r="DL130" s="323">
        <v>0.002</v>
      </c>
      <c r="DM130" s="323"/>
      <c r="DN130" s="323">
        <v>0.374</v>
      </c>
      <c r="DO130" s="323">
        <v>0.4</v>
      </c>
      <c r="DP130" s="323">
        <v>0.243</v>
      </c>
    </row>
    <row r="131">
      <c r="A131" s="311" t="s">
        <v>339</v>
      </c>
      <c r="B131" s="311" t="s">
        <v>341</v>
      </c>
      <c r="C131" s="311" t="s">
        <v>1197</v>
      </c>
      <c r="D131" s="311">
        <v>46.0</v>
      </c>
      <c r="E131" s="312">
        <f t="shared" si="19"/>
        <v>0</v>
      </c>
      <c r="F131" s="312" t="str">
        <f t="shared" si="20"/>
        <v>#DIV/0!</v>
      </c>
      <c r="G131" s="312" t="str">
        <f t="shared" si="21"/>
        <v>#DIV/0!</v>
      </c>
      <c r="H131" s="312" t="str">
        <f t="shared" si="22"/>
        <v>#DIV/0!</v>
      </c>
      <c r="I131" s="312" t="str">
        <f t="shared" si="70"/>
        <v>#DIV/0!</v>
      </c>
      <c r="J131" s="312" t="str">
        <f t="shared" si="73"/>
        <v>#DIV/0!</v>
      </c>
      <c r="K131" s="315" t="s">
        <v>2794</v>
      </c>
      <c r="L131" s="316" t="str">
        <f t="shared" si="23"/>
        <v>#DIV/0!</v>
      </c>
      <c r="M131" s="317" t="s">
        <v>594</v>
      </c>
      <c r="N131" s="317" t="s">
        <v>594</v>
      </c>
      <c r="O131" s="317" t="s">
        <v>594</v>
      </c>
      <c r="P131" s="317" t="s">
        <v>594</v>
      </c>
      <c r="Q131" s="317" t="s">
        <v>594</v>
      </c>
      <c r="R131" s="317" t="s">
        <v>594</v>
      </c>
      <c r="S131" s="318" t="s">
        <v>561</v>
      </c>
      <c r="T131" s="318" t="s">
        <v>561</v>
      </c>
      <c r="U131" s="330" t="s">
        <v>561</v>
      </c>
      <c r="V131" s="330" t="s">
        <v>561</v>
      </c>
      <c r="W131" s="318" t="s">
        <v>2795</v>
      </c>
      <c r="X131" s="340" t="s">
        <v>561</v>
      </c>
      <c r="Y131" s="340" t="s">
        <v>2807</v>
      </c>
      <c r="Z131" s="317" t="s">
        <v>2795</v>
      </c>
      <c r="AA131" s="317" t="s">
        <v>561</v>
      </c>
      <c r="AB131" s="317" t="s">
        <v>53</v>
      </c>
      <c r="AC131" s="317" t="s">
        <v>2795</v>
      </c>
      <c r="AD131" s="317" t="s">
        <v>2795</v>
      </c>
      <c r="AE131" s="317" t="s">
        <v>561</v>
      </c>
      <c r="AF131" s="317" t="s">
        <v>561</v>
      </c>
      <c r="AG131" s="317" t="s">
        <v>561</v>
      </c>
      <c r="AH131" s="317" t="s">
        <v>561</v>
      </c>
      <c r="AI131" s="317" t="s">
        <v>561</v>
      </c>
      <c r="AJ131" s="317" t="s">
        <v>2807</v>
      </c>
      <c r="AK131" s="317" t="s">
        <v>2795</v>
      </c>
      <c r="AL131" s="317" t="s">
        <v>2795</v>
      </c>
      <c r="AM131" s="317" t="s">
        <v>2795</v>
      </c>
      <c r="AN131" s="317" t="s">
        <v>2795</v>
      </c>
      <c r="AO131" s="317" t="s">
        <v>2807</v>
      </c>
      <c r="AP131" s="317" t="s">
        <v>561</v>
      </c>
      <c r="AQ131" s="317" t="s">
        <v>561</v>
      </c>
      <c r="AR131" s="317" t="s">
        <v>561</v>
      </c>
      <c r="AS131" s="317" t="s">
        <v>2795</v>
      </c>
      <c r="AT131" s="317" t="s">
        <v>561</v>
      </c>
      <c r="AU131" s="317" t="s">
        <v>561</v>
      </c>
      <c r="AV131" s="317" t="s">
        <v>2807</v>
      </c>
      <c r="AW131" s="317" t="s">
        <v>561</v>
      </c>
      <c r="AX131" s="317" t="s">
        <v>53</v>
      </c>
      <c r="AY131" s="317" t="s">
        <v>561</v>
      </c>
      <c r="AZ131" s="317" t="s">
        <v>561</v>
      </c>
      <c r="BA131" s="317" t="s">
        <v>2796</v>
      </c>
      <c r="BB131" s="317" t="s">
        <v>561</v>
      </c>
      <c r="BC131" s="317" t="s">
        <v>2806</v>
      </c>
      <c r="BD131" s="317" t="s">
        <v>2795</v>
      </c>
      <c r="BE131" s="317" t="s">
        <v>53</v>
      </c>
      <c r="BF131" s="317" t="s">
        <v>561</v>
      </c>
      <c r="BG131" s="317" t="s">
        <v>53</v>
      </c>
      <c r="BH131" s="317" t="s">
        <v>561</v>
      </c>
      <c r="BI131" s="317" t="s">
        <v>561</v>
      </c>
      <c r="BJ131" s="317" t="s">
        <v>561</v>
      </c>
      <c r="BK131" s="317" t="s">
        <v>561</v>
      </c>
      <c r="BL131" s="317" t="s">
        <v>2796</v>
      </c>
      <c r="BM131" s="317" t="s">
        <v>2796</v>
      </c>
      <c r="BN131" s="317" t="s">
        <v>53</v>
      </c>
      <c r="BO131" s="317" t="s">
        <v>2796</v>
      </c>
      <c r="BP131" s="317" t="s">
        <v>2796</v>
      </c>
      <c r="BQ131" s="317" t="s">
        <v>561</v>
      </c>
      <c r="BR131" s="317" t="s">
        <v>561</v>
      </c>
      <c r="BS131" s="317" t="s">
        <v>53</v>
      </c>
      <c r="BT131" s="317" t="s">
        <v>561</v>
      </c>
      <c r="BU131" s="317" t="s">
        <v>561</v>
      </c>
      <c r="BV131" s="317" t="s">
        <v>561</v>
      </c>
      <c r="BW131" s="317" t="s">
        <v>561</v>
      </c>
      <c r="BX131" s="317" t="s">
        <v>561</v>
      </c>
      <c r="BY131" s="317" t="s">
        <v>561</v>
      </c>
      <c r="BZ131" s="317" t="s">
        <v>561</v>
      </c>
      <c r="CA131" s="317" t="s">
        <v>561</v>
      </c>
      <c r="CB131" s="317" t="s">
        <v>561</v>
      </c>
      <c r="CC131" s="317" t="s">
        <v>561</v>
      </c>
      <c r="CD131" s="317" t="s">
        <v>561</v>
      </c>
      <c r="CE131" s="317" t="s">
        <v>561</v>
      </c>
      <c r="CF131" s="317" t="s">
        <v>561</v>
      </c>
      <c r="CG131" s="317" t="s">
        <v>561</v>
      </c>
      <c r="CH131" s="317" t="s">
        <v>561</v>
      </c>
      <c r="CI131" s="317" t="s">
        <v>561</v>
      </c>
      <c r="CJ131" s="317" t="s">
        <v>2806</v>
      </c>
      <c r="CK131" s="317" t="s">
        <v>561</v>
      </c>
      <c r="CL131" s="317" t="s">
        <v>561</v>
      </c>
      <c r="CM131" s="317" t="s">
        <v>600</v>
      </c>
      <c r="CN131" s="317" t="s">
        <v>600</v>
      </c>
      <c r="CO131" s="317" t="s">
        <v>600</v>
      </c>
      <c r="CP131" s="317" t="s">
        <v>600</v>
      </c>
      <c r="CQ131" s="319"/>
      <c r="CR131" s="319">
        <v>2017.0</v>
      </c>
      <c r="CS131" s="334" t="s">
        <v>2665</v>
      </c>
      <c r="CT131" s="334" t="s">
        <v>122</v>
      </c>
      <c r="CU131" s="319" t="s">
        <v>23</v>
      </c>
      <c r="CV131" s="320" t="s">
        <v>83</v>
      </c>
      <c r="CW131" s="319"/>
      <c r="CX131" s="319"/>
      <c r="CY131" s="323">
        <f t="shared" si="24"/>
        <v>0.304</v>
      </c>
      <c r="CZ131" s="324">
        <v>0.6409999999999999</v>
      </c>
      <c r="DA131" s="323">
        <v>0.337</v>
      </c>
      <c r="DB131" s="323"/>
      <c r="DC131" s="323">
        <f t="shared" si="25"/>
        <v>0.395</v>
      </c>
      <c r="DD131" s="324">
        <v>0.6679999999999999</v>
      </c>
      <c r="DE131" s="323">
        <v>0.273</v>
      </c>
      <c r="DF131" s="323"/>
      <c r="DG131" s="323">
        <v>0.172</v>
      </c>
      <c r="DH131" s="324">
        <v>0.612</v>
      </c>
      <c r="DI131" s="323">
        <v>0.027000000000000003</v>
      </c>
      <c r="DJ131" s="323">
        <v>0.183</v>
      </c>
      <c r="DK131" s="323">
        <v>0.044000000000000004</v>
      </c>
      <c r="DL131" s="323">
        <v>0.006999999999999999</v>
      </c>
      <c r="DM131" s="323"/>
      <c r="DN131" s="323">
        <v>0.212</v>
      </c>
      <c r="DO131" s="323">
        <v>0.33</v>
      </c>
      <c r="DP131" s="323">
        <v>0.16899999999999998</v>
      </c>
    </row>
    <row r="132">
      <c r="A132" s="311" t="s">
        <v>1183</v>
      </c>
      <c r="B132" s="311" t="s">
        <v>1184</v>
      </c>
      <c r="C132" s="311" t="s">
        <v>1661</v>
      </c>
      <c r="D132" s="311">
        <v>7.0</v>
      </c>
      <c r="E132" s="312">
        <f t="shared" si="19"/>
        <v>0.3333333333</v>
      </c>
      <c r="F132" s="312" t="str">
        <f t="shared" si="20"/>
        <v>#DIV/0!</v>
      </c>
      <c r="G132" s="312" t="str">
        <f t="shared" si="21"/>
        <v>#DIV/0!</v>
      </c>
      <c r="H132" s="312" t="str">
        <f t="shared" si="22"/>
        <v>#DIV/0!</v>
      </c>
      <c r="I132" s="312" t="str">
        <f t="shared" si="70"/>
        <v>#DIV/0!</v>
      </c>
      <c r="J132" s="315" t="s">
        <v>2794</v>
      </c>
      <c r="K132" s="315" t="s">
        <v>2794</v>
      </c>
      <c r="L132" s="316" t="str">
        <f t="shared" si="23"/>
        <v>#DIV/0!</v>
      </c>
      <c r="M132" s="317" t="s">
        <v>487</v>
      </c>
      <c r="N132" s="317" t="s">
        <v>594</v>
      </c>
      <c r="O132" s="317" t="s">
        <v>487</v>
      </c>
      <c r="P132" s="317" t="s">
        <v>594</v>
      </c>
      <c r="Q132" s="317" t="s">
        <v>594</v>
      </c>
      <c r="R132" s="317" t="s">
        <v>594</v>
      </c>
      <c r="S132" s="318" t="s">
        <v>561</v>
      </c>
      <c r="T132" s="318" t="s">
        <v>561</v>
      </c>
      <c r="U132" s="330" t="s">
        <v>561</v>
      </c>
      <c r="V132" s="330" t="s">
        <v>561</v>
      </c>
      <c r="W132" s="318" t="s">
        <v>2795</v>
      </c>
      <c r="X132" s="340" t="s">
        <v>561</v>
      </c>
      <c r="Y132" s="318" t="s">
        <v>2795</v>
      </c>
      <c r="Z132" s="317" t="s">
        <v>2795</v>
      </c>
      <c r="AA132" s="317" t="s">
        <v>561</v>
      </c>
      <c r="AB132" s="317" t="s">
        <v>561</v>
      </c>
      <c r="AC132" s="317" t="s">
        <v>2807</v>
      </c>
      <c r="AD132" s="317" t="s">
        <v>2807</v>
      </c>
      <c r="AE132" s="317" t="s">
        <v>561</v>
      </c>
      <c r="AF132" s="317" t="s">
        <v>561</v>
      </c>
      <c r="AG132" s="317" t="s">
        <v>561</v>
      </c>
      <c r="AH132" s="317" t="s">
        <v>561</v>
      </c>
      <c r="AI132" s="317" t="s">
        <v>561</v>
      </c>
      <c r="AJ132" s="317" t="s">
        <v>2807</v>
      </c>
      <c r="AK132" s="317" t="s">
        <v>801</v>
      </c>
      <c r="AL132" s="317" t="s">
        <v>2807</v>
      </c>
      <c r="AM132" s="317" t="s">
        <v>2795</v>
      </c>
      <c r="AN132" s="317" t="s">
        <v>2807</v>
      </c>
      <c r="AO132" s="317" t="s">
        <v>2795</v>
      </c>
      <c r="AP132" s="317" t="s">
        <v>561</v>
      </c>
      <c r="AQ132" s="317" t="s">
        <v>561</v>
      </c>
      <c r="AR132" s="317" t="s">
        <v>561</v>
      </c>
      <c r="AS132" s="317" t="s">
        <v>2807</v>
      </c>
      <c r="AT132" s="317" t="s">
        <v>561</v>
      </c>
      <c r="AU132" s="317" t="s">
        <v>53</v>
      </c>
      <c r="AV132" s="317" t="s">
        <v>2807</v>
      </c>
      <c r="AW132" s="317" t="s">
        <v>561</v>
      </c>
      <c r="AX132" s="317" t="s">
        <v>561</v>
      </c>
      <c r="AY132" s="317" t="s">
        <v>561</v>
      </c>
      <c r="AZ132" s="317" t="s">
        <v>561</v>
      </c>
      <c r="BA132" s="317" t="s">
        <v>2796</v>
      </c>
      <c r="BB132" s="317" t="s">
        <v>561</v>
      </c>
      <c r="BC132" s="317" t="s">
        <v>2806</v>
      </c>
      <c r="BD132" s="317" t="s">
        <v>2795</v>
      </c>
      <c r="BE132" s="317" t="s">
        <v>561</v>
      </c>
      <c r="BF132" s="317" t="s">
        <v>561</v>
      </c>
      <c r="BG132" s="317" t="s">
        <v>561</v>
      </c>
      <c r="BH132" s="317" t="s">
        <v>561</v>
      </c>
      <c r="BI132" s="317" t="s">
        <v>561</v>
      </c>
      <c r="BJ132" s="317" t="s">
        <v>561</v>
      </c>
      <c r="BK132" s="317" t="s">
        <v>561</v>
      </c>
      <c r="BL132" s="317" t="s">
        <v>2806</v>
      </c>
      <c r="BM132" s="317" t="s">
        <v>2806</v>
      </c>
      <c r="BN132" s="317" t="s">
        <v>561</v>
      </c>
      <c r="BO132" s="317" t="s">
        <v>2806</v>
      </c>
      <c r="BP132" s="317" t="s">
        <v>2796</v>
      </c>
      <c r="BQ132" s="317" t="s">
        <v>600</v>
      </c>
      <c r="BR132" s="317" t="s">
        <v>600</v>
      </c>
      <c r="BS132" s="317" t="s">
        <v>600</v>
      </c>
      <c r="BT132" s="317" t="s">
        <v>600</v>
      </c>
      <c r="BU132" s="317" t="s">
        <v>600</v>
      </c>
      <c r="BV132" s="317" t="s">
        <v>600</v>
      </c>
      <c r="BW132" s="317" t="s">
        <v>600</v>
      </c>
      <c r="BX132" s="317" t="s">
        <v>600</v>
      </c>
      <c r="BY132" s="317" t="s">
        <v>600</v>
      </c>
      <c r="BZ132" s="317" t="s">
        <v>600</v>
      </c>
      <c r="CA132" s="317" t="s">
        <v>600</v>
      </c>
      <c r="CB132" s="317" t="s">
        <v>600</v>
      </c>
      <c r="CC132" s="317" t="s">
        <v>600</v>
      </c>
      <c r="CD132" s="317" t="s">
        <v>600</v>
      </c>
      <c r="CE132" s="317" t="s">
        <v>600</v>
      </c>
      <c r="CF132" s="317" t="s">
        <v>600</v>
      </c>
      <c r="CG132" s="317" t="s">
        <v>600</v>
      </c>
      <c r="CH132" s="317" t="s">
        <v>600</v>
      </c>
      <c r="CI132" s="317" t="s">
        <v>600</v>
      </c>
      <c r="CJ132" s="317" t="s">
        <v>600</v>
      </c>
      <c r="CK132" s="317" t="s">
        <v>600</v>
      </c>
      <c r="CL132" s="317" t="s">
        <v>600</v>
      </c>
      <c r="CM132" s="317" t="s">
        <v>600</v>
      </c>
      <c r="CN132" s="317" t="s">
        <v>600</v>
      </c>
      <c r="CO132" s="317" t="s">
        <v>600</v>
      </c>
      <c r="CP132" s="317" t="s">
        <v>600</v>
      </c>
      <c r="CQ132" s="319"/>
      <c r="CR132" s="319" t="s">
        <v>2844</v>
      </c>
      <c r="CS132" s="343" t="s">
        <v>1569</v>
      </c>
      <c r="CT132" s="334" t="s">
        <v>2030</v>
      </c>
      <c r="CU132" s="326" t="s">
        <v>2476</v>
      </c>
      <c r="CV132" s="332" t="s">
        <v>75</v>
      </c>
      <c r="CW132" s="319"/>
      <c r="CX132" s="319"/>
      <c r="CY132" s="348">
        <f t="shared" si="24"/>
        <v>0.006</v>
      </c>
      <c r="CZ132" s="316">
        <v>0.49700000000000005</v>
      </c>
      <c r="DA132" s="348">
        <v>0.491</v>
      </c>
      <c r="DB132" s="348"/>
      <c r="DC132" s="323">
        <f t="shared" si="25"/>
        <v>-0.028</v>
      </c>
      <c r="DD132" s="323">
        <v>0.467</v>
      </c>
      <c r="DE132" s="324">
        <v>0.495</v>
      </c>
      <c r="DF132" s="324"/>
      <c r="DG132" s="324">
        <v>0.727</v>
      </c>
      <c r="DH132" s="323">
        <v>0.162</v>
      </c>
      <c r="DI132" s="323">
        <v>0.073</v>
      </c>
      <c r="DJ132" s="323">
        <v>0.036000000000000004</v>
      </c>
      <c r="DK132" s="323">
        <v>0.013999999999999999</v>
      </c>
      <c r="DL132" s="323">
        <v>0.001</v>
      </c>
      <c r="DM132" s="323"/>
      <c r="DN132" s="323">
        <v>0.298</v>
      </c>
      <c r="DO132" s="323">
        <v>0.321</v>
      </c>
      <c r="DP132" s="324">
        <v>0.53</v>
      </c>
    </row>
    <row r="133">
      <c r="A133" s="311" t="s">
        <v>1364</v>
      </c>
      <c r="B133" s="311" t="s">
        <v>1365</v>
      </c>
      <c r="C133" s="311" t="s">
        <v>1217</v>
      </c>
      <c r="D133" s="311">
        <v>2.0</v>
      </c>
      <c r="E133" s="312">
        <f t="shared" si="19"/>
        <v>0</v>
      </c>
      <c r="F133" s="312" t="str">
        <f t="shared" si="20"/>
        <v>#DIV/0!</v>
      </c>
      <c r="G133" s="312" t="str">
        <f t="shared" si="21"/>
        <v>#DIV/0!</v>
      </c>
      <c r="H133" s="312" t="str">
        <f t="shared" si="22"/>
        <v>#DIV/0!</v>
      </c>
      <c r="I133" s="312" t="str">
        <f t="shared" si="70"/>
        <v>#DIV/0!</v>
      </c>
      <c r="J133" s="312" t="str">
        <f t="shared" ref="J133:J135" si="75">(COUNTIF(BQ133:CL133, "Nay")+COUNTIF(BQ133:CL133, "Yea (Amend)")+(0.5*COUNTIF(BQ133:CL133, "Present")))/(COUNTIF(BQ133:CL133, "Nay")+COUNTIF(BQ133:CL133, "Yea (Amend)")+COUNTIF(BQ133:CL133, "Yea")+COUNTIF(BQ133:CL133, "Nay (Amend)")+COUNTIF(BQ133:CL133, "Present"))</f>
        <v>#DIV/0!</v>
      </c>
      <c r="K133" s="312" t="str">
        <f t="shared" ref="K133:K134" si="76">(COUNTIF(CM133:CP133, "Nay")+COUNTIF(CM133:CP133, "Yea (Amend)")+(0.5*COUNTIF(CM133:CP133, "Present")))/(COUNTIF(CM133:CP133, "Nay")+COUNTIF(CM133:CP133, "Yea (Amend)")+COUNTIF(CM133:CP133, "Yea")+COUNTIF(CM133:CP133, "Nay (Amend)")+COUNTIF(CM133:CP133, "Present"))</f>
        <v>#DIV/0!</v>
      </c>
      <c r="L133" s="316" t="str">
        <f t="shared" si="23"/>
        <v>#DIV/0!</v>
      </c>
      <c r="M133" s="317" t="s">
        <v>594</v>
      </c>
      <c r="N133" s="317" t="s">
        <v>594</v>
      </c>
      <c r="O133" s="317" t="s">
        <v>594</v>
      </c>
      <c r="P133" s="317" t="s">
        <v>594</v>
      </c>
      <c r="Q133" s="317" t="s">
        <v>594</v>
      </c>
      <c r="R133" s="317" t="s">
        <v>594</v>
      </c>
      <c r="S133" s="318" t="s">
        <v>561</v>
      </c>
      <c r="T133" s="318" t="s">
        <v>561</v>
      </c>
      <c r="U133" s="330" t="s">
        <v>561</v>
      </c>
      <c r="V133" s="330" t="s">
        <v>561</v>
      </c>
      <c r="W133" s="318" t="s">
        <v>2795</v>
      </c>
      <c r="X133" s="340" t="s">
        <v>561</v>
      </c>
      <c r="Y133" s="318" t="s">
        <v>2795</v>
      </c>
      <c r="Z133" s="317" t="s">
        <v>2795</v>
      </c>
      <c r="AA133" s="317" t="s">
        <v>561</v>
      </c>
      <c r="AB133" s="317" t="s">
        <v>53</v>
      </c>
      <c r="AC133" s="317" t="s">
        <v>2795</v>
      </c>
      <c r="AD133" s="317" t="s">
        <v>2795</v>
      </c>
      <c r="AE133" s="317" t="s">
        <v>561</v>
      </c>
      <c r="AF133" s="317" t="s">
        <v>561</v>
      </c>
      <c r="AG133" s="317" t="s">
        <v>561</v>
      </c>
      <c r="AH133" s="317" t="s">
        <v>561</v>
      </c>
      <c r="AI133" s="317" t="s">
        <v>561</v>
      </c>
      <c r="AJ133" s="317" t="s">
        <v>2795</v>
      </c>
      <c r="AK133" s="317" t="s">
        <v>2807</v>
      </c>
      <c r="AL133" s="317" t="s">
        <v>2795</v>
      </c>
      <c r="AM133" s="317" t="s">
        <v>2807</v>
      </c>
      <c r="AN133" s="317" t="s">
        <v>2795</v>
      </c>
      <c r="AO133" s="317" t="s">
        <v>2807</v>
      </c>
      <c r="AP133" s="317" t="s">
        <v>561</v>
      </c>
      <c r="AQ133" s="317" t="s">
        <v>561</v>
      </c>
      <c r="AR133" s="317" t="s">
        <v>561</v>
      </c>
      <c r="AS133" s="317" t="s">
        <v>2807</v>
      </c>
      <c r="AT133" s="317" t="s">
        <v>561</v>
      </c>
      <c r="AU133" s="317" t="s">
        <v>561</v>
      </c>
      <c r="AV133" s="317" t="s">
        <v>2795</v>
      </c>
      <c r="AW133" s="317" t="s">
        <v>561</v>
      </c>
      <c r="AX133" s="317" t="s">
        <v>561</v>
      </c>
      <c r="AY133" s="317" t="s">
        <v>561</v>
      </c>
      <c r="AZ133" s="317" t="s">
        <v>561</v>
      </c>
      <c r="BA133" s="317" t="s">
        <v>2806</v>
      </c>
      <c r="BB133" s="317" t="s">
        <v>561</v>
      </c>
      <c r="BC133" s="317" t="s">
        <v>2806</v>
      </c>
      <c r="BD133" s="317" t="s">
        <v>2795</v>
      </c>
      <c r="BE133" s="317" t="s">
        <v>561</v>
      </c>
      <c r="BF133" s="317" t="s">
        <v>561</v>
      </c>
      <c r="BG133" s="317" t="s">
        <v>561</v>
      </c>
      <c r="BH133" s="317" t="s">
        <v>561</v>
      </c>
      <c r="BI133" s="317" t="s">
        <v>561</v>
      </c>
      <c r="BJ133" s="317" t="s">
        <v>53</v>
      </c>
      <c r="BK133" s="317" t="s">
        <v>561</v>
      </c>
      <c r="BL133" s="317" t="s">
        <v>2796</v>
      </c>
      <c r="BM133" s="317" t="s">
        <v>2796</v>
      </c>
      <c r="BN133" s="317" t="s">
        <v>561</v>
      </c>
      <c r="BO133" s="317" t="s">
        <v>2796</v>
      </c>
      <c r="BP133" s="317" t="s">
        <v>2796</v>
      </c>
      <c r="BQ133" s="317" t="s">
        <v>53</v>
      </c>
      <c r="BR133" s="317" t="s">
        <v>561</v>
      </c>
      <c r="BS133" s="317" t="s">
        <v>53</v>
      </c>
      <c r="BT133" s="317" t="s">
        <v>561</v>
      </c>
      <c r="BU133" s="317" t="s">
        <v>53</v>
      </c>
      <c r="BV133" s="317" t="s">
        <v>561</v>
      </c>
      <c r="BW133" s="317" t="s">
        <v>561</v>
      </c>
      <c r="BX133" s="317" t="s">
        <v>561</v>
      </c>
      <c r="BY133" s="317" t="s">
        <v>561</v>
      </c>
      <c r="BZ133" s="317" t="s">
        <v>561</v>
      </c>
      <c r="CA133" s="317" t="s">
        <v>53</v>
      </c>
      <c r="CB133" s="317" t="s">
        <v>561</v>
      </c>
      <c r="CC133" s="317" t="s">
        <v>561</v>
      </c>
      <c r="CD133" s="317" t="s">
        <v>561</v>
      </c>
      <c r="CE133" s="317" t="s">
        <v>561</v>
      </c>
      <c r="CF133" s="317" t="s">
        <v>53</v>
      </c>
      <c r="CG133" s="317" t="s">
        <v>561</v>
      </c>
      <c r="CH133" s="317" t="s">
        <v>561</v>
      </c>
      <c r="CI133" s="317" t="s">
        <v>561</v>
      </c>
      <c r="CJ133" s="317" t="s">
        <v>2806</v>
      </c>
      <c r="CK133" s="317" t="s">
        <v>561</v>
      </c>
      <c r="CL133" s="317" t="s">
        <v>561</v>
      </c>
      <c r="CM133" s="317" t="s">
        <v>561</v>
      </c>
      <c r="CN133" s="317" t="s">
        <v>561</v>
      </c>
      <c r="CO133" s="317" t="s">
        <v>561</v>
      </c>
      <c r="CP133" s="317" t="s">
        <v>561</v>
      </c>
      <c r="CQ133" s="319"/>
      <c r="CR133" s="319">
        <v>2001.0</v>
      </c>
      <c r="CS133" s="343" t="s">
        <v>1569</v>
      </c>
      <c r="CT133" s="334" t="s">
        <v>2030</v>
      </c>
      <c r="CU133" s="319" t="s">
        <v>2845</v>
      </c>
      <c r="CV133" s="332" t="s">
        <v>75</v>
      </c>
      <c r="CW133" s="319"/>
      <c r="CX133" s="319"/>
      <c r="CY133" s="323">
        <f t="shared" si="24"/>
        <v>0.229</v>
      </c>
      <c r="CZ133" s="324">
        <v>0.601</v>
      </c>
      <c r="DA133" s="323">
        <v>0.37200000000000005</v>
      </c>
      <c r="DB133" s="323"/>
      <c r="DC133" s="323">
        <f t="shared" si="25"/>
        <v>0.18</v>
      </c>
      <c r="DD133" s="324">
        <v>0.55</v>
      </c>
      <c r="DE133" s="323">
        <v>0.37</v>
      </c>
      <c r="DF133" s="323"/>
      <c r="DG133" s="324">
        <v>0.725</v>
      </c>
      <c r="DH133" s="323">
        <v>0.10099999999999999</v>
      </c>
      <c r="DI133" s="323">
        <v>0.035</v>
      </c>
      <c r="DJ133" s="323">
        <v>0.09</v>
      </c>
      <c r="DK133" s="323">
        <v>0.040999999999999995</v>
      </c>
      <c r="DL133" s="323">
        <v>0.009000000000000001</v>
      </c>
      <c r="DM133" s="323"/>
      <c r="DN133" s="323">
        <v>0.32799999999999996</v>
      </c>
      <c r="DO133" s="323">
        <v>0.34700000000000003</v>
      </c>
      <c r="DP133" s="324">
        <v>0.524</v>
      </c>
    </row>
    <row r="134">
      <c r="A134" s="311" t="s">
        <v>426</v>
      </c>
      <c r="B134" s="311" t="s">
        <v>427</v>
      </c>
      <c r="C134" s="311" t="s">
        <v>1083</v>
      </c>
      <c r="D134" s="311">
        <v>4.0</v>
      </c>
      <c r="E134" s="312">
        <f t="shared" si="19"/>
        <v>0.1666666667</v>
      </c>
      <c r="F134" s="312" t="str">
        <f t="shared" si="20"/>
        <v>#DIV/0!</v>
      </c>
      <c r="G134" s="312" t="str">
        <f t="shared" si="21"/>
        <v>#DIV/0!</v>
      </c>
      <c r="H134" s="312" t="str">
        <f t="shared" si="22"/>
        <v>#DIV/0!</v>
      </c>
      <c r="I134" s="312" t="str">
        <f t="shared" si="70"/>
        <v>#DIV/0!</v>
      </c>
      <c r="J134" s="312" t="str">
        <f t="shared" si="75"/>
        <v>#DIV/0!</v>
      </c>
      <c r="K134" s="312" t="str">
        <f t="shared" si="76"/>
        <v>#DIV/0!</v>
      </c>
      <c r="L134" s="316" t="str">
        <f t="shared" si="23"/>
        <v>#DIV/0!</v>
      </c>
      <c r="M134" s="317" t="s">
        <v>594</v>
      </c>
      <c r="N134" s="317" t="s">
        <v>594</v>
      </c>
      <c r="O134" s="317" t="s">
        <v>487</v>
      </c>
      <c r="P134" s="317" t="s">
        <v>594</v>
      </c>
      <c r="Q134" s="317" t="s">
        <v>594</v>
      </c>
      <c r="R134" s="317" t="s">
        <v>594</v>
      </c>
      <c r="S134" s="318" t="s">
        <v>561</v>
      </c>
      <c r="T134" s="318" t="s">
        <v>561</v>
      </c>
      <c r="U134" s="330" t="s">
        <v>561</v>
      </c>
      <c r="V134" s="330" t="s">
        <v>561</v>
      </c>
      <c r="W134" s="318" t="s">
        <v>2795</v>
      </c>
      <c r="X134" s="340" t="s">
        <v>561</v>
      </c>
      <c r="Y134" s="318" t="s">
        <v>2795</v>
      </c>
      <c r="Z134" s="317" t="s">
        <v>2795</v>
      </c>
      <c r="AA134" s="317" t="s">
        <v>561</v>
      </c>
      <c r="AB134" s="317" t="s">
        <v>561</v>
      </c>
      <c r="AC134" s="317" t="s">
        <v>2795</v>
      </c>
      <c r="AD134" s="317" t="s">
        <v>2795</v>
      </c>
      <c r="AE134" s="317" t="s">
        <v>561</v>
      </c>
      <c r="AF134" s="317" t="s">
        <v>561</v>
      </c>
      <c r="AG134" s="317" t="s">
        <v>561</v>
      </c>
      <c r="AH134" s="317" t="s">
        <v>561</v>
      </c>
      <c r="AI134" s="317" t="s">
        <v>561</v>
      </c>
      <c r="AJ134" s="317" t="s">
        <v>2795</v>
      </c>
      <c r="AK134" s="317" t="s">
        <v>2807</v>
      </c>
      <c r="AL134" s="317" t="s">
        <v>2795</v>
      </c>
      <c r="AM134" s="317" t="s">
        <v>2795</v>
      </c>
      <c r="AN134" s="317" t="s">
        <v>2807</v>
      </c>
      <c r="AO134" s="317" t="s">
        <v>2795</v>
      </c>
      <c r="AP134" s="317" t="s">
        <v>561</v>
      </c>
      <c r="AQ134" s="317" t="s">
        <v>561</v>
      </c>
      <c r="AR134" s="317" t="s">
        <v>561</v>
      </c>
      <c r="AS134" s="317" t="s">
        <v>2807</v>
      </c>
      <c r="AT134" s="317" t="s">
        <v>561</v>
      </c>
      <c r="AU134" s="317" t="s">
        <v>561</v>
      </c>
      <c r="AV134" s="317" t="s">
        <v>2807</v>
      </c>
      <c r="AW134" s="317" t="s">
        <v>561</v>
      </c>
      <c r="AX134" s="317" t="s">
        <v>561</v>
      </c>
      <c r="AY134" s="317" t="s">
        <v>561</v>
      </c>
      <c r="AZ134" s="317" t="s">
        <v>561</v>
      </c>
      <c r="BA134" s="317" t="s">
        <v>2806</v>
      </c>
      <c r="BB134" s="317" t="s">
        <v>561</v>
      </c>
      <c r="BC134" s="317" t="s">
        <v>2806</v>
      </c>
      <c r="BD134" s="317" t="s">
        <v>2795</v>
      </c>
      <c r="BE134" s="317" t="s">
        <v>561</v>
      </c>
      <c r="BF134" s="317" t="s">
        <v>561</v>
      </c>
      <c r="BG134" s="317" t="s">
        <v>561</v>
      </c>
      <c r="BH134" s="317" t="s">
        <v>561</v>
      </c>
      <c r="BI134" s="317" t="s">
        <v>561</v>
      </c>
      <c r="BJ134" s="317" t="s">
        <v>561</v>
      </c>
      <c r="BK134" s="317" t="s">
        <v>561</v>
      </c>
      <c r="BL134" s="317" t="s">
        <v>2796</v>
      </c>
      <c r="BM134" s="317" t="s">
        <v>2796</v>
      </c>
      <c r="BN134" s="317" t="s">
        <v>561</v>
      </c>
      <c r="BO134" s="317" t="s">
        <v>2796</v>
      </c>
      <c r="BP134" s="317" t="s">
        <v>2806</v>
      </c>
      <c r="BQ134" s="317" t="s">
        <v>53</v>
      </c>
      <c r="BR134" s="317" t="s">
        <v>561</v>
      </c>
      <c r="BS134" s="317" t="s">
        <v>53</v>
      </c>
      <c r="BT134" s="317" t="s">
        <v>561</v>
      </c>
      <c r="BU134" s="317" t="s">
        <v>561</v>
      </c>
      <c r="BV134" s="317" t="s">
        <v>561</v>
      </c>
      <c r="BW134" s="317" t="s">
        <v>561</v>
      </c>
      <c r="BX134" s="317" t="s">
        <v>561</v>
      </c>
      <c r="BY134" s="317" t="s">
        <v>561</v>
      </c>
      <c r="BZ134" s="317" t="s">
        <v>561</v>
      </c>
      <c r="CA134" s="317" t="s">
        <v>53</v>
      </c>
      <c r="CB134" s="317" t="s">
        <v>561</v>
      </c>
      <c r="CC134" s="317" t="s">
        <v>561</v>
      </c>
      <c r="CD134" s="317" t="s">
        <v>561</v>
      </c>
      <c r="CE134" s="317" t="s">
        <v>561</v>
      </c>
      <c r="CF134" s="317" t="s">
        <v>53</v>
      </c>
      <c r="CG134" s="317" t="s">
        <v>561</v>
      </c>
      <c r="CH134" s="317" t="s">
        <v>561</v>
      </c>
      <c r="CI134" s="317" t="s">
        <v>561</v>
      </c>
      <c r="CJ134" s="317" t="s">
        <v>2806</v>
      </c>
      <c r="CK134" s="317" t="s">
        <v>561</v>
      </c>
      <c r="CL134" s="317" t="s">
        <v>561</v>
      </c>
      <c r="CM134" s="317" t="s">
        <v>561</v>
      </c>
      <c r="CN134" s="317" t="s">
        <v>561</v>
      </c>
      <c r="CO134" s="317" t="s">
        <v>561</v>
      </c>
      <c r="CP134" s="317" t="s">
        <v>561</v>
      </c>
      <c r="CQ134" s="319"/>
      <c r="CR134" s="319">
        <v>2009.0</v>
      </c>
      <c r="CS134" s="343" t="s">
        <v>1569</v>
      </c>
      <c r="CT134" s="334" t="s">
        <v>122</v>
      </c>
      <c r="CU134" s="319" t="s">
        <v>23</v>
      </c>
      <c r="CV134" s="332" t="s">
        <v>75</v>
      </c>
      <c r="CW134" s="319"/>
      <c r="CX134" s="319"/>
      <c r="CY134" s="323">
        <f t="shared" si="24"/>
        <v>0.31</v>
      </c>
      <c r="CZ134" s="324">
        <v>0.648</v>
      </c>
      <c r="DA134" s="323">
        <v>0.33799999999999997</v>
      </c>
      <c r="DB134" s="323"/>
      <c r="DC134" s="323">
        <f t="shared" si="25"/>
        <v>0.245</v>
      </c>
      <c r="DD134" s="324">
        <v>0.602</v>
      </c>
      <c r="DE134" s="323">
        <v>0.35700000000000004</v>
      </c>
      <c r="DF134" s="323"/>
      <c r="DG134" s="324">
        <v>0.595</v>
      </c>
      <c r="DH134" s="323">
        <v>0.19899999999999998</v>
      </c>
      <c r="DI134" s="323">
        <v>0.134</v>
      </c>
      <c r="DJ134" s="323">
        <v>0.062</v>
      </c>
      <c r="DK134" s="323">
        <v>0.012</v>
      </c>
      <c r="DL134" s="323">
        <v>0.001</v>
      </c>
      <c r="DM134" s="323"/>
      <c r="DN134" s="324">
        <v>0.52</v>
      </c>
      <c r="DO134" s="324">
        <v>0.6409999999999999</v>
      </c>
      <c r="DP134" s="323">
        <v>0.244</v>
      </c>
    </row>
    <row r="135">
      <c r="A135" s="311" t="s">
        <v>200</v>
      </c>
      <c r="B135" s="311" t="s">
        <v>201</v>
      </c>
      <c r="C135" s="311" t="s">
        <v>1197</v>
      </c>
      <c r="D135" s="311">
        <v>24.0</v>
      </c>
      <c r="E135" s="312">
        <f t="shared" si="19"/>
        <v>0.3333333333</v>
      </c>
      <c r="F135" s="312" t="str">
        <f t="shared" si="20"/>
        <v>#DIV/0!</v>
      </c>
      <c r="G135" s="312" t="str">
        <f t="shared" si="21"/>
        <v>#DIV/0!</v>
      </c>
      <c r="H135" s="312" t="str">
        <f t="shared" si="22"/>
        <v>#DIV/0!</v>
      </c>
      <c r="I135" s="312" t="str">
        <f t="shared" si="70"/>
        <v>#DIV/0!</v>
      </c>
      <c r="J135" s="312" t="str">
        <f t="shared" si="75"/>
        <v>#DIV/0!</v>
      </c>
      <c r="K135" s="315" t="s">
        <v>2794</v>
      </c>
      <c r="L135" s="316" t="str">
        <f t="shared" si="23"/>
        <v>#DIV/0!</v>
      </c>
      <c r="M135" s="317" t="s">
        <v>487</v>
      </c>
      <c r="N135" s="317" t="s">
        <v>487</v>
      </c>
      <c r="O135" s="317" t="s">
        <v>594</v>
      </c>
      <c r="P135" s="317" t="s">
        <v>594</v>
      </c>
      <c r="Q135" s="317" t="s">
        <v>594</v>
      </c>
      <c r="R135" s="317" t="s">
        <v>594</v>
      </c>
      <c r="S135" s="318" t="s">
        <v>561</v>
      </c>
      <c r="T135" s="318" t="s">
        <v>561</v>
      </c>
      <c r="U135" s="330" t="s">
        <v>561</v>
      </c>
      <c r="V135" s="330" t="s">
        <v>561</v>
      </c>
      <c r="W135" s="318" t="s">
        <v>2795</v>
      </c>
      <c r="X135" s="340" t="s">
        <v>561</v>
      </c>
      <c r="Y135" s="318" t="s">
        <v>2795</v>
      </c>
      <c r="Z135" s="317" t="s">
        <v>2795</v>
      </c>
      <c r="AA135" s="317" t="s">
        <v>561</v>
      </c>
      <c r="AB135" s="317" t="s">
        <v>561</v>
      </c>
      <c r="AC135" s="317" t="s">
        <v>2807</v>
      </c>
      <c r="AD135" s="317" t="s">
        <v>2795</v>
      </c>
      <c r="AE135" s="317" t="s">
        <v>561</v>
      </c>
      <c r="AF135" s="317" t="s">
        <v>561</v>
      </c>
      <c r="AG135" s="317" t="s">
        <v>561</v>
      </c>
      <c r="AH135" s="317" t="s">
        <v>561</v>
      </c>
      <c r="AI135" s="317" t="s">
        <v>561</v>
      </c>
      <c r="AJ135" s="317" t="s">
        <v>2795</v>
      </c>
      <c r="AK135" s="317" t="s">
        <v>2807</v>
      </c>
      <c r="AL135" s="317" t="s">
        <v>2795</v>
      </c>
      <c r="AM135" s="317" t="s">
        <v>2795</v>
      </c>
      <c r="AN135" s="317" t="s">
        <v>2795</v>
      </c>
      <c r="AO135" s="317" t="s">
        <v>2807</v>
      </c>
      <c r="AP135" s="317" t="s">
        <v>561</v>
      </c>
      <c r="AQ135" s="317" t="s">
        <v>561</v>
      </c>
      <c r="AR135" s="317" t="s">
        <v>561</v>
      </c>
      <c r="AS135" s="317" t="s">
        <v>2807</v>
      </c>
      <c r="AT135" s="317" t="s">
        <v>561</v>
      </c>
      <c r="AU135" s="317" t="s">
        <v>561</v>
      </c>
      <c r="AV135" s="317" t="s">
        <v>2807</v>
      </c>
      <c r="AW135" s="317" t="s">
        <v>561</v>
      </c>
      <c r="AX135" s="317" t="s">
        <v>561</v>
      </c>
      <c r="AY135" s="317" t="s">
        <v>561</v>
      </c>
      <c r="AZ135" s="317" t="s">
        <v>561</v>
      </c>
      <c r="BA135" s="317" t="s">
        <v>2806</v>
      </c>
      <c r="BB135" s="317" t="s">
        <v>561</v>
      </c>
      <c r="BC135" s="317" t="s">
        <v>2806</v>
      </c>
      <c r="BD135" s="317" t="s">
        <v>2795</v>
      </c>
      <c r="BE135" s="317" t="s">
        <v>561</v>
      </c>
      <c r="BF135" s="317" t="s">
        <v>561</v>
      </c>
      <c r="BG135" s="317" t="s">
        <v>561</v>
      </c>
      <c r="BH135" s="317" t="s">
        <v>561</v>
      </c>
      <c r="BI135" s="317" t="s">
        <v>561</v>
      </c>
      <c r="BJ135" s="317" t="s">
        <v>561</v>
      </c>
      <c r="BK135" s="317" t="s">
        <v>561</v>
      </c>
      <c r="BL135" s="317" t="s">
        <v>2796</v>
      </c>
      <c r="BM135" s="317" t="s">
        <v>2806</v>
      </c>
      <c r="BN135" s="317" t="s">
        <v>561</v>
      </c>
      <c r="BO135" s="317" t="s">
        <v>2796</v>
      </c>
      <c r="BP135" s="317" t="s">
        <v>2806</v>
      </c>
      <c r="BQ135" s="317" t="s">
        <v>561</v>
      </c>
      <c r="BR135" s="317" t="s">
        <v>561</v>
      </c>
      <c r="BS135" s="317" t="s">
        <v>561</v>
      </c>
      <c r="BT135" s="317" t="s">
        <v>561</v>
      </c>
      <c r="BU135" s="317" t="s">
        <v>561</v>
      </c>
      <c r="BV135" s="317" t="s">
        <v>561</v>
      </c>
      <c r="BW135" s="317" t="s">
        <v>53</v>
      </c>
      <c r="BX135" s="317" t="s">
        <v>561</v>
      </c>
      <c r="BY135" s="317" t="s">
        <v>561</v>
      </c>
      <c r="BZ135" s="317" t="s">
        <v>561</v>
      </c>
      <c r="CA135" s="317" t="s">
        <v>53</v>
      </c>
      <c r="CB135" s="317" t="s">
        <v>561</v>
      </c>
      <c r="CC135" s="317" t="s">
        <v>561</v>
      </c>
      <c r="CD135" s="317" t="s">
        <v>561</v>
      </c>
      <c r="CE135" s="317" t="s">
        <v>561</v>
      </c>
      <c r="CF135" s="317" t="s">
        <v>561</v>
      </c>
      <c r="CG135" s="317" t="s">
        <v>561</v>
      </c>
      <c r="CH135" s="317" t="s">
        <v>561</v>
      </c>
      <c r="CI135" s="317" t="s">
        <v>561</v>
      </c>
      <c r="CJ135" s="317" t="s">
        <v>2806</v>
      </c>
      <c r="CK135" s="317" t="s">
        <v>561</v>
      </c>
      <c r="CL135" s="317" t="s">
        <v>561</v>
      </c>
      <c r="CM135" s="317" t="s">
        <v>600</v>
      </c>
      <c r="CN135" s="317" t="s">
        <v>600</v>
      </c>
      <c r="CO135" s="317" t="s">
        <v>600</v>
      </c>
      <c r="CP135" s="317" t="s">
        <v>600</v>
      </c>
      <c r="CQ135" s="319"/>
      <c r="CR135" s="319">
        <v>2017.0</v>
      </c>
      <c r="CS135" s="343" t="s">
        <v>1569</v>
      </c>
      <c r="CT135" s="334" t="s">
        <v>122</v>
      </c>
      <c r="CU135" s="319" t="s">
        <v>2846</v>
      </c>
      <c r="CV135" s="320" t="s">
        <v>83</v>
      </c>
      <c r="CW135" s="319"/>
      <c r="CX135" s="319"/>
      <c r="CY135" s="323">
        <f t="shared" si="24"/>
        <v>0.29</v>
      </c>
      <c r="CZ135" s="324">
        <v>0.633</v>
      </c>
      <c r="DA135" s="323">
        <v>0.34299999999999997</v>
      </c>
      <c r="DB135" s="323"/>
      <c r="DC135" s="323">
        <f t="shared" si="25"/>
        <v>0.251</v>
      </c>
      <c r="DD135" s="324">
        <v>0.591</v>
      </c>
      <c r="DE135" s="323">
        <v>0.34</v>
      </c>
      <c r="DF135" s="323"/>
      <c r="DG135" s="324">
        <v>0.542</v>
      </c>
      <c r="DH135" s="323">
        <v>0.33899999999999997</v>
      </c>
      <c r="DI135" s="323">
        <v>0.026000000000000002</v>
      </c>
      <c r="DJ135" s="323">
        <v>0.073</v>
      </c>
      <c r="DK135" s="323">
        <v>0.038</v>
      </c>
      <c r="DL135" s="323">
        <v>0.005</v>
      </c>
      <c r="DM135" s="323"/>
      <c r="DN135" s="323">
        <v>0.368</v>
      </c>
      <c r="DO135" s="323">
        <v>0.47700000000000004</v>
      </c>
      <c r="DP135" s="323">
        <v>0.336</v>
      </c>
    </row>
    <row r="136">
      <c r="A136" s="311" t="s">
        <v>841</v>
      </c>
      <c r="B136" s="311" t="s">
        <v>842</v>
      </c>
      <c r="C136" s="311" t="s">
        <v>878</v>
      </c>
      <c r="D136" s="311">
        <v>3.0</v>
      </c>
      <c r="E136" s="312">
        <f t="shared" si="19"/>
        <v>0.1666666667</v>
      </c>
      <c r="F136" s="312" t="str">
        <f t="shared" si="20"/>
        <v>#DIV/0!</v>
      </c>
      <c r="G136" s="312" t="str">
        <f t="shared" si="21"/>
        <v>#DIV/0!</v>
      </c>
      <c r="H136" s="312" t="str">
        <f t="shared" si="22"/>
        <v>#DIV/0!</v>
      </c>
      <c r="I136" s="312" t="str">
        <f t="shared" si="70"/>
        <v>#DIV/0!</v>
      </c>
      <c r="J136" s="315" t="s">
        <v>2794</v>
      </c>
      <c r="K136" s="315" t="s">
        <v>2794</v>
      </c>
      <c r="L136" s="316" t="str">
        <f t="shared" si="23"/>
        <v>#DIV/0!</v>
      </c>
      <c r="M136" s="317" t="s">
        <v>594</v>
      </c>
      <c r="N136" s="317" t="s">
        <v>594</v>
      </c>
      <c r="O136" s="317" t="s">
        <v>487</v>
      </c>
      <c r="P136" s="317" t="s">
        <v>594</v>
      </c>
      <c r="Q136" s="317" t="s">
        <v>594</v>
      </c>
      <c r="R136" s="317" t="s">
        <v>594</v>
      </c>
      <c r="S136" s="318" t="s">
        <v>561</v>
      </c>
      <c r="T136" s="318" t="s">
        <v>561</v>
      </c>
      <c r="U136" s="330" t="s">
        <v>561</v>
      </c>
      <c r="V136" s="330" t="s">
        <v>561</v>
      </c>
      <c r="W136" s="318" t="s">
        <v>2795</v>
      </c>
      <c r="X136" s="340" t="s">
        <v>561</v>
      </c>
      <c r="Y136" s="340" t="s">
        <v>2807</v>
      </c>
      <c r="Z136" s="317" t="s">
        <v>2795</v>
      </c>
      <c r="AA136" s="317" t="s">
        <v>561</v>
      </c>
      <c r="AB136" s="317" t="s">
        <v>561</v>
      </c>
      <c r="AC136" s="317" t="s">
        <v>2795</v>
      </c>
      <c r="AD136" s="317" t="s">
        <v>2795</v>
      </c>
      <c r="AE136" s="317" t="s">
        <v>561</v>
      </c>
      <c r="AF136" s="317" t="s">
        <v>561</v>
      </c>
      <c r="AG136" s="317" t="s">
        <v>561</v>
      </c>
      <c r="AH136" s="317" t="s">
        <v>561</v>
      </c>
      <c r="AI136" s="317" t="s">
        <v>561</v>
      </c>
      <c r="AJ136" s="317" t="s">
        <v>2795</v>
      </c>
      <c r="AK136" s="317" t="s">
        <v>801</v>
      </c>
      <c r="AL136" s="317" t="s">
        <v>2807</v>
      </c>
      <c r="AM136" s="317" t="s">
        <v>2795</v>
      </c>
      <c r="AN136" s="317" t="s">
        <v>2795</v>
      </c>
      <c r="AO136" s="317" t="s">
        <v>2807</v>
      </c>
      <c r="AP136" s="317" t="s">
        <v>561</v>
      </c>
      <c r="AQ136" s="317" t="s">
        <v>561</v>
      </c>
      <c r="AR136" s="317" t="s">
        <v>561</v>
      </c>
      <c r="AS136" s="317" t="s">
        <v>2807</v>
      </c>
      <c r="AT136" s="317" t="s">
        <v>561</v>
      </c>
      <c r="AU136" s="317" t="s">
        <v>561</v>
      </c>
      <c r="AV136" s="317" t="s">
        <v>2807</v>
      </c>
      <c r="AW136" s="317" t="s">
        <v>561</v>
      </c>
      <c r="AX136" s="317" t="s">
        <v>561</v>
      </c>
      <c r="AY136" s="317" t="s">
        <v>561</v>
      </c>
      <c r="AZ136" s="317" t="s">
        <v>561</v>
      </c>
      <c r="BA136" s="317" t="s">
        <v>2806</v>
      </c>
      <c r="BB136" s="317" t="s">
        <v>561</v>
      </c>
      <c r="BC136" s="317" t="s">
        <v>2806</v>
      </c>
      <c r="BD136" s="317" t="s">
        <v>2795</v>
      </c>
      <c r="BE136" s="317" t="s">
        <v>561</v>
      </c>
      <c r="BF136" s="317" t="s">
        <v>561</v>
      </c>
      <c r="BG136" s="317" t="s">
        <v>561</v>
      </c>
      <c r="BH136" s="317" t="s">
        <v>561</v>
      </c>
      <c r="BI136" s="317" t="s">
        <v>561</v>
      </c>
      <c r="BJ136" s="317" t="s">
        <v>561</v>
      </c>
      <c r="BK136" s="317" t="s">
        <v>561</v>
      </c>
      <c r="BL136" s="317" t="s">
        <v>2806</v>
      </c>
      <c r="BM136" s="317" t="s">
        <v>2796</v>
      </c>
      <c r="BN136" s="317" t="s">
        <v>561</v>
      </c>
      <c r="BO136" s="317" t="s">
        <v>2796</v>
      </c>
      <c r="BP136" s="317" t="s">
        <v>2796</v>
      </c>
      <c r="BQ136" s="317" t="s">
        <v>600</v>
      </c>
      <c r="BR136" s="317" t="s">
        <v>600</v>
      </c>
      <c r="BS136" s="317" t="s">
        <v>600</v>
      </c>
      <c r="BT136" s="317" t="s">
        <v>600</v>
      </c>
      <c r="BU136" s="317" t="s">
        <v>600</v>
      </c>
      <c r="BV136" s="317" t="s">
        <v>600</v>
      </c>
      <c r="BW136" s="317" t="s">
        <v>600</v>
      </c>
      <c r="BX136" s="317" t="s">
        <v>600</v>
      </c>
      <c r="BY136" s="317" t="s">
        <v>600</v>
      </c>
      <c r="BZ136" s="317" t="s">
        <v>600</v>
      </c>
      <c r="CA136" s="317" t="s">
        <v>600</v>
      </c>
      <c r="CB136" s="317" t="s">
        <v>600</v>
      </c>
      <c r="CC136" s="317" t="s">
        <v>600</v>
      </c>
      <c r="CD136" s="317" t="s">
        <v>600</v>
      </c>
      <c r="CE136" s="317" t="s">
        <v>600</v>
      </c>
      <c r="CF136" s="317" t="s">
        <v>600</v>
      </c>
      <c r="CG136" s="317" t="s">
        <v>600</v>
      </c>
      <c r="CH136" s="317" t="s">
        <v>600</v>
      </c>
      <c r="CI136" s="317" t="s">
        <v>600</v>
      </c>
      <c r="CJ136" s="317" t="s">
        <v>600</v>
      </c>
      <c r="CK136" s="317" t="s">
        <v>600</v>
      </c>
      <c r="CL136" s="317" t="s">
        <v>600</v>
      </c>
      <c r="CM136" s="317" t="s">
        <v>600</v>
      </c>
      <c r="CN136" s="317" t="s">
        <v>600</v>
      </c>
      <c r="CO136" s="317" t="s">
        <v>600</v>
      </c>
      <c r="CP136" s="317" t="s">
        <v>600</v>
      </c>
      <c r="CQ136" s="319"/>
      <c r="CR136" s="319">
        <v>2019.0</v>
      </c>
      <c r="CS136" s="343" t="s">
        <v>1569</v>
      </c>
      <c r="CT136" s="334" t="s">
        <v>2030</v>
      </c>
      <c r="CU136" s="319" t="s">
        <v>1132</v>
      </c>
      <c r="CV136" s="332" t="s">
        <v>75</v>
      </c>
      <c r="CW136" s="319"/>
      <c r="CX136" s="319"/>
      <c r="CY136" s="323">
        <f t="shared" si="24"/>
        <v>0.21</v>
      </c>
      <c r="CZ136" s="324">
        <v>0.595</v>
      </c>
      <c r="DA136" s="323">
        <v>0.385</v>
      </c>
      <c r="DB136" s="323"/>
      <c r="DC136" s="323">
        <f t="shared" si="25"/>
        <v>0.11</v>
      </c>
      <c r="DD136" s="324">
        <v>0.511</v>
      </c>
      <c r="DE136" s="323">
        <v>0.401</v>
      </c>
      <c r="DF136" s="323"/>
      <c r="DG136" s="324">
        <v>0.758</v>
      </c>
      <c r="DH136" s="323">
        <v>0.043</v>
      </c>
      <c r="DI136" s="323">
        <v>0.091</v>
      </c>
      <c r="DJ136" s="323">
        <v>0.08900000000000001</v>
      </c>
      <c r="DK136" s="323">
        <v>0.015</v>
      </c>
      <c r="DL136" s="323">
        <v>0.001</v>
      </c>
      <c r="DM136" s="323"/>
      <c r="DN136" s="324">
        <v>0.495</v>
      </c>
      <c r="DO136" s="324">
        <v>0.518</v>
      </c>
      <c r="DP136" s="323">
        <v>0.40299999999999997</v>
      </c>
    </row>
    <row r="137">
      <c r="A137" s="311" t="s">
        <v>510</v>
      </c>
      <c r="B137" s="311" t="s">
        <v>511</v>
      </c>
      <c r="C137" s="311" t="s">
        <v>910</v>
      </c>
      <c r="D137" s="311">
        <v>2.0</v>
      </c>
      <c r="E137" s="312">
        <f t="shared" si="19"/>
        <v>0.1666666667</v>
      </c>
      <c r="F137" s="312" t="str">
        <f t="shared" si="20"/>
        <v>#DIV/0!</v>
      </c>
      <c r="G137" s="312" t="str">
        <f t="shared" si="21"/>
        <v>#DIV/0!</v>
      </c>
      <c r="H137" s="312" t="str">
        <f t="shared" si="22"/>
        <v>#DIV/0!</v>
      </c>
      <c r="I137" s="312" t="str">
        <f t="shared" si="70"/>
        <v>#DIV/0!</v>
      </c>
      <c r="J137" s="312" t="str">
        <f t="shared" ref="J137:J142" si="77">(COUNTIF(BQ137:CL137, "Nay")+COUNTIF(BQ137:CL137, "Yea (Amend)")+(0.5*COUNTIF(BQ137:CL137, "Present")))/(COUNTIF(BQ137:CL137, "Nay")+COUNTIF(BQ137:CL137, "Yea (Amend)")+COUNTIF(BQ137:CL137, "Yea")+COUNTIF(BQ137:CL137, "Nay (Amend)")+COUNTIF(BQ137:CL137, "Present"))</f>
        <v>#DIV/0!</v>
      </c>
      <c r="K137" s="312" t="str">
        <f t="shared" ref="K137:K142" si="78">(COUNTIF(CM137:CP137, "Nay")+COUNTIF(CM137:CP137, "Yea (Amend)")+(0.5*COUNTIF(CM137:CP137, "Present")))/(COUNTIF(CM137:CP137, "Nay")+COUNTIF(CM137:CP137, "Yea (Amend)")+COUNTIF(CM137:CP137, "Yea")+COUNTIF(CM137:CP137, "Nay (Amend)")+COUNTIF(CM137:CP137, "Present"))</f>
        <v>#DIV/0!</v>
      </c>
      <c r="L137" s="316" t="str">
        <f t="shared" si="23"/>
        <v>#DIV/0!</v>
      </c>
      <c r="M137" s="317" t="s">
        <v>594</v>
      </c>
      <c r="N137" s="317" t="s">
        <v>594</v>
      </c>
      <c r="O137" s="317" t="s">
        <v>487</v>
      </c>
      <c r="P137" s="317" t="s">
        <v>594</v>
      </c>
      <c r="Q137" s="317" t="s">
        <v>594</v>
      </c>
      <c r="R137" s="317" t="s">
        <v>594</v>
      </c>
      <c r="S137" s="318" t="s">
        <v>561</v>
      </c>
      <c r="T137" s="318" t="s">
        <v>561</v>
      </c>
      <c r="U137" s="330" t="s">
        <v>561</v>
      </c>
      <c r="V137" s="330" t="s">
        <v>561</v>
      </c>
      <c r="W137" s="318" t="s">
        <v>2795</v>
      </c>
      <c r="X137" s="340" t="s">
        <v>561</v>
      </c>
      <c r="Y137" s="340" t="s">
        <v>2807</v>
      </c>
      <c r="Z137" s="317" t="s">
        <v>2795</v>
      </c>
      <c r="AA137" s="317" t="s">
        <v>561</v>
      </c>
      <c r="AB137" s="317" t="s">
        <v>53</v>
      </c>
      <c r="AC137" s="317" t="s">
        <v>2795</v>
      </c>
      <c r="AD137" s="317" t="s">
        <v>2795</v>
      </c>
      <c r="AE137" s="317" t="s">
        <v>561</v>
      </c>
      <c r="AF137" s="317" t="s">
        <v>561</v>
      </c>
      <c r="AG137" s="317" t="s">
        <v>561</v>
      </c>
      <c r="AH137" s="317" t="s">
        <v>561</v>
      </c>
      <c r="AI137" s="317" t="s">
        <v>561</v>
      </c>
      <c r="AJ137" s="317" t="s">
        <v>2807</v>
      </c>
      <c r="AK137" s="317" t="s">
        <v>2807</v>
      </c>
      <c r="AL137" s="317" t="s">
        <v>2795</v>
      </c>
      <c r="AM137" s="317" t="s">
        <v>2807</v>
      </c>
      <c r="AN137" s="317" t="s">
        <v>2795</v>
      </c>
      <c r="AO137" s="317" t="s">
        <v>2807</v>
      </c>
      <c r="AP137" s="317" t="s">
        <v>561</v>
      </c>
      <c r="AQ137" s="317" t="s">
        <v>561</v>
      </c>
      <c r="AR137" s="317" t="s">
        <v>561</v>
      </c>
      <c r="AS137" s="317" t="s">
        <v>2807</v>
      </c>
      <c r="AT137" s="317" t="s">
        <v>561</v>
      </c>
      <c r="AU137" s="317" t="s">
        <v>561</v>
      </c>
      <c r="AV137" s="317" t="s">
        <v>2795</v>
      </c>
      <c r="AW137" s="317" t="s">
        <v>561</v>
      </c>
      <c r="AX137" s="317" t="s">
        <v>561</v>
      </c>
      <c r="AY137" s="317" t="s">
        <v>561</v>
      </c>
      <c r="AZ137" s="317" t="s">
        <v>561</v>
      </c>
      <c r="BA137" s="317" t="s">
        <v>2806</v>
      </c>
      <c r="BB137" s="317" t="s">
        <v>561</v>
      </c>
      <c r="BC137" s="317" t="s">
        <v>2806</v>
      </c>
      <c r="BD137" s="317" t="s">
        <v>2795</v>
      </c>
      <c r="BE137" s="317" t="s">
        <v>561</v>
      </c>
      <c r="BF137" s="317" t="s">
        <v>561</v>
      </c>
      <c r="BG137" s="317" t="s">
        <v>561</v>
      </c>
      <c r="BH137" s="317" t="s">
        <v>561</v>
      </c>
      <c r="BI137" s="317" t="s">
        <v>561</v>
      </c>
      <c r="BJ137" s="317" t="s">
        <v>561</v>
      </c>
      <c r="BK137" s="317" t="s">
        <v>561</v>
      </c>
      <c r="BL137" s="317" t="s">
        <v>2796</v>
      </c>
      <c r="BM137" s="317" t="s">
        <v>2796</v>
      </c>
      <c r="BN137" s="317" t="s">
        <v>561</v>
      </c>
      <c r="BO137" s="317" t="s">
        <v>2796</v>
      </c>
      <c r="BP137" s="317" t="s">
        <v>2806</v>
      </c>
      <c r="BQ137" s="317" t="s">
        <v>561</v>
      </c>
      <c r="BR137" s="317" t="s">
        <v>53</v>
      </c>
      <c r="BS137" s="317" t="s">
        <v>53</v>
      </c>
      <c r="BT137" s="317" t="s">
        <v>561</v>
      </c>
      <c r="BU137" s="317" t="s">
        <v>53</v>
      </c>
      <c r="BV137" s="317" t="s">
        <v>561</v>
      </c>
      <c r="BW137" s="317" t="s">
        <v>561</v>
      </c>
      <c r="BX137" s="317" t="s">
        <v>561</v>
      </c>
      <c r="BY137" s="317" t="s">
        <v>801</v>
      </c>
      <c r="BZ137" s="317" t="s">
        <v>561</v>
      </c>
      <c r="CA137" s="317" t="s">
        <v>801</v>
      </c>
      <c r="CB137" s="317" t="s">
        <v>561</v>
      </c>
      <c r="CC137" s="317" t="s">
        <v>561</v>
      </c>
      <c r="CD137" s="317" t="s">
        <v>561</v>
      </c>
      <c r="CE137" s="317" t="s">
        <v>561</v>
      </c>
      <c r="CF137" s="317" t="s">
        <v>801</v>
      </c>
      <c r="CG137" s="317" t="s">
        <v>561</v>
      </c>
      <c r="CH137" s="317" t="s">
        <v>561</v>
      </c>
      <c r="CI137" s="317" t="s">
        <v>561</v>
      </c>
      <c r="CJ137" s="317" t="s">
        <v>2806</v>
      </c>
      <c r="CK137" s="317" t="s">
        <v>561</v>
      </c>
      <c r="CL137" s="317" t="s">
        <v>561</v>
      </c>
      <c r="CM137" s="317" t="s">
        <v>561</v>
      </c>
      <c r="CN137" s="317" t="s">
        <v>561</v>
      </c>
      <c r="CO137" s="317" t="s">
        <v>53</v>
      </c>
      <c r="CP137" s="317" t="s">
        <v>561</v>
      </c>
      <c r="CQ137" s="319"/>
      <c r="CR137" s="319">
        <v>1993.0</v>
      </c>
      <c r="CS137" s="334" t="s">
        <v>2602</v>
      </c>
      <c r="CT137" s="334" t="s">
        <v>2030</v>
      </c>
      <c r="CU137" s="319" t="s">
        <v>23</v>
      </c>
      <c r="CV137" s="327" t="s">
        <v>28</v>
      </c>
      <c r="CW137" s="319"/>
      <c r="CX137" s="319"/>
      <c r="CY137" s="323">
        <f t="shared" si="24"/>
        <v>0.103</v>
      </c>
      <c r="CZ137" s="324">
        <v>0.547</v>
      </c>
      <c r="DA137" s="323">
        <v>0.444</v>
      </c>
      <c r="DB137" s="323"/>
      <c r="DC137" s="323">
        <f t="shared" si="25"/>
        <v>0.091</v>
      </c>
      <c r="DD137" s="324">
        <v>0.536</v>
      </c>
      <c r="DE137" s="323">
        <v>0.445</v>
      </c>
      <c r="DF137" s="323"/>
      <c r="DG137" s="323">
        <v>0.42700000000000005</v>
      </c>
      <c r="DH137" s="323">
        <v>0.051</v>
      </c>
      <c r="DI137" s="324">
        <v>0.493</v>
      </c>
      <c r="DJ137" s="323">
        <v>0.019</v>
      </c>
      <c r="DK137" s="323">
        <v>0.015</v>
      </c>
      <c r="DL137" s="323">
        <v>0.002</v>
      </c>
      <c r="DM137" s="323"/>
      <c r="DN137" s="323">
        <v>0.196</v>
      </c>
      <c r="DO137" s="323">
        <v>0.252</v>
      </c>
      <c r="DP137" s="323">
        <v>0.33399999999999996</v>
      </c>
    </row>
    <row r="138">
      <c r="A138" s="311" t="s">
        <v>707</v>
      </c>
      <c r="B138" s="311" t="s">
        <v>708</v>
      </c>
      <c r="C138" s="311" t="s">
        <v>646</v>
      </c>
      <c r="D138" s="311">
        <v>5.0</v>
      </c>
      <c r="E138" s="312">
        <f t="shared" si="19"/>
        <v>0</v>
      </c>
      <c r="F138" s="312" t="str">
        <f t="shared" si="20"/>
        <v>#DIV/0!</v>
      </c>
      <c r="G138" s="312" t="str">
        <f t="shared" si="21"/>
        <v>#DIV/0!</v>
      </c>
      <c r="H138" s="312" t="str">
        <f t="shared" si="22"/>
        <v>#DIV/0!</v>
      </c>
      <c r="I138" s="312" t="str">
        <f t="shared" si="70"/>
        <v>#DIV/0!</v>
      </c>
      <c r="J138" s="312" t="str">
        <f t="shared" si="77"/>
        <v>#DIV/0!</v>
      </c>
      <c r="K138" s="312" t="str">
        <f t="shared" si="78"/>
        <v>#DIV/0!</v>
      </c>
      <c r="L138" s="316" t="str">
        <f t="shared" si="23"/>
        <v>#DIV/0!</v>
      </c>
      <c r="M138" s="317" t="s">
        <v>594</v>
      </c>
      <c r="N138" s="317" t="s">
        <v>594</v>
      </c>
      <c r="O138" s="317" t="s">
        <v>594</v>
      </c>
      <c r="P138" s="317" t="s">
        <v>594</v>
      </c>
      <c r="Q138" s="317" t="s">
        <v>594</v>
      </c>
      <c r="R138" s="317" t="s">
        <v>594</v>
      </c>
      <c r="S138" s="318" t="s">
        <v>561</v>
      </c>
      <c r="T138" s="318" t="s">
        <v>561</v>
      </c>
      <c r="U138" s="330" t="s">
        <v>561</v>
      </c>
      <c r="V138" s="330" t="s">
        <v>561</v>
      </c>
      <c r="W138" s="340" t="s">
        <v>2807</v>
      </c>
      <c r="X138" s="340" t="s">
        <v>561</v>
      </c>
      <c r="Y138" s="318" t="s">
        <v>2795</v>
      </c>
      <c r="Z138" s="317" t="s">
        <v>2795</v>
      </c>
      <c r="AA138" s="317" t="s">
        <v>561</v>
      </c>
      <c r="AB138" s="317" t="s">
        <v>53</v>
      </c>
      <c r="AC138" s="317" t="s">
        <v>2795</v>
      </c>
      <c r="AD138" s="317" t="s">
        <v>2795</v>
      </c>
      <c r="AE138" s="317" t="s">
        <v>561</v>
      </c>
      <c r="AF138" s="317" t="s">
        <v>561</v>
      </c>
      <c r="AG138" s="317" t="s">
        <v>561</v>
      </c>
      <c r="AH138" s="317" t="s">
        <v>561</v>
      </c>
      <c r="AI138" s="317" t="s">
        <v>561</v>
      </c>
      <c r="AJ138" s="317" t="s">
        <v>2795</v>
      </c>
      <c r="AK138" s="317" t="s">
        <v>2807</v>
      </c>
      <c r="AL138" s="317" t="s">
        <v>2795</v>
      </c>
      <c r="AM138" s="317" t="s">
        <v>2807</v>
      </c>
      <c r="AN138" s="317" t="s">
        <v>2795</v>
      </c>
      <c r="AO138" s="317" t="s">
        <v>2807</v>
      </c>
      <c r="AP138" s="317" t="s">
        <v>561</v>
      </c>
      <c r="AQ138" s="317" t="s">
        <v>561</v>
      </c>
      <c r="AR138" s="317" t="s">
        <v>561</v>
      </c>
      <c r="AS138" s="317" t="s">
        <v>2807</v>
      </c>
      <c r="AT138" s="317" t="s">
        <v>561</v>
      </c>
      <c r="AU138" s="317" t="s">
        <v>561</v>
      </c>
      <c r="AV138" s="317" t="s">
        <v>2807</v>
      </c>
      <c r="AW138" s="317" t="s">
        <v>561</v>
      </c>
      <c r="AX138" s="317" t="s">
        <v>561</v>
      </c>
      <c r="AY138" s="317" t="s">
        <v>561</v>
      </c>
      <c r="AZ138" s="317" t="s">
        <v>561</v>
      </c>
      <c r="BA138" s="317" t="s">
        <v>2806</v>
      </c>
      <c r="BB138" s="317" t="s">
        <v>561</v>
      </c>
      <c r="BC138" s="317" t="s">
        <v>2806</v>
      </c>
      <c r="BD138" s="317" t="s">
        <v>2795</v>
      </c>
      <c r="BE138" s="317" t="s">
        <v>561</v>
      </c>
      <c r="BF138" s="317" t="s">
        <v>561</v>
      </c>
      <c r="BG138" s="317" t="s">
        <v>561</v>
      </c>
      <c r="BH138" s="317" t="s">
        <v>561</v>
      </c>
      <c r="BI138" s="317" t="s">
        <v>561</v>
      </c>
      <c r="BJ138" s="317" t="s">
        <v>561</v>
      </c>
      <c r="BK138" s="317" t="s">
        <v>561</v>
      </c>
      <c r="BL138" s="317" t="s">
        <v>2796</v>
      </c>
      <c r="BM138" s="317" t="s">
        <v>2796</v>
      </c>
      <c r="BN138" s="317" t="s">
        <v>561</v>
      </c>
      <c r="BO138" s="317" t="s">
        <v>2796</v>
      </c>
      <c r="BP138" s="317" t="s">
        <v>2806</v>
      </c>
      <c r="BQ138" s="317" t="s">
        <v>53</v>
      </c>
      <c r="BR138" s="317" t="s">
        <v>53</v>
      </c>
      <c r="BS138" s="317" t="s">
        <v>53</v>
      </c>
      <c r="BT138" s="317" t="s">
        <v>561</v>
      </c>
      <c r="BU138" s="317" t="s">
        <v>53</v>
      </c>
      <c r="BV138" s="317" t="s">
        <v>561</v>
      </c>
      <c r="BW138" s="317" t="s">
        <v>53</v>
      </c>
      <c r="BX138" s="317" t="s">
        <v>561</v>
      </c>
      <c r="BY138" s="317" t="s">
        <v>561</v>
      </c>
      <c r="BZ138" s="317" t="s">
        <v>561</v>
      </c>
      <c r="CA138" s="317" t="s">
        <v>53</v>
      </c>
      <c r="CB138" s="317" t="s">
        <v>561</v>
      </c>
      <c r="CC138" s="317" t="s">
        <v>561</v>
      </c>
      <c r="CD138" s="317" t="s">
        <v>561</v>
      </c>
      <c r="CE138" s="317" t="s">
        <v>561</v>
      </c>
      <c r="CF138" s="317" t="s">
        <v>53</v>
      </c>
      <c r="CG138" s="317" t="s">
        <v>561</v>
      </c>
      <c r="CH138" s="317" t="s">
        <v>561</v>
      </c>
      <c r="CI138" s="317" t="s">
        <v>561</v>
      </c>
      <c r="CJ138" s="317" t="s">
        <v>2806</v>
      </c>
      <c r="CK138" s="317" t="s">
        <v>561</v>
      </c>
      <c r="CL138" s="317" t="s">
        <v>561</v>
      </c>
      <c r="CM138" s="317" t="s">
        <v>561</v>
      </c>
      <c r="CN138" s="317" t="s">
        <v>561</v>
      </c>
      <c r="CO138" s="317" t="s">
        <v>53</v>
      </c>
      <c r="CP138" s="317" t="s">
        <v>561</v>
      </c>
      <c r="CQ138" s="319"/>
      <c r="CR138" s="319" t="s">
        <v>2636</v>
      </c>
      <c r="CS138" s="342" t="s">
        <v>2476</v>
      </c>
      <c r="CT138" s="334" t="s">
        <v>2030</v>
      </c>
      <c r="CU138" s="326" t="s">
        <v>2476</v>
      </c>
      <c r="CV138" s="332" t="s">
        <v>75</v>
      </c>
      <c r="CW138" s="336"/>
      <c r="CX138" s="319"/>
      <c r="CY138" s="323">
        <f t="shared" si="24"/>
        <v>0.365</v>
      </c>
      <c r="CZ138" s="324">
        <v>0.674</v>
      </c>
      <c r="DA138" s="323">
        <v>0.309</v>
      </c>
      <c r="DB138" s="323"/>
      <c r="DC138" s="323">
        <f t="shared" si="25"/>
        <v>0.239</v>
      </c>
      <c r="DD138" s="324">
        <v>0.5920000000000001</v>
      </c>
      <c r="DE138" s="323">
        <v>0.353</v>
      </c>
      <c r="DF138" s="323"/>
      <c r="DG138" s="324">
        <v>0.457</v>
      </c>
      <c r="DH138" s="323">
        <v>0.06</v>
      </c>
      <c r="DI138" s="323">
        <v>0.43</v>
      </c>
      <c r="DJ138" s="323">
        <v>0.042</v>
      </c>
      <c r="DK138" s="323">
        <v>0.022000000000000002</v>
      </c>
      <c r="DL138" s="323">
        <v>0.002</v>
      </c>
      <c r="DM138" s="323"/>
      <c r="DN138" s="323">
        <v>0.358</v>
      </c>
      <c r="DO138" s="323">
        <v>0.375</v>
      </c>
      <c r="DP138" s="323">
        <v>0.317</v>
      </c>
    </row>
    <row r="139">
      <c r="A139" s="311" t="s">
        <v>1376</v>
      </c>
      <c r="B139" s="311" t="s">
        <v>1377</v>
      </c>
      <c r="C139" s="311" t="s">
        <v>1217</v>
      </c>
      <c r="D139" s="311">
        <v>6.0</v>
      </c>
      <c r="E139" s="312">
        <f t="shared" si="19"/>
        <v>0</v>
      </c>
      <c r="F139" s="312" t="str">
        <f t="shared" si="20"/>
        <v>#DIV/0!</v>
      </c>
      <c r="G139" s="312" t="str">
        <f t="shared" si="21"/>
        <v>#DIV/0!</v>
      </c>
      <c r="H139" s="312" t="str">
        <f t="shared" si="22"/>
        <v>#DIV/0!</v>
      </c>
      <c r="I139" s="312" t="str">
        <f t="shared" si="70"/>
        <v>#DIV/0!</v>
      </c>
      <c r="J139" s="312" t="str">
        <f t="shared" si="77"/>
        <v>#DIV/0!</v>
      </c>
      <c r="K139" s="312" t="str">
        <f t="shared" si="78"/>
        <v>#DIV/0!</v>
      </c>
      <c r="L139" s="316" t="str">
        <f t="shared" si="23"/>
        <v>#DIV/0!</v>
      </c>
      <c r="M139" s="317" t="s">
        <v>594</v>
      </c>
      <c r="N139" s="317" t="s">
        <v>594</v>
      </c>
      <c r="O139" s="317" t="s">
        <v>594</v>
      </c>
      <c r="P139" s="317" t="s">
        <v>594</v>
      </c>
      <c r="Q139" s="317" t="s">
        <v>594</v>
      </c>
      <c r="R139" s="317" t="s">
        <v>594</v>
      </c>
      <c r="S139" s="318" t="s">
        <v>561</v>
      </c>
      <c r="T139" s="318" t="s">
        <v>561</v>
      </c>
      <c r="U139" s="330" t="s">
        <v>561</v>
      </c>
      <c r="V139" s="330" t="s">
        <v>561</v>
      </c>
      <c r="W139" s="318" t="s">
        <v>2795</v>
      </c>
      <c r="X139" s="340" t="s">
        <v>561</v>
      </c>
      <c r="Y139" s="318" t="s">
        <v>2795</v>
      </c>
      <c r="Z139" s="317" t="s">
        <v>2795</v>
      </c>
      <c r="AA139" s="317" t="s">
        <v>561</v>
      </c>
      <c r="AB139" s="317" t="s">
        <v>561</v>
      </c>
      <c r="AC139" s="317" t="s">
        <v>2795</v>
      </c>
      <c r="AD139" s="317" t="s">
        <v>2795</v>
      </c>
      <c r="AE139" s="317" t="s">
        <v>561</v>
      </c>
      <c r="AF139" s="317" t="s">
        <v>561</v>
      </c>
      <c r="AG139" s="317" t="s">
        <v>561</v>
      </c>
      <c r="AH139" s="317" t="s">
        <v>561</v>
      </c>
      <c r="AI139" s="317" t="s">
        <v>561</v>
      </c>
      <c r="AJ139" s="317" t="s">
        <v>2795</v>
      </c>
      <c r="AK139" s="317" t="s">
        <v>2807</v>
      </c>
      <c r="AL139" s="317" t="s">
        <v>2795</v>
      </c>
      <c r="AM139" s="317" t="s">
        <v>2807</v>
      </c>
      <c r="AN139" s="317" t="s">
        <v>2795</v>
      </c>
      <c r="AO139" s="317" t="s">
        <v>2795</v>
      </c>
      <c r="AP139" s="317" t="s">
        <v>561</v>
      </c>
      <c r="AQ139" s="317" t="s">
        <v>561</v>
      </c>
      <c r="AR139" s="317" t="s">
        <v>561</v>
      </c>
      <c r="AS139" s="317" t="s">
        <v>2807</v>
      </c>
      <c r="AT139" s="317" t="s">
        <v>561</v>
      </c>
      <c r="AU139" s="317" t="s">
        <v>561</v>
      </c>
      <c r="AV139" s="317" t="s">
        <v>2807</v>
      </c>
      <c r="AW139" s="317" t="s">
        <v>561</v>
      </c>
      <c r="AX139" s="317" t="s">
        <v>561</v>
      </c>
      <c r="AY139" s="317" t="s">
        <v>561</v>
      </c>
      <c r="AZ139" s="317" t="s">
        <v>561</v>
      </c>
      <c r="BA139" s="317" t="s">
        <v>2796</v>
      </c>
      <c r="BB139" s="317" t="s">
        <v>561</v>
      </c>
      <c r="BC139" s="317" t="s">
        <v>2806</v>
      </c>
      <c r="BD139" s="317" t="s">
        <v>2795</v>
      </c>
      <c r="BE139" s="317" t="s">
        <v>561</v>
      </c>
      <c r="BF139" s="317" t="s">
        <v>561</v>
      </c>
      <c r="BG139" s="317" t="s">
        <v>561</v>
      </c>
      <c r="BH139" s="317" t="s">
        <v>561</v>
      </c>
      <c r="BI139" s="317" t="s">
        <v>561</v>
      </c>
      <c r="BJ139" s="317" t="s">
        <v>561</v>
      </c>
      <c r="BK139" s="317" t="s">
        <v>561</v>
      </c>
      <c r="BL139" s="317" t="s">
        <v>2796</v>
      </c>
      <c r="BM139" s="317" t="s">
        <v>2796</v>
      </c>
      <c r="BN139" s="317" t="s">
        <v>561</v>
      </c>
      <c r="BO139" s="317" t="s">
        <v>2796</v>
      </c>
      <c r="BP139" s="317" t="s">
        <v>2806</v>
      </c>
      <c r="BQ139" s="317" t="s">
        <v>53</v>
      </c>
      <c r="BR139" s="317" t="s">
        <v>561</v>
      </c>
      <c r="BS139" s="317" t="s">
        <v>53</v>
      </c>
      <c r="BT139" s="317" t="s">
        <v>561</v>
      </c>
      <c r="BU139" s="317" t="s">
        <v>561</v>
      </c>
      <c r="BV139" s="317" t="s">
        <v>561</v>
      </c>
      <c r="BW139" s="317" t="s">
        <v>53</v>
      </c>
      <c r="BX139" s="317" t="s">
        <v>561</v>
      </c>
      <c r="BY139" s="317" t="s">
        <v>561</v>
      </c>
      <c r="BZ139" s="317" t="s">
        <v>561</v>
      </c>
      <c r="CA139" s="317" t="s">
        <v>53</v>
      </c>
      <c r="CB139" s="317" t="s">
        <v>561</v>
      </c>
      <c r="CC139" s="317" t="s">
        <v>561</v>
      </c>
      <c r="CD139" s="317" t="s">
        <v>561</v>
      </c>
      <c r="CE139" s="317" t="s">
        <v>561</v>
      </c>
      <c r="CF139" s="317" t="s">
        <v>53</v>
      </c>
      <c r="CG139" s="317" t="s">
        <v>561</v>
      </c>
      <c r="CH139" s="317" t="s">
        <v>561</v>
      </c>
      <c r="CI139" s="317" t="s">
        <v>561</v>
      </c>
      <c r="CJ139" s="317" t="s">
        <v>2806</v>
      </c>
      <c r="CK139" s="317" t="s">
        <v>561</v>
      </c>
      <c r="CL139" s="317" t="s">
        <v>561</v>
      </c>
      <c r="CM139" s="317" t="s">
        <v>561</v>
      </c>
      <c r="CN139" s="317" t="s">
        <v>561</v>
      </c>
      <c r="CO139" s="317" t="s">
        <v>561</v>
      </c>
      <c r="CP139" s="317" t="s">
        <v>561</v>
      </c>
      <c r="CQ139" s="319"/>
      <c r="CR139" s="319">
        <v>2013.0</v>
      </c>
      <c r="CS139" s="343" t="s">
        <v>1569</v>
      </c>
      <c r="CT139" s="334" t="s">
        <v>2030</v>
      </c>
      <c r="CU139" s="319" t="s">
        <v>2845</v>
      </c>
      <c r="CV139" s="332" t="s">
        <v>75</v>
      </c>
      <c r="CW139" s="319"/>
      <c r="CX139" s="319"/>
      <c r="CY139" s="323">
        <f t="shared" si="24"/>
        <v>0.172</v>
      </c>
      <c r="CZ139" s="324">
        <v>0.5710000000000001</v>
      </c>
      <c r="DA139" s="323">
        <v>0.39899999999999997</v>
      </c>
      <c r="DB139" s="323"/>
      <c r="DC139" s="323">
        <f t="shared" si="25"/>
        <v>0.119</v>
      </c>
      <c r="DD139" s="324">
        <v>0.516</v>
      </c>
      <c r="DE139" s="323">
        <v>0.397</v>
      </c>
      <c r="DF139" s="323"/>
      <c r="DG139" s="324">
        <v>0.752</v>
      </c>
      <c r="DH139" s="323">
        <v>0.07400000000000001</v>
      </c>
      <c r="DI139" s="323">
        <v>0.048</v>
      </c>
      <c r="DJ139" s="323">
        <v>0.066</v>
      </c>
      <c r="DK139" s="323">
        <v>0.049</v>
      </c>
      <c r="DL139" s="323">
        <v>0.013999999999999999</v>
      </c>
      <c r="DM139" s="323"/>
      <c r="DN139" s="323">
        <v>0.315</v>
      </c>
      <c r="DO139" s="323">
        <v>0.33399999999999996</v>
      </c>
      <c r="DP139" s="324">
        <v>0.539</v>
      </c>
    </row>
    <row r="140">
      <c r="A140" s="311" t="s">
        <v>207</v>
      </c>
      <c r="B140" s="311" t="s">
        <v>208</v>
      </c>
      <c r="C140" s="311" t="s">
        <v>1197</v>
      </c>
      <c r="D140" s="311">
        <v>25.0</v>
      </c>
      <c r="E140" s="312">
        <f t="shared" si="19"/>
        <v>0</v>
      </c>
      <c r="F140" s="312" t="str">
        <f t="shared" si="20"/>
        <v>#DIV/0!</v>
      </c>
      <c r="G140" s="312" t="str">
        <f t="shared" si="21"/>
        <v>#DIV/0!</v>
      </c>
      <c r="H140" s="312" t="str">
        <f t="shared" si="22"/>
        <v>#DIV/0!</v>
      </c>
      <c r="I140" s="312" t="str">
        <f t="shared" si="70"/>
        <v>#DIV/0!</v>
      </c>
      <c r="J140" s="312" t="str">
        <f t="shared" si="77"/>
        <v>#DIV/0!</v>
      </c>
      <c r="K140" s="312" t="str">
        <f t="shared" si="78"/>
        <v>#DIV/0!</v>
      </c>
      <c r="L140" s="316" t="str">
        <f t="shared" si="23"/>
        <v>#DIV/0!</v>
      </c>
      <c r="M140" s="317" t="s">
        <v>594</v>
      </c>
      <c r="N140" s="317" t="s">
        <v>594</v>
      </c>
      <c r="O140" s="317" t="s">
        <v>594</v>
      </c>
      <c r="P140" s="317" t="s">
        <v>594</v>
      </c>
      <c r="Q140" s="317" t="s">
        <v>594</v>
      </c>
      <c r="R140" s="317" t="s">
        <v>594</v>
      </c>
      <c r="S140" s="318" t="s">
        <v>561</v>
      </c>
      <c r="T140" s="318" t="s">
        <v>561</v>
      </c>
      <c r="U140" s="330" t="s">
        <v>561</v>
      </c>
      <c r="V140" s="330" t="s">
        <v>561</v>
      </c>
      <c r="W140" s="318" t="s">
        <v>2795</v>
      </c>
      <c r="X140" s="340" t="s">
        <v>561</v>
      </c>
      <c r="Y140" s="340" t="s">
        <v>2807</v>
      </c>
      <c r="Z140" s="317" t="s">
        <v>2795</v>
      </c>
      <c r="AA140" s="317" t="s">
        <v>561</v>
      </c>
      <c r="AB140" s="317" t="s">
        <v>53</v>
      </c>
      <c r="AC140" s="317" t="s">
        <v>2795</v>
      </c>
      <c r="AD140" s="317" t="s">
        <v>2795</v>
      </c>
      <c r="AE140" s="317" t="s">
        <v>561</v>
      </c>
      <c r="AF140" s="317" t="s">
        <v>561</v>
      </c>
      <c r="AG140" s="317" t="s">
        <v>561</v>
      </c>
      <c r="AH140" s="317" t="s">
        <v>561</v>
      </c>
      <c r="AI140" s="317" t="s">
        <v>561</v>
      </c>
      <c r="AJ140" s="317" t="s">
        <v>2795</v>
      </c>
      <c r="AK140" s="317" t="s">
        <v>2807</v>
      </c>
      <c r="AL140" s="317" t="s">
        <v>2807</v>
      </c>
      <c r="AM140" s="317" t="s">
        <v>2795</v>
      </c>
      <c r="AN140" s="317" t="s">
        <v>2795</v>
      </c>
      <c r="AO140" s="317" t="s">
        <v>2807</v>
      </c>
      <c r="AP140" s="317" t="s">
        <v>561</v>
      </c>
      <c r="AQ140" s="317" t="s">
        <v>561</v>
      </c>
      <c r="AR140" s="317" t="s">
        <v>561</v>
      </c>
      <c r="AS140" s="317" t="s">
        <v>2795</v>
      </c>
      <c r="AT140" s="317" t="s">
        <v>561</v>
      </c>
      <c r="AU140" s="317" t="s">
        <v>561</v>
      </c>
      <c r="AV140" s="317" t="s">
        <v>2807</v>
      </c>
      <c r="AW140" s="317" t="s">
        <v>561</v>
      </c>
      <c r="AX140" s="317" t="s">
        <v>561</v>
      </c>
      <c r="AY140" s="317" t="s">
        <v>561</v>
      </c>
      <c r="AZ140" s="317" t="s">
        <v>561</v>
      </c>
      <c r="BA140" s="317" t="s">
        <v>2796</v>
      </c>
      <c r="BB140" s="317" t="s">
        <v>561</v>
      </c>
      <c r="BC140" s="317" t="s">
        <v>2806</v>
      </c>
      <c r="BD140" s="317" t="s">
        <v>2795</v>
      </c>
      <c r="BE140" s="317" t="s">
        <v>561</v>
      </c>
      <c r="BF140" s="317" t="s">
        <v>561</v>
      </c>
      <c r="BG140" s="317" t="s">
        <v>561</v>
      </c>
      <c r="BH140" s="317" t="s">
        <v>561</v>
      </c>
      <c r="BI140" s="317" t="s">
        <v>561</v>
      </c>
      <c r="BJ140" s="317" t="s">
        <v>561</v>
      </c>
      <c r="BK140" s="317" t="s">
        <v>561</v>
      </c>
      <c r="BL140" s="317" t="s">
        <v>2796</v>
      </c>
      <c r="BM140" s="317" t="s">
        <v>2796</v>
      </c>
      <c r="BN140" s="317" t="s">
        <v>561</v>
      </c>
      <c r="BO140" s="317" t="s">
        <v>2796</v>
      </c>
      <c r="BP140" s="317" t="s">
        <v>2806</v>
      </c>
      <c r="BQ140" s="317" t="s">
        <v>561</v>
      </c>
      <c r="BR140" s="317" t="s">
        <v>561</v>
      </c>
      <c r="BS140" s="317" t="s">
        <v>561</v>
      </c>
      <c r="BT140" s="317" t="s">
        <v>561</v>
      </c>
      <c r="BU140" s="317" t="s">
        <v>53</v>
      </c>
      <c r="BV140" s="317" t="s">
        <v>561</v>
      </c>
      <c r="BW140" s="317" t="s">
        <v>53</v>
      </c>
      <c r="BX140" s="317" t="s">
        <v>561</v>
      </c>
      <c r="BY140" s="317" t="s">
        <v>53</v>
      </c>
      <c r="BZ140" s="317" t="s">
        <v>561</v>
      </c>
      <c r="CA140" s="317" t="s">
        <v>53</v>
      </c>
      <c r="CB140" s="317" t="s">
        <v>561</v>
      </c>
      <c r="CC140" s="317" t="s">
        <v>561</v>
      </c>
      <c r="CD140" s="317" t="s">
        <v>561</v>
      </c>
      <c r="CE140" s="317" t="s">
        <v>561</v>
      </c>
      <c r="CF140" s="317" t="s">
        <v>53</v>
      </c>
      <c r="CG140" s="317" t="s">
        <v>561</v>
      </c>
      <c r="CH140" s="317" t="s">
        <v>561</v>
      </c>
      <c r="CI140" s="317" t="s">
        <v>561</v>
      </c>
      <c r="CJ140" s="317" t="s">
        <v>2806</v>
      </c>
      <c r="CK140" s="317" t="s">
        <v>561</v>
      </c>
      <c r="CL140" s="317" t="s">
        <v>561</v>
      </c>
      <c r="CM140" s="317" t="s">
        <v>561</v>
      </c>
      <c r="CN140" s="317" t="s">
        <v>561</v>
      </c>
      <c r="CO140" s="317" t="s">
        <v>561</v>
      </c>
      <c r="CP140" s="317" t="s">
        <v>561</v>
      </c>
      <c r="CQ140" s="319"/>
      <c r="CR140" s="319">
        <v>2013.0</v>
      </c>
      <c r="CS140" s="343" t="s">
        <v>1569</v>
      </c>
      <c r="CT140" s="334" t="s">
        <v>122</v>
      </c>
      <c r="CU140" s="319" t="s">
        <v>23</v>
      </c>
      <c r="CV140" s="320" t="s">
        <v>83</v>
      </c>
      <c r="CW140" s="319"/>
      <c r="CX140" s="319"/>
      <c r="CY140" s="323">
        <f t="shared" si="24"/>
        <v>0.153</v>
      </c>
      <c r="CZ140" s="324">
        <v>0.5670000000000001</v>
      </c>
      <c r="DA140" s="323">
        <v>0.414</v>
      </c>
      <c r="DB140" s="323"/>
      <c r="DC140" s="323">
        <f t="shared" si="25"/>
        <v>0.174</v>
      </c>
      <c r="DD140" s="324">
        <v>0.563</v>
      </c>
      <c r="DE140" s="323">
        <v>0.389</v>
      </c>
      <c r="DF140" s="323"/>
      <c r="DG140" s="323">
        <v>0.284</v>
      </c>
      <c r="DH140" s="324">
        <v>0.604</v>
      </c>
      <c r="DI140" s="323">
        <v>0.055999999999999994</v>
      </c>
      <c r="DJ140" s="323">
        <v>0.042</v>
      </c>
      <c r="DK140" s="323">
        <v>0.043</v>
      </c>
      <c r="DL140" s="323">
        <v>0.004</v>
      </c>
      <c r="DM140" s="323"/>
      <c r="DN140" s="323">
        <v>0.159</v>
      </c>
      <c r="DO140" s="323">
        <v>0.24100000000000002</v>
      </c>
      <c r="DP140" s="323">
        <v>0.26899999999999996</v>
      </c>
    </row>
    <row r="141">
      <c r="A141" s="311" t="s">
        <v>541</v>
      </c>
      <c r="B141" s="311" t="s">
        <v>348</v>
      </c>
      <c r="C141" s="311" t="s">
        <v>910</v>
      </c>
      <c r="D141" s="311">
        <v>13.0</v>
      </c>
      <c r="E141" s="312">
        <f t="shared" si="19"/>
        <v>0</v>
      </c>
      <c r="F141" s="312" t="str">
        <f t="shared" si="20"/>
        <v>#DIV/0!</v>
      </c>
      <c r="G141" s="312" t="str">
        <f t="shared" si="21"/>
        <v>#DIV/0!</v>
      </c>
      <c r="H141" s="312" t="str">
        <f t="shared" si="22"/>
        <v>#DIV/0!</v>
      </c>
      <c r="I141" s="312" t="str">
        <f t="shared" si="70"/>
        <v>#DIV/0!</v>
      </c>
      <c r="J141" s="312" t="str">
        <f t="shared" si="77"/>
        <v>#DIV/0!</v>
      </c>
      <c r="K141" s="312" t="str">
        <f t="shared" si="78"/>
        <v>#DIV/0!</v>
      </c>
      <c r="L141" s="316" t="str">
        <f t="shared" si="23"/>
        <v>#DIV/0!</v>
      </c>
      <c r="M141" s="317" t="s">
        <v>594</v>
      </c>
      <c r="N141" s="317" t="s">
        <v>594</v>
      </c>
      <c r="O141" s="317" t="s">
        <v>594</v>
      </c>
      <c r="P141" s="317" t="s">
        <v>594</v>
      </c>
      <c r="Q141" s="317" t="s">
        <v>594</v>
      </c>
      <c r="R141" s="317" t="s">
        <v>594</v>
      </c>
      <c r="S141" s="318" t="s">
        <v>561</v>
      </c>
      <c r="T141" s="318" t="s">
        <v>561</v>
      </c>
      <c r="U141" s="330" t="s">
        <v>561</v>
      </c>
      <c r="V141" s="330" t="s">
        <v>561</v>
      </c>
      <c r="W141" s="318" t="s">
        <v>2795</v>
      </c>
      <c r="X141" s="340" t="s">
        <v>561</v>
      </c>
      <c r="Y141" s="340" t="s">
        <v>2807</v>
      </c>
      <c r="Z141" s="317" t="s">
        <v>2795</v>
      </c>
      <c r="AA141" s="317" t="s">
        <v>561</v>
      </c>
      <c r="AB141" s="317" t="s">
        <v>53</v>
      </c>
      <c r="AC141" s="317" t="s">
        <v>2795</v>
      </c>
      <c r="AD141" s="317" t="s">
        <v>2795</v>
      </c>
      <c r="AE141" s="317" t="s">
        <v>561</v>
      </c>
      <c r="AF141" s="317" t="s">
        <v>561</v>
      </c>
      <c r="AG141" s="317" t="s">
        <v>561</v>
      </c>
      <c r="AH141" s="317" t="s">
        <v>561</v>
      </c>
      <c r="AI141" s="317" t="s">
        <v>561</v>
      </c>
      <c r="AJ141" s="317" t="s">
        <v>2807</v>
      </c>
      <c r="AK141" s="317" t="s">
        <v>2807</v>
      </c>
      <c r="AL141" s="317" t="s">
        <v>2795</v>
      </c>
      <c r="AM141" s="317" t="s">
        <v>2807</v>
      </c>
      <c r="AN141" s="317" t="s">
        <v>2795</v>
      </c>
      <c r="AO141" s="317" t="s">
        <v>2807</v>
      </c>
      <c r="AP141" s="317" t="s">
        <v>561</v>
      </c>
      <c r="AQ141" s="317" t="s">
        <v>801</v>
      </c>
      <c r="AR141" s="317" t="s">
        <v>561</v>
      </c>
      <c r="AS141" s="317" t="s">
        <v>2807</v>
      </c>
      <c r="AT141" s="317" t="s">
        <v>561</v>
      </c>
      <c r="AU141" s="317" t="s">
        <v>561</v>
      </c>
      <c r="AV141" s="317" t="s">
        <v>2795</v>
      </c>
      <c r="AW141" s="317" t="s">
        <v>561</v>
      </c>
      <c r="AX141" s="317" t="s">
        <v>561</v>
      </c>
      <c r="AY141" s="317" t="s">
        <v>561</v>
      </c>
      <c r="AZ141" s="317" t="s">
        <v>561</v>
      </c>
      <c r="BA141" s="317" t="s">
        <v>2806</v>
      </c>
      <c r="BB141" s="317" t="s">
        <v>561</v>
      </c>
      <c r="BC141" s="317" t="s">
        <v>2806</v>
      </c>
      <c r="BD141" s="317" t="s">
        <v>2795</v>
      </c>
      <c r="BE141" s="317" t="s">
        <v>561</v>
      </c>
      <c r="BF141" s="317" t="s">
        <v>561</v>
      </c>
      <c r="BG141" s="317" t="s">
        <v>561</v>
      </c>
      <c r="BH141" s="317" t="s">
        <v>561</v>
      </c>
      <c r="BI141" s="317" t="s">
        <v>561</v>
      </c>
      <c r="BJ141" s="317" t="s">
        <v>53</v>
      </c>
      <c r="BK141" s="317" t="s">
        <v>561</v>
      </c>
      <c r="BL141" s="317" t="s">
        <v>2806</v>
      </c>
      <c r="BM141" s="317" t="s">
        <v>2796</v>
      </c>
      <c r="BN141" s="317" t="s">
        <v>561</v>
      </c>
      <c r="BO141" s="317" t="s">
        <v>2796</v>
      </c>
      <c r="BP141" s="317" t="s">
        <v>2806</v>
      </c>
      <c r="BQ141" s="317" t="s">
        <v>53</v>
      </c>
      <c r="BR141" s="317" t="s">
        <v>561</v>
      </c>
      <c r="BS141" s="317" t="s">
        <v>53</v>
      </c>
      <c r="BT141" s="317" t="s">
        <v>561</v>
      </c>
      <c r="BU141" s="317" t="s">
        <v>53</v>
      </c>
      <c r="BV141" s="317" t="s">
        <v>561</v>
      </c>
      <c r="BW141" s="317" t="s">
        <v>561</v>
      </c>
      <c r="BX141" s="317" t="s">
        <v>561</v>
      </c>
      <c r="BY141" s="317" t="s">
        <v>801</v>
      </c>
      <c r="BZ141" s="317" t="s">
        <v>561</v>
      </c>
      <c r="CA141" s="317" t="s">
        <v>53</v>
      </c>
      <c r="CB141" s="317" t="s">
        <v>53</v>
      </c>
      <c r="CC141" s="317" t="s">
        <v>561</v>
      </c>
      <c r="CD141" s="317" t="s">
        <v>561</v>
      </c>
      <c r="CE141" s="317" t="s">
        <v>561</v>
      </c>
      <c r="CF141" s="317" t="s">
        <v>53</v>
      </c>
      <c r="CG141" s="317" t="s">
        <v>561</v>
      </c>
      <c r="CH141" s="317" t="s">
        <v>561</v>
      </c>
      <c r="CI141" s="317" t="s">
        <v>561</v>
      </c>
      <c r="CJ141" s="317" t="s">
        <v>2806</v>
      </c>
      <c r="CK141" s="317" t="s">
        <v>561</v>
      </c>
      <c r="CL141" s="317" t="s">
        <v>561</v>
      </c>
      <c r="CM141" s="317" t="s">
        <v>561</v>
      </c>
      <c r="CN141" s="317" t="s">
        <v>561</v>
      </c>
      <c r="CO141" s="317" t="s">
        <v>561</v>
      </c>
      <c r="CP141" s="317" t="s">
        <v>561</v>
      </c>
      <c r="CQ141" s="319"/>
      <c r="CR141" s="319">
        <v>2003.0</v>
      </c>
      <c r="CS141" s="334" t="s">
        <v>2665</v>
      </c>
      <c r="CT141" s="334" t="s">
        <v>2030</v>
      </c>
      <c r="CU141" s="326" t="s">
        <v>2476</v>
      </c>
      <c r="CV141" s="327" t="s">
        <v>28</v>
      </c>
      <c r="CW141" s="319"/>
      <c r="CX141" s="319"/>
      <c r="CY141" s="323">
        <f t="shared" si="24"/>
        <v>0.604</v>
      </c>
      <c r="CZ141" s="324">
        <v>0.797</v>
      </c>
      <c r="DA141" s="323">
        <v>0.193</v>
      </c>
      <c r="DB141" s="323"/>
      <c r="DC141" s="323">
        <f t="shared" si="25"/>
        <v>0.546</v>
      </c>
      <c r="DD141" s="324">
        <v>0.762</v>
      </c>
      <c r="DE141" s="323">
        <v>0.21600000000000003</v>
      </c>
      <c r="DF141" s="323"/>
      <c r="DG141" s="323">
        <v>0.188</v>
      </c>
      <c r="DH141" s="323">
        <v>0.105</v>
      </c>
      <c r="DI141" s="324">
        <v>0.667</v>
      </c>
      <c r="DJ141" s="323">
        <v>0.038</v>
      </c>
      <c r="DK141" s="323">
        <v>0.017</v>
      </c>
      <c r="DL141" s="323">
        <v>0.001</v>
      </c>
      <c r="DM141" s="323"/>
      <c r="DN141" s="323">
        <v>0.28600000000000003</v>
      </c>
      <c r="DO141" s="323">
        <v>0.282</v>
      </c>
      <c r="DP141" s="323">
        <v>0.16699999999999998</v>
      </c>
    </row>
    <row r="142">
      <c r="A142" s="311" t="s">
        <v>215</v>
      </c>
      <c r="B142" s="311" t="s">
        <v>216</v>
      </c>
      <c r="C142" s="311" t="s">
        <v>1197</v>
      </c>
      <c r="D142" s="311">
        <v>26.0</v>
      </c>
      <c r="E142" s="312">
        <f t="shared" si="19"/>
        <v>0.1666666667</v>
      </c>
      <c r="F142" s="312" t="str">
        <f t="shared" si="20"/>
        <v>#DIV/0!</v>
      </c>
      <c r="G142" s="312" t="str">
        <f t="shared" si="21"/>
        <v>#DIV/0!</v>
      </c>
      <c r="H142" s="312" t="str">
        <f t="shared" si="22"/>
        <v>#DIV/0!</v>
      </c>
      <c r="I142" s="312" t="str">
        <f t="shared" si="70"/>
        <v>#DIV/0!</v>
      </c>
      <c r="J142" s="312" t="str">
        <f t="shared" si="77"/>
        <v>#DIV/0!</v>
      </c>
      <c r="K142" s="312" t="str">
        <f t="shared" si="78"/>
        <v>#DIV/0!</v>
      </c>
      <c r="L142" s="316" t="str">
        <f t="shared" si="23"/>
        <v>#DIV/0!</v>
      </c>
      <c r="M142" s="317" t="s">
        <v>594</v>
      </c>
      <c r="N142" s="317" t="s">
        <v>594</v>
      </c>
      <c r="O142" s="317" t="s">
        <v>487</v>
      </c>
      <c r="P142" s="317" t="s">
        <v>594</v>
      </c>
      <c r="Q142" s="317" t="s">
        <v>594</v>
      </c>
      <c r="R142" s="317" t="s">
        <v>594</v>
      </c>
      <c r="S142" s="318" t="s">
        <v>561</v>
      </c>
      <c r="T142" s="318" t="s">
        <v>561</v>
      </c>
      <c r="U142" s="330" t="s">
        <v>561</v>
      </c>
      <c r="V142" s="330" t="s">
        <v>561</v>
      </c>
      <c r="W142" s="318" t="s">
        <v>2795</v>
      </c>
      <c r="X142" s="340" t="s">
        <v>561</v>
      </c>
      <c r="Y142" s="340" t="s">
        <v>2807</v>
      </c>
      <c r="Z142" s="317" t="s">
        <v>2795</v>
      </c>
      <c r="AA142" s="317" t="s">
        <v>561</v>
      </c>
      <c r="AB142" s="317" t="s">
        <v>561</v>
      </c>
      <c r="AC142" s="317" t="s">
        <v>2795</v>
      </c>
      <c r="AD142" s="317" t="s">
        <v>2795</v>
      </c>
      <c r="AE142" s="317" t="s">
        <v>561</v>
      </c>
      <c r="AF142" s="317" t="s">
        <v>561</v>
      </c>
      <c r="AG142" s="317" t="s">
        <v>561</v>
      </c>
      <c r="AH142" s="317" t="s">
        <v>561</v>
      </c>
      <c r="AI142" s="317" t="s">
        <v>561</v>
      </c>
      <c r="AJ142" s="317" t="s">
        <v>2807</v>
      </c>
      <c r="AK142" s="317" t="s">
        <v>2807</v>
      </c>
      <c r="AL142" s="317" t="s">
        <v>2795</v>
      </c>
      <c r="AM142" s="317" t="s">
        <v>2807</v>
      </c>
      <c r="AN142" s="317" t="s">
        <v>2795</v>
      </c>
      <c r="AO142" s="317" t="s">
        <v>2807</v>
      </c>
      <c r="AP142" s="317" t="s">
        <v>561</v>
      </c>
      <c r="AQ142" s="317" t="s">
        <v>561</v>
      </c>
      <c r="AR142" s="317" t="s">
        <v>561</v>
      </c>
      <c r="AS142" s="317" t="s">
        <v>2807</v>
      </c>
      <c r="AT142" s="317" t="s">
        <v>561</v>
      </c>
      <c r="AU142" s="317" t="s">
        <v>561</v>
      </c>
      <c r="AV142" s="317" t="s">
        <v>2807</v>
      </c>
      <c r="AW142" s="317" t="s">
        <v>561</v>
      </c>
      <c r="AX142" s="317" t="s">
        <v>561</v>
      </c>
      <c r="AY142" s="317" t="s">
        <v>561</v>
      </c>
      <c r="AZ142" s="317" t="s">
        <v>561</v>
      </c>
      <c r="BA142" s="317" t="s">
        <v>2806</v>
      </c>
      <c r="BB142" s="317" t="s">
        <v>561</v>
      </c>
      <c r="BC142" s="317" t="s">
        <v>2806</v>
      </c>
      <c r="BD142" s="317" t="s">
        <v>2795</v>
      </c>
      <c r="BE142" s="317" t="s">
        <v>801</v>
      </c>
      <c r="BF142" s="317" t="s">
        <v>561</v>
      </c>
      <c r="BG142" s="317" t="s">
        <v>561</v>
      </c>
      <c r="BH142" s="317" t="s">
        <v>561</v>
      </c>
      <c r="BI142" s="317" t="s">
        <v>561</v>
      </c>
      <c r="BJ142" s="317" t="s">
        <v>561</v>
      </c>
      <c r="BK142" s="317" t="s">
        <v>561</v>
      </c>
      <c r="BL142" s="317" t="s">
        <v>2796</v>
      </c>
      <c r="BM142" s="317" t="s">
        <v>2796</v>
      </c>
      <c r="BN142" s="317" t="s">
        <v>561</v>
      </c>
      <c r="BO142" s="317" t="s">
        <v>2796</v>
      </c>
      <c r="BP142" s="317" t="s">
        <v>2806</v>
      </c>
      <c r="BQ142" s="317" t="s">
        <v>561</v>
      </c>
      <c r="BR142" s="317" t="s">
        <v>561</v>
      </c>
      <c r="BS142" s="317" t="s">
        <v>53</v>
      </c>
      <c r="BT142" s="317" t="s">
        <v>561</v>
      </c>
      <c r="BU142" s="317" t="s">
        <v>561</v>
      </c>
      <c r="BV142" s="317" t="s">
        <v>561</v>
      </c>
      <c r="BW142" s="317" t="s">
        <v>53</v>
      </c>
      <c r="BX142" s="317" t="s">
        <v>561</v>
      </c>
      <c r="BY142" s="317" t="s">
        <v>561</v>
      </c>
      <c r="BZ142" s="317" t="s">
        <v>561</v>
      </c>
      <c r="CA142" s="317" t="s">
        <v>53</v>
      </c>
      <c r="CB142" s="317" t="s">
        <v>561</v>
      </c>
      <c r="CC142" s="317" t="s">
        <v>561</v>
      </c>
      <c r="CD142" s="317" t="s">
        <v>561</v>
      </c>
      <c r="CE142" s="317" t="s">
        <v>561</v>
      </c>
      <c r="CF142" s="317" t="s">
        <v>53</v>
      </c>
      <c r="CG142" s="317" t="s">
        <v>561</v>
      </c>
      <c r="CH142" s="317" t="s">
        <v>561</v>
      </c>
      <c r="CI142" s="317" t="s">
        <v>561</v>
      </c>
      <c r="CJ142" s="317" t="s">
        <v>2806</v>
      </c>
      <c r="CK142" s="317" t="s">
        <v>561</v>
      </c>
      <c r="CL142" s="317" t="s">
        <v>561</v>
      </c>
      <c r="CM142" s="317" t="s">
        <v>561</v>
      </c>
      <c r="CN142" s="317" t="s">
        <v>561</v>
      </c>
      <c r="CO142" s="317" t="s">
        <v>561</v>
      </c>
      <c r="CP142" s="317" t="s">
        <v>561</v>
      </c>
      <c r="CQ142" s="319"/>
      <c r="CR142" s="319">
        <v>2013.0</v>
      </c>
      <c r="CS142" s="343" t="s">
        <v>1569</v>
      </c>
      <c r="CT142" s="334" t="s">
        <v>122</v>
      </c>
      <c r="CU142" s="319" t="s">
        <v>1822</v>
      </c>
      <c r="CV142" s="332" t="s">
        <v>75</v>
      </c>
      <c r="CW142" s="319"/>
      <c r="CX142" s="319"/>
      <c r="CY142" s="323">
        <f t="shared" si="24"/>
        <v>0.199</v>
      </c>
      <c r="CZ142" s="324">
        <v>0.589</v>
      </c>
      <c r="DA142" s="323">
        <v>0.39</v>
      </c>
      <c r="DB142" s="323"/>
      <c r="DC142" s="323">
        <f t="shared" si="25"/>
        <v>0.173</v>
      </c>
      <c r="DD142" s="324">
        <v>0.557</v>
      </c>
      <c r="DE142" s="323">
        <v>0.384</v>
      </c>
      <c r="DF142" s="323"/>
      <c r="DG142" s="324">
        <v>0.462</v>
      </c>
      <c r="DH142" s="323">
        <v>0.391</v>
      </c>
      <c r="DI142" s="323">
        <v>0.027000000000000003</v>
      </c>
      <c r="DJ142" s="323">
        <v>0.106</v>
      </c>
      <c r="DK142" s="323">
        <v>0.034</v>
      </c>
      <c r="DL142" s="323">
        <v>0.005</v>
      </c>
      <c r="DM142" s="323"/>
      <c r="DN142" s="323">
        <v>0.354</v>
      </c>
      <c r="DO142" s="323">
        <v>0.46299999999999997</v>
      </c>
      <c r="DP142" s="323">
        <v>0.29600000000000004</v>
      </c>
    </row>
    <row r="143">
      <c r="A143" s="311" t="s">
        <v>889</v>
      </c>
      <c r="B143" s="311" t="s">
        <v>890</v>
      </c>
      <c r="C143" s="311" t="s">
        <v>1637</v>
      </c>
      <c r="D143" s="311">
        <v>4.0</v>
      </c>
      <c r="E143" s="312">
        <f t="shared" si="19"/>
        <v>0</v>
      </c>
      <c r="F143" s="312" t="str">
        <f t="shared" si="20"/>
        <v>#DIV/0!</v>
      </c>
      <c r="G143" s="312" t="str">
        <f t="shared" si="21"/>
        <v>#DIV/0!</v>
      </c>
      <c r="H143" s="312" t="str">
        <f t="shared" si="22"/>
        <v>#DIV/0!</v>
      </c>
      <c r="I143" s="312" t="str">
        <f t="shared" si="70"/>
        <v>#DIV/0!</v>
      </c>
      <c r="J143" s="315" t="s">
        <v>2794</v>
      </c>
      <c r="K143" s="315" t="s">
        <v>2794</v>
      </c>
      <c r="L143" s="316" t="str">
        <f t="shared" si="23"/>
        <v>#DIV/0!</v>
      </c>
      <c r="M143" s="317" t="s">
        <v>594</v>
      </c>
      <c r="N143" s="317" t="s">
        <v>594</v>
      </c>
      <c r="O143" s="317" t="s">
        <v>594</v>
      </c>
      <c r="P143" s="317" t="s">
        <v>594</v>
      </c>
      <c r="Q143" s="317" t="s">
        <v>594</v>
      </c>
      <c r="R143" s="317" t="s">
        <v>594</v>
      </c>
      <c r="S143" s="318" t="s">
        <v>561</v>
      </c>
      <c r="T143" s="318" t="s">
        <v>561</v>
      </c>
      <c r="U143" s="330" t="s">
        <v>561</v>
      </c>
      <c r="V143" s="330" t="s">
        <v>561</v>
      </c>
      <c r="W143" s="340" t="s">
        <v>2807</v>
      </c>
      <c r="X143" s="340" t="s">
        <v>561</v>
      </c>
      <c r="Y143" s="340" t="s">
        <v>2807</v>
      </c>
      <c r="Z143" s="317" t="s">
        <v>2795</v>
      </c>
      <c r="AA143" s="317" t="s">
        <v>561</v>
      </c>
      <c r="AB143" s="317" t="s">
        <v>53</v>
      </c>
      <c r="AC143" s="317" t="s">
        <v>2795</v>
      </c>
      <c r="AD143" s="317" t="s">
        <v>2795</v>
      </c>
      <c r="AE143" s="317" t="s">
        <v>561</v>
      </c>
      <c r="AF143" s="317" t="s">
        <v>561</v>
      </c>
      <c r="AG143" s="317" t="s">
        <v>561</v>
      </c>
      <c r="AH143" s="317" t="s">
        <v>561</v>
      </c>
      <c r="AI143" s="317" t="s">
        <v>561</v>
      </c>
      <c r="AJ143" s="317" t="s">
        <v>2807</v>
      </c>
      <c r="AK143" s="317" t="s">
        <v>2807</v>
      </c>
      <c r="AL143" s="317" t="s">
        <v>2807</v>
      </c>
      <c r="AM143" s="317" t="s">
        <v>2807</v>
      </c>
      <c r="AN143" s="317" t="s">
        <v>2795</v>
      </c>
      <c r="AO143" s="317" t="s">
        <v>2807</v>
      </c>
      <c r="AP143" s="317" t="s">
        <v>561</v>
      </c>
      <c r="AQ143" s="317" t="s">
        <v>561</v>
      </c>
      <c r="AR143" s="317" t="s">
        <v>561</v>
      </c>
      <c r="AS143" s="317" t="s">
        <v>2807</v>
      </c>
      <c r="AT143" s="317" t="s">
        <v>561</v>
      </c>
      <c r="AU143" s="317" t="s">
        <v>53</v>
      </c>
      <c r="AV143" s="317" t="s">
        <v>2807</v>
      </c>
      <c r="AW143" s="317" t="s">
        <v>561</v>
      </c>
      <c r="AX143" s="317" t="s">
        <v>561</v>
      </c>
      <c r="AY143" s="317" t="s">
        <v>561</v>
      </c>
      <c r="AZ143" s="317" t="s">
        <v>561</v>
      </c>
      <c r="BA143" s="317" t="s">
        <v>2796</v>
      </c>
      <c r="BB143" s="317" t="s">
        <v>561</v>
      </c>
      <c r="BC143" s="317" t="s">
        <v>2806</v>
      </c>
      <c r="BD143" s="317" t="s">
        <v>2795</v>
      </c>
      <c r="BE143" s="317" t="s">
        <v>561</v>
      </c>
      <c r="BF143" s="317" t="s">
        <v>561</v>
      </c>
      <c r="BG143" s="317" t="s">
        <v>561</v>
      </c>
      <c r="BH143" s="317" t="s">
        <v>561</v>
      </c>
      <c r="BI143" s="317" t="s">
        <v>561</v>
      </c>
      <c r="BJ143" s="317" t="s">
        <v>561</v>
      </c>
      <c r="BK143" s="317" t="s">
        <v>561</v>
      </c>
      <c r="BL143" s="317" t="s">
        <v>2806</v>
      </c>
      <c r="BM143" s="317" t="s">
        <v>2796</v>
      </c>
      <c r="BN143" s="317" t="s">
        <v>53</v>
      </c>
      <c r="BO143" s="317" t="s">
        <v>2796</v>
      </c>
      <c r="BP143" s="317" t="s">
        <v>2796</v>
      </c>
      <c r="BQ143" s="317" t="s">
        <v>600</v>
      </c>
      <c r="BR143" s="317" t="s">
        <v>600</v>
      </c>
      <c r="BS143" s="317" t="s">
        <v>600</v>
      </c>
      <c r="BT143" s="317" t="s">
        <v>600</v>
      </c>
      <c r="BU143" s="317" t="s">
        <v>600</v>
      </c>
      <c r="BV143" s="317" t="s">
        <v>600</v>
      </c>
      <c r="BW143" s="317" t="s">
        <v>600</v>
      </c>
      <c r="BX143" s="317" t="s">
        <v>600</v>
      </c>
      <c r="BY143" s="317" t="s">
        <v>600</v>
      </c>
      <c r="BZ143" s="317" t="s">
        <v>600</v>
      </c>
      <c r="CA143" s="317" t="s">
        <v>600</v>
      </c>
      <c r="CB143" s="317" t="s">
        <v>600</v>
      </c>
      <c r="CC143" s="317" t="s">
        <v>600</v>
      </c>
      <c r="CD143" s="317" t="s">
        <v>600</v>
      </c>
      <c r="CE143" s="317" t="s">
        <v>600</v>
      </c>
      <c r="CF143" s="317" t="s">
        <v>600</v>
      </c>
      <c r="CG143" s="317" t="s">
        <v>600</v>
      </c>
      <c r="CH143" s="317" t="s">
        <v>600</v>
      </c>
      <c r="CI143" s="317" t="s">
        <v>600</v>
      </c>
      <c r="CJ143" s="317" t="s">
        <v>600</v>
      </c>
      <c r="CK143" s="317" t="s">
        <v>600</v>
      </c>
      <c r="CL143" s="317" t="s">
        <v>600</v>
      </c>
      <c r="CM143" s="317" t="s">
        <v>600</v>
      </c>
      <c r="CN143" s="317" t="s">
        <v>600</v>
      </c>
      <c r="CO143" s="317" t="s">
        <v>600</v>
      </c>
      <c r="CP143" s="317" t="s">
        <v>600</v>
      </c>
      <c r="CQ143" s="319"/>
      <c r="CR143" s="319">
        <v>2019.0</v>
      </c>
      <c r="CS143" s="343" t="s">
        <v>1199</v>
      </c>
      <c r="CT143" s="334" t="s">
        <v>2030</v>
      </c>
      <c r="CU143" s="319" t="s">
        <v>23</v>
      </c>
      <c r="CV143" s="327" t="s">
        <v>892</v>
      </c>
      <c r="CW143" s="336"/>
      <c r="CX143" s="319"/>
      <c r="CY143" s="323">
        <f t="shared" si="24"/>
        <v>0.082</v>
      </c>
      <c r="CZ143" s="324">
        <v>0.53</v>
      </c>
      <c r="DA143" s="323">
        <v>0.44799999999999995</v>
      </c>
      <c r="DB143" s="323"/>
      <c r="DC143" s="323">
        <f t="shared" si="25"/>
        <v>0.105</v>
      </c>
      <c r="DD143" s="324">
        <v>0.523</v>
      </c>
      <c r="DE143" s="323">
        <v>0.418</v>
      </c>
      <c r="DF143" s="323"/>
      <c r="DG143" s="324">
        <v>0.41600000000000004</v>
      </c>
      <c r="DH143" s="323">
        <v>0.306</v>
      </c>
      <c r="DI143" s="323">
        <v>0.18</v>
      </c>
      <c r="DJ143" s="323">
        <v>0.079</v>
      </c>
      <c r="DK143" s="323">
        <v>0.032</v>
      </c>
      <c r="DL143" s="323">
        <v>0.015</v>
      </c>
      <c r="DM143" s="323"/>
      <c r="DN143" s="323">
        <v>0.193</v>
      </c>
      <c r="DO143" s="323">
        <v>0.243</v>
      </c>
      <c r="DP143" s="323">
        <v>0.373</v>
      </c>
    </row>
    <row r="144">
      <c r="A144" s="311" t="s">
        <v>1188</v>
      </c>
      <c r="B144" s="311" t="s">
        <v>1189</v>
      </c>
      <c r="C144" s="311" t="s">
        <v>1661</v>
      </c>
      <c r="D144" s="311">
        <v>8.0</v>
      </c>
      <c r="E144" s="312">
        <f t="shared" si="19"/>
        <v>0.1666666667</v>
      </c>
      <c r="F144" s="312" t="str">
        <f t="shared" si="20"/>
        <v>#DIV/0!</v>
      </c>
      <c r="G144" s="312" t="str">
        <f t="shared" si="21"/>
        <v>#DIV/0!</v>
      </c>
      <c r="H144" s="312" t="str">
        <f t="shared" si="22"/>
        <v>#DIV/0!</v>
      </c>
      <c r="I144" s="312" t="str">
        <f t="shared" si="70"/>
        <v>#DIV/0!</v>
      </c>
      <c r="J144" s="312" t="str">
        <f>(COUNTIF(BQ144:CL144, "Nay")+COUNTIF(BQ144:CL144, "Yea (Amend)")+(0.5*COUNTIF(BQ144:CL144, "Present")))/(COUNTIF(BQ144:CL144, "Nay")+COUNTIF(BQ144:CL144, "Yea (Amend)")+COUNTIF(BQ144:CL144, "Yea")+COUNTIF(BQ144:CL144, "Nay (Amend)")+COUNTIF(BQ144:CL144, "Present"))</f>
        <v>#DIV/0!</v>
      </c>
      <c r="K144" s="312" t="str">
        <f>(COUNTIF(CM144:CP144, "Nay")+COUNTIF(CM144:CP144, "Yea (Amend)")+(0.5*COUNTIF(CM144:CP144, "Present")))/(COUNTIF(CM144:CP144, "Nay")+COUNTIF(CM144:CP144, "Yea (Amend)")+COUNTIF(CM144:CP144, "Yea")+COUNTIF(CM144:CP144, "Nay (Amend)")+COUNTIF(CM144:CP144, "Present"))</f>
        <v>#DIV/0!</v>
      </c>
      <c r="L144" s="316" t="str">
        <f t="shared" si="23"/>
        <v>#DIV/0!</v>
      </c>
      <c r="M144" s="317" t="s">
        <v>487</v>
      </c>
      <c r="N144" s="317" t="s">
        <v>594</v>
      </c>
      <c r="O144" s="317" t="s">
        <v>594</v>
      </c>
      <c r="P144" s="317" t="s">
        <v>594</v>
      </c>
      <c r="Q144" s="317" t="s">
        <v>594</v>
      </c>
      <c r="R144" s="317" t="s">
        <v>594</v>
      </c>
      <c r="S144" s="318" t="s">
        <v>561</v>
      </c>
      <c r="T144" s="318" t="s">
        <v>561</v>
      </c>
      <c r="U144" s="330" t="s">
        <v>561</v>
      </c>
      <c r="V144" s="330" t="s">
        <v>561</v>
      </c>
      <c r="W144" s="340" t="s">
        <v>2807</v>
      </c>
      <c r="X144" s="340" t="s">
        <v>561</v>
      </c>
      <c r="Y144" s="340" t="s">
        <v>2807</v>
      </c>
      <c r="Z144" s="317" t="s">
        <v>2795</v>
      </c>
      <c r="AA144" s="317" t="s">
        <v>561</v>
      </c>
      <c r="AB144" s="317" t="s">
        <v>53</v>
      </c>
      <c r="AC144" s="317" t="s">
        <v>2807</v>
      </c>
      <c r="AD144" s="317" t="s">
        <v>2807</v>
      </c>
      <c r="AE144" s="317" t="s">
        <v>561</v>
      </c>
      <c r="AF144" s="317" t="s">
        <v>561</v>
      </c>
      <c r="AG144" s="317" t="s">
        <v>561</v>
      </c>
      <c r="AH144" s="317" t="s">
        <v>561</v>
      </c>
      <c r="AI144" s="317" t="s">
        <v>561</v>
      </c>
      <c r="AJ144" s="317" t="s">
        <v>2807</v>
      </c>
      <c r="AK144" s="317" t="s">
        <v>2807</v>
      </c>
      <c r="AL144" s="317" t="s">
        <v>2795</v>
      </c>
      <c r="AM144" s="317" t="s">
        <v>2807</v>
      </c>
      <c r="AN144" s="317" t="s">
        <v>2795</v>
      </c>
      <c r="AO144" s="317" t="s">
        <v>2795</v>
      </c>
      <c r="AP144" s="317" t="s">
        <v>561</v>
      </c>
      <c r="AQ144" s="317" t="s">
        <v>561</v>
      </c>
      <c r="AR144" s="317" t="s">
        <v>561</v>
      </c>
      <c r="AS144" s="317" t="s">
        <v>2795</v>
      </c>
      <c r="AT144" s="317" t="s">
        <v>561</v>
      </c>
      <c r="AU144" s="317" t="s">
        <v>561</v>
      </c>
      <c r="AV144" s="317" t="s">
        <v>2807</v>
      </c>
      <c r="AW144" s="317" t="s">
        <v>561</v>
      </c>
      <c r="AX144" s="317" t="s">
        <v>561</v>
      </c>
      <c r="AY144" s="317" t="s">
        <v>561</v>
      </c>
      <c r="AZ144" s="317" t="s">
        <v>561</v>
      </c>
      <c r="BA144" s="317" t="s">
        <v>2806</v>
      </c>
      <c r="BB144" s="317" t="s">
        <v>561</v>
      </c>
      <c r="BC144" s="317" t="s">
        <v>2806</v>
      </c>
      <c r="BD144" s="317" t="s">
        <v>2795</v>
      </c>
      <c r="BE144" s="317" t="s">
        <v>561</v>
      </c>
      <c r="BF144" s="317" t="s">
        <v>561</v>
      </c>
      <c r="BG144" s="317" t="s">
        <v>561</v>
      </c>
      <c r="BH144" s="317" t="s">
        <v>561</v>
      </c>
      <c r="BI144" s="317" t="s">
        <v>561</v>
      </c>
      <c r="BJ144" s="317" t="s">
        <v>561</v>
      </c>
      <c r="BK144" s="317" t="s">
        <v>561</v>
      </c>
      <c r="BL144" s="317" t="s">
        <v>2796</v>
      </c>
      <c r="BM144" s="317" t="s">
        <v>2806</v>
      </c>
      <c r="BN144" s="317" t="s">
        <v>561</v>
      </c>
      <c r="BO144" s="317" t="s">
        <v>2796</v>
      </c>
      <c r="BP144" s="317" t="s">
        <v>2806</v>
      </c>
      <c r="BQ144" s="317" t="s">
        <v>561</v>
      </c>
      <c r="BR144" s="317" t="s">
        <v>561</v>
      </c>
      <c r="BS144" s="317" t="s">
        <v>561</v>
      </c>
      <c r="BT144" s="317" t="s">
        <v>561</v>
      </c>
      <c r="BU144" s="317" t="s">
        <v>53</v>
      </c>
      <c r="BV144" s="317" t="s">
        <v>561</v>
      </c>
      <c r="BW144" s="317" t="s">
        <v>53</v>
      </c>
      <c r="BX144" s="317" t="s">
        <v>561</v>
      </c>
      <c r="BY144" s="317" t="s">
        <v>53</v>
      </c>
      <c r="BZ144" s="317" t="s">
        <v>561</v>
      </c>
      <c r="CA144" s="317" t="s">
        <v>53</v>
      </c>
      <c r="CB144" s="317" t="s">
        <v>561</v>
      </c>
      <c r="CC144" s="317" t="s">
        <v>561</v>
      </c>
      <c r="CD144" s="317" t="s">
        <v>561</v>
      </c>
      <c r="CE144" s="317" t="s">
        <v>561</v>
      </c>
      <c r="CF144" s="317" t="s">
        <v>53</v>
      </c>
      <c r="CG144" s="317" t="s">
        <v>561</v>
      </c>
      <c r="CH144" s="317" t="s">
        <v>561</v>
      </c>
      <c r="CI144" s="317" t="s">
        <v>561</v>
      </c>
      <c r="CJ144" s="317" t="s">
        <v>2806</v>
      </c>
      <c r="CK144" s="317" t="s">
        <v>561</v>
      </c>
      <c r="CL144" s="317" t="s">
        <v>561</v>
      </c>
      <c r="CM144" s="317" t="s">
        <v>561</v>
      </c>
      <c r="CN144" s="317" t="s">
        <v>561</v>
      </c>
      <c r="CO144" s="317" t="s">
        <v>53</v>
      </c>
      <c r="CP144" s="317" t="s">
        <v>561</v>
      </c>
      <c r="CQ144" s="319"/>
      <c r="CR144" s="319">
        <v>2013.0</v>
      </c>
      <c r="CS144" s="320" t="s">
        <v>850</v>
      </c>
      <c r="CT144" s="334" t="s">
        <v>122</v>
      </c>
      <c r="CU144" s="319" t="s">
        <v>23</v>
      </c>
      <c r="CV144" s="332" t="s">
        <v>75</v>
      </c>
      <c r="CW144" s="319"/>
      <c r="CX144" s="319"/>
      <c r="CY144" s="323">
        <f t="shared" si="24"/>
        <v>-0.029</v>
      </c>
      <c r="CZ144" s="323">
        <v>0.48</v>
      </c>
      <c r="DA144" s="324">
        <v>0.509</v>
      </c>
      <c r="DB144" s="324"/>
      <c r="DC144" s="323">
        <f t="shared" si="25"/>
        <v>-0.081</v>
      </c>
      <c r="DD144" s="323">
        <v>0.444</v>
      </c>
      <c r="DE144" s="324">
        <v>0.525</v>
      </c>
      <c r="DF144" s="324"/>
      <c r="DG144" s="324">
        <v>0.782</v>
      </c>
      <c r="DH144" s="323">
        <v>0.109</v>
      </c>
      <c r="DI144" s="323">
        <v>0.077</v>
      </c>
      <c r="DJ144" s="323">
        <v>0.024</v>
      </c>
      <c r="DK144" s="323">
        <v>0.013999999999999999</v>
      </c>
      <c r="DL144" s="323">
        <v>0.001</v>
      </c>
      <c r="DM144" s="323"/>
      <c r="DN144" s="323">
        <v>0.255</v>
      </c>
      <c r="DO144" s="323">
        <v>0.265</v>
      </c>
      <c r="DP144" s="324">
        <v>0.613</v>
      </c>
    </row>
    <row r="145">
      <c r="A145" s="311" t="s">
        <v>601</v>
      </c>
      <c r="B145" s="311" t="s">
        <v>602</v>
      </c>
      <c r="C145" s="311" t="s">
        <v>848</v>
      </c>
      <c r="D145" s="311">
        <v>6.0</v>
      </c>
      <c r="E145" s="312">
        <f t="shared" si="19"/>
        <v>0</v>
      </c>
      <c r="F145" s="312" t="str">
        <f t="shared" si="20"/>
        <v>#DIV/0!</v>
      </c>
      <c r="G145" s="312" t="str">
        <f t="shared" si="21"/>
        <v>#DIV/0!</v>
      </c>
      <c r="H145" s="312" t="str">
        <f t="shared" si="22"/>
        <v>#DIV/0!</v>
      </c>
      <c r="I145" s="312" t="str">
        <f t="shared" si="70"/>
        <v>#DIV/0!</v>
      </c>
      <c r="J145" s="315" t="s">
        <v>2794</v>
      </c>
      <c r="K145" s="315" t="s">
        <v>2794</v>
      </c>
      <c r="L145" s="316" t="str">
        <f t="shared" si="23"/>
        <v>#DIV/0!</v>
      </c>
      <c r="M145" s="317" t="s">
        <v>594</v>
      </c>
      <c r="N145" s="317" t="s">
        <v>594</v>
      </c>
      <c r="O145" s="317" t="s">
        <v>594</v>
      </c>
      <c r="P145" s="317" t="s">
        <v>594</v>
      </c>
      <c r="Q145" s="317" t="s">
        <v>594</v>
      </c>
      <c r="R145" s="317" t="s">
        <v>594</v>
      </c>
      <c r="S145" s="318" t="s">
        <v>561</v>
      </c>
      <c r="T145" s="318" t="s">
        <v>561</v>
      </c>
      <c r="U145" s="330" t="s">
        <v>561</v>
      </c>
      <c r="V145" s="330" t="s">
        <v>561</v>
      </c>
      <c r="W145" s="318" t="s">
        <v>2795</v>
      </c>
      <c r="X145" s="340" t="s">
        <v>561</v>
      </c>
      <c r="Y145" s="340" t="s">
        <v>2807</v>
      </c>
      <c r="Z145" s="317" t="s">
        <v>2795</v>
      </c>
      <c r="AA145" s="317" t="s">
        <v>561</v>
      </c>
      <c r="AB145" s="317" t="s">
        <v>53</v>
      </c>
      <c r="AC145" s="317" t="s">
        <v>2795</v>
      </c>
      <c r="AD145" s="317" t="s">
        <v>2795</v>
      </c>
      <c r="AE145" s="317" t="s">
        <v>561</v>
      </c>
      <c r="AF145" s="317" t="s">
        <v>561</v>
      </c>
      <c r="AG145" s="317" t="s">
        <v>561</v>
      </c>
      <c r="AH145" s="317" t="s">
        <v>561</v>
      </c>
      <c r="AI145" s="317" t="s">
        <v>561</v>
      </c>
      <c r="AJ145" s="317" t="s">
        <v>2795</v>
      </c>
      <c r="AK145" s="317" t="s">
        <v>2807</v>
      </c>
      <c r="AL145" s="317" t="s">
        <v>2795</v>
      </c>
      <c r="AM145" s="317" t="s">
        <v>2795</v>
      </c>
      <c r="AN145" s="317" t="s">
        <v>2795</v>
      </c>
      <c r="AO145" s="317" t="s">
        <v>2807</v>
      </c>
      <c r="AP145" s="317" t="s">
        <v>561</v>
      </c>
      <c r="AQ145" s="317" t="s">
        <v>561</v>
      </c>
      <c r="AR145" s="317" t="s">
        <v>561</v>
      </c>
      <c r="AS145" s="317" t="s">
        <v>2807</v>
      </c>
      <c r="AT145" s="317" t="s">
        <v>561</v>
      </c>
      <c r="AU145" s="317" t="s">
        <v>561</v>
      </c>
      <c r="AV145" s="317" t="s">
        <v>2795</v>
      </c>
      <c r="AW145" s="317" t="s">
        <v>561</v>
      </c>
      <c r="AX145" s="317" t="s">
        <v>561</v>
      </c>
      <c r="AY145" s="317" t="s">
        <v>561</v>
      </c>
      <c r="AZ145" s="317" t="s">
        <v>561</v>
      </c>
      <c r="BA145" s="317" t="s">
        <v>2806</v>
      </c>
      <c r="BB145" s="317" t="s">
        <v>561</v>
      </c>
      <c r="BC145" s="317" t="s">
        <v>2806</v>
      </c>
      <c r="BD145" s="317" t="s">
        <v>2795</v>
      </c>
      <c r="BE145" s="317" t="s">
        <v>561</v>
      </c>
      <c r="BF145" s="317" t="s">
        <v>561</v>
      </c>
      <c r="BG145" s="317" t="s">
        <v>561</v>
      </c>
      <c r="BH145" s="317" t="s">
        <v>561</v>
      </c>
      <c r="BI145" s="317" t="s">
        <v>561</v>
      </c>
      <c r="BJ145" s="317" t="s">
        <v>561</v>
      </c>
      <c r="BK145" s="317" t="s">
        <v>561</v>
      </c>
      <c r="BL145" s="317" t="s">
        <v>2796</v>
      </c>
      <c r="BM145" s="317" t="s">
        <v>2806</v>
      </c>
      <c r="BN145" s="317" t="s">
        <v>561</v>
      </c>
      <c r="BO145" s="317" t="s">
        <v>2796</v>
      </c>
      <c r="BP145" s="317" t="s">
        <v>2806</v>
      </c>
      <c r="BQ145" s="317" t="s">
        <v>600</v>
      </c>
      <c r="BR145" s="317" t="s">
        <v>600</v>
      </c>
      <c r="BS145" s="317" t="s">
        <v>600</v>
      </c>
      <c r="BT145" s="317" t="s">
        <v>600</v>
      </c>
      <c r="BU145" s="317" t="s">
        <v>600</v>
      </c>
      <c r="BV145" s="317" t="s">
        <v>600</v>
      </c>
      <c r="BW145" s="317" t="s">
        <v>600</v>
      </c>
      <c r="BX145" s="317" t="s">
        <v>600</v>
      </c>
      <c r="BY145" s="317" t="s">
        <v>600</v>
      </c>
      <c r="BZ145" s="317" t="s">
        <v>600</v>
      </c>
      <c r="CA145" s="317" t="s">
        <v>600</v>
      </c>
      <c r="CB145" s="317" t="s">
        <v>600</v>
      </c>
      <c r="CC145" s="317" t="s">
        <v>600</v>
      </c>
      <c r="CD145" s="317" t="s">
        <v>600</v>
      </c>
      <c r="CE145" s="317" t="s">
        <v>600</v>
      </c>
      <c r="CF145" s="317" t="s">
        <v>600</v>
      </c>
      <c r="CG145" s="317" t="s">
        <v>600</v>
      </c>
      <c r="CH145" s="317" t="s">
        <v>600</v>
      </c>
      <c r="CI145" s="317" t="s">
        <v>600</v>
      </c>
      <c r="CJ145" s="317" t="s">
        <v>600</v>
      </c>
      <c r="CK145" s="317" t="s">
        <v>600</v>
      </c>
      <c r="CL145" s="317" t="s">
        <v>600</v>
      </c>
      <c r="CM145" s="317" t="s">
        <v>600</v>
      </c>
      <c r="CN145" s="317" t="s">
        <v>600</v>
      </c>
      <c r="CO145" s="317" t="s">
        <v>600</v>
      </c>
      <c r="CP145" s="317" t="s">
        <v>600</v>
      </c>
      <c r="CQ145" s="319"/>
      <c r="CR145" s="319">
        <v>2019.0</v>
      </c>
      <c r="CS145" s="343" t="s">
        <v>1569</v>
      </c>
      <c r="CT145" s="343" t="s">
        <v>135</v>
      </c>
      <c r="CU145" s="319" t="s">
        <v>23</v>
      </c>
      <c r="CV145" s="332" t="s">
        <v>75</v>
      </c>
      <c r="CW145" s="319"/>
      <c r="CX145" s="319"/>
      <c r="CY145" s="323">
        <f t="shared" si="24"/>
        <v>0.109</v>
      </c>
      <c r="CZ145" s="324">
        <v>0.545</v>
      </c>
      <c r="DA145" s="323">
        <v>0.436</v>
      </c>
      <c r="DB145" s="323"/>
      <c r="DC145" s="323">
        <f t="shared" si="25"/>
        <v>0.083</v>
      </c>
      <c r="DD145" s="324">
        <v>0.507</v>
      </c>
      <c r="DE145" s="323">
        <v>0.424</v>
      </c>
      <c r="DF145" s="323"/>
      <c r="DG145" s="324">
        <v>0.746</v>
      </c>
      <c r="DH145" s="323">
        <v>0.11800000000000001</v>
      </c>
      <c r="DI145" s="323">
        <v>0.059000000000000004</v>
      </c>
      <c r="DJ145" s="323">
        <v>0.065</v>
      </c>
      <c r="DK145" s="323">
        <v>0.013000000000000001</v>
      </c>
      <c r="DL145" s="323">
        <v>0.001</v>
      </c>
      <c r="DM145" s="323"/>
      <c r="DN145" s="323">
        <v>0.428</v>
      </c>
      <c r="DO145" s="323">
        <v>0.433</v>
      </c>
      <c r="DP145" s="323">
        <v>0.447</v>
      </c>
    </row>
    <row r="146">
      <c r="A146" s="311" t="s">
        <v>817</v>
      </c>
      <c r="B146" s="311" t="s">
        <v>818</v>
      </c>
      <c r="C146" s="311" t="s">
        <v>815</v>
      </c>
      <c r="D146" s="311">
        <v>11.0</v>
      </c>
      <c r="E146" s="312">
        <f t="shared" si="19"/>
        <v>0.1666666667</v>
      </c>
      <c r="F146" s="312" t="str">
        <f t="shared" si="20"/>
        <v>#DIV/0!</v>
      </c>
      <c r="G146" s="312" t="str">
        <f t="shared" si="21"/>
        <v>#DIV/0!</v>
      </c>
      <c r="H146" s="312" t="str">
        <f t="shared" si="22"/>
        <v>#DIV/0!</v>
      </c>
      <c r="I146" s="312" t="str">
        <f t="shared" si="70"/>
        <v>#DIV/0!</v>
      </c>
      <c r="J146" s="315" t="s">
        <v>2794</v>
      </c>
      <c r="K146" s="315" t="s">
        <v>2794</v>
      </c>
      <c r="L146" s="316" t="str">
        <f t="shared" si="23"/>
        <v>#DIV/0!</v>
      </c>
      <c r="M146" s="317" t="s">
        <v>594</v>
      </c>
      <c r="N146" s="317" t="s">
        <v>594</v>
      </c>
      <c r="O146" s="317" t="s">
        <v>487</v>
      </c>
      <c r="P146" s="317" t="s">
        <v>594</v>
      </c>
      <c r="Q146" s="317" t="s">
        <v>594</v>
      </c>
      <c r="R146" s="317" t="s">
        <v>594</v>
      </c>
      <c r="S146" s="318" t="s">
        <v>561</v>
      </c>
      <c r="T146" s="318" t="s">
        <v>561</v>
      </c>
      <c r="U146" s="330" t="s">
        <v>561</v>
      </c>
      <c r="V146" s="330" t="s">
        <v>561</v>
      </c>
      <c r="W146" s="318" t="s">
        <v>2795</v>
      </c>
      <c r="X146" s="340" t="s">
        <v>561</v>
      </c>
      <c r="Y146" s="318" t="s">
        <v>2795</v>
      </c>
      <c r="Z146" s="317" t="s">
        <v>2795</v>
      </c>
      <c r="AA146" s="317" t="s">
        <v>561</v>
      </c>
      <c r="AB146" s="317" t="s">
        <v>53</v>
      </c>
      <c r="AC146" s="317" t="s">
        <v>2795</v>
      </c>
      <c r="AD146" s="317" t="s">
        <v>2795</v>
      </c>
      <c r="AE146" s="317" t="s">
        <v>561</v>
      </c>
      <c r="AF146" s="317" t="s">
        <v>561</v>
      </c>
      <c r="AG146" s="317" t="s">
        <v>561</v>
      </c>
      <c r="AH146" s="317" t="s">
        <v>561</v>
      </c>
      <c r="AI146" s="317" t="s">
        <v>561</v>
      </c>
      <c r="AJ146" s="317" t="s">
        <v>2795</v>
      </c>
      <c r="AK146" s="317" t="s">
        <v>2807</v>
      </c>
      <c r="AL146" s="317" t="s">
        <v>2807</v>
      </c>
      <c r="AM146" s="317" t="s">
        <v>2807</v>
      </c>
      <c r="AN146" s="317" t="s">
        <v>2795</v>
      </c>
      <c r="AO146" s="317" t="s">
        <v>2807</v>
      </c>
      <c r="AP146" s="317" t="s">
        <v>561</v>
      </c>
      <c r="AQ146" s="317" t="s">
        <v>561</v>
      </c>
      <c r="AR146" s="317" t="s">
        <v>561</v>
      </c>
      <c r="AS146" s="317" t="s">
        <v>2807</v>
      </c>
      <c r="AT146" s="317" t="s">
        <v>561</v>
      </c>
      <c r="AU146" s="317" t="s">
        <v>561</v>
      </c>
      <c r="AV146" s="317" t="s">
        <v>2807</v>
      </c>
      <c r="AW146" s="317" t="s">
        <v>561</v>
      </c>
      <c r="AX146" s="317" t="s">
        <v>561</v>
      </c>
      <c r="AY146" s="317" t="s">
        <v>561</v>
      </c>
      <c r="AZ146" s="317" t="s">
        <v>561</v>
      </c>
      <c r="BA146" s="317" t="s">
        <v>2806</v>
      </c>
      <c r="BB146" s="317" t="s">
        <v>561</v>
      </c>
      <c r="BC146" s="317" t="s">
        <v>2806</v>
      </c>
      <c r="BD146" s="317" t="s">
        <v>2795</v>
      </c>
      <c r="BE146" s="317" t="s">
        <v>561</v>
      </c>
      <c r="BF146" s="317" t="s">
        <v>561</v>
      </c>
      <c r="BG146" s="317" t="s">
        <v>561</v>
      </c>
      <c r="BH146" s="317" t="s">
        <v>561</v>
      </c>
      <c r="BI146" s="317" t="s">
        <v>561</v>
      </c>
      <c r="BJ146" s="317" t="s">
        <v>561</v>
      </c>
      <c r="BK146" s="317" t="s">
        <v>561</v>
      </c>
      <c r="BL146" s="317" t="s">
        <v>2806</v>
      </c>
      <c r="BM146" s="317" t="s">
        <v>2806</v>
      </c>
      <c r="BN146" s="317" t="s">
        <v>561</v>
      </c>
      <c r="BO146" s="317" t="s">
        <v>2796</v>
      </c>
      <c r="BP146" s="317" t="s">
        <v>2806</v>
      </c>
      <c r="BQ146" s="317" t="s">
        <v>600</v>
      </c>
      <c r="BR146" s="317" t="s">
        <v>600</v>
      </c>
      <c r="BS146" s="317" t="s">
        <v>600</v>
      </c>
      <c r="BT146" s="317" t="s">
        <v>600</v>
      </c>
      <c r="BU146" s="317" t="s">
        <v>600</v>
      </c>
      <c r="BV146" s="317" t="s">
        <v>600</v>
      </c>
      <c r="BW146" s="317" t="s">
        <v>600</v>
      </c>
      <c r="BX146" s="317" t="s">
        <v>600</v>
      </c>
      <c r="BY146" s="317" t="s">
        <v>600</v>
      </c>
      <c r="BZ146" s="317" t="s">
        <v>600</v>
      </c>
      <c r="CA146" s="317" t="s">
        <v>600</v>
      </c>
      <c r="CB146" s="317" t="s">
        <v>600</v>
      </c>
      <c r="CC146" s="317" t="s">
        <v>600</v>
      </c>
      <c r="CD146" s="317" t="s">
        <v>600</v>
      </c>
      <c r="CE146" s="317" t="s">
        <v>600</v>
      </c>
      <c r="CF146" s="317" t="s">
        <v>600</v>
      </c>
      <c r="CG146" s="317" t="s">
        <v>600</v>
      </c>
      <c r="CH146" s="317" t="s">
        <v>600</v>
      </c>
      <c r="CI146" s="317" t="s">
        <v>600</v>
      </c>
      <c r="CJ146" s="317" t="s">
        <v>600</v>
      </c>
      <c r="CK146" s="317" t="s">
        <v>600</v>
      </c>
      <c r="CL146" s="317" t="s">
        <v>600</v>
      </c>
      <c r="CM146" s="317" t="s">
        <v>600</v>
      </c>
      <c r="CN146" s="317" t="s">
        <v>600</v>
      </c>
      <c r="CO146" s="317" t="s">
        <v>600</v>
      </c>
      <c r="CP146" s="317" t="s">
        <v>600</v>
      </c>
      <c r="CQ146" s="319"/>
      <c r="CR146" s="319">
        <v>2019.0</v>
      </c>
      <c r="CS146" s="343" t="s">
        <v>1569</v>
      </c>
      <c r="CT146" s="334" t="s">
        <v>2030</v>
      </c>
      <c r="CU146" s="319" t="s">
        <v>2834</v>
      </c>
      <c r="CV146" s="332" t="s">
        <v>75</v>
      </c>
      <c r="CW146" s="319"/>
      <c r="CX146" s="319"/>
      <c r="CY146" s="323">
        <f t="shared" si="24"/>
        <v>0.199</v>
      </c>
      <c r="CZ146" s="324">
        <v>0.593</v>
      </c>
      <c r="DA146" s="323">
        <v>0.39399999999999996</v>
      </c>
      <c r="DB146" s="323"/>
      <c r="DC146" s="323">
        <f t="shared" si="25"/>
        <v>0.139</v>
      </c>
      <c r="DD146" s="324">
        <v>0.545</v>
      </c>
      <c r="DE146" s="323">
        <v>0.406</v>
      </c>
      <c r="DF146" s="323"/>
      <c r="DG146" s="324">
        <v>0.7090000000000001</v>
      </c>
      <c r="DH146" s="323">
        <v>0.045</v>
      </c>
      <c r="DI146" s="323">
        <v>0.136</v>
      </c>
      <c r="DJ146" s="323">
        <v>0.091</v>
      </c>
      <c r="DK146" s="323">
        <v>0.015</v>
      </c>
      <c r="DL146" s="323">
        <v>0.001</v>
      </c>
      <c r="DM146" s="323"/>
      <c r="DN146" s="323">
        <v>0.47700000000000004</v>
      </c>
      <c r="DO146" s="323">
        <v>0.483</v>
      </c>
      <c r="DP146" s="323">
        <v>0.392</v>
      </c>
    </row>
    <row r="147">
      <c r="A147" s="311" t="s">
        <v>639</v>
      </c>
      <c r="B147" s="311" t="s">
        <v>640</v>
      </c>
      <c r="C147" s="311" t="s">
        <v>848</v>
      </c>
      <c r="D147" s="311">
        <v>14.0</v>
      </c>
      <c r="E147" s="312">
        <f t="shared" si="19"/>
        <v>0</v>
      </c>
      <c r="F147" s="312" t="str">
        <f t="shared" si="20"/>
        <v>#DIV/0!</v>
      </c>
      <c r="G147" s="312" t="str">
        <f t="shared" si="21"/>
        <v>#DIV/0!</v>
      </c>
      <c r="H147" s="312" t="str">
        <f t="shared" si="22"/>
        <v>#DIV/0!</v>
      </c>
      <c r="I147" s="312" t="str">
        <f t="shared" si="70"/>
        <v>#DIV/0!</v>
      </c>
      <c r="J147" s="315" t="s">
        <v>2794</v>
      </c>
      <c r="K147" s="315" t="s">
        <v>2794</v>
      </c>
      <c r="L147" s="316" t="str">
        <f t="shared" si="23"/>
        <v>#DIV/0!</v>
      </c>
      <c r="M147" s="317" t="s">
        <v>594</v>
      </c>
      <c r="N147" s="317" t="s">
        <v>594</v>
      </c>
      <c r="O147" s="317" t="s">
        <v>594</v>
      </c>
      <c r="P147" s="317" t="s">
        <v>594</v>
      </c>
      <c r="Q147" s="317" t="s">
        <v>594</v>
      </c>
      <c r="R147" s="317" t="s">
        <v>594</v>
      </c>
      <c r="S147" s="318" t="s">
        <v>561</v>
      </c>
      <c r="T147" s="318" t="s">
        <v>561</v>
      </c>
      <c r="U147" s="330" t="s">
        <v>561</v>
      </c>
      <c r="V147" s="330" t="s">
        <v>561</v>
      </c>
      <c r="W147" s="318" t="s">
        <v>2795</v>
      </c>
      <c r="X147" s="340" t="s">
        <v>561</v>
      </c>
      <c r="Y147" s="318" t="s">
        <v>2795</v>
      </c>
      <c r="Z147" s="317" t="s">
        <v>2795</v>
      </c>
      <c r="AA147" s="317" t="s">
        <v>561</v>
      </c>
      <c r="AB147" s="317" t="s">
        <v>561</v>
      </c>
      <c r="AC147" s="317" t="s">
        <v>2795</v>
      </c>
      <c r="AD147" s="317" t="s">
        <v>2795</v>
      </c>
      <c r="AE147" s="317" t="s">
        <v>561</v>
      </c>
      <c r="AF147" s="317" t="s">
        <v>561</v>
      </c>
      <c r="AG147" s="317" t="s">
        <v>561</v>
      </c>
      <c r="AH147" s="317" t="s">
        <v>561</v>
      </c>
      <c r="AI147" s="317" t="s">
        <v>561</v>
      </c>
      <c r="AJ147" s="317" t="s">
        <v>2795</v>
      </c>
      <c r="AK147" s="317" t="s">
        <v>2807</v>
      </c>
      <c r="AL147" s="317" t="s">
        <v>2807</v>
      </c>
      <c r="AM147" s="317" t="s">
        <v>2807</v>
      </c>
      <c r="AN147" s="317" t="s">
        <v>2795</v>
      </c>
      <c r="AO147" s="317" t="s">
        <v>2807</v>
      </c>
      <c r="AP147" s="317" t="s">
        <v>561</v>
      </c>
      <c r="AQ147" s="317" t="s">
        <v>561</v>
      </c>
      <c r="AR147" s="317" t="s">
        <v>561</v>
      </c>
      <c r="AS147" s="317" t="s">
        <v>2807</v>
      </c>
      <c r="AT147" s="317" t="s">
        <v>561</v>
      </c>
      <c r="AU147" s="317" t="s">
        <v>561</v>
      </c>
      <c r="AV147" s="317" t="s">
        <v>2795</v>
      </c>
      <c r="AW147" s="317" t="s">
        <v>561</v>
      </c>
      <c r="AX147" s="317" t="s">
        <v>561</v>
      </c>
      <c r="AY147" s="317" t="s">
        <v>561</v>
      </c>
      <c r="AZ147" s="317" t="s">
        <v>561</v>
      </c>
      <c r="BA147" s="317" t="s">
        <v>2796</v>
      </c>
      <c r="BB147" s="317" t="s">
        <v>561</v>
      </c>
      <c r="BC147" s="317" t="s">
        <v>2806</v>
      </c>
      <c r="BD147" s="317" t="s">
        <v>2795</v>
      </c>
      <c r="BE147" s="317" t="s">
        <v>561</v>
      </c>
      <c r="BF147" s="317" t="s">
        <v>561</v>
      </c>
      <c r="BG147" s="317" t="s">
        <v>561</v>
      </c>
      <c r="BH147" s="317" t="s">
        <v>561</v>
      </c>
      <c r="BI147" s="317" t="s">
        <v>561</v>
      </c>
      <c r="BJ147" s="317" t="s">
        <v>561</v>
      </c>
      <c r="BK147" s="317" t="s">
        <v>561</v>
      </c>
      <c r="BL147" s="317" t="s">
        <v>2806</v>
      </c>
      <c r="BM147" s="317" t="s">
        <v>2796</v>
      </c>
      <c r="BN147" s="317" t="s">
        <v>561</v>
      </c>
      <c r="BO147" s="317" t="s">
        <v>2796</v>
      </c>
      <c r="BP147" s="317" t="s">
        <v>2806</v>
      </c>
      <c r="BQ147" s="317" t="s">
        <v>600</v>
      </c>
      <c r="BR147" s="317" t="s">
        <v>600</v>
      </c>
      <c r="BS147" s="317" t="s">
        <v>600</v>
      </c>
      <c r="BT147" s="317" t="s">
        <v>600</v>
      </c>
      <c r="BU147" s="317" t="s">
        <v>600</v>
      </c>
      <c r="BV147" s="317" t="s">
        <v>600</v>
      </c>
      <c r="BW147" s="317" t="s">
        <v>600</v>
      </c>
      <c r="BX147" s="317" t="s">
        <v>600</v>
      </c>
      <c r="BY147" s="317" t="s">
        <v>600</v>
      </c>
      <c r="BZ147" s="317" t="s">
        <v>600</v>
      </c>
      <c r="CA147" s="317" t="s">
        <v>600</v>
      </c>
      <c r="CB147" s="317" t="s">
        <v>600</v>
      </c>
      <c r="CC147" s="317" t="s">
        <v>600</v>
      </c>
      <c r="CD147" s="317" t="s">
        <v>600</v>
      </c>
      <c r="CE147" s="317" t="s">
        <v>600</v>
      </c>
      <c r="CF147" s="317" t="s">
        <v>600</v>
      </c>
      <c r="CG147" s="317" t="s">
        <v>600</v>
      </c>
      <c r="CH147" s="317" t="s">
        <v>600</v>
      </c>
      <c r="CI147" s="317" t="s">
        <v>600</v>
      </c>
      <c r="CJ147" s="317" t="s">
        <v>600</v>
      </c>
      <c r="CK147" s="317" t="s">
        <v>600</v>
      </c>
      <c r="CL147" s="317" t="s">
        <v>600</v>
      </c>
      <c r="CM147" s="317" t="s">
        <v>600</v>
      </c>
      <c r="CN147" s="317" t="s">
        <v>600</v>
      </c>
      <c r="CO147" s="317" t="s">
        <v>600</v>
      </c>
      <c r="CP147" s="317" t="s">
        <v>600</v>
      </c>
      <c r="CQ147" s="319"/>
      <c r="CR147" s="319">
        <v>2019.0</v>
      </c>
      <c r="CS147" s="342" t="s">
        <v>2476</v>
      </c>
      <c r="CT147" s="319"/>
      <c r="CU147" s="326" t="s">
        <v>2476</v>
      </c>
      <c r="CV147" s="327" t="s">
        <v>28</v>
      </c>
      <c r="CW147" s="319"/>
      <c r="CX147" s="319"/>
      <c r="CY147" s="323">
        <f t="shared" si="24"/>
        <v>0.114</v>
      </c>
      <c r="CZ147" s="324">
        <v>0.547</v>
      </c>
      <c r="DA147" s="323">
        <v>0.433</v>
      </c>
      <c r="DB147" s="323"/>
      <c r="DC147" s="323">
        <f t="shared" si="25"/>
        <v>0.086</v>
      </c>
      <c r="DD147" s="324">
        <v>0.507</v>
      </c>
      <c r="DE147" s="323">
        <v>0.42100000000000004</v>
      </c>
      <c r="DF147" s="323"/>
      <c r="DG147" s="324">
        <v>0.627</v>
      </c>
      <c r="DH147" s="323">
        <v>0.201</v>
      </c>
      <c r="DI147" s="323">
        <v>0.102</v>
      </c>
      <c r="DJ147" s="323">
        <v>0.057</v>
      </c>
      <c r="DK147" s="323">
        <v>0.022000000000000002</v>
      </c>
      <c r="DL147" s="323">
        <v>0.001</v>
      </c>
      <c r="DM147" s="323"/>
      <c r="DN147" s="323">
        <v>0.315</v>
      </c>
      <c r="DO147" s="323">
        <v>0.348</v>
      </c>
      <c r="DP147" s="323">
        <v>0.455</v>
      </c>
    </row>
    <row r="148">
      <c r="A148" s="311" t="s">
        <v>1076</v>
      </c>
      <c r="B148" s="311" t="s">
        <v>1077</v>
      </c>
      <c r="C148" s="311" t="s">
        <v>2835</v>
      </c>
      <c r="D148" s="311">
        <v>2.0</v>
      </c>
      <c r="E148" s="312">
        <f t="shared" si="19"/>
        <v>0</v>
      </c>
      <c r="F148" s="312" t="str">
        <f t="shared" si="20"/>
        <v>#DIV/0!</v>
      </c>
      <c r="G148" s="312" t="str">
        <f t="shared" si="21"/>
        <v>#DIV/0!</v>
      </c>
      <c r="H148" s="312" t="str">
        <f t="shared" si="22"/>
        <v>#DIV/0!</v>
      </c>
      <c r="I148" s="315" t="s">
        <v>2794</v>
      </c>
      <c r="J148" s="315" t="s">
        <v>2794</v>
      </c>
      <c r="K148" s="315" t="s">
        <v>2794</v>
      </c>
      <c r="L148" s="316" t="str">
        <f t="shared" si="23"/>
        <v>#DIV/0!</v>
      </c>
      <c r="M148" s="317" t="s">
        <v>594</v>
      </c>
      <c r="N148" s="317" t="s">
        <v>594</v>
      </c>
      <c r="O148" s="317" t="s">
        <v>594</v>
      </c>
      <c r="P148" s="317" t="s">
        <v>594</v>
      </c>
      <c r="Q148" s="317" t="s">
        <v>594</v>
      </c>
      <c r="R148" s="317" t="s">
        <v>594</v>
      </c>
      <c r="S148" s="318" t="s">
        <v>561</v>
      </c>
      <c r="T148" s="318" t="s">
        <v>561</v>
      </c>
      <c r="U148" s="330" t="s">
        <v>561</v>
      </c>
      <c r="V148" s="330" t="s">
        <v>561</v>
      </c>
      <c r="W148" s="318" t="s">
        <v>2795</v>
      </c>
      <c r="X148" s="340" t="s">
        <v>561</v>
      </c>
      <c r="Y148" s="340" t="s">
        <v>2807</v>
      </c>
      <c r="Z148" s="317" t="s">
        <v>2795</v>
      </c>
      <c r="AA148" s="317" t="s">
        <v>561</v>
      </c>
      <c r="AB148" s="317" t="s">
        <v>53</v>
      </c>
      <c r="AC148" s="317" t="s">
        <v>2795</v>
      </c>
      <c r="AD148" s="317" t="s">
        <v>2795</v>
      </c>
      <c r="AE148" s="317" t="s">
        <v>561</v>
      </c>
      <c r="AF148" s="317" t="s">
        <v>561</v>
      </c>
      <c r="AG148" s="317" t="s">
        <v>561</v>
      </c>
      <c r="AH148" s="317" t="s">
        <v>561</v>
      </c>
      <c r="AI148" s="317" t="s">
        <v>561</v>
      </c>
      <c r="AJ148" s="317" t="s">
        <v>2807</v>
      </c>
      <c r="AK148" s="317" t="s">
        <v>2807</v>
      </c>
      <c r="AL148" s="317" t="s">
        <v>2795</v>
      </c>
      <c r="AM148" s="317" t="s">
        <v>2807</v>
      </c>
      <c r="AN148" s="317" t="s">
        <v>2795</v>
      </c>
      <c r="AO148" s="317" t="s">
        <v>2807</v>
      </c>
      <c r="AP148" s="317" t="s">
        <v>561</v>
      </c>
      <c r="AQ148" s="317" t="s">
        <v>561</v>
      </c>
      <c r="AR148" s="317" t="s">
        <v>561</v>
      </c>
      <c r="AS148" s="317" t="s">
        <v>2807</v>
      </c>
      <c r="AT148" s="317" t="s">
        <v>561</v>
      </c>
      <c r="AU148" s="317" t="s">
        <v>561</v>
      </c>
      <c r="AV148" s="317" t="s">
        <v>2807</v>
      </c>
      <c r="AW148" s="317" t="s">
        <v>600</v>
      </c>
      <c r="AX148" s="317" t="s">
        <v>600</v>
      </c>
      <c r="AY148" s="317" t="s">
        <v>600</v>
      </c>
      <c r="AZ148" s="317" t="s">
        <v>600</v>
      </c>
      <c r="BA148" s="317" t="s">
        <v>600</v>
      </c>
      <c r="BB148" s="317" t="s">
        <v>600</v>
      </c>
      <c r="BC148" s="317" t="s">
        <v>600</v>
      </c>
      <c r="BD148" s="317" t="s">
        <v>600</v>
      </c>
      <c r="BE148" s="317" t="s">
        <v>600</v>
      </c>
      <c r="BF148" s="317" t="s">
        <v>600</v>
      </c>
      <c r="BG148" s="317" t="s">
        <v>600</v>
      </c>
      <c r="BH148" s="317" t="s">
        <v>600</v>
      </c>
      <c r="BI148" s="317" t="s">
        <v>600</v>
      </c>
      <c r="BJ148" s="317" t="s">
        <v>600</v>
      </c>
      <c r="BK148" s="317" t="s">
        <v>600</v>
      </c>
      <c r="BL148" s="317" t="s">
        <v>600</v>
      </c>
      <c r="BM148" s="317" t="s">
        <v>600</v>
      </c>
      <c r="BN148" s="317" t="s">
        <v>600</v>
      </c>
      <c r="BO148" s="317" t="s">
        <v>600</v>
      </c>
      <c r="BP148" s="317" t="s">
        <v>600</v>
      </c>
      <c r="BQ148" s="317" t="s">
        <v>600</v>
      </c>
      <c r="BR148" s="317" t="s">
        <v>600</v>
      </c>
      <c r="BS148" s="317" t="s">
        <v>600</v>
      </c>
      <c r="BT148" s="317" t="s">
        <v>600</v>
      </c>
      <c r="BU148" s="317" t="s">
        <v>600</v>
      </c>
      <c r="BV148" s="317" t="s">
        <v>600</v>
      </c>
      <c r="BW148" s="317" t="s">
        <v>600</v>
      </c>
      <c r="BX148" s="317" t="s">
        <v>600</v>
      </c>
      <c r="BY148" s="317" t="s">
        <v>600</v>
      </c>
      <c r="BZ148" s="317" t="s">
        <v>600</v>
      </c>
      <c r="CA148" s="317" t="s">
        <v>600</v>
      </c>
      <c r="CB148" s="317" t="s">
        <v>600</v>
      </c>
      <c r="CC148" s="317" t="s">
        <v>600</v>
      </c>
      <c r="CD148" s="317" t="s">
        <v>600</v>
      </c>
      <c r="CE148" s="317" t="s">
        <v>600</v>
      </c>
      <c r="CF148" s="317" t="s">
        <v>600</v>
      </c>
      <c r="CG148" s="317" t="s">
        <v>600</v>
      </c>
      <c r="CH148" s="317" t="s">
        <v>600</v>
      </c>
      <c r="CI148" s="317" t="s">
        <v>600</v>
      </c>
      <c r="CJ148" s="317" t="s">
        <v>600</v>
      </c>
      <c r="CK148" s="317" t="s">
        <v>600</v>
      </c>
      <c r="CL148" s="317" t="s">
        <v>600</v>
      </c>
      <c r="CM148" s="317" t="s">
        <v>600</v>
      </c>
      <c r="CN148" s="317" t="s">
        <v>600</v>
      </c>
      <c r="CO148" s="317" t="s">
        <v>600</v>
      </c>
      <c r="CP148" s="317" t="s">
        <v>600</v>
      </c>
      <c r="CQ148" s="319"/>
      <c r="CR148" s="319">
        <v>2021.0</v>
      </c>
      <c r="CS148" s="343" t="s">
        <v>1569</v>
      </c>
      <c r="CT148" s="334" t="s">
        <v>2030</v>
      </c>
      <c r="CU148" s="326" t="s">
        <v>600</v>
      </c>
      <c r="CV148" s="332" t="s">
        <v>75</v>
      </c>
      <c r="CW148" s="319"/>
      <c r="CX148" s="319"/>
      <c r="CY148" s="323">
        <f t="shared" si="24"/>
        <v>0.288</v>
      </c>
      <c r="CZ148" s="324">
        <v>0.636</v>
      </c>
      <c r="DA148" s="323">
        <v>0.348</v>
      </c>
      <c r="DB148" s="323"/>
      <c r="DC148" s="323">
        <f t="shared" si="25"/>
        <v>0.22</v>
      </c>
      <c r="DD148" s="324">
        <v>0.5820000000000001</v>
      </c>
      <c r="DE148" s="323">
        <v>0.36200000000000004</v>
      </c>
      <c r="DF148" s="323"/>
      <c r="DG148" s="324">
        <v>0.601</v>
      </c>
      <c r="DH148" s="323">
        <v>0.09300000000000001</v>
      </c>
      <c r="DI148" s="323">
        <v>0.182</v>
      </c>
      <c r="DJ148" s="323">
        <v>0.111</v>
      </c>
      <c r="DK148" s="323">
        <v>0.017</v>
      </c>
      <c r="DL148" s="323">
        <v>0.002</v>
      </c>
      <c r="DM148" s="323"/>
      <c r="DN148" s="324">
        <v>0.574</v>
      </c>
      <c r="DO148" s="324">
        <v>0.631</v>
      </c>
      <c r="DP148" s="323">
        <v>0.253</v>
      </c>
    </row>
    <row r="149">
      <c r="A149" s="311" t="s">
        <v>922</v>
      </c>
      <c r="B149" s="311" t="s">
        <v>2452</v>
      </c>
      <c r="C149" s="311" t="s">
        <v>1197</v>
      </c>
      <c r="D149" s="311">
        <v>9.0</v>
      </c>
      <c r="E149" s="312">
        <f t="shared" si="19"/>
        <v>0.1666666667</v>
      </c>
      <c r="F149" s="312" t="str">
        <f t="shared" si="20"/>
        <v>#DIV/0!</v>
      </c>
      <c r="G149" s="312" t="str">
        <f t="shared" si="21"/>
        <v>#DIV/0!</v>
      </c>
      <c r="H149" s="312" t="str">
        <f t="shared" si="22"/>
        <v>#DIV/0!</v>
      </c>
      <c r="I149" s="312" t="str">
        <f t="shared" ref="I149:I151" si="79">(COUNTIF(AW149:BP149, "Nay")+COUNTIF(AW149:BP149, "Yea (Amend)")+(0.5*COUNTIF(AW149:BP149, "Present")))/(COUNTIF(AW149:BP149, "Nay")+COUNTIF(AW149:BP149, "Yea (Amend)")+COUNTIF(AW149:BP149, "Yea")+COUNTIF(AW149:BP149, "Nay (Amend)")+COUNTIF(AW149:BP149, "Present"))</f>
        <v>#DIV/0!</v>
      </c>
      <c r="J149" s="315" t="s">
        <v>2794</v>
      </c>
      <c r="K149" s="315" t="s">
        <v>2794</v>
      </c>
      <c r="L149" s="316" t="str">
        <f t="shared" si="23"/>
        <v>#DIV/0!</v>
      </c>
      <c r="M149" s="317" t="s">
        <v>487</v>
      </c>
      <c r="N149" s="317" t="s">
        <v>594</v>
      </c>
      <c r="O149" s="317" t="s">
        <v>594</v>
      </c>
      <c r="P149" s="317" t="s">
        <v>594</v>
      </c>
      <c r="Q149" s="317" t="s">
        <v>594</v>
      </c>
      <c r="R149" s="317" t="s">
        <v>594</v>
      </c>
      <c r="S149" s="318" t="s">
        <v>561</v>
      </c>
      <c r="T149" s="318" t="s">
        <v>561</v>
      </c>
      <c r="U149" s="330" t="s">
        <v>561</v>
      </c>
      <c r="V149" s="330" t="s">
        <v>561</v>
      </c>
      <c r="W149" s="318" t="s">
        <v>2795</v>
      </c>
      <c r="X149" s="340" t="s">
        <v>561</v>
      </c>
      <c r="Y149" s="340" t="s">
        <v>2807</v>
      </c>
      <c r="Z149" s="317" t="s">
        <v>2795</v>
      </c>
      <c r="AA149" s="317" t="s">
        <v>561</v>
      </c>
      <c r="AB149" s="317" t="s">
        <v>561</v>
      </c>
      <c r="AC149" s="317" t="s">
        <v>2795</v>
      </c>
      <c r="AD149" s="317" t="s">
        <v>2795</v>
      </c>
      <c r="AE149" s="317" t="s">
        <v>561</v>
      </c>
      <c r="AF149" s="317" t="s">
        <v>561</v>
      </c>
      <c r="AG149" s="317" t="s">
        <v>561</v>
      </c>
      <c r="AH149" s="317" t="s">
        <v>561</v>
      </c>
      <c r="AI149" s="317" t="s">
        <v>561</v>
      </c>
      <c r="AJ149" s="317" t="s">
        <v>2795</v>
      </c>
      <c r="AK149" s="317" t="s">
        <v>2807</v>
      </c>
      <c r="AL149" s="317" t="s">
        <v>2807</v>
      </c>
      <c r="AM149" s="317" t="s">
        <v>2795</v>
      </c>
      <c r="AN149" s="317" t="s">
        <v>2807</v>
      </c>
      <c r="AO149" s="317" t="s">
        <v>2807</v>
      </c>
      <c r="AP149" s="317" t="s">
        <v>561</v>
      </c>
      <c r="AQ149" s="317" t="s">
        <v>561</v>
      </c>
      <c r="AR149" s="317" t="s">
        <v>561</v>
      </c>
      <c r="AS149" s="317" t="s">
        <v>2807</v>
      </c>
      <c r="AT149" s="317" t="s">
        <v>561</v>
      </c>
      <c r="AU149" s="317" t="s">
        <v>561</v>
      </c>
      <c r="AV149" s="317" t="s">
        <v>2807</v>
      </c>
      <c r="AW149" s="317" t="s">
        <v>561</v>
      </c>
      <c r="AX149" s="317" t="s">
        <v>561</v>
      </c>
      <c r="AY149" s="317" t="s">
        <v>561</v>
      </c>
      <c r="AZ149" s="317" t="s">
        <v>561</v>
      </c>
      <c r="BA149" s="317" t="s">
        <v>2806</v>
      </c>
      <c r="BB149" s="317" t="s">
        <v>561</v>
      </c>
      <c r="BC149" s="317" t="s">
        <v>2806</v>
      </c>
      <c r="BD149" s="317" t="s">
        <v>2795</v>
      </c>
      <c r="BE149" s="317" t="s">
        <v>561</v>
      </c>
      <c r="BF149" s="317" t="s">
        <v>561</v>
      </c>
      <c r="BG149" s="317" t="s">
        <v>561</v>
      </c>
      <c r="BH149" s="317" t="s">
        <v>561</v>
      </c>
      <c r="BI149" s="317" t="s">
        <v>561</v>
      </c>
      <c r="BJ149" s="317" t="s">
        <v>561</v>
      </c>
      <c r="BK149" s="317" t="s">
        <v>561</v>
      </c>
      <c r="BL149" s="317" t="s">
        <v>2806</v>
      </c>
      <c r="BM149" s="317" t="s">
        <v>2796</v>
      </c>
      <c r="BN149" s="317" t="s">
        <v>561</v>
      </c>
      <c r="BO149" s="317" t="s">
        <v>2806</v>
      </c>
      <c r="BP149" s="317" t="s">
        <v>2796</v>
      </c>
      <c r="BQ149" s="317" t="s">
        <v>600</v>
      </c>
      <c r="BR149" s="317" t="s">
        <v>600</v>
      </c>
      <c r="BS149" s="317" t="s">
        <v>600</v>
      </c>
      <c r="BT149" s="317" t="s">
        <v>600</v>
      </c>
      <c r="BU149" s="317" t="s">
        <v>600</v>
      </c>
      <c r="BV149" s="317" t="s">
        <v>600</v>
      </c>
      <c r="BW149" s="317" t="s">
        <v>600</v>
      </c>
      <c r="BX149" s="317" t="s">
        <v>600</v>
      </c>
      <c r="BY149" s="317" t="s">
        <v>600</v>
      </c>
      <c r="BZ149" s="317" t="s">
        <v>600</v>
      </c>
      <c r="CA149" s="317" t="s">
        <v>600</v>
      </c>
      <c r="CB149" s="317" t="s">
        <v>600</v>
      </c>
      <c r="CC149" s="317" t="s">
        <v>600</v>
      </c>
      <c r="CD149" s="317" t="s">
        <v>600</v>
      </c>
      <c r="CE149" s="317" t="s">
        <v>600</v>
      </c>
      <c r="CF149" s="317" t="s">
        <v>600</v>
      </c>
      <c r="CG149" s="317" t="s">
        <v>600</v>
      </c>
      <c r="CH149" s="317" t="s">
        <v>600</v>
      </c>
      <c r="CI149" s="317" t="s">
        <v>600</v>
      </c>
      <c r="CJ149" s="317" t="s">
        <v>600</v>
      </c>
      <c r="CK149" s="317" t="s">
        <v>600</v>
      </c>
      <c r="CL149" s="317" t="s">
        <v>600</v>
      </c>
      <c r="CM149" s="317" t="s">
        <v>600</v>
      </c>
      <c r="CN149" s="317" t="s">
        <v>600</v>
      </c>
      <c r="CO149" s="317" t="s">
        <v>600</v>
      </c>
      <c r="CP149" s="317" t="s">
        <v>600</v>
      </c>
      <c r="CQ149" s="319"/>
      <c r="CR149" s="319">
        <v>2019.0</v>
      </c>
      <c r="CS149" s="343" t="s">
        <v>1569</v>
      </c>
      <c r="CT149" s="334" t="s">
        <v>122</v>
      </c>
      <c r="CU149" s="326" t="s">
        <v>2476</v>
      </c>
      <c r="CV149" s="347" t="s">
        <v>75</v>
      </c>
      <c r="CW149" s="336"/>
      <c r="CX149" s="319"/>
      <c r="CY149" s="323">
        <f t="shared" si="24"/>
        <v>0.126</v>
      </c>
      <c r="CZ149" s="337">
        <v>0.552</v>
      </c>
      <c r="DA149" s="338">
        <v>0.426</v>
      </c>
      <c r="DB149" s="338"/>
      <c r="DC149" s="323">
        <f t="shared" si="25"/>
        <v>0.13</v>
      </c>
      <c r="DD149" s="337">
        <v>0.5379999999999999</v>
      </c>
      <c r="DE149" s="338">
        <v>0.408</v>
      </c>
      <c r="DF149" s="338"/>
      <c r="DG149" s="338">
        <v>0.326</v>
      </c>
      <c r="DH149" s="337">
        <v>0.376</v>
      </c>
      <c r="DI149" s="338">
        <v>0.09</v>
      </c>
      <c r="DJ149" s="338">
        <v>0.19399999999999998</v>
      </c>
      <c r="DK149" s="338">
        <v>0.038</v>
      </c>
      <c r="DL149" s="338">
        <v>0.013000000000000001</v>
      </c>
      <c r="DM149" s="338"/>
      <c r="DN149" s="338">
        <v>0.195</v>
      </c>
      <c r="DO149" s="338">
        <v>0.24100000000000002</v>
      </c>
      <c r="DP149" s="338">
        <v>0.316</v>
      </c>
    </row>
    <row r="150">
      <c r="A150" s="311" t="s">
        <v>51</v>
      </c>
      <c r="B150" s="311" t="s">
        <v>52</v>
      </c>
      <c r="C150" s="311" t="s">
        <v>2847</v>
      </c>
      <c r="D150" s="311">
        <v>7.0</v>
      </c>
      <c r="E150" s="312">
        <f t="shared" si="19"/>
        <v>0</v>
      </c>
      <c r="F150" s="312">
        <f t="shared" si="20"/>
        <v>0.5</v>
      </c>
      <c r="G150" s="312" t="str">
        <f t="shared" si="21"/>
        <v>#DIV/0!</v>
      </c>
      <c r="H150" s="312" t="str">
        <f t="shared" si="22"/>
        <v>#DIV/0!</v>
      </c>
      <c r="I150" s="312" t="str">
        <f t="shared" si="79"/>
        <v>#DIV/0!</v>
      </c>
      <c r="J150" s="312">
        <f>(COUNTIF(BQ150:CL150, "Nay")+COUNTIF(BQ150:CL150, "Yea (Amend)")+(0.5*COUNTIF(BQ150:CL150, "Present")))/(COUNTIF(BQ150:CL150, "Nay")+COUNTIF(BQ150:CL150, "Yea (Amend)")+COUNTIF(BQ150:CL150, "Yea")+COUNTIF(BQ150:CL150, "Nay (Amend)")+COUNTIF(BQ150:CL150, "Present"))</f>
        <v>0.5</v>
      </c>
      <c r="K150" s="312" t="str">
        <f>(COUNTIF(CM150:CP150, "Nay")+COUNTIF(CM150:CP150, "Yea (Amend)")+(0.5*COUNTIF(CM150:CP150, "Present")))/(COUNTIF(CM150:CP150, "Nay")+COUNTIF(CM150:CP150, "Yea (Amend)")+COUNTIF(CM150:CP150, "Yea")+COUNTIF(CM150:CP150, "Nay (Amend)")+COUNTIF(CM150:CP150, "Present"))</f>
        <v>#DIV/0!</v>
      </c>
      <c r="L150" s="316" t="str">
        <f t="shared" si="23"/>
        <v>#DIV/0!</v>
      </c>
      <c r="M150" s="317" t="s">
        <v>594</v>
      </c>
      <c r="N150" s="317" t="s">
        <v>594</v>
      </c>
      <c r="O150" s="317" t="s">
        <v>594</v>
      </c>
      <c r="P150" s="317" t="s">
        <v>594</v>
      </c>
      <c r="Q150" s="317" t="s">
        <v>594</v>
      </c>
      <c r="R150" s="317" t="s">
        <v>594</v>
      </c>
      <c r="S150" s="318" t="s">
        <v>561</v>
      </c>
      <c r="T150" s="318" t="s">
        <v>561</v>
      </c>
      <c r="U150" s="330" t="s">
        <v>561</v>
      </c>
      <c r="V150" s="330" t="s">
        <v>561</v>
      </c>
      <c r="W150" s="318" t="s">
        <v>2795</v>
      </c>
      <c r="X150" s="340" t="s">
        <v>561</v>
      </c>
      <c r="Y150" s="340" t="s">
        <v>2807</v>
      </c>
      <c r="Z150" s="317" t="s">
        <v>2795</v>
      </c>
      <c r="AA150" s="317" t="s">
        <v>561</v>
      </c>
      <c r="AB150" s="317" t="s">
        <v>561</v>
      </c>
      <c r="AC150" s="317" t="s">
        <v>2795</v>
      </c>
      <c r="AD150" s="317" t="s">
        <v>2807</v>
      </c>
      <c r="AE150" s="317" t="s">
        <v>561</v>
      </c>
      <c r="AF150" s="317" t="s">
        <v>561</v>
      </c>
      <c r="AG150" s="317" t="s">
        <v>561</v>
      </c>
      <c r="AH150" s="317" t="s">
        <v>561</v>
      </c>
      <c r="AI150" s="317" t="s">
        <v>561</v>
      </c>
      <c r="AJ150" s="317" t="s">
        <v>2795</v>
      </c>
      <c r="AK150" s="317" t="s">
        <v>2807</v>
      </c>
      <c r="AL150" s="317" t="s">
        <v>2795</v>
      </c>
      <c r="AM150" s="317" t="s">
        <v>2795</v>
      </c>
      <c r="AN150" s="317" t="s">
        <v>2795</v>
      </c>
      <c r="AO150" s="317" t="s">
        <v>2807</v>
      </c>
      <c r="AP150" s="317" t="s">
        <v>561</v>
      </c>
      <c r="AQ150" s="317" t="s">
        <v>561</v>
      </c>
      <c r="AR150" s="317" t="s">
        <v>561</v>
      </c>
      <c r="AS150" s="317" t="s">
        <v>2807</v>
      </c>
      <c r="AT150" s="317" t="s">
        <v>561</v>
      </c>
      <c r="AU150" s="317" t="s">
        <v>53</v>
      </c>
      <c r="AV150" s="317" t="s">
        <v>2795</v>
      </c>
      <c r="AW150" s="317" t="s">
        <v>561</v>
      </c>
      <c r="AX150" s="317" t="s">
        <v>561</v>
      </c>
      <c r="AY150" s="317" t="s">
        <v>561</v>
      </c>
      <c r="AZ150" s="317" t="s">
        <v>561</v>
      </c>
      <c r="BA150" s="317" t="s">
        <v>2806</v>
      </c>
      <c r="BB150" s="317" t="s">
        <v>561</v>
      </c>
      <c r="BC150" s="317" t="s">
        <v>2806</v>
      </c>
      <c r="BD150" s="317" t="s">
        <v>2795</v>
      </c>
      <c r="BE150" s="317" t="s">
        <v>561</v>
      </c>
      <c r="BF150" s="317" t="s">
        <v>561</v>
      </c>
      <c r="BG150" s="317" t="s">
        <v>561</v>
      </c>
      <c r="BH150" s="317" t="s">
        <v>561</v>
      </c>
      <c r="BI150" s="317" t="s">
        <v>561</v>
      </c>
      <c r="BJ150" s="317" t="s">
        <v>561</v>
      </c>
      <c r="BK150" s="317" t="s">
        <v>561</v>
      </c>
      <c r="BL150" s="317" t="s">
        <v>2806</v>
      </c>
      <c r="BM150" s="317" t="s">
        <v>2806</v>
      </c>
      <c r="BN150" s="317" t="s">
        <v>561</v>
      </c>
      <c r="BO150" s="317" t="s">
        <v>2796</v>
      </c>
      <c r="BP150" s="317" t="s">
        <v>2806</v>
      </c>
      <c r="BQ150" s="317" t="s">
        <v>53</v>
      </c>
      <c r="BR150" s="317" t="s">
        <v>561</v>
      </c>
      <c r="BS150" s="317" t="s">
        <v>53</v>
      </c>
      <c r="BT150" s="317" t="s">
        <v>561</v>
      </c>
      <c r="BU150" s="317" t="s">
        <v>53</v>
      </c>
      <c r="BV150" s="317" t="s">
        <v>561</v>
      </c>
      <c r="BW150" s="317" t="s">
        <v>561</v>
      </c>
      <c r="BX150" s="317" t="s">
        <v>561</v>
      </c>
      <c r="BY150" s="317" t="s">
        <v>801</v>
      </c>
      <c r="BZ150" s="317" t="s">
        <v>561</v>
      </c>
      <c r="CA150" s="317" t="s">
        <v>53</v>
      </c>
      <c r="CB150" s="317" t="s">
        <v>561</v>
      </c>
      <c r="CC150" s="317" t="s">
        <v>799</v>
      </c>
      <c r="CD150" s="317" t="s">
        <v>561</v>
      </c>
      <c r="CE150" s="317" t="s">
        <v>561</v>
      </c>
      <c r="CF150" s="317" t="s">
        <v>53</v>
      </c>
      <c r="CG150" s="317" t="s">
        <v>561</v>
      </c>
      <c r="CH150" s="317" t="s">
        <v>561</v>
      </c>
      <c r="CI150" s="317" t="s">
        <v>561</v>
      </c>
      <c r="CJ150" s="317" t="s">
        <v>2806</v>
      </c>
      <c r="CK150" s="317" t="s">
        <v>561</v>
      </c>
      <c r="CL150" s="317" t="s">
        <v>561</v>
      </c>
      <c r="CM150" s="317" t="s">
        <v>801</v>
      </c>
      <c r="CN150" s="317" t="s">
        <v>561</v>
      </c>
      <c r="CO150" s="317" t="s">
        <v>53</v>
      </c>
      <c r="CP150" s="317" t="s">
        <v>561</v>
      </c>
      <c r="CQ150" s="319"/>
      <c r="CR150" s="319">
        <v>2011.0</v>
      </c>
      <c r="CS150" s="343" t="s">
        <v>1569</v>
      </c>
      <c r="CT150" s="334" t="s">
        <v>122</v>
      </c>
      <c r="CU150" s="319" t="s">
        <v>23</v>
      </c>
      <c r="CV150" s="327" t="s">
        <v>28</v>
      </c>
      <c r="CW150" s="319"/>
      <c r="CX150" s="319"/>
      <c r="CY150" s="323">
        <f t="shared" si="24"/>
        <v>0.32</v>
      </c>
      <c r="CZ150" s="324">
        <v>0.6559999999999999</v>
      </c>
      <c r="DA150" s="323">
        <v>0.336</v>
      </c>
      <c r="DB150" s="323"/>
      <c r="DC150" s="323">
        <f t="shared" si="25"/>
        <v>0.306</v>
      </c>
      <c r="DD150" s="324">
        <v>0.6409999999999999</v>
      </c>
      <c r="DE150" s="323">
        <v>0.335</v>
      </c>
      <c r="DF150" s="323"/>
      <c r="DG150" s="323">
        <v>0.386</v>
      </c>
      <c r="DH150" s="323">
        <v>0.037000000000000005</v>
      </c>
      <c r="DI150" s="324">
        <v>0.5529999999999999</v>
      </c>
      <c r="DJ150" s="323">
        <v>0.015</v>
      </c>
      <c r="DK150" s="323">
        <v>0.013000000000000001</v>
      </c>
      <c r="DL150" s="323">
        <v>0.001</v>
      </c>
      <c r="DM150" s="323"/>
      <c r="DN150" s="323">
        <v>0.228</v>
      </c>
      <c r="DO150" s="323">
        <v>0.322</v>
      </c>
      <c r="DP150" s="323">
        <v>0.273</v>
      </c>
    </row>
    <row r="151">
      <c r="A151" s="311" t="s">
        <v>73</v>
      </c>
      <c r="B151" s="311" t="s">
        <v>74</v>
      </c>
      <c r="C151" s="311" t="s">
        <v>1262</v>
      </c>
      <c r="D151" s="311">
        <v>4.0</v>
      </c>
      <c r="E151" s="312">
        <f t="shared" si="19"/>
        <v>0</v>
      </c>
      <c r="F151" s="312" t="str">
        <f t="shared" si="20"/>
        <v>#DIV/0!</v>
      </c>
      <c r="G151" s="312" t="str">
        <f t="shared" si="21"/>
        <v>#DIV/0!</v>
      </c>
      <c r="H151" s="312" t="str">
        <f t="shared" si="22"/>
        <v>#DIV/0!</v>
      </c>
      <c r="I151" s="312" t="str">
        <f t="shared" si="79"/>
        <v>#DIV/0!</v>
      </c>
      <c r="J151" s="315" t="s">
        <v>2794</v>
      </c>
      <c r="K151" s="315" t="s">
        <v>2794</v>
      </c>
      <c r="L151" s="316" t="str">
        <f t="shared" si="23"/>
        <v>#DIV/0!</v>
      </c>
      <c r="M151" s="317" t="s">
        <v>594</v>
      </c>
      <c r="N151" s="317" t="s">
        <v>594</v>
      </c>
      <c r="O151" s="317" t="s">
        <v>594</v>
      </c>
      <c r="P151" s="317" t="s">
        <v>594</v>
      </c>
      <c r="Q151" s="317" t="s">
        <v>594</v>
      </c>
      <c r="R151" s="317" t="s">
        <v>594</v>
      </c>
      <c r="S151" s="318" t="s">
        <v>561</v>
      </c>
      <c r="T151" s="318" t="s">
        <v>561</v>
      </c>
      <c r="U151" s="330" t="s">
        <v>561</v>
      </c>
      <c r="V151" s="330" t="s">
        <v>561</v>
      </c>
      <c r="W151" s="340" t="s">
        <v>2807</v>
      </c>
      <c r="X151" s="340" t="s">
        <v>561</v>
      </c>
      <c r="Y151" s="340" t="s">
        <v>2807</v>
      </c>
      <c r="Z151" s="317" t="s">
        <v>2795</v>
      </c>
      <c r="AA151" s="317" t="s">
        <v>561</v>
      </c>
      <c r="AB151" s="317" t="s">
        <v>561</v>
      </c>
      <c r="AC151" s="317" t="s">
        <v>2807</v>
      </c>
      <c r="AD151" s="317" t="s">
        <v>2795</v>
      </c>
      <c r="AE151" s="317" t="s">
        <v>561</v>
      </c>
      <c r="AF151" s="317" t="s">
        <v>561</v>
      </c>
      <c r="AG151" s="317" t="s">
        <v>561</v>
      </c>
      <c r="AH151" s="317" t="s">
        <v>561</v>
      </c>
      <c r="AI151" s="317" t="s">
        <v>561</v>
      </c>
      <c r="AJ151" s="317" t="s">
        <v>2807</v>
      </c>
      <c r="AK151" s="317" t="s">
        <v>2807</v>
      </c>
      <c r="AL151" s="317" t="s">
        <v>2807</v>
      </c>
      <c r="AM151" s="317" t="s">
        <v>2807</v>
      </c>
      <c r="AN151" s="317" t="s">
        <v>2795</v>
      </c>
      <c r="AO151" s="317" t="s">
        <v>2807</v>
      </c>
      <c r="AP151" s="317" t="s">
        <v>561</v>
      </c>
      <c r="AQ151" s="317" t="s">
        <v>561</v>
      </c>
      <c r="AR151" s="317" t="s">
        <v>561</v>
      </c>
      <c r="AS151" s="317" t="s">
        <v>2795</v>
      </c>
      <c r="AT151" s="317" t="s">
        <v>561</v>
      </c>
      <c r="AU151" s="317" t="s">
        <v>561</v>
      </c>
      <c r="AV151" s="317" t="s">
        <v>2807</v>
      </c>
      <c r="AW151" s="317" t="s">
        <v>561</v>
      </c>
      <c r="AX151" s="317" t="s">
        <v>561</v>
      </c>
      <c r="AY151" s="317" t="s">
        <v>561</v>
      </c>
      <c r="AZ151" s="317" t="s">
        <v>561</v>
      </c>
      <c r="BA151" s="317" t="s">
        <v>2796</v>
      </c>
      <c r="BB151" s="317" t="s">
        <v>561</v>
      </c>
      <c r="BC151" s="317" t="s">
        <v>2806</v>
      </c>
      <c r="BD151" s="317" t="s">
        <v>2795</v>
      </c>
      <c r="BE151" s="317" t="s">
        <v>561</v>
      </c>
      <c r="BF151" s="317" t="s">
        <v>561</v>
      </c>
      <c r="BG151" s="317" t="s">
        <v>561</v>
      </c>
      <c r="BH151" s="317" t="s">
        <v>561</v>
      </c>
      <c r="BI151" s="317" t="s">
        <v>561</v>
      </c>
      <c r="BJ151" s="317" t="s">
        <v>561</v>
      </c>
      <c r="BK151" s="317" t="s">
        <v>561</v>
      </c>
      <c r="BL151" s="317" t="s">
        <v>2796</v>
      </c>
      <c r="BM151" s="317" t="s">
        <v>2796</v>
      </c>
      <c r="BN151" s="317" t="s">
        <v>561</v>
      </c>
      <c r="BO151" s="317" t="s">
        <v>2796</v>
      </c>
      <c r="BP151" s="317" t="s">
        <v>2796</v>
      </c>
      <c r="BQ151" s="317" t="s">
        <v>600</v>
      </c>
      <c r="BR151" s="317" t="s">
        <v>600</v>
      </c>
      <c r="BS151" s="317" t="s">
        <v>600</v>
      </c>
      <c r="BT151" s="317" t="s">
        <v>600</v>
      </c>
      <c r="BU151" s="317" t="s">
        <v>600</v>
      </c>
      <c r="BV151" s="317" t="s">
        <v>600</v>
      </c>
      <c r="BW151" s="317" t="s">
        <v>600</v>
      </c>
      <c r="BX151" s="317" t="s">
        <v>600</v>
      </c>
      <c r="BY151" s="317" t="s">
        <v>600</v>
      </c>
      <c r="BZ151" s="317" t="s">
        <v>600</v>
      </c>
      <c r="CA151" s="317" t="s">
        <v>600</v>
      </c>
      <c r="CB151" s="317" t="s">
        <v>600</v>
      </c>
      <c r="CC151" s="317" t="s">
        <v>600</v>
      </c>
      <c r="CD151" s="317" t="s">
        <v>600</v>
      </c>
      <c r="CE151" s="317" t="s">
        <v>600</v>
      </c>
      <c r="CF151" s="317" t="s">
        <v>600</v>
      </c>
      <c r="CG151" s="317" t="s">
        <v>600</v>
      </c>
      <c r="CH151" s="317" t="s">
        <v>600</v>
      </c>
      <c r="CI151" s="317" t="s">
        <v>600</v>
      </c>
      <c r="CJ151" s="317" t="s">
        <v>600</v>
      </c>
      <c r="CK151" s="317" t="s">
        <v>600</v>
      </c>
      <c r="CL151" s="317" t="s">
        <v>600</v>
      </c>
      <c r="CM151" s="317" t="s">
        <v>600</v>
      </c>
      <c r="CN151" s="317" t="s">
        <v>600</v>
      </c>
      <c r="CO151" s="317" t="s">
        <v>600</v>
      </c>
      <c r="CP151" s="317" t="s">
        <v>600</v>
      </c>
      <c r="CQ151" s="319"/>
      <c r="CR151" s="319">
        <v>2019.0</v>
      </c>
      <c r="CS151" s="343" t="s">
        <v>1569</v>
      </c>
      <c r="CT151" s="334" t="s">
        <v>122</v>
      </c>
      <c r="CU151" s="319" t="s">
        <v>23</v>
      </c>
      <c r="CV151" s="332" t="s">
        <v>75</v>
      </c>
      <c r="CW151" s="319"/>
      <c r="CX151" s="319"/>
      <c r="CY151" s="323">
        <f t="shared" si="24"/>
        <v>0.103</v>
      </c>
      <c r="CZ151" s="324">
        <v>0.542</v>
      </c>
      <c r="DA151" s="323">
        <v>0.439</v>
      </c>
      <c r="DB151" s="323"/>
      <c r="DC151" s="323">
        <f t="shared" si="25"/>
        <v>0.024</v>
      </c>
      <c r="DD151" s="324">
        <v>0.465</v>
      </c>
      <c r="DE151" s="323">
        <v>0.441</v>
      </c>
      <c r="DF151" s="323"/>
      <c r="DG151" s="324">
        <v>0.594</v>
      </c>
      <c r="DH151" s="323">
        <v>0.231</v>
      </c>
      <c r="DI151" s="323">
        <v>0.066</v>
      </c>
      <c r="DJ151" s="323">
        <v>0.073</v>
      </c>
      <c r="DK151" s="323">
        <v>0.043</v>
      </c>
      <c r="DL151" s="323">
        <v>0.006</v>
      </c>
      <c r="DM151" s="323"/>
      <c r="DN151" s="323">
        <v>0.354</v>
      </c>
      <c r="DO151" s="323">
        <v>0.39299999999999996</v>
      </c>
      <c r="DP151" s="323">
        <v>0.40700000000000003</v>
      </c>
    </row>
    <row r="152">
      <c r="A152" s="311" t="s">
        <v>461</v>
      </c>
      <c r="B152" s="311" t="s">
        <v>1089</v>
      </c>
      <c r="C152" s="311" t="s">
        <v>2835</v>
      </c>
      <c r="D152" s="311">
        <v>6.0</v>
      </c>
      <c r="E152" s="312">
        <f t="shared" si="19"/>
        <v>0</v>
      </c>
      <c r="F152" s="312" t="str">
        <f t="shared" si="20"/>
        <v>#DIV/0!</v>
      </c>
      <c r="G152" s="312" t="str">
        <f t="shared" si="21"/>
        <v>#DIV/0!</v>
      </c>
      <c r="H152" s="312" t="str">
        <f t="shared" si="22"/>
        <v>#DIV/0!</v>
      </c>
      <c r="I152" s="315" t="s">
        <v>2794</v>
      </c>
      <c r="J152" s="315" t="s">
        <v>2794</v>
      </c>
      <c r="K152" s="315" t="s">
        <v>2794</v>
      </c>
      <c r="L152" s="316" t="str">
        <f t="shared" si="23"/>
        <v>#DIV/0!</v>
      </c>
      <c r="M152" s="317" t="s">
        <v>594</v>
      </c>
      <c r="N152" s="317" t="s">
        <v>594</v>
      </c>
      <c r="O152" s="317" t="s">
        <v>594</v>
      </c>
      <c r="P152" s="317" t="s">
        <v>594</v>
      </c>
      <c r="Q152" s="317" t="s">
        <v>594</v>
      </c>
      <c r="R152" s="317" t="s">
        <v>594</v>
      </c>
      <c r="S152" s="318" t="s">
        <v>561</v>
      </c>
      <c r="T152" s="318" t="s">
        <v>561</v>
      </c>
      <c r="U152" s="330" t="s">
        <v>561</v>
      </c>
      <c r="V152" s="330" t="s">
        <v>561</v>
      </c>
      <c r="W152" s="340" t="s">
        <v>2807</v>
      </c>
      <c r="X152" s="340" t="s">
        <v>561</v>
      </c>
      <c r="Y152" s="340" t="s">
        <v>2807</v>
      </c>
      <c r="Z152" s="317" t="s">
        <v>2795</v>
      </c>
      <c r="AA152" s="317" t="s">
        <v>561</v>
      </c>
      <c r="AB152" s="317" t="s">
        <v>561</v>
      </c>
      <c r="AC152" s="317" t="s">
        <v>2795</v>
      </c>
      <c r="AD152" s="317" t="s">
        <v>2795</v>
      </c>
      <c r="AE152" s="317" t="s">
        <v>561</v>
      </c>
      <c r="AF152" s="317" t="s">
        <v>561</v>
      </c>
      <c r="AG152" s="317" t="s">
        <v>561</v>
      </c>
      <c r="AH152" s="317" t="s">
        <v>561</v>
      </c>
      <c r="AI152" s="317" t="s">
        <v>561</v>
      </c>
      <c r="AJ152" s="317" t="s">
        <v>2807</v>
      </c>
      <c r="AK152" s="317" t="s">
        <v>801</v>
      </c>
      <c r="AL152" s="317" t="s">
        <v>2795</v>
      </c>
      <c r="AM152" s="317" t="s">
        <v>2795</v>
      </c>
      <c r="AN152" s="317" t="s">
        <v>2795</v>
      </c>
      <c r="AO152" s="317" t="s">
        <v>2807</v>
      </c>
      <c r="AP152" s="317" t="s">
        <v>561</v>
      </c>
      <c r="AQ152" s="317" t="s">
        <v>561</v>
      </c>
      <c r="AR152" s="317" t="s">
        <v>561</v>
      </c>
      <c r="AS152" s="317" t="s">
        <v>2807</v>
      </c>
      <c r="AT152" s="317" t="s">
        <v>561</v>
      </c>
      <c r="AU152" s="317" t="s">
        <v>561</v>
      </c>
      <c r="AV152" s="317" t="s">
        <v>2807</v>
      </c>
      <c r="AW152" s="317" t="s">
        <v>600</v>
      </c>
      <c r="AX152" s="317" t="s">
        <v>600</v>
      </c>
      <c r="AY152" s="317" t="s">
        <v>600</v>
      </c>
      <c r="AZ152" s="317" t="s">
        <v>600</v>
      </c>
      <c r="BA152" s="317" t="s">
        <v>600</v>
      </c>
      <c r="BB152" s="317" t="s">
        <v>600</v>
      </c>
      <c r="BC152" s="317" t="s">
        <v>600</v>
      </c>
      <c r="BD152" s="317" t="s">
        <v>600</v>
      </c>
      <c r="BE152" s="317" t="s">
        <v>600</v>
      </c>
      <c r="BF152" s="317" t="s">
        <v>600</v>
      </c>
      <c r="BG152" s="317" t="s">
        <v>600</v>
      </c>
      <c r="BH152" s="317" t="s">
        <v>600</v>
      </c>
      <c r="BI152" s="317" t="s">
        <v>600</v>
      </c>
      <c r="BJ152" s="317" t="s">
        <v>600</v>
      </c>
      <c r="BK152" s="317" t="s">
        <v>600</v>
      </c>
      <c r="BL152" s="317" t="s">
        <v>600</v>
      </c>
      <c r="BM152" s="317" t="s">
        <v>600</v>
      </c>
      <c r="BN152" s="317" t="s">
        <v>600</v>
      </c>
      <c r="BO152" s="317" t="s">
        <v>600</v>
      </c>
      <c r="BP152" s="317" t="s">
        <v>600</v>
      </c>
      <c r="BQ152" s="317" t="s">
        <v>600</v>
      </c>
      <c r="BR152" s="317" t="s">
        <v>600</v>
      </c>
      <c r="BS152" s="317" t="s">
        <v>600</v>
      </c>
      <c r="BT152" s="317" t="s">
        <v>600</v>
      </c>
      <c r="BU152" s="317" t="s">
        <v>600</v>
      </c>
      <c r="BV152" s="317" t="s">
        <v>600</v>
      </c>
      <c r="BW152" s="317" t="s">
        <v>600</v>
      </c>
      <c r="BX152" s="317" t="s">
        <v>600</v>
      </c>
      <c r="BY152" s="317" t="s">
        <v>600</v>
      </c>
      <c r="BZ152" s="317" t="s">
        <v>600</v>
      </c>
      <c r="CA152" s="317" t="s">
        <v>600</v>
      </c>
      <c r="CB152" s="317" t="s">
        <v>600</v>
      </c>
      <c r="CC152" s="317" t="s">
        <v>600</v>
      </c>
      <c r="CD152" s="317" t="s">
        <v>600</v>
      </c>
      <c r="CE152" s="317" t="s">
        <v>600</v>
      </c>
      <c r="CF152" s="317" t="s">
        <v>600</v>
      </c>
      <c r="CG152" s="317" t="s">
        <v>600</v>
      </c>
      <c r="CH152" s="317" t="s">
        <v>600</v>
      </c>
      <c r="CI152" s="317" t="s">
        <v>600</v>
      </c>
      <c r="CJ152" s="317" t="s">
        <v>600</v>
      </c>
      <c r="CK152" s="317" t="s">
        <v>600</v>
      </c>
      <c r="CL152" s="317" t="s">
        <v>600</v>
      </c>
      <c r="CM152" s="317" t="s">
        <v>600</v>
      </c>
      <c r="CN152" s="317" t="s">
        <v>600</v>
      </c>
      <c r="CO152" s="317" t="s">
        <v>600</v>
      </c>
      <c r="CP152" s="317" t="s">
        <v>600</v>
      </c>
      <c r="CQ152" s="319"/>
      <c r="CR152" s="319">
        <v>2021.0</v>
      </c>
      <c r="CS152" s="343" t="s">
        <v>1569</v>
      </c>
      <c r="CT152" s="334" t="s">
        <v>2030</v>
      </c>
      <c r="CU152" s="326" t="s">
        <v>600</v>
      </c>
      <c r="CV152" s="332" t="s">
        <v>75</v>
      </c>
      <c r="CW152" s="319"/>
      <c r="CX152" s="319"/>
      <c r="CY152" s="323">
        <f t="shared" si="24"/>
        <v>0.124</v>
      </c>
      <c r="CZ152" s="324">
        <v>0.556</v>
      </c>
      <c r="DA152" s="323">
        <v>0.43200000000000005</v>
      </c>
      <c r="DB152" s="323"/>
      <c r="DC152" s="323">
        <f t="shared" si="25"/>
        <v>0.105</v>
      </c>
      <c r="DD152" s="324">
        <v>0.534</v>
      </c>
      <c r="DE152" s="323">
        <v>0.429</v>
      </c>
      <c r="DF152" s="323"/>
      <c r="DG152" s="324">
        <v>0.547</v>
      </c>
      <c r="DH152" s="323">
        <v>0.08</v>
      </c>
      <c r="DI152" s="323">
        <v>0.317</v>
      </c>
      <c r="DJ152" s="323">
        <v>0.043</v>
      </c>
      <c r="DK152" s="323">
        <v>0.021</v>
      </c>
      <c r="DL152" s="323">
        <v>0.001</v>
      </c>
      <c r="DM152" s="323"/>
      <c r="DN152" s="323">
        <v>0.318</v>
      </c>
      <c r="DO152" s="323">
        <v>0.36700000000000005</v>
      </c>
      <c r="DP152" s="323">
        <v>0.38</v>
      </c>
    </row>
    <row r="153">
      <c r="A153" s="311" t="s">
        <v>1303</v>
      </c>
      <c r="B153" s="311" t="s">
        <v>2789</v>
      </c>
      <c r="C153" s="311" t="s">
        <v>2824</v>
      </c>
      <c r="D153" s="311">
        <v>34.0</v>
      </c>
      <c r="E153" s="312">
        <f t="shared" si="19"/>
        <v>0</v>
      </c>
      <c r="F153" s="312" t="str">
        <f t="shared" si="20"/>
        <v>#DIV/0!</v>
      </c>
      <c r="G153" s="312" t="str">
        <f t="shared" si="21"/>
        <v>#DIV/0!</v>
      </c>
      <c r="H153" s="312" t="str">
        <f t="shared" si="22"/>
        <v>#DIV/0!</v>
      </c>
      <c r="I153" s="312" t="str">
        <f t="shared" ref="I153:I154" si="80">(COUNTIF(AW153:BP153, "Nay")+COUNTIF(AW153:BP153, "Yea (Amend)")+(0.5*COUNTIF(AW153:BP153, "Present")))/(COUNTIF(AW153:BP153, "Nay")+COUNTIF(AW153:BP153, "Yea (Amend)")+COUNTIF(AW153:BP153, "Yea")+COUNTIF(AW153:BP153, "Nay (Amend)")+COUNTIF(AW153:BP153, "Present"))</f>
        <v>#DIV/0!</v>
      </c>
      <c r="J153" s="312" t="str">
        <f t="shared" ref="J153:J154" si="81">(COUNTIF(BQ153:CL153, "Nay")+COUNTIF(BQ153:CL153, "Yea (Amend)")+(0.5*COUNTIF(BQ153:CL153, "Present")))/(COUNTIF(BQ153:CL153, "Nay")+COUNTIF(BQ153:CL153, "Yea (Amend)")+COUNTIF(BQ153:CL153, "Yea")+COUNTIF(BQ153:CL153, "Nay (Amend)")+COUNTIF(BQ153:CL153, "Present"))</f>
        <v>#DIV/0!</v>
      </c>
      <c r="K153" s="315" t="s">
        <v>2794</v>
      </c>
      <c r="L153" s="316" t="str">
        <f t="shared" si="23"/>
        <v>#DIV/0!</v>
      </c>
      <c r="M153" s="317" t="s">
        <v>594</v>
      </c>
      <c r="N153" s="317" t="s">
        <v>594</v>
      </c>
      <c r="O153" s="317" t="s">
        <v>594</v>
      </c>
      <c r="P153" s="317" t="s">
        <v>594</v>
      </c>
      <c r="Q153" s="317" t="s">
        <v>594</v>
      </c>
      <c r="R153" s="317" t="s">
        <v>594</v>
      </c>
      <c r="S153" s="318" t="s">
        <v>561</v>
      </c>
      <c r="T153" s="318" t="s">
        <v>561</v>
      </c>
      <c r="U153" s="330" t="s">
        <v>561</v>
      </c>
      <c r="V153" s="330" t="s">
        <v>561</v>
      </c>
      <c r="W153" s="340" t="s">
        <v>2807</v>
      </c>
      <c r="X153" s="340" t="s">
        <v>561</v>
      </c>
      <c r="Y153" s="318" t="s">
        <v>2795</v>
      </c>
      <c r="Z153" s="317" t="s">
        <v>2795</v>
      </c>
      <c r="AA153" s="317" t="s">
        <v>561</v>
      </c>
      <c r="AB153" s="317" t="s">
        <v>561</v>
      </c>
      <c r="AC153" s="317" t="s">
        <v>2807</v>
      </c>
      <c r="AD153" s="317" t="s">
        <v>2795</v>
      </c>
      <c r="AE153" s="317" t="s">
        <v>561</v>
      </c>
      <c r="AF153" s="317" t="s">
        <v>561</v>
      </c>
      <c r="AG153" s="317" t="s">
        <v>561</v>
      </c>
      <c r="AH153" s="317" t="s">
        <v>561</v>
      </c>
      <c r="AI153" s="317" t="s">
        <v>561</v>
      </c>
      <c r="AJ153" s="317" t="s">
        <v>2807</v>
      </c>
      <c r="AK153" s="317" t="s">
        <v>2807</v>
      </c>
      <c r="AL153" s="317" t="s">
        <v>2795</v>
      </c>
      <c r="AM153" s="317" t="s">
        <v>801</v>
      </c>
      <c r="AN153" s="317" t="s">
        <v>2795</v>
      </c>
      <c r="AO153" s="317" t="s">
        <v>2807</v>
      </c>
      <c r="AP153" s="317" t="s">
        <v>561</v>
      </c>
      <c r="AQ153" s="317" t="s">
        <v>561</v>
      </c>
      <c r="AR153" s="317" t="s">
        <v>561</v>
      </c>
      <c r="AS153" s="317" t="s">
        <v>2807</v>
      </c>
      <c r="AT153" s="317" t="s">
        <v>561</v>
      </c>
      <c r="AU153" s="317" t="s">
        <v>561</v>
      </c>
      <c r="AV153" s="317" t="s">
        <v>2807</v>
      </c>
      <c r="AW153" s="317" t="s">
        <v>561</v>
      </c>
      <c r="AX153" s="317" t="s">
        <v>53</v>
      </c>
      <c r="AY153" s="317" t="s">
        <v>561</v>
      </c>
      <c r="AZ153" s="317" t="s">
        <v>561</v>
      </c>
      <c r="BA153" s="317" t="s">
        <v>2806</v>
      </c>
      <c r="BB153" s="317" t="s">
        <v>561</v>
      </c>
      <c r="BC153" s="317" t="s">
        <v>2806</v>
      </c>
      <c r="BD153" s="317" t="s">
        <v>2795</v>
      </c>
      <c r="BE153" s="317" t="s">
        <v>561</v>
      </c>
      <c r="BF153" s="317" t="s">
        <v>561</v>
      </c>
      <c r="BG153" s="317" t="s">
        <v>53</v>
      </c>
      <c r="BH153" s="317" t="s">
        <v>561</v>
      </c>
      <c r="BI153" s="317" t="s">
        <v>801</v>
      </c>
      <c r="BJ153" s="317" t="s">
        <v>561</v>
      </c>
      <c r="BK153" s="317" t="s">
        <v>561</v>
      </c>
      <c r="BL153" s="317" t="s">
        <v>2796</v>
      </c>
      <c r="BM153" s="317" t="s">
        <v>2806</v>
      </c>
      <c r="BN153" s="317" t="s">
        <v>561</v>
      </c>
      <c r="BO153" s="317" t="s">
        <v>2806</v>
      </c>
      <c r="BP153" s="317" t="s">
        <v>2806</v>
      </c>
      <c r="BQ153" s="317" t="s">
        <v>53</v>
      </c>
      <c r="BR153" s="317" t="s">
        <v>53</v>
      </c>
      <c r="BS153" s="317" t="s">
        <v>53</v>
      </c>
      <c r="BT153" s="317" t="s">
        <v>561</v>
      </c>
      <c r="BU153" s="317" t="s">
        <v>561</v>
      </c>
      <c r="BV153" s="317" t="s">
        <v>561</v>
      </c>
      <c r="BW153" s="317" t="s">
        <v>561</v>
      </c>
      <c r="BX153" s="317" t="s">
        <v>561</v>
      </c>
      <c r="BY153" s="317" t="s">
        <v>561</v>
      </c>
      <c r="BZ153" s="317" t="s">
        <v>561</v>
      </c>
      <c r="CA153" s="317" t="s">
        <v>53</v>
      </c>
      <c r="CB153" s="317" t="s">
        <v>561</v>
      </c>
      <c r="CC153" s="317" t="s">
        <v>561</v>
      </c>
      <c r="CD153" s="317" t="s">
        <v>561</v>
      </c>
      <c r="CE153" s="317" t="s">
        <v>561</v>
      </c>
      <c r="CF153" s="317" t="s">
        <v>53</v>
      </c>
      <c r="CG153" s="317" t="s">
        <v>561</v>
      </c>
      <c r="CH153" s="317" t="s">
        <v>561</v>
      </c>
      <c r="CI153" s="317" t="s">
        <v>561</v>
      </c>
      <c r="CJ153" s="317" t="s">
        <v>2806</v>
      </c>
      <c r="CK153" s="317" t="s">
        <v>561</v>
      </c>
      <c r="CL153" s="317" t="s">
        <v>561</v>
      </c>
      <c r="CM153" s="317" t="s">
        <v>600</v>
      </c>
      <c r="CN153" s="317" t="s">
        <v>600</v>
      </c>
      <c r="CO153" s="317" t="s">
        <v>600</v>
      </c>
      <c r="CP153" s="317" t="s">
        <v>600</v>
      </c>
      <c r="CQ153" s="319"/>
      <c r="CR153" s="319">
        <v>2017.0</v>
      </c>
      <c r="CS153" s="334" t="s">
        <v>2665</v>
      </c>
      <c r="CT153" s="334" t="s">
        <v>122</v>
      </c>
      <c r="CU153" s="319" t="s">
        <v>23</v>
      </c>
      <c r="CV153" s="320" t="s">
        <v>979</v>
      </c>
      <c r="CW153" s="319"/>
      <c r="CX153" s="319"/>
      <c r="CY153" s="323">
        <f t="shared" si="24"/>
        <v>0.155</v>
      </c>
      <c r="CZ153" s="324">
        <v>0.573</v>
      </c>
      <c r="DA153" s="323">
        <v>0.418</v>
      </c>
      <c r="DB153" s="323"/>
      <c r="DC153" s="323">
        <f t="shared" si="25"/>
        <v>0.362</v>
      </c>
      <c r="DD153" s="324">
        <v>0.6609999999999999</v>
      </c>
      <c r="DE153" s="323">
        <v>0.299</v>
      </c>
      <c r="DF153" s="323"/>
      <c r="DG153" s="323">
        <v>0.095</v>
      </c>
      <c r="DH153" s="324">
        <v>0.885</v>
      </c>
      <c r="DI153" s="323">
        <v>0.008</v>
      </c>
      <c r="DJ153" s="323">
        <v>0.009000000000000001</v>
      </c>
      <c r="DK153" s="323">
        <v>0.015</v>
      </c>
      <c r="DL153" s="323">
        <v>0.001</v>
      </c>
      <c r="DM153" s="323"/>
      <c r="DN153" s="323">
        <v>0.17</v>
      </c>
      <c r="DO153" s="323">
        <v>0.32799999999999996</v>
      </c>
      <c r="DP153" s="323">
        <v>0.079</v>
      </c>
    </row>
    <row r="154">
      <c r="A154" s="311" t="s">
        <v>136</v>
      </c>
      <c r="B154" s="311" t="s">
        <v>137</v>
      </c>
      <c r="C154" s="311" t="s">
        <v>1197</v>
      </c>
      <c r="D154" s="311">
        <v>11.0</v>
      </c>
      <c r="E154" s="312">
        <f t="shared" si="19"/>
        <v>0</v>
      </c>
      <c r="F154" s="312" t="str">
        <f t="shared" si="20"/>
        <v>#DIV/0!</v>
      </c>
      <c r="G154" s="312" t="str">
        <f t="shared" si="21"/>
        <v>#DIV/0!</v>
      </c>
      <c r="H154" s="312" t="str">
        <f t="shared" si="22"/>
        <v>#DIV/0!</v>
      </c>
      <c r="I154" s="312" t="str">
        <f t="shared" si="80"/>
        <v>#DIV/0!</v>
      </c>
      <c r="J154" s="312" t="str">
        <f t="shared" si="81"/>
        <v>#DIV/0!</v>
      </c>
      <c r="K154" s="312" t="str">
        <f>(COUNTIF(CM154:CP154, "Nay")+COUNTIF(CM154:CP154, "Yea (Amend)")+(0.5*COUNTIF(CM154:CP154, "Present")))/(COUNTIF(CM154:CP154, "Nay")+COUNTIF(CM154:CP154, "Yea (Amend)")+COUNTIF(CM154:CP154, "Yea")+COUNTIF(CM154:CP154, "Nay (Amend)")+COUNTIF(CM154:CP154, "Present"))</f>
        <v>#DIV/0!</v>
      </c>
      <c r="L154" s="316" t="str">
        <f t="shared" si="23"/>
        <v>#DIV/0!</v>
      </c>
      <c r="M154" s="317" t="s">
        <v>594</v>
      </c>
      <c r="N154" s="317" t="s">
        <v>594</v>
      </c>
      <c r="O154" s="317" t="s">
        <v>594</v>
      </c>
      <c r="P154" s="317" t="s">
        <v>594</v>
      </c>
      <c r="Q154" s="317" t="s">
        <v>594</v>
      </c>
      <c r="R154" s="317" t="s">
        <v>594</v>
      </c>
      <c r="S154" s="318" t="s">
        <v>561</v>
      </c>
      <c r="T154" s="318" t="s">
        <v>561</v>
      </c>
      <c r="U154" s="330" t="s">
        <v>561</v>
      </c>
      <c r="V154" s="330" t="s">
        <v>561</v>
      </c>
      <c r="W154" s="339" t="s">
        <v>801</v>
      </c>
      <c r="X154" s="340" t="s">
        <v>561</v>
      </c>
      <c r="Y154" s="339" t="s">
        <v>801</v>
      </c>
      <c r="Z154" s="317" t="s">
        <v>801</v>
      </c>
      <c r="AA154" s="317" t="s">
        <v>561</v>
      </c>
      <c r="AB154" s="317" t="s">
        <v>801</v>
      </c>
      <c r="AC154" s="317" t="s">
        <v>801</v>
      </c>
      <c r="AD154" s="317" t="s">
        <v>801</v>
      </c>
      <c r="AE154" s="317" t="s">
        <v>801</v>
      </c>
      <c r="AF154" s="317" t="s">
        <v>561</v>
      </c>
      <c r="AG154" s="317" t="s">
        <v>801</v>
      </c>
      <c r="AH154" s="317" t="s">
        <v>801</v>
      </c>
      <c r="AI154" s="317" t="s">
        <v>801</v>
      </c>
      <c r="AJ154" s="317" t="s">
        <v>801</v>
      </c>
      <c r="AK154" s="317" t="s">
        <v>801</v>
      </c>
      <c r="AL154" s="317" t="s">
        <v>2795</v>
      </c>
      <c r="AM154" s="317" t="s">
        <v>2807</v>
      </c>
      <c r="AN154" s="317" t="s">
        <v>2795</v>
      </c>
      <c r="AO154" s="317" t="s">
        <v>2807</v>
      </c>
      <c r="AP154" s="317" t="s">
        <v>561</v>
      </c>
      <c r="AQ154" s="317" t="s">
        <v>561</v>
      </c>
      <c r="AR154" s="317" t="s">
        <v>561</v>
      </c>
      <c r="AS154" s="317" t="s">
        <v>2795</v>
      </c>
      <c r="AT154" s="317" t="s">
        <v>561</v>
      </c>
      <c r="AU154" s="317" t="s">
        <v>561</v>
      </c>
      <c r="AV154" s="317" t="s">
        <v>801</v>
      </c>
      <c r="AW154" s="317" t="s">
        <v>561</v>
      </c>
      <c r="AX154" s="317" t="s">
        <v>561</v>
      </c>
      <c r="AY154" s="317" t="s">
        <v>561</v>
      </c>
      <c r="AZ154" s="317" t="s">
        <v>801</v>
      </c>
      <c r="BA154" s="317" t="s">
        <v>801</v>
      </c>
      <c r="BB154" s="317" t="s">
        <v>801</v>
      </c>
      <c r="BC154" s="317" t="s">
        <v>801</v>
      </c>
      <c r="BD154" s="317" t="s">
        <v>801</v>
      </c>
      <c r="BE154" s="317" t="s">
        <v>801</v>
      </c>
      <c r="BF154" s="317" t="s">
        <v>561</v>
      </c>
      <c r="BG154" s="317" t="s">
        <v>801</v>
      </c>
      <c r="BH154" s="317" t="s">
        <v>801</v>
      </c>
      <c r="BI154" s="317" t="s">
        <v>801</v>
      </c>
      <c r="BJ154" s="317" t="s">
        <v>801</v>
      </c>
      <c r="BK154" s="317" t="s">
        <v>561</v>
      </c>
      <c r="BL154" s="317" t="s">
        <v>801</v>
      </c>
      <c r="BM154" s="317" t="s">
        <v>801</v>
      </c>
      <c r="BN154" s="317" t="s">
        <v>801</v>
      </c>
      <c r="BO154" s="317" t="s">
        <v>801</v>
      </c>
      <c r="BP154" s="317" t="s">
        <v>801</v>
      </c>
      <c r="BQ154" s="317" t="s">
        <v>53</v>
      </c>
      <c r="BR154" s="317" t="s">
        <v>53</v>
      </c>
      <c r="BS154" s="317" t="s">
        <v>53</v>
      </c>
      <c r="BT154" s="317" t="s">
        <v>561</v>
      </c>
      <c r="BU154" s="317" t="s">
        <v>53</v>
      </c>
      <c r="BV154" s="317" t="s">
        <v>561</v>
      </c>
      <c r="BW154" s="317" t="s">
        <v>53</v>
      </c>
      <c r="BX154" s="317" t="s">
        <v>561</v>
      </c>
      <c r="BY154" s="317" t="s">
        <v>53</v>
      </c>
      <c r="BZ154" s="317" t="s">
        <v>561</v>
      </c>
      <c r="CA154" s="317" t="s">
        <v>53</v>
      </c>
      <c r="CB154" s="317" t="s">
        <v>561</v>
      </c>
      <c r="CC154" s="317" t="s">
        <v>561</v>
      </c>
      <c r="CD154" s="317" t="s">
        <v>801</v>
      </c>
      <c r="CE154" s="317" t="s">
        <v>561</v>
      </c>
      <c r="CF154" s="317" t="s">
        <v>53</v>
      </c>
      <c r="CG154" s="317" t="s">
        <v>561</v>
      </c>
      <c r="CH154" s="317" t="s">
        <v>561</v>
      </c>
      <c r="CI154" s="317" t="s">
        <v>561</v>
      </c>
      <c r="CJ154" s="317" t="s">
        <v>2796</v>
      </c>
      <c r="CK154" s="317" t="s">
        <v>561</v>
      </c>
      <c r="CL154" s="317" t="s">
        <v>561</v>
      </c>
      <c r="CM154" s="317" t="s">
        <v>561</v>
      </c>
      <c r="CN154" s="317" t="s">
        <v>561</v>
      </c>
      <c r="CO154" s="317" t="s">
        <v>53</v>
      </c>
      <c r="CP154" s="317" t="s">
        <v>561</v>
      </c>
      <c r="CQ154" s="319"/>
      <c r="CR154" s="319" t="s">
        <v>2587</v>
      </c>
      <c r="CS154" s="342" t="s">
        <v>2476</v>
      </c>
      <c r="CT154" s="334" t="s">
        <v>2030</v>
      </c>
      <c r="CU154" s="326" t="s">
        <v>2476</v>
      </c>
      <c r="CV154" s="332" t="s">
        <v>75</v>
      </c>
      <c r="CW154" s="319"/>
      <c r="CX154" s="319"/>
      <c r="CY154" s="323">
        <f t="shared" si="24"/>
        <v>0.746</v>
      </c>
      <c r="CZ154" s="324">
        <v>0.863</v>
      </c>
      <c r="DA154" s="323">
        <v>0.11699999999999999</v>
      </c>
      <c r="DB154" s="323"/>
      <c r="DC154" s="323">
        <f t="shared" si="25"/>
        <v>0.771</v>
      </c>
      <c r="DD154" s="324">
        <v>0.86</v>
      </c>
      <c r="DE154" s="323">
        <v>0.08900000000000001</v>
      </c>
      <c r="DF154" s="323"/>
      <c r="DG154" s="324">
        <v>0.446</v>
      </c>
      <c r="DH154" s="323">
        <v>0.132</v>
      </c>
      <c r="DI154" s="323">
        <v>0.066</v>
      </c>
      <c r="DJ154" s="323">
        <v>0.342</v>
      </c>
      <c r="DK154" s="323">
        <v>0.019</v>
      </c>
      <c r="DL154" s="323">
        <v>0.006999999999999999</v>
      </c>
      <c r="DM154" s="323"/>
      <c r="DN154" s="324">
        <v>0.634</v>
      </c>
      <c r="DO154" s="324">
        <v>0.7829999999999999</v>
      </c>
      <c r="DP154" s="323">
        <v>0.10800000000000001</v>
      </c>
    </row>
    <row r="155">
      <c r="A155" s="311" t="s">
        <v>652</v>
      </c>
      <c r="B155" s="311" t="s">
        <v>653</v>
      </c>
      <c r="C155" s="311" t="s">
        <v>2832</v>
      </c>
      <c r="D155" s="311">
        <v>1.0</v>
      </c>
      <c r="E155" s="312">
        <f t="shared" si="19"/>
        <v>0</v>
      </c>
      <c r="F155" s="312" t="str">
        <f t="shared" si="20"/>
        <v>#DIV/0!</v>
      </c>
      <c r="G155" s="312" t="str">
        <f t="shared" si="21"/>
        <v>#DIV/0!</v>
      </c>
      <c r="H155" s="312" t="str">
        <f t="shared" si="22"/>
        <v>#DIV/0!</v>
      </c>
      <c r="I155" s="315" t="s">
        <v>2794</v>
      </c>
      <c r="J155" s="315" t="s">
        <v>2794</v>
      </c>
      <c r="K155" s="315" t="s">
        <v>2794</v>
      </c>
      <c r="L155" s="316" t="str">
        <f t="shared" si="23"/>
        <v>#DIV/0!</v>
      </c>
      <c r="M155" s="317" t="s">
        <v>594</v>
      </c>
      <c r="N155" s="317" t="s">
        <v>594</v>
      </c>
      <c r="O155" s="317" t="s">
        <v>594</v>
      </c>
      <c r="P155" s="317" t="s">
        <v>594</v>
      </c>
      <c r="Q155" s="317" t="s">
        <v>594</v>
      </c>
      <c r="R155" s="317" t="s">
        <v>594</v>
      </c>
      <c r="S155" s="318" t="s">
        <v>561</v>
      </c>
      <c r="T155" s="318" t="s">
        <v>561</v>
      </c>
      <c r="U155" s="330" t="s">
        <v>561</v>
      </c>
      <c r="V155" s="330" t="s">
        <v>561</v>
      </c>
      <c r="W155" s="340" t="s">
        <v>2807</v>
      </c>
      <c r="X155" s="340" t="s">
        <v>561</v>
      </c>
      <c r="Y155" s="340" t="s">
        <v>2807</v>
      </c>
      <c r="Z155" s="317" t="s">
        <v>2795</v>
      </c>
      <c r="AA155" s="317" t="s">
        <v>561</v>
      </c>
      <c r="AB155" s="317" t="s">
        <v>53</v>
      </c>
      <c r="AC155" s="317" t="s">
        <v>2807</v>
      </c>
      <c r="AD155" s="317" t="s">
        <v>2795</v>
      </c>
      <c r="AE155" s="317" t="s">
        <v>561</v>
      </c>
      <c r="AF155" s="317" t="s">
        <v>561</v>
      </c>
      <c r="AG155" s="317" t="s">
        <v>561</v>
      </c>
      <c r="AH155" s="317" t="s">
        <v>561</v>
      </c>
      <c r="AI155" s="317" t="s">
        <v>561</v>
      </c>
      <c r="AJ155" s="317" t="s">
        <v>2795</v>
      </c>
      <c r="AK155" s="317" t="s">
        <v>2807</v>
      </c>
      <c r="AL155" s="317" t="s">
        <v>2795</v>
      </c>
      <c r="AM155" s="317" t="s">
        <v>2807</v>
      </c>
      <c r="AN155" s="317" t="s">
        <v>2795</v>
      </c>
      <c r="AO155" s="317" t="s">
        <v>2807</v>
      </c>
      <c r="AP155" s="317" t="s">
        <v>561</v>
      </c>
      <c r="AQ155" s="317" t="s">
        <v>561</v>
      </c>
      <c r="AR155" s="317" t="s">
        <v>561</v>
      </c>
      <c r="AS155" s="317" t="s">
        <v>2807</v>
      </c>
      <c r="AT155" s="317" t="s">
        <v>561</v>
      </c>
      <c r="AU155" s="317" t="s">
        <v>561</v>
      </c>
      <c r="AV155" s="317" t="s">
        <v>2807</v>
      </c>
      <c r="AW155" s="317" t="s">
        <v>600</v>
      </c>
      <c r="AX155" s="317" t="s">
        <v>600</v>
      </c>
      <c r="AY155" s="317" t="s">
        <v>600</v>
      </c>
      <c r="AZ155" s="317" t="s">
        <v>600</v>
      </c>
      <c r="BA155" s="317" t="s">
        <v>600</v>
      </c>
      <c r="BB155" s="317" t="s">
        <v>600</v>
      </c>
      <c r="BC155" s="317" t="s">
        <v>600</v>
      </c>
      <c r="BD155" s="317" t="s">
        <v>600</v>
      </c>
      <c r="BE155" s="317" t="s">
        <v>600</v>
      </c>
      <c r="BF155" s="317" t="s">
        <v>600</v>
      </c>
      <c r="BG155" s="317" t="s">
        <v>600</v>
      </c>
      <c r="BH155" s="317" t="s">
        <v>600</v>
      </c>
      <c r="BI155" s="317" t="s">
        <v>600</v>
      </c>
      <c r="BJ155" s="317" t="s">
        <v>600</v>
      </c>
      <c r="BK155" s="317" t="s">
        <v>600</v>
      </c>
      <c r="BL155" s="317" t="s">
        <v>600</v>
      </c>
      <c r="BM155" s="317" t="s">
        <v>600</v>
      </c>
      <c r="BN155" s="317" t="s">
        <v>600</v>
      </c>
      <c r="BO155" s="317" t="s">
        <v>600</v>
      </c>
      <c r="BP155" s="317" t="s">
        <v>600</v>
      </c>
      <c r="BQ155" s="317" t="s">
        <v>600</v>
      </c>
      <c r="BR155" s="317" t="s">
        <v>600</v>
      </c>
      <c r="BS155" s="317" t="s">
        <v>600</v>
      </c>
      <c r="BT155" s="317" t="s">
        <v>600</v>
      </c>
      <c r="BU155" s="317" t="s">
        <v>600</v>
      </c>
      <c r="BV155" s="317" t="s">
        <v>600</v>
      </c>
      <c r="BW155" s="317" t="s">
        <v>600</v>
      </c>
      <c r="BX155" s="317" t="s">
        <v>600</v>
      </c>
      <c r="BY155" s="317" t="s">
        <v>600</v>
      </c>
      <c r="BZ155" s="317" t="s">
        <v>600</v>
      </c>
      <c r="CA155" s="317" t="s">
        <v>600</v>
      </c>
      <c r="CB155" s="317" t="s">
        <v>600</v>
      </c>
      <c r="CC155" s="317" t="s">
        <v>600</v>
      </c>
      <c r="CD155" s="317" t="s">
        <v>600</v>
      </c>
      <c r="CE155" s="317" t="s">
        <v>600</v>
      </c>
      <c r="CF155" s="317" t="s">
        <v>600</v>
      </c>
      <c r="CG155" s="317" t="s">
        <v>600</v>
      </c>
      <c r="CH155" s="317" t="s">
        <v>600</v>
      </c>
      <c r="CI155" s="317" t="s">
        <v>600</v>
      </c>
      <c r="CJ155" s="317" t="s">
        <v>600</v>
      </c>
      <c r="CK155" s="317" t="s">
        <v>600</v>
      </c>
      <c r="CL155" s="317" t="s">
        <v>600</v>
      </c>
      <c r="CM155" s="317" t="s">
        <v>600</v>
      </c>
      <c r="CN155" s="317" t="s">
        <v>600</v>
      </c>
      <c r="CO155" s="317" t="s">
        <v>600</v>
      </c>
      <c r="CP155" s="317" t="s">
        <v>600</v>
      </c>
      <c r="CQ155" s="319"/>
      <c r="CR155" s="319">
        <v>2021.0</v>
      </c>
      <c r="CS155" s="342" t="s">
        <v>2476</v>
      </c>
      <c r="CT155" s="334" t="s">
        <v>122</v>
      </c>
      <c r="CU155" s="326" t="s">
        <v>600</v>
      </c>
      <c r="CV155" s="332" t="s">
        <v>75</v>
      </c>
      <c r="CW155" s="319"/>
      <c r="CX155" s="319"/>
      <c r="CY155" s="323">
        <f t="shared" si="24"/>
        <v>0.084</v>
      </c>
      <c r="CZ155" s="324">
        <v>0.534</v>
      </c>
      <c r="DA155" s="323">
        <v>0.45</v>
      </c>
      <c r="DB155" s="323"/>
      <c r="DC155" s="323">
        <f t="shared" si="25"/>
        <v>0.118</v>
      </c>
      <c r="DD155" s="324">
        <v>0.53</v>
      </c>
      <c r="DE155" s="323">
        <v>0.41200000000000003</v>
      </c>
      <c r="DF155" s="323"/>
      <c r="DG155" s="324">
        <v>0.632</v>
      </c>
      <c r="DH155" s="323">
        <v>0.14300000000000002</v>
      </c>
      <c r="DI155" s="323">
        <v>0.18899999999999997</v>
      </c>
      <c r="DJ155" s="323">
        <v>0.018000000000000002</v>
      </c>
      <c r="DK155" s="323">
        <v>0.021</v>
      </c>
      <c r="DL155" s="323">
        <v>0.001</v>
      </c>
      <c r="DM155" s="323"/>
      <c r="DN155" s="323">
        <v>0.24</v>
      </c>
      <c r="DO155" s="323">
        <v>0.27</v>
      </c>
      <c r="DP155" s="323">
        <v>0.494</v>
      </c>
    </row>
    <row r="156">
      <c r="A156" s="311" t="s">
        <v>1345</v>
      </c>
      <c r="B156" s="311" t="s">
        <v>1346</v>
      </c>
      <c r="C156" s="311" t="s">
        <v>1060</v>
      </c>
      <c r="D156" s="311">
        <v>10.0</v>
      </c>
      <c r="E156" s="312">
        <f t="shared" si="19"/>
        <v>0.1666666667</v>
      </c>
      <c r="F156" s="312" t="str">
        <f t="shared" si="20"/>
        <v>#DIV/0!</v>
      </c>
      <c r="G156" s="312" t="str">
        <f t="shared" si="21"/>
        <v>#DIV/0!</v>
      </c>
      <c r="H156" s="312" t="str">
        <f t="shared" si="22"/>
        <v>#DIV/0!</v>
      </c>
      <c r="I156" s="312" t="str">
        <f t="shared" ref="I156:I180" si="82">(COUNTIF(AW156:BP156, "Nay")+COUNTIF(AW156:BP156, "Yea (Amend)")+(0.5*COUNTIF(AW156:BP156, "Present")))/(COUNTIF(AW156:BP156, "Nay")+COUNTIF(AW156:BP156, "Yea (Amend)")+COUNTIF(AW156:BP156, "Yea")+COUNTIF(AW156:BP156, "Nay (Amend)")+COUNTIF(AW156:BP156, "Present"))</f>
        <v>#DIV/0!</v>
      </c>
      <c r="J156" s="315" t="s">
        <v>2794</v>
      </c>
      <c r="K156" s="315" t="s">
        <v>2794</v>
      </c>
      <c r="L156" s="316" t="str">
        <f t="shared" si="23"/>
        <v>#DIV/0!</v>
      </c>
      <c r="M156" s="317" t="s">
        <v>594</v>
      </c>
      <c r="N156" s="317" t="s">
        <v>594</v>
      </c>
      <c r="O156" s="317" t="s">
        <v>487</v>
      </c>
      <c r="P156" s="317" t="s">
        <v>594</v>
      </c>
      <c r="Q156" s="317" t="s">
        <v>594</v>
      </c>
      <c r="R156" s="317" t="s">
        <v>594</v>
      </c>
      <c r="S156" s="318" t="s">
        <v>561</v>
      </c>
      <c r="T156" s="318" t="s">
        <v>561</v>
      </c>
      <c r="U156" s="330" t="s">
        <v>561</v>
      </c>
      <c r="V156" s="330" t="s">
        <v>561</v>
      </c>
      <c r="W156" s="340" t="s">
        <v>2807</v>
      </c>
      <c r="X156" s="340" t="s">
        <v>561</v>
      </c>
      <c r="Y156" s="340" t="s">
        <v>2807</v>
      </c>
      <c r="Z156" s="317" t="s">
        <v>2807</v>
      </c>
      <c r="AA156" s="317" t="s">
        <v>561</v>
      </c>
      <c r="AB156" s="317" t="s">
        <v>561</v>
      </c>
      <c r="AC156" s="317" t="s">
        <v>2807</v>
      </c>
      <c r="AD156" s="317" t="s">
        <v>2807</v>
      </c>
      <c r="AE156" s="317" t="s">
        <v>561</v>
      </c>
      <c r="AF156" s="317" t="s">
        <v>561</v>
      </c>
      <c r="AG156" s="317" t="s">
        <v>561</v>
      </c>
      <c r="AH156" s="317" t="s">
        <v>561</v>
      </c>
      <c r="AI156" s="317" t="s">
        <v>561</v>
      </c>
      <c r="AJ156" s="317" t="s">
        <v>2807</v>
      </c>
      <c r="AK156" s="317" t="s">
        <v>2807</v>
      </c>
      <c r="AL156" s="317" t="s">
        <v>2795</v>
      </c>
      <c r="AM156" s="317" t="s">
        <v>2807</v>
      </c>
      <c r="AN156" s="317" t="s">
        <v>2795</v>
      </c>
      <c r="AO156" s="317" t="s">
        <v>2807</v>
      </c>
      <c r="AP156" s="317" t="s">
        <v>561</v>
      </c>
      <c r="AQ156" s="317" t="s">
        <v>561</v>
      </c>
      <c r="AR156" s="317" t="s">
        <v>561</v>
      </c>
      <c r="AS156" s="317" t="s">
        <v>2795</v>
      </c>
      <c r="AT156" s="317" t="s">
        <v>561</v>
      </c>
      <c r="AU156" s="317" t="s">
        <v>53</v>
      </c>
      <c r="AV156" s="317" t="s">
        <v>2807</v>
      </c>
      <c r="AW156" s="317" t="s">
        <v>561</v>
      </c>
      <c r="AX156" s="317" t="s">
        <v>561</v>
      </c>
      <c r="AY156" s="317" t="s">
        <v>561</v>
      </c>
      <c r="AZ156" s="317" t="s">
        <v>561</v>
      </c>
      <c r="BA156" s="317" t="s">
        <v>2796</v>
      </c>
      <c r="BB156" s="317" t="s">
        <v>561</v>
      </c>
      <c r="BC156" s="317" t="s">
        <v>2806</v>
      </c>
      <c r="BD156" s="317" t="s">
        <v>2795</v>
      </c>
      <c r="BE156" s="317" t="s">
        <v>561</v>
      </c>
      <c r="BF156" s="317" t="s">
        <v>561</v>
      </c>
      <c r="BG156" s="317" t="s">
        <v>561</v>
      </c>
      <c r="BH156" s="317" t="s">
        <v>561</v>
      </c>
      <c r="BI156" s="317" t="s">
        <v>561</v>
      </c>
      <c r="BJ156" s="317" t="s">
        <v>561</v>
      </c>
      <c r="BK156" s="317" t="s">
        <v>561</v>
      </c>
      <c r="BL156" s="317" t="s">
        <v>2806</v>
      </c>
      <c r="BM156" s="317" t="s">
        <v>2806</v>
      </c>
      <c r="BN156" s="317" t="s">
        <v>561</v>
      </c>
      <c r="BO156" s="317" t="s">
        <v>2796</v>
      </c>
      <c r="BP156" s="317" t="s">
        <v>2806</v>
      </c>
      <c r="BQ156" s="317" t="s">
        <v>600</v>
      </c>
      <c r="BR156" s="317" t="s">
        <v>600</v>
      </c>
      <c r="BS156" s="317" t="s">
        <v>600</v>
      </c>
      <c r="BT156" s="317" t="s">
        <v>600</v>
      </c>
      <c r="BU156" s="317" t="s">
        <v>600</v>
      </c>
      <c r="BV156" s="317" t="s">
        <v>600</v>
      </c>
      <c r="BW156" s="317" t="s">
        <v>600</v>
      </c>
      <c r="BX156" s="317" t="s">
        <v>600</v>
      </c>
      <c r="BY156" s="317" t="s">
        <v>600</v>
      </c>
      <c r="BZ156" s="317" t="s">
        <v>600</v>
      </c>
      <c r="CA156" s="317" t="s">
        <v>600</v>
      </c>
      <c r="CB156" s="317" t="s">
        <v>600</v>
      </c>
      <c r="CC156" s="317" t="s">
        <v>600</v>
      </c>
      <c r="CD156" s="317" t="s">
        <v>600</v>
      </c>
      <c r="CE156" s="317" t="s">
        <v>600</v>
      </c>
      <c r="CF156" s="317" t="s">
        <v>600</v>
      </c>
      <c r="CG156" s="317" t="s">
        <v>600</v>
      </c>
      <c r="CH156" s="317" t="s">
        <v>600</v>
      </c>
      <c r="CI156" s="317" t="s">
        <v>600</v>
      </c>
      <c r="CJ156" s="317" t="s">
        <v>600</v>
      </c>
      <c r="CK156" s="317" t="s">
        <v>600</v>
      </c>
      <c r="CL156" s="317" t="s">
        <v>600</v>
      </c>
      <c r="CM156" s="317" t="s">
        <v>600</v>
      </c>
      <c r="CN156" s="317" t="s">
        <v>600</v>
      </c>
      <c r="CO156" s="317" t="s">
        <v>600</v>
      </c>
      <c r="CP156" s="317" t="s">
        <v>600</v>
      </c>
      <c r="CQ156" s="319"/>
      <c r="CR156" s="319">
        <v>2019.0</v>
      </c>
      <c r="CS156" s="343" t="s">
        <v>1569</v>
      </c>
      <c r="CT156" s="319"/>
      <c r="CU156" s="319" t="s">
        <v>23</v>
      </c>
      <c r="CV156" s="332" t="s">
        <v>75</v>
      </c>
      <c r="CW156" s="319"/>
      <c r="CX156" s="319"/>
      <c r="CY156" s="323">
        <f t="shared" si="24"/>
        <v>0.181</v>
      </c>
      <c r="CZ156" s="324">
        <v>0.583</v>
      </c>
      <c r="DA156" s="323">
        <v>0.402</v>
      </c>
      <c r="DB156" s="323"/>
      <c r="DC156" s="323">
        <f t="shared" si="25"/>
        <v>0.076</v>
      </c>
      <c r="DD156" s="324">
        <v>0.505</v>
      </c>
      <c r="DE156" s="323">
        <v>0.429</v>
      </c>
      <c r="DF156" s="323"/>
      <c r="DG156" s="324">
        <v>0.5579999999999999</v>
      </c>
      <c r="DH156" s="323">
        <v>0.16</v>
      </c>
      <c r="DI156" s="323">
        <v>0.099</v>
      </c>
      <c r="DJ156" s="323">
        <v>0.16899999999999998</v>
      </c>
      <c r="DK156" s="323">
        <v>0.019</v>
      </c>
      <c r="DL156" s="323">
        <v>0.002</v>
      </c>
      <c r="DM156" s="323"/>
      <c r="DN156" s="324">
        <v>0.526</v>
      </c>
      <c r="DO156" s="324">
        <v>0.565</v>
      </c>
      <c r="DP156" s="323">
        <v>0.285</v>
      </c>
    </row>
    <row r="157">
      <c r="A157" s="311" t="s">
        <v>541</v>
      </c>
      <c r="B157" s="311" t="s">
        <v>713</v>
      </c>
      <c r="C157" s="311" t="s">
        <v>646</v>
      </c>
      <c r="D157" s="311">
        <v>6.0</v>
      </c>
      <c r="E157" s="312">
        <f t="shared" si="19"/>
        <v>0.1666666667</v>
      </c>
      <c r="F157" s="312" t="str">
        <f t="shared" si="20"/>
        <v>#DIV/0!</v>
      </c>
      <c r="G157" s="312" t="str">
        <f t="shared" si="21"/>
        <v>#DIV/0!</v>
      </c>
      <c r="H157" s="312" t="str">
        <f t="shared" si="22"/>
        <v>#DIV/0!</v>
      </c>
      <c r="I157" s="312" t="str">
        <f t="shared" si="82"/>
        <v>#DIV/0!</v>
      </c>
      <c r="J157" s="315" t="s">
        <v>2794</v>
      </c>
      <c r="K157" s="315" t="s">
        <v>2794</v>
      </c>
      <c r="L157" s="316" t="str">
        <f t="shared" si="23"/>
        <v>#DIV/0!</v>
      </c>
      <c r="M157" s="317" t="s">
        <v>594</v>
      </c>
      <c r="N157" s="317" t="s">
        <v>594</v>
      </c>
      <c r="O157" s="317" t="s">
        <v>487</v>
      </c>
      <c r="P157" s="317" t="s">
        <v>594</v>
      </c>
      <c r="Q157" s="317" t="s">
        <v>594</v>
      </c>
      <c r="R157" s="317" t="s">
        <v>594</v>
      </c>
      <c r="S157" s="318" t="s">
        <v>561</v>
      </c>
      <c r="T157" s="318" t="s">
        <v>561</v>
      </c>
      <c r="U157" s="330" t="s">
        <v>561</v>
      </c>
      <c r="V157" s="330" t="s">
        <v>561</v>
      </c>
      <c r="W157" s="340" t="s">
        <v>2807</v>
      </c>
      <c r="X157" s="340" t="s">
        <v>561</v>
      </c>
      <c r="Y157" s="340" t="s">
        <v>2807</v>
      </c>
      <c r="Z157" s="317" t="s">
        <v>2795</v>
      </c>
      <c r="AA157" s="317" t="s">
        <v>561</v>
      </c>
      <c r="AB157" s="317" t="s">
        <v>561</v>
      </c>
      <c r="AC157" s="317" t="s">
        <v>2807</v>
      </c>
      <c r="AD157" s="317" t="s">
        <v>2807</v>
      </c>
      <c r="AE157" s="317" t="s">
        <v>561</v>
      </c>
      <c r="AF157" s="317" t="s">
        <v>561</v>
      </c>
      <c r="AG157" s="317" t="s">
        <v>561</v>
      </c>
      <c r="AH157" s="317" t="s">
        <v>561</v>
      </c>
      <c r="AI157" s="317" t="s">
        <v>561</v>
      </c>
      <c r="AJ157" s="317" t="s">
        <v>2807</v>
      </c>
      <c r="AK157" s="317" t="s">
        <v>2807</v>
      </c>
      <c r="AL157" s="317" t="s">
        <v>2807</v>
      </c>
      <c r="AM157" s="317" t="s">
        <v>2807</v>
      </c>
      <c r="AN157" s="317" t="s">
        <v>2795</v>
      </c>
      <c r="AO157" s="317" t="s">
        <v>2807</v>
      </c>
      <c r="AP157" s="317" t="s">
        <v>561</v>
      </c>
      <c r="AQ157" s="317" t="s">
        <v>561</v>
      </c>
      <c r="AR157" s="317" t="s">
        <v>561</v>
      </c>
      <c r="AS157" s="317" t="s">
        <v>2807</v>
      </c>
      <c r="AT157" s="317" t="s">
        <v>561</v>
      </c>
      <c r="AU157" s="317" t="s">
        <v>561</v>
      </c>
      <c r="AV157" s="317" t="s">
        <v>2807</v>
      </c>
      <c r="AW157" s="317" t="s">
        <v>561</v>
      </c>
      <c r="AX157" s="317" t="s">
        <v>561</v>
      </c>
      <c r="AY157" s="317" t="s">
        <v>561</v>
      </c>
      <c r="AZ157" s="317" t="s">
        <v>561</v>
      </c>
      <c r="BA157" s="317" t="s">
        <v>2806</v>
      </c>
      <c r="BB157" s="317" t="s">
        <v>561</v>
      </c>
      <c r="BC157" s="317" t="s">
        <v>2806</v>
      </c>
      <c r="BD157" s="317" t="s">
        <v>2795</v>
      </c>
      <c r="BE157" s="317" t="s">
        <v>561</v>
      </c>
      <c r="BF157" s="317" t="s">
        <v>561</v>
      </c>
      <c r="BG157" s="317" t="s">
        <v>561</v>
      </c>
      <c r="BH157" s="317" t="s">
        <v>561</v>
      </c>
      <c r="BI157" s="317" t="s">
        <v>561</v>
      </c>
      <c r="BJ157" s="317" t="s">
        <v>561</v>
      </c>
      <c r="BK157" s="317" t="s">
        <v>561</v>
      </c>
      <c r="BL157" s="317" t="s">
        <v>2796</v>
      </c>
      <c r="BM157" s="317" t="s">
        <v>2796</v>
      </c>
      <c r="BN157" s="317" t="s">
        <v>561</v>
      </c>
      <c r="BO157" s="317" t="s">
        <v>2796</v>
      </c>
      <c r="BP157" s="317" t="s">
        <v>2806</v>
      </c>
      <c r="BQ157" s="317" t="s">
        <v>600</v>
      </c>
      <c r="BR157" s="317" t="s">
        <v>600</v>
      </c>
      <c r="BS157" s="317" t="s">
        <v>600</v>
      </c>
      <c r="BT157" s="317" t="s">
        <v>600</v>
      </c>
      <c r="BU157" s="317" t="s">
        <v>600</v>
      </c>
      <c r="BV157" s="317" t="s">
        <v>600</v>
      </c>
      <c r="BW157" s="317" t="s">
        <v>600</v>
      </c>
      <c r="BX157" s="317" t="s">
        <v>600</v>
      </c>
      <c r="BY157" s="317" t="s">
        <v>600</v>
      </c>
      <c r="BZ157" s="317" t="s">
        <v>600</v>
      </c>
      <c r="CA157" s="317" t="s">
        <v>600</v>
      </c>
      <c r="CB157" s="317" t="s">
        <v>600</v>
      </c>
      <c r="CC157" s="317" t="s">
        <v>600</v>
      </c>
      <c r="CD157" s="317" t="s">
        <v>600</v>
      </c>
      <c r="CE157" s="317" t="s">
        <v>600</v>
      </c>
      <c r="CF157" s="317" t="s">
        <v>600</v>
      </c>
      <c r="CG157" s="317" t="s">
        <v>600</v>
      </c>
      <c r="CH157" s="317" t="s">
        <v>600</v>
      </c>
      <c r="CI157" s="317" t="s">
        <v>600</v>
      </c>
      <c r="CJ157" s="317" t="s">
        <v>600</v>
      </c>
      <c r="CK157" s="317" t="s">
        <v>600</v>
      </c>
      <c r="CL157" s="317" t="s">
        <v>600</v>
      </c>
      <c r="CM157" s="317" t="s">
        <v>600</v>
      </c>
      <c r="CN157" s="317" t="s">
        <v>600</v>
      </c>
      <c r="CO157" s="317" t="s">
        <v>600</v>
      </c>
      <c r="CP157" s="317" t="s">
        <v>600</v>
      </c>
      <c r="CQ157" s="319"/>
      <c r="CR157" s="319">
        <v>2019.0</v>
      </c>
      <c r="CS157" s="343" t="s">
        <v>1569</v>
      </c>
      <c r="CT157" s="334" t="s">
        <v>2030</v>
      </c>
      <c r="CU157" s="319" t="s">
        <v>2848</v>
      </c>
      <c r="CV157" s="332" t="s">
        <v>75</v>
      </c>
      <c r="CW157" s="336"/>
      <c r="CX157" s="319"/>
      <c r="CY157" s="323">
        <f t="shared" si="24"/>
        <v>0.098</v>
      </c>
      <c r="CZ157" s="324">
        <v>0.539</v>
      </c>
      <c r="DA157" s="323">
        <v>0.441</v>
      </c>
      <c r="DB157" s="323"/>
      <c r="DC157" s="323">
        <f t="shared" si="25"/>
        <v>0.012</v>
      </c>
      <c r="DD157" s="324">
        <v>0.474</v>
      </c>
      <c r="DE157" s="323">
        <v>0.462</v>
      </c>
      <c r="DF157" s="323"/>
      <c r="DG157" s="324">
        <v>0.636</v>
      </c>
      <c r="DH157" s="323">
        <v>0.11599999999999999</v>
      </c>
      <c r="DI157" s="323">
        <v>0.139</v>
      </c>
      <c r="DJ157" s="323">
        <v>0.094</v>
      </c>
      <c r="DK157" s="323">
        <v>0.02</v>
      </c>
      <c r="DL157" s="323">
        <v>0.002</v>
      </c>
      <c r="DM157" s="323"/>
      <c r="DN157" s="323">
        <v>0.44299999999999995</v>
      </c>
      <c r="DO157" s="323">
        <v>0.44</v>
      </c>
      <c r="DP157" s="323">
        <v>0.40299999999999997</v>
      </c>
    </row>
    <row r="158">
      <c r="A158" s="311" t="s">
        <v>384</v>
      </c>
      <c r="B158" s="311" t="s">
        <v>386</v>
      </c>
      <c r="C158" s="311" t="s">
        <v>1291</v>
      </c>
      <c r="D158" s="311">
        <v>6.0</v>
      </c>
      <c r="E158" s="312">
        <f t="shared" si="19"/>
        <v>0</v>
      </c>
      <c r="F158" s="312" t="str">
        <f t="shared" si="20"/>
        <v>#DIV/0!</v>
      </c>
      <c r="G158" s="312" t="str">
        <f t="shared" si="21"/>
        <v>#DIV/0!</v>
      </c>
      <c r="H158" s="312" t="str">
        <f t="shared" si="22"/>
        <v>#DIV/0!</v>
      </c>
      <c r="I158" s="312" t="str">
        <f t="shared" si="82"/>
        <v>#DIV/0!</v>
      </c>
      <c r="J158" s="315" t="s">
        <v>2794</v>
      </c>
      <c r="K158" s="315" t="s">
        <v>2794</v>
      </c>
      <c r="L158" s="316" t="str">
        <f t="shared" si="23"/>
        <v>#DIV/0!</v>
      </c>
      <c r="M158" s="317" t="s">
        <v>594</v>
      </c>
      <c r="N158" s="317" t="s">
        <v>594</v>
      </c>
      <c r="O158" s="317" t="s">
        <v>594</v>
      </c>
      <c r="P158" s="317" t="s">
        <v>594</v>
      </c>
      <c r="Q158" s="317" t="s">
        <v>594</v>
      </c>
      <c r="R158" s="317" t="s">
        <v>594</v>
      </c>
      <c r="S158" s="318" t="s">
        <v>561</v>
      </c>
      <c r="T158" s="318" t="s">
        <v>561</v>
      </c>
      <c r="U158" s="330" t="s">
        <v>561</v>
      </c>
      <c r="V158" s="330" t="s">
        <v>561</v>
      </c>
      <c r="W158" s="318" t="s">
        <v>2795</v>
      </c>
      <c r="X158" s="340" t="s">
        <v>561</v>
      </c>
      <c r="Y158" s="318" t="s">
        <v>2795</v>
      </c>
      <c r="Z158" s="317" t="s">
        <v>2795</v>
      </c>
      <c r="AA158" s="317" t="s">
        <v>561</v>
      </c>
      <c r="AB158" s="317" t="s">
        <v>561</v>
      </c>
      <c r="AC158" s="317" t="s">
        <v>2795</v>
      </c>
      <c r="AD158" s="317" t="s">
        <v>2795</v>
      </c>
      <c r="AE158" s="317" t="s">
        <v>561</v>
      </c>
      <c r="AF158" s="317" t="s">
        <v>561</v>
      </c>
      <c r="AG158" s="317" t="s">
        <v>561</v>
      </c>
      <c r="AH158" s="317" t="s">
        <v>561</v>
      </c>
      <c r="AI158" s="317" t="s">
        <v>561</v>
      </c>
      <c r="AJ158" s="317" t="s">
        <v>2795</v>
      </c>
      <c r="AK158" s="317" t="s">
        <v>2807</v>
      </c>
      <c r="AL158" s="317" t="s">
        <v>2807</v>
      </c>
      <c r="AM158" s="317" t="s">
        <v>2807</v>
      </c>
      <c r="AN158" s="317" t="s">
        <v>2795</v>
      </c>
      <c r="AO158" s="317" t="s">
        <v>2807</v>
      </c>
      <c r="AP158" s="317" t="s">
        <v>561</v>
      </c>
      <c r="AQ158" s="317" t="s">
        <v>561</v>
      </c>
      <c r="AR158" s="317" t="s">
        <v>561</v>
      </c>
      <c r="AS158" s="317" t="s">
        <v>2795</v>
      </c>
      <c r="AT158" s="317" t="s">
        <v>561</v>
      </c>
      <c r="AU158" s="317" t="s">
        <v>561</v>
      </c>
      <c r="AV158" s="317" t="s">
        <v>2807</v>
      </c>
      <c r="AW158" s="317" t="s">
        <v>561</v>
      </c>
      <c r="AX158" s="317" t="s">
        <v>561</v>
      </c>
      <c r="AY158" s="317" t="s">
        <v>561</v>
      </c>
      <c r="AZ158" s="317" t="s">
        <v>561</v>
      </c>
      <c r="BA158" s="317" t="s">
        <v>2806</v>
      </c>
      <c r="BB158" s="317" t="s">
        <v>561</v>
      </c>
      <c r="BC158" s="317" t="s">
        <v>2806</v>
      </c>
      <c r="BD158" s="317" t="s">
        <v>2795</v>
      </c>
      <c r="BE158" s="317" t="s">
        <v>561</v>
      </c>
      <c r="BF158" s="317" t="s">
        <v>561</v>
      </c>
      <c r="BG158" s="317" t="s">
        <v>561</v>
      </c>
      <c r="BH158" s="317" t="s">
        <v>561</v>
      </c>
      <c r="BI158" s="317" t="s">
        <v>561</v>
      </c>
      <c r="BJ158" s="317" t="s">
        <v>561</v>
      </c>
      <c r="BK158" s="317" t="s">
        <v>561</v>
      </c>
      <c r="BL158" s="317" t="s">
        <v>2806</v>
      </c>
      <c r="BM158" s="317" t="s">
        <v>2796</v>
      </c>
      <c r="BN158" s="317" t="s">
        <v>561</v>
      </c>
      <c r="BO158" s="317" t="s">
        <v>2806</v>
      </c>
      <c r="BP158" s="317" t="s">
        <v>2806</v>
      </c>
      <c r="BQ158" s="317" t="s">
        <v>600</v>
      </c>
      <c r="BR158" s="317" t="s">
        <v>600</v>
      </c>
      <c r="BS158" s="317" t="s">
        <v>600</v>
      </c>
      <c r="BT158" s="317" t="s">
        <v>600</v>
      </c>
      <c r="BU158" s="317" t="s">
        <v>600</v>
      </c>
      <c r="BV158" s="317" t="s">
        <v>600</v>
      </c>
      <c r="BW158" s="317" t="s">
        <v>600</v>
      </c>
      <c r="BX158" s="317" t="s">
        <v>600</v>
      </c>
      <c r="BY158" s="317" t="s">
        <v>600</v>
      </c>
      <c r="BZ158" s="317" t="s">
        <v>600</v>
      </c>
      <c r="CA158" s="317" t="s">
        <v>600</v>
      </c>
      <c r="CB158" s="317" t="s">
        <v>600</v>
      </c>
      <c r="CC158" s="317" t="s">
        <v>600</v>
      </c>
      <c r="CD158" s="317" t="s">
        <v>600</v>
      </c>
      <c r="CE158" s="317" t="s">
        <v>600</v>
      </c>
      <c r="CF158" s="317" t="s">
        <v>600</v>
      </c>
      <c r="CG158" s="317" t="s">
        <v>600</v>
      </c>
      <c r="CH158" s="317" t="s">
        <v>600</v>
      </c>
      <c r="CI158" s="317" t="s">
        <v>600</v>
      </c>
      <c r="CJ158" s="317" t="s">
        <v>600</v>
      </c>
      <c r="CK158" s="317" t="s">
        <v>600</v>
      </c>
      <c r="CL158" s="317" t="s">
        <v>600</v>
      </c>
      <c r="CM158" s="317" t="s">
        <v>600</v>
      </c>
      <c r="CN158" s="317" t="s">
        <v>600</v>
      </c>
      <c r="CO158" s="317" t="s">
        <v>600</v>
      </c>
      <c r="CP158" s="317" t="s">
        <v>600</v>
      </c>
      <c r="CQ158" s="319"/>
      <c r="CR158" s="319">
        <v>2019.0</v>
      </c>
      <c r="CS158" s="343" t="s">
        <v>1569</v>
      </c>
      <c r="CT158" s="334" t="s">
        <v>2030</v>
      </c>
      <c r="CU158" s="326" t="s">
        <v>2476</v>
      </c>
      <c r="CV158" s="332" t="s">
        <v>75</v>
      </c>
      <c r="CW158" s="319"/>
      <c r="CX158" s="319"/>
      <c r="CY158" s="323">
        <f t="shared" si="24"/>
        <v>0.238</v>
      </c>
      <c r="CZ158" s="324">
        <v>0.606</v>
      </c>
      <c r="DA158" s="323">
        <v>0.368</v>
      </c>
      <c r="DB158" s="323"/>
      <c r="DC158" s="323">
        <f t="shared" si="25"/>
        <v>0.132</v>
      </c>
      <c r="DD158" s="324">
        <v>0.523</v>
      </c>
      <c r="DE158" s="323">
        <v>0.391</v>
      </c>
      <c r="DF158" s="323"/>
      <c r="DG158" s="324">
        <v>0.598</v>
      </c>
      <c r="DH158" s="323">
        <v>0.19399999999999998</v>
      </c>
      <c r="DI158" s="323">
        <v>0.114</v>
      </c>
      <c r="DJ158" s="323">
        <v>0.073</v>
      </c>
      <c r="DK158" s="323">
        <v>0.03</v>
      </c>
      <c r="DL158" s="323">
        <v>0.005</v>
      </c>
      <c r="DM158" s="323"/>
      <c r="DN158" s="323">
        <v>0.42200000000000004</v>
      </c>
      <c r="DO158" s="324">
        <v>0.504</v>
      </c>
      <c r="DP158" s="323">
        <v>0.34700000000000003</v>
      </c>
    </row>
    <row r="159">
      <c r="A159" s="311" t="s">
        <v>663</v>
      </c>
      <c r="B159" s="311" t="s">
        <v>664</v>
      </c>
      <c r="C159" s="311" t="s">
        <v>2849</v>
      </c>
      <c r="D159" s="311">
        <v>3.0</v>
      </c>
      <c r="E159" s="312">
        <f t="shared" si="19"/>
        <v>0</v>
      </c>
      <c r="F159" s="312" t="str">
        <f t="shared" si="20"/>
        <v>#DIV/0!</v>
      </c>
      <c r="G159" s="312" t="str">
        <f t="shared" si="21"/>
        <v>#DIV/0!</v>
      </c>
      <c r="H159" s="312" t="str">
        <f t="shared" si="22"/>
        <v>#DIV/0!</v>
      </c>
      <c r="I159" s="312" t="str">
        <f t="shared" si="82"/>
        <v>#DIV/0!</v>
      </c>
      <c r="J159" s="315" t="s">
        <v>2794</v>
      </c>
      <c r="K159" s="315" t="s">
        <v>2794</v>
      </c>
      <c r="L159" s="316" t="str">
        <f t="shared" si="23"/>
        <v>#DIV/0!</v>
      </c>
      <c r="M159" s="317" t="s">
        <v>594</v>
      </c>
      <c r="N159" s="317" t="s">
        <v>594</v>
      </c>
      <c r="O159" s="317" t="s">
        <v>594</v>
      </c>
      <c r="P159" s="317" t="s">
        <v>594</v>
      </c>
      <c r="Q159" s="317" t="s">
        <v>594</v>
      </c>
      <c r="R159" s="317" t="s">
        <v>594</v>
      </c>
      <c r="S159" s="318" t="s">
        <v>561</v>
      </c>
      <c r="T159" s="318" t="s">
        <v>561</v>
      </c>
      <c r="U159" s="330" t="s">
        <v>561</v>
      </c>
      <c r="V159" s="330" t="s">
        <v>561</v>
      </c>
      <c r="W159" s="318" t="s">
        <v>2795</v>
      </c>
      <c r="X159" s="340" t="s">
        <v>561</v>
      </c>
      <c r="Y159" s="340" t="s">
        <v>2807</v>
      </c>
      <c r="Z159" s="317" t="s">
        <v>2795</v>
      </c>
      <c r="AA159" s="317" t="s">
        <v>561</v>
      </c>
      <c r="AB159" s="317" t="s">
        <v>561</v>
      </c>
      <c r="AC159" s="317" t="s">
        <v>2807</v>
      </c>
      <c r="AD159" s="317" t="s">
        <v>2795</v>
      </c>
      <c r="AE159" s="317" t="s">
        <v>561</v>
      </c>
      <c r="AF159" s="317" t="s">
        <v>561</v>
      </c>
      <c r="AG159" s="317" t="s">
        <v>561</v>
      </c>
      <c r="AH159" s="317" t="s">
        <v>561</v>
      </c>
      <c r="AI159" s="317" t="s">
        <v>561</v>
      </c>
      <c r="AJ159" s="317" t="s">
        <v>2807</v>
      </c>
      <c r="AK159" s="317" t="s">
        <v>2807</v>
      </c>
      <c r="AL159" s="317" t="s">
        <v>2807</v>
      </c>
      <c r="AM159" s="317" t="s">
        <v>2807</v>
      </c>
      <c r="AN159" s="317" t="s">
        <v>2795</v>
      </c>
      <c r="AO159" s="317" t="s">
        <v>2807</v>
      </c>
      <c r="AP159" s="317" t="s">
        <v>561</v>
      </c>
      <c r="AQ159" s="317" t="s">
        <v>561</v>
      </c>
      <c r="AR159" s="317" t="s">
        <v>561</v>
      </c>
      <c r="AS159" s="317" t="s">
        <v>2795</v>
      </c>
      <c r="AT159" s="317" t="s">
        <v>561</v>
      </c>
      <c r="AU159" s="317" t="s">
        <v>561</v>
      </c>
      <c r="AV159" s="317" t="s">
        <v>2807</v>
      </c>
      <c r="AW159" s="317" t="s">
        <v>561</v>
      </c>
      <c r="AX159" s="317" t="s">
        <v>561</v>
      </c>
      <c r="AY159" s="317" t="s">
        <v>561</v>
      </c>
      <c r="AZ159" s="317" t="s">
        <v>561</v>
      </c>
      <c r="BA159" s="317" t="s">
        <v>2806</v>
      </c>
      <c r="BB159" s="317" t="s">
        <v>561</v>
      </c>
      <c r="BC159" s="317" t="s">
        <v>2806</v>
      </c>
      <c r="BD159" s="317" t="s">
        <v>2795</v>
      </c>
      <c r="BE159" s="317" t="s">
        <v>561</v>
      </c>
      <c r="BF159" s="317" t="s">
        <v>561</v>
      </c>
      <c r="BG159" s="317" t="s">
        <v>561</v>
      </c>
      <c r="BH159" s="317" t="s">
        <v>561</v>
      </c>
      <c r="BI159" s="317" t="s">
        <v>561</v>
      </c>
      <c r="BJ159" s="317" t="s">
        <v>561</v>
      </c>
      <c r="BK159" s="317" t="s">
        <v>561</v>
      </c>
      <c r="BL159" s="317" t="s">
        <v>2796</v>
      </c>
      <c r="BM159" s="317" t="s">
        <v>2796</v>
      </c>
      <c r="BN159" s="317" t="s">
        <v>561</v>
      </c>
      <c r="BO159" s="317" t="s">
        <v>2796</v>
      </c>
      <c r="BP159" s="317" t="s">
        <v>2806</v>
      </c>
      <c r="BQ159" s="317" t="s">
        <v>600</v>
      </c>
      <c r="BR159" s="317" t="s">
        <v>600</v>
      </c>
      <c r="BS159" s="317" t="s">
        <v>600</v>
      </c>
      <c r="BT159" s="317" t="s">
        <v>600</v>
      </c>
      <c r="BU159" s="317" t="s">
        <v>600</v>
      </c>
      <c r="BV159" s="317" t="s">
        <v>600</v>
      </c>
      <c r="BW159" s="317" t="s">
        <v>600</v>
      </c>
      <c r="BX159" s="317" t="s">
        <v>600</v>
      </c>
      <c r="BY159" s="317" t="s">
        <v>600</v>
      </c>
      <c r="BZ159" s="317" t="s">
        <v>600</v>
      </c>
      <c r="CA159" s="317" t="s">
        <v>600</v>
      </c>
      <c r="CB159" s="317" t="s">
        <v>600</v>
      </c>
      <c r="CC159" s="317" t="s">
        <v>600</v>
      </c>
      <c r="CD159" s="317" t="s">
        <v>600</v>
      </c>
      <c r="CE159" s="317" t="s">
        <v>600</v>
      </c>
      <c r="CF159" s="317" t="s">
        <v>600</v>
      </c>
      <c r="CG159" s="317" t="s">
        <v>600</v>
      </c>
      <c r="CH159" s="317" t="s">
        <v>600</v>
      </c>
      <c r="CI159" s="317" t="s">
        <v>600</v>
      </c>
      <c r="CJ159" s="317" t="s">
        <v>600</v>
      </c>
      <c r="CK159" s="317" t="s">
        <v>600</v>
      </c>
      <c r="CL159" s="317" t="s">
        <v>600</v>
      </c>
      <c r="CM159" s="317" t="s">
        <v>600</v>
      </c>
      <c r="CN159" s="317" t="s">
        <v>600</v>
      </c>
      <c r="CO159" s="317" t="s">
        <v>600</v>
      </c>
      <c r="CP159" s="317" t="s">
        <v>600</v>
      </c>
      <c r="CQ159" s="319"/>
      <c r="CR159" s="319">
        <v>2019.0</v>
      </c>
      <c r="CS159" s="343" t="s">
        <v>1569</v>
      </c>
      <c r="CT159" s="334" t="s">
        <v>2030</v>
      </c>
      <c r="CU159" s="326" t="s">
        <v>2476</v>
      </c>
      <c r="CV159" s="322" t="s">
        <v>665</v>
      </c>
      <c r="CW159" s="350" t="s">
        <v>666</v>
      </c>
      <c r="CX159" s="319"/>
      <c r="CY159" s="323">
        <f t="shared" si="24"/>
        <v>0.045</v>
      </c>
      <c r="CZ159" s="324">
        <v>0.512</v>
      </c>
      <c r="DA159" s="323">
        <v>0.467</v>
      </c>
      <c r="DB159" s="323"/>
      <c r="DC159" s="323">
        <f t="shared" si="25"/>
        <v>-0.053</v>
      </c>
      <c r="DD159" s="323">
        <v>0.429</v>
      </c>
      <c r="DE159" s="324">
        <v>0.48200000000000004</v>
      </c>
      <c r="DF159" s="324"/>
      <c r="DG159" s="324">
        <v>0.779</v>
      </c>
      <c r="DH159" s="323">
        <v>0.085</v>
      </c>
      <c r="DI159" s="323">
        <v>0.054000000000000006</v>
      </c>
      <c r="DJ159" s="323">
        <v>0.054000000000000006</v>
      </c>
      <c r="DK159" s="323">
        <v>0.025</v>
      </c>
      <c r="DL159" s="323">
        <v>0.001</v>
      </c>
      <c r="DM159" s="323"/>
      <c r="DN159" s="324">
        <v>0.506</v>
      </c>
      <c r="DO159" s="324">
        <v>0.526</v>
      </c>
      <c r="DP159" s="323">
        <v>0.405</v>
      </c>
    </row>
    <row r="160">
      <c r="A160" s="311" t="s">
        <v>1887</v>
      </c>
      <c r="B160" s="311" t="s">
        <v>904</v>
      </c>
      <c r="C160" s="311" t="s">
        <v>1182</v>
      </c>
      <c r="D160" s="311">
        <v>2.0</v>
      </c>
      <c r="E160" s="312">
        <f t="shared" si="19"/>
        <v>0</v>
      </c>
      <c r="F160" s="312" t="str">
        <f t="shared" si="20"/>
        <v>#DIV/0!</v>
      </c>
      <c r="G160" s="312" t="str">
        <f t="shared" si="21"/>
        <v>#DIV/0!</v>
      </c>
      <c r="H160" s="312" t="str">
        <f t="shared" si="22"/>
        <v>#DIV/0!</v>
      </c>
      <c r="I160" s="312" t="str">
        <f t="shared" si="82"/>
        <v>#DIV/0!</v>
      </c>
      <c r="J160" s="312" t="str">
        <f>(COUNTIF(BQ160:CL160, "Nay")+COUNTIF(BQ160:CL160, "Yea (Amend)")+(0.5*COUNTIF(BQ160:CL160, "Present")))/(COUNTIF(BQ160:CL160, "Nay")+COUNTIF(BQ160:CL160, "Yea (Amend)")+COUNTIF(BQ160:CL160, "Yea")+COUNTIF(BQ160:CL160, "Nay (Amend)")+COUNTIF(BQ160:CL160, "Present"))</f>
        <v>#DIV/0!</v>
      </c>
      <c r="K160" s="312" t="str">
        <f>(COUNTIF(CM160:CP160, "Nay")+COUNTIF(CM160:CP160, "Yea (Amend)")+(0.5*COUNTIF(CM160:CP160, "Present")))/(COUNTIF(CM160:CP160, "Nay")+COUNTIF(CM160:CP160, "Yea (Amend)")+COUNTIF(CM160:CP160, "Yea")+COUNTIF(CM160:CP160, "Nay (Amend)")+COUNTIF(CM160:CP160, "Present"))</f>
        <v>#DIV/0!</v>
      </c>
      <c r="L160" s="316" t="str">
        <f t="shared" si="23"/>
        <v>#DIV/0!</v>
      </c>
      <c r="M160" s="317" t="s">
        <v>594</v>
      </c>
      <c r="N160" s="317" t="s">
        <v>594</v>
      </c>
      <c r="O160" s="317" t="s">
        <v>594</v>
      </c>
      <c r="P160" s="317" t="s">
        <v>594</v>
      </c>
      <c r="Q160" s="317" t="s">
        <v>594</v>
      </c>
      <c r="R160" s="317" t="s">
        <v>594</v>
      </c>
      <c r="S160" s="318" t="s">
        <v>561</v>
      </c>
      <c r="T160" s="318" t="s">
        <v>561</v>
      </c>
      <c r="U160" s="330" t="s">
        <v>561</v>
      </c>
      <c r="V160" s="330" t="s">
        <v>561</v>
      </c>
      <c r="W160" s="340" t="s">
        <v>2807</v>
      </c>
      <c r="X160" s="340" t="s">
        <v>561</v>
      </c>
      <c r="Y160" s="340" t="s">
        <v>2807</v>
      </c>
      <c r="Z160" s="317" t="s">
        <v>2795</v>
      </c>
      <c r="AA160" s="317" t="s">
        <v>561</v>
      </c>
      <c r="AB160" s="317" t="s">
        <v>561</v>
      </c>
      <c r="AC160" s="317" t="s">
        <v>2795</v>
      </c>
      <c r="AD160" s="317" t="s">
        <v>2795</v>
      </c>
      <c r="AE160" s="317" t="s">
        <v>561</v>
      </c>
      <c r="AF160" s="317" t="s">
        <v>561</v>
      </c>
      <c r="AG160" s="317" t="s">
        <v>561</v>
      </c>
      <c r="AH160" s="317" t="s">
        <v>561</v>
      </c>
      <c r="AI160" s="317" t="s">
        <v>561</v>
      </c>
      <c r="AJ160" s="317" t="s">
        <v>2795</v>
      </c>
      <c r="AK160" s="317" t="s">
        <v>2807</v>
      </c>
      <c r="AL160" s="317" t="s">
        <v>2795</v>
      </c>
      <c r="AM160" s="317" t="s">
        <v>2795</v>
      </c>
      <c r="AN160" s="317" t="s">
        <v>2795</v>
      </c>
      <c r="AO160" s="317" t="s">
        <v>2807</v>
      </c>
      <c r="AP160" s="317" t="s">
        <v>561</v>
      </c>
      <c r="AQ160" s="317" t="s">
        <v>561</v>
      </c>
      <c r="AR160" s="317" t="s">
        <v>561</v>
      </c>
      <c r="AS160" s="317" t="s">
        <v>2807</v>
      </c>
      <c r="AT160" s="317" t="s">
        <v>561</v>
      </c>
      <c r="AU160" s="317" t="s">
        <v>561</v>
      </c>
      <c r="AV160" s="317" t="s">
        <v>2807</v>
      </c>
      <c r="AW160" s="317" t="s">
        <v>801</v>
      </c>
      <c r="AX160" s="317" t="s">
        <v>561</v>
      </c>
      <c r="AY160" s="317" t="s">
        <v>561</v>
      </c>
      <c r="AZ160" s="317" t="s">
        <v>561</v>
      </c>
      <c r="BA160" s="317" t="s">
        <v>2806</v>
      </c>
      <c r="BB160" s="317" t="s">
        <v>561</v>
      </c>
      <c r="BC160" s="317" t="s">
        <v>2806</v>
      </c>
      <c r="BD160" s="317" t="s">
        <v>2795</v>
      </c>
      <c r="BE160" s="317" t="s">
        <v>561</v>
      </c>
      <c r="BF160" s="317" t="s">
        <v>561</v>
      </c>
      <c r="BG160" s="317" t="s">
        <v>561</v>
      </c>
      <c r="BH160" s="317" t="s">
        <v>561</v>
      </c>
      <c r="BI160" s="317" t="s">
        <v>561</v>
      </c>
      <c r="BJ160" s="317" t="s">
        <v>561</v>
      </c>
      <c r="BK160" s="317" t="s">
        <v>561</v>
      </c>
      <c r="BL160" s="317" t="s">
        <v>2796</v>
      </c>
      <c r="BM160" s="317" t="s">
        <v>2806</v>
      </c>
      <c r="BN160" s="317" t="s">
        <v>561</v>
      </c>
      <c r="BO160" s="317" t="s">
        <v>2796</v>
      </c>
      <c r="BP160" s="317" t="s">
        <v>2796</v>
      </c>
      <c r="BQ160" s="317" t="s">
        <v>561</v>
      </c>
      <c r="BR160" s="317" t="s">
        <v>561</v>
      </c>
      <c r="BS160" s="317" t="s">
        <v>561</v>
      </c>
      <c r="BT160" s="317" t="s">
        <v>561</v>
      </c>
      <c r="BU160" s="317" t="s">
        <v>561</v>
      </c>
      <c r="BV160" s="317" t="s">
        <v>561</v>
      </c>
      <c r="BW160" s="317" t="s">
        <v>561</v>
      </c>
      <c r="BX160" s="317" t="s">
        <v>561</v>
      </c>
      <c r="BY160" s="317" t="s">
        <v>561</v>
      </c>
      <c r="BZ160" s="317" t="s">
        <v>561</v>
      </c>
      <c r="CA160" s="317" t="s">
        <v>53</v>
      </c>
      <c r="CB160" s="317" t="s">
        <v>561</v>
      </c>
      <c r="CC160" s="317" t="s">
        <v>561</v>
      </c>
      <c r="CD160" s="317" t="s">
        <v>561</v>
      </c>
      <c r="CE160" s="317" t="s">
        <v>561</v>
      </c>
      <c r="CF160" s="317" t="s">
        <v>53</v>
      </c>
      <c r="CG160" s="317" t="s">
        <v>561</v>
      </c>
      <c r="CH160" s="317" t="s">
        <v>561</v>
      </c>
      <c r="CI160" s="317" t="s">
        <v>561</v>
      </c>
      <c r="CJ160" s="317" t="s">
        <v>2806</v>
      </c>
      <c r="CK160" s="317" t="s">
        <v>561</v>
      </c>
      <c r="CL160" s="317" t="s">
        <v>561</v>
      </c>
      <c r="CM160" s="317" t="s">
        <v>561</v>
      </c>
      <c r="CN160" s="317" t="s">
        <v>561</v>
      </c>
      <c r="CO160" s="317" t="s">
        <v>561</v>
      </c>
      <c r="CP160" s="317" t="s">
        <v>561</v>
      </c>
      <c r="CQ160" s="319"/>
      <c r="CR160" s="319">
        <v>2013.0</v>
      </c>
      <c r="CS160" s="343" t="s">
        <v>1569</v>
      </c>
      <c r="CT160" s="319"/>
      <c r="CU160" s="319" t="s">
        <v>2850</v>
      </c>
      <c r="CV160" s="332" t="s">
        <v>75</v>
      </c>
      <c r="CW160" s="319"/>
      <c r="CX160" s="319"/>
      <c r="CY160" s="323">
        <f t="shared" si="24"/>
        <v>0.089</v>
      </c>
      <c r="CZ160" s="324">
        <v>0.536</v>
      </c>
      <c r="DA160" s="323">
        <v>0.447</v>
      </c>
      <c r="DB160" s="323"/>
      <c r="DC160" s="323">
        <f t="shared" si="25"/>
        <v>0.024</v>
      </c>
      <c r="DD160" s="324">
        <v>0.478</v>
      </c>
      <c r="DE160" s="323">
        <v>0.45399999999999996</v>
      </c>
      <c r="DF160" s="323"/>
      <c r="DG160" s="324">
        <v>0.887</v>
      </c>
      <c r="DH160" s="323">
        <v>0.036000000000000004</v>
      </c>
      <c r="DI160" s="323">
        <v>0.018000000000000002</v>
      </c>
      <c r="DJ160" s="323">
        <v>0.031</v>
      </c>
      <c r="DK160" s="323">
        <v>0.018000000000000002</v>
      </c>
      <c r="DL160" s="323">
        <v>0.001</v>
      </c>
      <c r="DM160" s="323"/>
      <c r="DN160" s="323">
        <v>0.371</v>
      </c>
      <c r="DO160" s="323">
        <v>0.369</v>
      </c>
      <c r="DP160" s="324">
        <v>0.586</v>
      </c>
    </row>
    <row r="161">
      <c r="A161" s="311" t="s">
        <v>584</v>
      </c>
      <c r="B161" s="311" t="s">
        <v>586</v>
      </c>
      <c r="C161" s="311" t="s">
        <v>587</v>
      </c>
      <c r="D161" s="311">
        <v>3.0</v>
      </c>
      <c r="E161" s="312">
        <f t="shared" si="19"/>
        <v>0</v>
      </c>
      <c r="F161" s="312" t="str">
        <f t="shared" si="20"/>
        <v>#DIV/0!</v>
      </c>
      <c r="G161" s="312" t="str">
        <f t="shared" si="21"/>
        <v>#DIV/0!</v>
      </c>
      <c r="H161" s="312" t="str">
        <f t="shared" si="22"/>
        <v>#DIV/0!</v>
      </c>
      <c r="I161" s="312" t="str">
        <f t="shared" si="82"/>
        <v>#DIV/0!</v>
      </c>
      <c r="J161" s="315" t="s">
        <v>2794</v>
      </c>
      <c r="K161" s="315" t="s">
        <v>2794</v>
      </c>
      <c r="L161" s="316" t="str">
        <f t="shared" si="23"/>
        <v>#DIV/0!</v>
      </c>
      <c r="M161" s="317" t="s">
        <v>594</v>
      </c>
      <c r="N161" s="317" t="s">
        <v>594</v>
      </c>
      <c r="O161" s="317" t="s">
        <v>594</v>
      </c>
      <c r="P161" s="317" t="s">
        <v>594</v>
      </c>
      <c r="Q161" s="317" t="s">
        <v>594</v>
      </c>
      <c r="R161" s="317" t="s">
        <v>594</v>
      </c>
      <c r="S161" s="318" t="s">
        <v>561</v>
      </c>
      <c r="T161" s="318" t="s">
        <v>561</v>
      </c>
      <c r="U161" s="330" t="s">
        <v>561</v>
      </c>
      <c r="V161" s="330" t="s">
        <v>561</v>
      </c>
      <c r="W161" s="318" t="s">
        <v>2795</v>
      </c>
      <c r="X161" s="340" t="s">
        <v>561</v>
      </c>
      <c r="Y161" s="318" t="s">
        <v>2795</v>
      </c>
      <c r="Z161" s="317" t="s">
        <v>2795</v>
      </c>
      <c r="AA161" s="317" t="s">
        <v>561</v>
      </c>
      <c r="AB161" s="317" t="s">
        <v>561</v>
      </c>
      <c r="AC161" s="317" t="s">
        <v>2795</v>
      </c>
      <c r="AD161" s="317" t="s">
        <v>2795</v>
      </c>
      <c r="AE161" s="317" t="s">
        <v>561</v>
      </c>
      <c r="AF161" s="317" t="s">
        <v>561</v>
      </c>
      <c r="AG161" s="317" t="s">
        <v>561</v>
      </c>
      <c r="AH161" s="317" t="s">
        <v>561</v>
      </c>
      <c r="AI161" s="317" t="s">
        <v>561</v>
      </c>
      <c r="AJ161" s="317" t="s">
        <v>2807</v>
      </c>
      <c r="AK161" s="317" t="s">
        <v>2807</v>
      </c>
      <c r="AL161" s="317" t="s">
        <v>2807</v>
      </c>
      <c r="AM161" s="317" t="s">
        <v>2795</v>
      </c>
      <c r="AN161" s="317" t="s">
        <v>2795</v>
      </c>
      <c r="AO161" s="317" t="s">
        <v>2807</v>
      </c>
      <c r="AP161" s="317" t="s">
        <v>561</v>
      </c>
      <c r="AQ161" s="317" t="s">
        <v>561</v>
      </c>
      <c r="AR161" s="317" t="s">
        <v>561</v>
      </c>
      <c r="AS161" s="317" t="s">
        <v>2807</v>
      </c>
      <c r="AT161" s="317" t="s">
        <v>561</v>
      </c>
      <c r="AU161" s="317" t="s">
        <v>561</v>
      </c>
      <c r="AV161" s="317" t="s">
        <v>2807</v>
      </c>
      <c r="AW161" s="317" t="s">
        <v>561</v>
      </c>
      <c r="AX161" s="317" t="s">
        <v>561</v>
      </c>
      <c r="AY161" s="317" t="s">
        <v>561</v>
      </c>
      <c r="AZ161" s="317" t="s">
        <v>561</v>
      </c>
      <c r="BA161" s="317" t="s">
        <v>2806</v>
      </c>
      <c r="BB161" s="317" t="s">
        <v>561</v>
      </c>
      <c r="BC161" s="317" t="s">
        <v>2806</v>
      </c>
      <c r="BD161" s="317" t="s">
        <v>2795</v>
      </c>
      <c r="BE161" s="317" t="s">
        <v>53</v>
      </c>
      <c r="BF161" s="317" t="s">
        <v>561</v>
      </c>
      <c r="BG161" s="317" t="s">
        <v>561</v>
      </c>
      <c r="BH161" s="317" t="s">
        <v>561</v>
      </c>
      <c r="BI161" s="317" t="s">
        <v>561</v>
      </c>
      <c r="BJ161" s="317" t="s">
        <v>561</v>
      </c>
      <c r="BK161" s="317" t="s">
        <v>561</v>
      </c>
      <c r="BL161" s="317" t="s">
        <v>2806</v>
      </c>
      <c r="BM161" s="317" t="s">
        <v>2806</v>
      </c>
      <c r="BN161" s="317" t="s">
        <v>561</v>
      </c>
      <c r="BO161" s="317" t="s">
        <v>2806</v>
      </c>
      <c r="BP161" s="317" t="s">
        <v>2806</v>
      </c>
      <c r="BQ161" s="317" t="s">
        <v>600</v>
      </c>
      <c r="BR161" s="317" t="s">
        <v>600</v>
      </c>
      <c r="BS161" s="317" t="s">
        <v>600</v>
      </c>
      <c r="BT161" s="317" t="s">
        <v>600</v>
      </c>
      <c r="BU161" s="317" t="s">
        <v>600</v>
      </c>
      <c r="BV161" s="317" t="s">
        <v>600</v>
      </c>
      <c r="BW161" s="317" t="s">
        <v>600</v>
      </c>
      <c r="BX161" s="317" t="s">
        <v>600</v>
      </c>
      <c r="BY161" s="317" t="s">
        <v>600</v>
      </c>
      <c r="BZ161" s="317" t="s">
        <v>600</v>
      </c>
      <c r="CA161" s="317" t="s">
        <v>600</v>
      </c>
      <c r="CB161" s="317" t="s">
        <v>600</v>
      </c>
      <c r="CC161" s="317" t="s">
        <v>600</v>
      </c>
      <c r="CD161" s="317" t="s">
        <v>600</v>
      </c>
      <c r="CE161" s="317" t="s">
        <v>600</v>
      </c>
      <c r="CF161" s="317" t="s">
        <v>600</v>
      </c>
      <c r="CG161" s="317" t="s">
        <v>600</v>
      </c>
      <c r="CH161" s="317" t="s">
        <v>600</v>
      </c>
      <c r="CI161" s="317" t="s">
        <v>600</v>
      </c>
      <c r="CJ161" s="317" t="s">
        <v>600</v>
      </c>
      <c r="CK161" s="317" t="s">
        <v>600</v>
      </c>
      <c r="CL161" s="317" t="s">
        <v>600</v>
      </c>
      <c r="CM161" s="317" t="s">
        <v>600</v>
      </c>
      <c r="CN161" s="317" t="s">
        <v>600</v>
      </c>
      <c r="CO161" s="317" t="s">
        <v>600</v>
      </c>
      <c r="CP161" s="317" t="s">
        <v>600</v>
      </c>
      <c r="CQ161" s="319"/>
      <c r="CR161" s="319">
        <v>2019.0</v>
      </c>
      <c r="CS161" s="320" t="s">
        <v>850</v>
      </c>
      <c r="CT161" s="319"/>
      <c r="CU161" s="319" t="s">
        <v>2851</v>
      </c>
      <c r="CV161" s="331" t="s">
        <v>917</v>
      </c>
      <c r="CW161" s="319"/>
      <c r="CX161" s="319"/>
      <c r="CY161" s="323">
        <f t="shared" si="24"/>
        <v>0.14</v>
      </c>
      <c r="CZ161" s="324">
        <v>0.563</v>
      </c>
      <c r="DA161" s="323">
        <v>0.423</v>
      </c>
      <c r="DB161" s="323"/>
      <c r="DC161" s="323">
        <f t="shared" si="25"/>
        <v>0.095</v>
      </c>
      <c r="DD161" s="324">
        <v>0.53</v>
      </c>
      <c r="DE161" s="323">
        <v>0.435</v>
      </c>
      <c r="DF161" s="323"/>
      <c r="DG161" s="324">
        <v>0.659</v>
      </c>
      <c r="DH161" s="323">
        <v>0.098</v>
      </c>
      <c r="DI161" s="323">
        <v>0.142</v>
      </c>
      <c r="DJ161" s="323">
        <v>0.092</v>
      </c>
      <c r="DK161" s="323">
        <v>0.013999999999999999</v>
      </c>
      <c r="DL161" s="323">
        <v>0.001</v>
      </c>
      <c r="DM161" s="323"/>
      <c r="DN161" s="323">
        <v>0.428</v>
      </c>
      <c r="DO161" s="323">
        <v>0.446</v>
      </c>
      <c r="DP161" s="323">
        <v>0.397</v>
      </c>
    </row>
    <row r="162">
      <c r="A162" s="311" t="s">
        <v>103</v>
      </c>
      <c r="B162" s="311" t="s">
        <v>104</v>
      </c>
      <c r="C162" s="311" t="s">
        <v>1197</v>
      </c>
      <c r="D162" s="311">
        <v>6.0</v>
      </c>
      <c r="E162" s="312">
        <f t="shared" si="19"/>
        <v>0</v>
      </c>
      <c r="F162" s="312" t="str">
        <f t="shared" si="20"/>
        <v>#DIV/0!</v>
      </c>
      <c r="G162" s="312" t="str">
        <f t="shared" si="21"/>
        <v>#DIV/0!</v>
      </c>
      <c r="H162" s="312" t="str">
        <f t="shared" si="22"/>
        <v>#DIV/0!</v>
      </c>
      <c r="I162" s="312" t="str">
        <f t="shared" si="82"/>
        <v>#DIV/0!</v>
      </c>
      <c r="J162" s="312" t="str">
        <f>(COUNTIF(BQ162:CL162, "Nay")+COUNTIF(BQ162:CL162, "Yea (Amend)")+(0.5*COUNTIF(BQ162:CL162, "Present")))/(COUNTIF(BQ162:CL162, "Nay")+COUNTIF(BQ162:CL162, "Yea (Amend)")+COUNTIF(BQ162:CL162, "Yea")+COUNTIF(BQ162:CL162, "Nay (Amend)")+COUNTIF(BQ162:CL162, "Present"))</f>
        <v>#DIV/0!</v>
      </c>
      <c r="K162" s="312" t="str">
        <f>(COUNTIF(CM162:CP162, "Nay")+COUNTIF(CM162:CP162, "Yea (Amend)")+(0.5*COUNTIF(CM162:CP162, "Present")))/(COUNTIF(CM162:CP162, "Nay")+COUNTIF(CM162:CP162, "Yea (Amend)")+COUNTIF(CM162:CP162, "Yea")+COUNTIF(CM162:CP162, "Nay (Amend)")+COUNTIF(CM162:CP162, "Present"))</f>
        <v>#DIV/0!</v>
      </c>
      <c r="L162" s="316" t="str">
        <f t="shared" si="23"/>
        <v>#DIV/0!</v>
      </c>
      <c r="M162" s="317" t="s">
        <v>594</v>
      </c>
      <c r="N162" s="317" t="s">
        <v>594</v>
      </c>
      <c r="O162" s="317" t="s">
        <v>594</v>
      </c>
      <c r="P162" s="317" t="s">
        <v>594</v>
      </c>
      <c r="Q162" s="317" t="s">
        <v>594</v>
      </c>
      <c r="R162" s="317" t="s">
        <v>594</v>
      </c>
      <c r="S162" s="318" t="s">
        <v>561</v>
      </c>
      <c r="T162" s="318" t="s">
        <v>561</v>
      </c>
      <c r="U162" s="330" t="s">
        <v>561</v>
      </c>
      <c r="V162" s="330" t="s">
        <v>561</v>
      </c>
      <c r="W162" s="318" t="s">
        <v>2795</v>
      </c>
      <c r="X162" s="340" t="s">
        <v>561</v>
      </c>
      <c r="Y162" s="318" t="s">
        <v>2795</v>
      </c>
      <c r="Z162" s="317" t="s">
        <v>2795</v>
      </c>
      <c r="AA162" s="317" t="s">
        <v>561</v>
      </c>
      <c r="AB162" s="317" t="s">
        <v>561</v>
      </c>
      <c r="AC162" s="317" t="s">
        <v>2795</v>
      </c>
      <c r="AD162" s="317" t="s">
        <v>2795</v>
      </c>
      <c r="AE162" s="317" t="s">
        <v>561</v>
      </c>
      <c r="AF162" s="317" t="s">
        <v>561</v>
      </c>
      <c r="AG162" s="317" t="s">
        <v>561</v>
      </c>
      <c r="AH162" s="317" t="s">
        <v>561</v>
      </c>
      <c r="AI162" s="317" t="s">
        <v>561</v>
      </c>
      <c r="AJ162" s="317" t="s">
        <v>2795</v>
      </c>
      <c r="AK162" s="317" t="s">
        <v>2807</v>
      </c>
      <c r="AL162" s="317" t="s">
        <v>2795</v>
      </c>
      <c r="AM162" s="317" t="s">
        <v>2807</v>
      </c>
      <c r="AN162" s="317" t="s">
        <v>2795</v>
      </c>
      <c r="AO162" s="317" t="s">
        <v>2807</v>
      </c>
      <c r="AP162" s="317" t="s">
        <v>561</v>
      </c>
      <c r="AQ162" s="317" t="s">
        <v>561</v>
      </c>
      <c r="AR162" s="317" t="s">
        <v>561</v>
      </c>
      <c r="AS162" s="317" t="s">
        <v>2795</v>
      </c>
      <c r="AT162" s="317" t="s">
        <v>561</v>
      </c>
      <c r="AU162" s="317" t="s">
        <v>561</v>
      </c>
      <c r="AV162" s="317" t="s">
        <v>2807</v>
      </c>
      <c r="AW162" s="317" t="s">
        <v>561</v>
      </c>
      <c r="AX162" s="317" t="s">
        <v>561</v>
      </c>
      <c r="AY162" s="317" t="s">
        <v>561</v>
      </c>
      <c r="AZ162" s="317" t="s">
        <v>561</v>
      </c>
      <c r="BA162" s="317" t="s">
        <v>2806</v>
      </c>
      <c r="BB162" s="317" t="s">
        <v>561</v>
      </c>
      <c r="BC162" s="317" t="s">
        <v>2806</v>
      </c>
      <c r="BD162" s="317" t="s">
        <v>2795</v>
      </c>
      <c r="BE162" s="317" t="s">
        <v>561</v>
      </c>
      <c r="BF162" s="317" t="s">
        <v>561</v>
      </c>
      <c r="BG162" s="317" t="s">
        <v>561</v>
      </c>
      <c r="BH162" s="317" t="s">
        <v>561</v>
      </c>
      <c r="BI162" s="317" t="s">
        <v>561</v>
      </c>
      <c r="BJ162" s="317" t="s">
        <v>561</v>
      </c>
      <c r="BK162" s="317" t="s">
        <v>561</v>
      </c>
      <c r="BL162" s="317" t="s">
        <v>2796</v>
      </c>
      <c r="BM162" s="317" t="s">
        <v>2796</v>
      </c>
      <c r="BN162" s="317" t="s">
        <v>561</v>
      </c>
      <c r="BO162" s="317" t="s">
        <v>2796</v>
      </c>
      <c r="BP162" s="317" t="s">
        <v>2806</v>
      </c>
      <c r="BQ162" s="317" t="s">
        <v>561</v>
      </c>
      <c r="BR162" s="317" t="s">
        <v>561</v>
      </c>
      <c r="BS162" s="317" t="s">
        <v>561</v>
      </c>
      <c r="BT162" s="317" t="s">
        <v>561</v>
      </c>
      <c r="BU162" s="317" t="s">
        <v>561</v>
      </c>
      <c r="BV162" s="317" t="s">
        <v>561</v>
      </c>
      <c r="BW162" s="317" t="s">
        <v>561</v>
      </c>
      <c r="BX162" s="317" t="s">
        <v>561</v>
      </c>
      <c r="BY162" s="317" t="s">
        <v>561</v>
      </c>
      <c r="BZ162" s="317" t="s">
        <v>561</v>
      </c>
      <c r="CA162" s="317" t="s">
        <v>561</v>
      </c>
      <c r="CB162" s="317" t="s">
        <v>561</v>
      </c>
      <c r="CC162" s="317" t="s">
        <v>561</v>
      </c>
      <c r="CD162" s="317" t="s">
        <v>561</v>
      </c>
      <c r="CE162" s="317" t="s">
        <v>561</v>
      </c>
      <c r="CF162" s="317" t="s">
        <v>561</v>
      </c>
      <c r="CG162" s="317" t="s">
        <v>561</v>
      </c>
      <c r="CH162" s="317" t="s">
        <v>561</v>
      </c>
      <c r="CI162" s="317" t="s">
        <v>561</v>
      </c>
      <c r="CJ162" s="317" t="s">
        <v>2806</v>
      </c>
      <c r="CK162" s="317" t="s">
        <v>561</v>
      </c>
      <c r="CL162" s="317" t="s">
        <v>561</v>
      </c>
      <c r="CM162" s="317" t="s">
        <v>561</v>
      </c>
      <c r="CN162" s="317" t="s">
        <v>561</v>
      </c>
      <c r="CO162" s="317" t="s">
        <v>561</v>
      </c>
      <c r="CP162" s="317" t="s">
        <v>561</v>
      </c>
      <c r="CQ162" s="319"/>
      <c r="CR162" s="319">
        <v>2013.0</v>
      </c>
      <c r="CS162" s="343" t="s">
        <v>1569</v>
      </c>
      <c r="CT162" s="334" t="s">
        <v>122</v>
      </c>
      <c r="CU162" s="319" t="s">
        <v>23</v>
      </c>
      <c r="CV162" s="331" t="s">
        <v>105</v>
      </c>
      <c r="CW162" s="319"/>
      <c r="CX162" s="319"/>
      <c r="CY162" s="323">
        <f t="shared" si="24"/>
        <v>0.185</v>
      </c>
      <c r="CZ162" s="324">
        <v>0.579</v>
      </c>
      <c r="DA162" s="323">
        <v>0.39399999999999996</v>
      </c>
      <c r="DB162" s="323"/>
      <c r="DC162" s="323">
        <f t="shared" si="25"/>
        <v>0.168</v>
      </c>
      <c r="DD162" s="324">
        <v>0.5479999999999999</v>
      </c>
      <c r="DE162" s="323">
        <v>0.38</v>
      </c>
      <c r="DF162" s="323"/>
      <c r="DG162" s="324">
        <v>0.511</v>
      </c>
      <c r="DH162" s="323">
        <v>0.203</v>
      </c>
      <c r="DI162" s="323">
        <v>0.111</v>
      </c>
      <c r="DJ162" s="323">
        <v>0.147</v>
      </c>
      <c r="DK162" s="323">
        <v>0.038</v>
      </c>
      <c r="DL162" s="323">
        <v>0.015</v>
      </c>
      <c r="DM162" s="323"/>
      <c r="DN162" s="323">
        <v>0.28800000000000003</v>
      </c>
      <c r="DO162" s="323">
        <v>0.307</v>
      </c>
      <c r="DP162" s="323">
        <v>0.39899999999999997</v>
      </c>
    </row>
    <row r="163">
      <c r="A163" s="311" t="s">
        <v>1292</v>
      </c>
      <c r="B163" s="311" t="s">
        <v>1293</v>
      </c>
      <c r="C163" s="311" t="s">
        <v>2824</v>
      </c>
      <c r="D163" s="311">
        <v>32.0</v>
      </c>
      <c r="E163" s="312">
        <f t="shared" si="19"/>
        <v>0</v>
      </c>
      <c r="F163" s="312" t="str">
        <f t="shared" si="20"/>
        <v>#DIV/0!</v>
      </c>
      <c r="G163" s="312" t="str">
        <f t="shared" si="21"/>
        <v>#DIV/0!</v>
      </c>
      <c r="H163" s="312" t="str">
        <f t="shared" si="22"/>
        <v>#DIV/0!</v>
      </c>
      <c r="I163" s="312" t="str">
        <f t="shared" si="82"/>
        <v>#DIV/0!</v>
      </c>
      <c r="J163" s="315" t="s">
        <v>2794</v>
      </c>
      <c r="K163" s="315" t="s">
        <v>2794</v>
      </c>
      <c r="L163" s="316" t="str">
        <f t="shared" si="23"/>
        <v>#DIV/0!</v>
      </c>
      <c r="M163" s="317" t="s">
        <v>594</v>
      </c>
      <c r="N163" s="317" t="s">
        <v>594</v>
      </c>
      <c r="O163" s="317" t="s">
        <v>594</v>
      </c>
      <c r="P163" s="317" t="s">
        <v>594</v>
      </c>
      <c r="Q163" s="317" t="s">
        <v>594</v>
      </c>
      <c r="R163" s="317" t="s">
        <v>594</v>
      </c>
      <c r="S163" s="318" t="s">
        <v>561</v>
      </c>
      <c r="T163" s="318" t="s">
        <v>561</v>
      </c>
      <c r="U163" s="330" t="s">
        <v>561</v>
      </c>
      <c r="V163" s="330" t="s">
        <v>561</v>
      </c>
      <c r="W163" s="340" t="s">
        <v>2807</v>
      </c>
      <c r="X163" s="340" t="s">
        <v>561</v>
      </c>
      <c r="Y163" s="340" t="s">
        <v>2807</v>
      </c>
      <c r="Z163" s="317" t="s">
        <v>2795</v>
      </c>
      <c r="AA163" s="317" t="s">
        <v>561</v>
      </c>
      <c r="AB163" s="317" t="s">
        <v>561</v>
      </c>
      <c r="AC163" s="317" t="s">
        <v>2795</v>
      </c>
      <c r="AD163" s="317" t="s">
        <v>2795</v>
      </c>
      <c r="AE163" s="317" t="s">
        <v>561</v>
      </c>
      <c r="AF163" s="317" t="s">
        <v>561</v>
      </c>
      <c r="AG163" s="317" t="s">
        <v>561</v>
      </c>
      <c r="AH163" s="317" t="s">
        <v>561</v>
      </c>
      <c r="AI163" s="317" t="s">
        <v>561</v>
      </c>
      <c r="AJ163" s="317" t="s">
        <v>2807</v>
      </c>
      <c r="AK163" s="317" t="s">
        <v>2807</v>
      </c>
      <c r="AL163" s="317" t="s">
        <v>2807</v>
      </c>
      <c r="AM163" s="317" t="s">
        <v>2807</v>
      </c>
      <c r="AN163" s="317" t="s">
        <v>2795</v>
      </c>
      <c r="AO163" s="317" t="s">
        <v>2807</v>
      </c>
      <c r="AP163" s="317" t="s">
        <v>561</v>
      </c>
      <c r="AQ163" s="317" t="s">
        <v>561</v>
      </c>
      <c r="AR163" s="317" t="s">
        <v>561</v>
      </c>
      <c r="AS163" s="317" t="s">
        <v>2807</v>
      </c>
      <c r="AT163" s="317" t="s">
        <v>561</v>
      </c>
      <c r="AU163" s="317" t="s">
        <v>561</v>
      </c>
      <c r="AV163" s="317" t="s">
        <v>2807</v>
      </c>
      <c r="AW163" s="317" t="s">
        <v>561</v>
      </c>
      <c r="AX163" s="317" t="s">
        <v>561</v>
      </c>
      <c r="AY163" s="317" t="s">
        <v>561</v>
      </c>
      <c r="AZ163" s="317" t="s">
        <v>561</v>
      </c>
      <c r="BA163" s="317" t="s">
        <v>2806</v>
      </c>
      <c r="BB163" s="317" t="s">
        <v>561</v>
      </c>
      <c r="BC163" s="317" t="s">
        <v>2806</v>
      </c>
      <c r="BD163" s="317" t="s">
        <v>2795</v>
      </c>
      <c r="BE163" s="317" t="s">
        <v>561</v>
      </c>
      <c r="BF163" s="317" t="s">
        <v>561</v>
      </c>
      <c r="BG163" s="317" t="s">
        <v>561</v>
      </c>
      <c r="BH163" s="317" t="s">
        <v>561</v>
      </c>
      <c r="BI163" s="317" t="s">
        <v>561</v>
      </c>
      <c r="BJ163" s="317" t="s">
        <v>561</v>
      </c>
      <c r="BK163" s="317" t="s">
        <v>561</v>
      </c>
      <c r="BL163" s="317" t="s">
        <v>2796</v>
      </c>
      <c r="BM163" s="317" t="s">
        <v>2806</v>
      </c>
      <c r="BN163" s="317" t="s">
        <v>561</v>
      </c>
      <c r="BO163" s="317" t="s">
        <v>2796</v>
      </c>
      <c r="BP163" s="317" t="s">
        <v>2806</v>
      </c>
      <c r="BQ163" s="317" t="s">
        <v>600</v>
      </c>
      <c r="BR163" s="317" t="s">
        <v>600</v>
      </c>
      <c r="BS163" s="317" t="s">
        <v>600</v>
      </c>
      <c r="BT163" s="317" t="s">
        <v>600</v>
      </c>
      <c r="BU163" s="317" t="s">
        <v>600</v>
      </c>
      <c r="BV163" s="317" t="s">
        <v>600</v>
      </c>
      <c r="BW163" s="317" t="s">
        <v>600</v>
      </c>
      <c r="BX163" s="317" t="s">
        <v>600</v>
      </c>
      <c r="BY163" s="317" t="s">
        <v>600</v>
      </c>
      <c r="BZ163" s="317" t="s">
        <v>600</v>
      </c>
      <c r="CA163" s="317" t="s">
        <v>600</v>
      </c>
      <c r="CB163" s="317" t="s">
        <v>600</v>
      </c>
      <c r="CC163" s="317" t="s">
        <v>600</v>
      </c>
      <c r="CD163" s="317" t="s">
        <v>600</v>
      </c>
      <c r="CE163" s="317" t="s">
        <v>600</v>
      </c>
      <c r="CF163" s="317" t="s">
        <v>600</v>
      </c>
      <c r="CG163" s="317" t="s">
        <v>600</v>
      </c>
      <c r="CH163" s="317" t="s">
        <v>600</v>
      </c>
      <c r="CI163" s="317" t="s">
        <v>600</v>
      </c>
      <c r="CJ163" s="317" t="s">
        <v>600</v>
      </c>
      <c r="CK163" s="317" t="s">
        <v>600</v>
      </c>
      <c r="CL163" s="317" t="s">
        <v>600</v>
      </c>
      <c r="CM163" s="317" t="s">
        <v>600</v>
      </c>
      <c r="CN163" s="317" t="s">
        <v>600</v>
      </c>
      <c r="CO163" s="317" t="s">
        <v>600</v>
      </c>
      <c r="CP163" s="317" t="s">
        <v>600</v>
      </c>
      <c r="CQ163" s="319"/>
      <c r="CR163" s="319">
        <v>2019.0</v>
      </c>
      <c r="CS163" s="343" t="s">
        <v>1569</v>
      </c>
      <c r="CT163" s="334" t="s">
        <v>2030</v>
      </c>
      <c r="CU163" s="319" t="s">
        <v>2852</v>
      </c>
      <c r="CV163" s="327" t="s">
        <v>28</v>
      </c>
      <c r="CW163" s="319"/>
      <c r="CX163" s="319"/>
      <c r="CY163" s="323">
        <f t="shared" si="24"/>
        <v>0.33</v>
      </c>
      <c r="CZ163" s="324">
        <v>0.657</v>
      </c>
      <c r="DA163" s="323">
        <v>0.327</v>
      </c>
      <c r="DB163" s="323"/>
      <c r="DC163" s="323">
        <f t="shared" si="25"/>
        <v>0.261</v>
      </c>
      <c r="DD163" s="324">
        <v>0.605</v>
      </c>
      <c r="DE163" s="323">
        <v>0.344</v>
      </c>
      <c r="DF163" s="323"/>
      <c r="DG163" s="324">
        <v>0.36200000000000004</v>
      </c>
      <c r="DH163" s="323">
        <v>0.326</v>
      </c>
      <c r="DI163" s="323">
        <v>0.203</v>
      </c>
      <c r="DJ163" s="323">
        <v>0.09699999999999999</v>
      </c>
      <c r="DK163" s="323">
        <v>0.027000000000000003</v>
      </c>
      <c r="DL163" s="323">
        <v>0.002</v>
      </c>
      <c r="DM163" s="323"/>
      <c r="DN163" s="323">
        <v>0.371</v>
      </c>
      <c r="DO163" s="324">
        <v>0.547</v>
      </c>
      <c r="DP163" s="323">
        <v>0.212</v>
      </c>
    </row>
    <row r="164">
      <c r="A164" s="311" t="s">
        <v>1272</v>
      </c>
      <c r="B164" s="311" t="s">
        <v>1273</v>
      </c>
      <c r="C164" s="311" t="s">
        <v>2824</v>
      </c>
      <c r="D164" s="311">
        <v>28.0</v>
      </c>
      <c r="E164" s="312">
        <f t="shared" si="19"/>
        <v>0</v>
      </c>
      <c r="F164" s="312" t="str">
        <f t="shared" si="20"/>
        <v>#DIV/0!</v>
      </c>
      <c r="G164" s="312" t="str">
        <f t="shared" si="21"/>
        <v>#DIV/0!</v>
      </c>
      <c r="H164" s="312" t="str">
        <f t="shared" si="22"/>
        <v>#DIV/0!</v>
      </c>
      <c r="I164" s="312" t="str">
        <f t="shared" si="82"/>
        <v>#DIV/0!</v>
      </c>
      <c r="J164" s="312" t="str">
        <f>(COUNTIF(BQ164:CL164, "Nay")+COUNTIF(BQ164:CL164, "Yea (Amend)")+(0.5*COUNTIF(BQ164:CL164, "Present")))/(COUNTIF(BQ164:CL164, "Nay")+COUNTIF(BQ164:CL164, "Yea (Amend)")+COUNTIF(BQ164:CL164, "Yea")+COUNTIF(BQ164:CL164, "Nay (Amend)")+COUNTIF(BQ164:CL164, "Present"))</f>
        <v>#DIV/0!</v>
      </c>
      <c r="K164" s="312" t="str">
        <f>(COUNTIF(CM164:CP164, "Nay")+COUNTIF(CM164:CP164, "Yea (Amend)")+(0.5*COUNTIF(CM164:CP164, "Present")))/(COUNTIF(CM164:CP164, "Nay")+COUNTIF(CM164:CP164, "Yea (Amend)")+COUNTIF(CM164:CP164, "Yea")+COUNTIF(CM164:CP164, "Nay (Amend)")+COUNTIF(CM164:CP164, "Present"))</f>
        <v>#DIV/0!</v>
      </c>
      <c r="L164" s="316" t="str">
        <f t="shared" si="23"/>
        <v>#DIV/0!</v>
      </c>
      <c r="M164" s="317" t="s">
        <v>594</v>
      </c>
      <c r="N164" s="317" t="s">
        <v>594</v>
      </c>
      <c r="O164" s="317" t="s">
        <v>594</v>
      </c>
      <c r="P164" s="317" t="s">
        <v>594</v>
      </c>
      <c r="Q164" s="317" t="s">
        <v>594</v>
      </c>
      <c r="R164" s="317" t="s">
        <v>594</v>
      </c>
      <c r="S164" s="318" t="s">
        <v>561</v>
      </c>
      <c r="T164" s="318" t="s">
        <v>561</v>
      </c>
      <c r="U164" s="330" t="s">
        <v>561</v>
      </c>
      <c r="V164" s="330" t="s">
        <v>561</v>
      </c>
      <c r="W164" s="340" t="s">
        <v>2807</v>
      </c>
      <c r="X164" s="340" t="s">
        <v>561</v>
      </c>
      <c r="Y164" s="340" t="s">
        <v>2807</v>
      </c>
      <c r="Z164" s="317" t="s">
        <v>2795</v>
      </c>
      <c r="AA164" s="317" t="s">
        <v>561</v>
      </c>
      <c r="AB164" s="317" t="s">
        <v>53</v>
      </c>
      <c r="AC164" s="317" t="s">
        <v>2795</v>
      </c>
      <c r="AD164" s="317" t="s">
        <v>2795</v>
      </c>
      <c r="AE164" s="317" t="s">
        <v>561</v>
      </c>
      <c r="AF164" s="317" t="s">
        <v>561</v>
      </c>
      <c r="AG164" s="317" t="s">
        <v>561</v>
      </c>
      <c r="AH164" s="317" t="s">
        <v>561</v>
      </c>
      <c r="AI164" s="317" t="s">
        <v>561</v>
      </c>
      <c r="AJ164" s="317" t="s">
        <v>2807</v>
      </c>
      <c r="AK164" s="317" t="s">
        <v>2807</v>
      </c>
      <c r="AL164" s="317" t="s">
        <v>2795</v>
      </c>
      <c r="AM164" s="317" t="s">
        <v>2807</v>
      </c>
      <c r="AN164" s="317" t="s">
        <v>2807</v>
      </c>
      <c r="AO164" s="317" t="s">
        <v>2807</v>
      </c>
      <c r="AP164" s="317" t="s">
        <v>561</v>
      </c>
      <c r="AQ164" s="317" t="s">
        <v>561</v>
      </c>
      <c r="AR164" s="317" t="s">
        <v>561</v>
      </c>
      <c r="AS164" s="317" t="s">
        <v>2807</v>
      </c>
      <c r="AT164" s="317" t="s">
        <v>561</v>
      </c>
      <c r="AU164" s="317" t="s">
        <v>561</v>
      </c>
      <c r="AV164" s="317" t="s">
        <v>2807</v>
      </c>
      <c r="AW164" s="317" t="s">
        <v>561</v>
      </c>
      <c r="AX164" s="317" t="s">
        <v>53</v>
      </c>
      <c r="AY164" s="317" t="s">
        <v>561</v>
      </c>
      <c r="AZ164" s="317" t="s">
        <v>561</v>
      </c>
      <c r="BA164" s="317" t="s">
        <v>2806</v>
      </c>
      <c r="BB164" s="317" t="s">
        <v>561</v>
      </c>
      <c r="BC164" s="317" t="s">
        <v>2806</v>
      </c>
      <c r="BD164" s="317" t="s">
        <v>2795</v>
      </c>
      <c r="BE164" s="317" t="s">
        <v>561</v>
      </c>
      <c r="BF164" s="317" t="s">
        <v>561</v>
      </c>
      <c r="BG164" s="317" t="s">
        <v>53</v>
      </c>
      <c r="BH164" s="317" t="s">
        <v>561</v>
      </c>
      <c r="BI164" s="317" t="s">
        <v>561</v>
      </c>
      <c r="BJ164" s="317" t="s">
        <v>561</v>
      </c>
      <c r="BK164" s="317" t="s">
        <v>561</v>
      </c>
      <c r="BL164" s="317" t="s">
        <v>2796</v>
      </c>
      <c r="BM164" s="317" t="s">
        <v>2806</v>
      </c>
      <c r="BN164" s="317" t="s">
        <v>561</v>
      </c>
      <c r="BO164" s="317" t="s">
        <v>2796</v>
      </c>
      <c r="BP164" s="317" t="s">
        <v>2806</v>
      </c>
      <c r="BQ164" s="317" t="s">
        <v>561</v>
      </c>
      <c r="BR164" s="317" t="s">
        <v>561</v>
      </c>
      <c r="BS164" s="317" t="s">
        <v>561</v>
      </c>
      <c r="BT164" s="317" t="s">
        <v>561</v>
      </c>
      <c r="BU164" s="317" t="s">
        <v>561</v>
      </c>
      <c r="BV164" s="317" t="s">
        <v>561</v>
      </c>
      <c r="BW164" s="317" t="s">
        <v>561</v>
      </c>
      <c r="BX164" s="317" t="s">
        <v>561</v>
      </c>
      <c r="BY164" s="317" t="s">
        <v>561</v>
      </c>
      <c r="BZ164" s="317" t="s">
        <v>561</v>
      </c>
      <c r="CA164" s="317" t="s">
        <v>561</v>
      </c>
      <c r="CB164" s="317" t="s">
        <v>561</v>
      </c>
      <c r="CC164" s="317" t="s">
        <v>561</v>
      </c>
      <c r="CD164" s="317" t="s">
        <v>561</v>
      </c>
      <c r="CE164" s="317" t="s">
        <v>561</v>
      </c>
      <c r="CF164" s="317" t="s">
        <v>561</v>
      </c>
      <c r="CG164" s="317" t="s">
        <v>561</v>
      </c>
      <c r="CH164" s="317" t="s">
        <v>561</v>
      </c>
      <c r="CI164" s="317" t="s">
        <v>561</v>
      </c>
      <c r="CJ164" s="317" t="s">
        <v>2806</v>
      </c>
      <c r="CK164" s="317" t="s">
        <v>561</v>
      </c>
      <c r="CL164" s="317" t="s">
        <v>561</v>
      </c>
      <c r="CM164" s="317" t="s">
        <v>561</v>
      </c>
      <c r="CN164" s="317" t="s">
        <v>561</v>
      </c>
      <c r="CO164" s="317" t="s">
        <v>561</v>
      </c>
      <c r="CP164" s="317" t="s">
        <v>561</v>
      </c>
      <c r="CQ164" s="319"/>
      <c r="CR164" s="319">
        <v>2005.0</v>
      </c>
      <c r="CS164" s="334" t="s">
        <v>2665</v>
      </c>
      <c r="CT164" s="334" t="s">
        <v>122</v>
      </c>
      <c r="CU164" s="326" t="s">
        <v>2476</v>
      </c>
      <c r="CV164" s="320" t="s">
        <v>83</v>
      </c>
      <c r="CW164" s="319"/>
      <c r="CX164" s="319"/>
      <c r="CY164" s="323">
        <f t="shared" si="24"/>
        <v>0.07</v>
      </c>
      <c r="CZ164" s="324">
        <v>0.529</v>
      </c>
      <c r="DA164" s="323">
        <v>0.45899999999999996</v>
      </c>
      <c r="DB164" s="323"/>
      <c r="DC164" s="323">
        <f t="shared" si="25"/>
        <v>0.191</v>
      </c>
      <c r="DD164" s="324">
        <v>0.574</v>
      </c>
      <c r="DE164" s="323">
        <v>0.38299999999999995</v>
      </c>
      <c r="DF164" s="323"/>
      <c r="DG164" s="323">
        <v>0.193</v>
      </c>
      <c r="DH164" s="324">
        <v>0.7290000000000001</v>
      </c>
      <c r="DI164" s="323">
        <v>0.057</v>
      </c>
      <c r="DJ164" s="323">
        <v>0.016</v>
      </c>
      <c r="DK164" s="323">
        <v>0.022000000000000002</v>
      </c>
      <c r="DL164" s="323">
        <v>0.002</v>
      </c>
      <c r="DM164" s="323"/>
      <c r="DN164" s="323">
        <v>0.185</v>
      </c>
      <c r="DO164" s="323">
        <v>0.305</v>
      </c>
      <c r="DP164" s="323">
        <v>0.16</v>
      </c>
    </row>
    <row r="165">
      <c r="A165" s="311" t="s">
        <v>953</v>
      </c>
      <c r="B165" s="311" t="s">
        <v>955</v>
      </c>
      <c r="C165" s="311" t="s">
        <v>587</v>
      </c>
      <c r="D165" s="311">
        <v>11.0</v>
      </c>
      <c r="E165" s="312">
        <f t="shared" si="19"/>
        <v>0.1666666667</v>
      </c>
      <c r="F165" s="312" t="str">
        <f t="shared" si="20"/>
        <v>#DIV/0!</v>
      </c>
      <c r="G165" s="312" t="str">
        <f t="shared" si="21"/>
        <v>#DIV/0!</v>
      </c>
      <c r="H165" s="312" t="str">
        <f t="shared" si="22"/>
        <v>#DIV/0!</v>
      </c>
      <c r="I165" s="312" t="str">
        <f t="shared" si="82"/>
        <v>#DIV/0!</v>
      </c>
      <c r="J165" s="315" t="s">
        <v>2794</v>
      </c>
      <c r="K165" s="315" t="s">
        <v>2794</v>
      </c>
      <c r="L165" s="316" t="str">
        <f t="shared" si="23"/>
        <v>#DIV/0!</v>
      </c>
      <c r="M165" s="317" t="s">
        <v>594</v>
      </c>
      <c r="N165" s="317" t="s">
        <v>594</v>
      </c>
      <c r="O165" s="317" t="s">
        <v>487</v>
      </c>
      <c r="P165" s="317" t="s">
        <v>594</v>
      </c>
      <c r="Q165" s="317" t="s">
        <v>594</v>
      </c>
      <c r="R165" s="317" t="s">
        <v>594</v>
      </c>
      <c r="S165" s="318" t="s">
        <v>561</v>
      </c>
      <c r="T165" s="318" t="s">
        <v>561</v>
      </c>
      <c r="U165" s="330" t="s">
        <v>561</v>
      </c>
      <c r="V165" s="330" t="s">
        <v>561</v>
      </c>
      <c r="W165" s="340" t="s">
        <v>2807</v>
      </c>
      <c r="X165" s="340" t="s">
        <v>561</v>
      </c>
      <c r="Y165" s="340" t="s">
        <v>2807</v>
      </c>
      <c r="Z165" s="317" t="s">
        <v>2795</v>
      </c>
      <c r="AA165" s="317" t="s">
        <v>561</v>
      </c>
      <c r="AB165" s="317" t="s">
        <v>561</v>
      </c>
      <c r="AC165" s="317" t="s">
        <v>2807</v>
      </c>
      <c r="AD165" s="317" t="s">
        <v>2807</v>
      </c>
      <c r="AE165" s="317" t="s">
        <v>561</v>
      </c>
      <c r="AF165" s="317" t="s">
        <v>561</v>
      </c>
      <c r="AG165" s="317" t="s">
        <v>561</v>
      </c>
      <c r="AH165" s="317" t="s">
        <v>561</v>
      </c>
      <c r="AI165" s="317" t="s">
        <v>561</v>
      </c>
      <c r="AJ165" s="317" t="s">
        <v>2807</v>
      </c>
      <c r="AK165" s="317" t="s">
        <v>2807</v>
      </c>
      <c r="AL165" s="317" t="s">
        <v>2807</v>
      </c>
      <c r="AM165" s="317" t="s">
        <v>2807</v>
      </c>
      <c r="AN165" s="317" t="s">
        <v>2795</v>
      </c>
      <c r="AO165" s="317" t="s">
        <v>2807</v>
      </c>
      <c r="AP165" s="317" t="s">
        <v>561</v>
      </c>
      <c r="AQ165" s="317" t="s">
        <v>561</v>
      </c>
      <c r="AR165" s="317" t="s">
        <v>561</v>
      </c>
      <c r="AS165" s="317" t="s">
        <v>2807</v>
      </c>
      <c r="AT165" s="317" t="s">
        <v>561</v>
      </c>
      <c r="AU165" s="317" t="s">
        <v>561</v>
      </c>
      <c r="AV165" s="317" t="s">
        <v>2807</v>
      </c>
      <c r="AW165" s="317" t="s">
        <v>561</v>
      </c>
      <c r="AX165" s="317" t="s">
        <v>561</v>
      </c>
      <c r="AY165" s="317" t="s">
        <v>561</v>
      </c>
      <c r="AZ165" s="317" t="s">
        <v>561</v>
      </c>
      <c r="BA165" s="317" t="s">
        <v>2806</v>
      </c>
      <c r="BB165" s="317" t="s">
        <v>561</v>
      </c>
      <c r="BC165" s="317" t="s">
        <v>2806</v>
      </c>
      <c r="BD165" s="317" t="s">
        <v>2795</v>
      </c>
      <c r="BE165" s="317" t="s">
        <v>561</v>
      </c>
      <c r="BF165" s="317" t="s">
        <v>561</v>
      </c>
      <c r="BG165" s="317" t="s">
        <v>561</v>
      </c>
      <c r="BH165" s="317" t="s">
        <v>561</v>
      </c>
      <c r="BI165" s="317" t="s">
        <v>561</v>
      </c>
      <c r="BJ165" s="317" t="s">
        <v>561</v>
      </c>
      <c r="BK165" s="317" t="s">
        <v>561</v>
      </c>
      <c r="BL165" s="317" t="s">
        <v>2806</v>
      </c>
      <c r="BM165" s="317" t="s">
        <v>2796</v>
      </c>
      <c r="BN165" s="317" t="s">
        <v>561</v>
      </c>
      <c r="BO165" s="317" t="s">
        <v>2806</v>
      </c>
      <c r="BP165" s="317" t="s">
        <v>2806</v>
      </c>
      <c r="BQ165" s="317" t="s">
        <v>600</v>
      </c>
      <c r="BR165" s="317" t="s">
        <v>600</v>
      </c>
      <c r="BS165" s="317" t="s">
        <v>600</v>
      </c>
      <c r="BT165" s="317" t="s">
        <v>600</v>
      </c>
      <c r="BU165" s="317" t="s">
        <v>600</v>
      </c>
      <c r="BV165" s="317" t="s">
        <v>600</v>
      </c>
      <c r="BW165" s="317" t="s">
        <v>600</v>
      </c>
      <c r="BX165" s="317" t="s">
        <v>600</v>
      </c>
      <c r="BY165" s="317" t="s">
        <v>600</v>
      </c>
      <c r="BZ165" s="317" t="s">
        <v>600</v>
      </c>
      <c r="CA165" s="317" t="s">
        <v>600</v>
      </c>
      <c r="CB165" s="317" t="s">
        <v>600</v>
      </c>
      <c r="CC165" s="317" t="s">
        <v>600</v>
      </c>
      <c r="CD165" s="317" t="s">
        <v>600</v>
      </c>
      <c r="CE165" s="317" t="s">
        <v>600</v>
      </c>
      <c r="CF165" s="317" t="s">
        <v>600</v>
      </c>
      <c r="CG165" s="317" t="s">
        <v>600</v>
      </c>
      <c r="CH165" s="317" t="s">
        <v>600</v>
      </c>
      <c r="CI165" s="317" t="s">
        <v>600</v>
      </c>
      <c r="CJ165" s="317" t="s">
        <v>600</v>
      </c>
      <c r="CK165" s="317" t="s">
        <v>600</v>
      </c>
      <c r="CL165" s="317" t="s">
        <v>600</v>
      </c>
      <c r="CM165" s="317" t="s">
        <v>600</v>
      </c>
      <c r="CN165" s="317" t="s">
        <v>600</v>
      </c>
      <c r="CO165" s="317" t="s">
        <v>600</v>
      </c>
      <c r="CP165" s="317" t="s">
        <v>600</v>
      </c>
      <c r="CQ165" s="319"/>
      <c r="CR165" s="319">
        <v>2019.0</v>
      </c>
      <c r="CS165" s="334" t="s">
        <v>2665</v>
      </c>
      <c r="CT165" s="334" t="s">
        <v>2030</v>
      </c>
      <c r="CU165" s="319" t="s">
        <v>2853</v>
      </c>
      <c r="CV165" s="332" t="s">
        <v>75</v>
      </c>
      <c r="CW165" s="319"/>
      <c r="CX165" s="319"/>
      <c r="CY165" s="323">
        <f t="shared" si="24"/>
        <v>0.169</v>
      </c>
      <c r="CZ165" s="324">
        <v>0.578</v>
      </c>
      <c r="DA165" s="323">
        <v>0.409</v>
      </c>
      <c r="DB165" s="323"/>
      <c r="DC165" s="323">
        <f t="shared" si="25"/>
        <v>0.108</v>
      </c>
      <c r="DD165" s="324">
        <v>0.5379999999999999</v>
      </c>
      <c r="DE165" s="323">
        <v>0.43</v>
      </c>
      <c r="DF165" s="323"/>
      <c r="DG165" s="324">
        <v>0.64</v>
      </c>
      <c r="DH165" s="323">
        <v>0.152</v>
      </c>
      <c r="DI165" s="323">
        <v>0.078</v>
      </c>
      <c r="DJ165" s="323">
        <v>0.124</v>
      </c>
      <c r="DK165" s="323">
        <v>0.01</v>
      </c>
      <c r="DL165" s="323">
        <v>0.001</v>
      </c>
      <c r="DM165" s="323"/>
      <c r="DN165" s="324">
        <v>0.562</v>
      </c>
      <c r="DO165" s="324">
        <v>0.591</v>
      </c>
      <c r="DP165" s="323">
        <v>0.294</v>
      </c>
    </row>
    <row r="166">
      <c r="A166" s="311" t="s">
        <v>258</v>
      </c>
      <c r="B166" s="311" t="s">
        <v>624</v>
      </c>
      <c r="C166" s="311" t="s">
        <v>848</v>
      </c>
      <c r="D166" s="311">
        <v>10.0</v>
      </c>
      <c r="E166" s="312">
        <f t="shared" si="19"/>
        <v>0</v>
      </c>
      <c r="F166" s="312" t="str">
        <f t="shared" si="20"/>
        <v>#DIV/0!</v>
      </c>
      <c r="G166" s="312" t="str">
        <f t="shared" si="21"/>
        <v>#DIV/0!</v>
      </c>
      <c r="H166" s="312" t="str">
        <f t="shared" si="22"/>
        <v>#DIV/0!</v>
      </c>
      <c r="I166" s="312" t="str">
        <f t="shared" si="82"/>
        <v>#DIV/0!</v>
      </c>
      <c r="J166" s="312" t="str">
        <f t="shared" ref="J166:J167" si="83">(COUNTIF(BQ166:CL166, "Nay")+COUNTIF(BQ166:CL166, "Yea (Amend)")+(0.5*COUNTIF(BQ166:CL166, "Present")))/(COUNTIF(BQ166:CL166, "Nay")+COUNTIF(BQ166:CL166, "Yea (Amend)")+COUNTIF(BQ166:CL166, "Yea")+COUNTIF(BQ166:CL166, "Nay (Amend)")+COUNTIF(BQ166:CL166, "Present"))</f>
        <v>#DIV/0!</v>
      </c>
      <c r="K166" s="315" t="s">
        <v>2794</v>
      </c>
      <c r="L166" s="316" t="str">
        <f t="shared" si="23"/>
        <v>#DIV/0!</v>
      </c>
      <c r="M166" s="317" t="s">
        <v>594</v>
      </c>
      <c r="N166" s="317" t="s">
        <v>594</v>
      </c>
      <c r="O166" s="317" t="s">
        <v>594</v>
      </c>
      <c r="P166" s="317" t="s">
        <v>594</v>
      </c>
      <c r="Q166" s="317" t="s">
        <v>594</v>
      </c>
      <c r="R166" s="317" t="s">
        <v>594</v>
      </c>
      <c r="S166" s="318" t="s">
        <v>561</v>
      </c>
      <c r="T166" s="318" t="s">
        <v>561</v>
      </c>
      <c r="U166" s="330" t="s">
        <v>561</v>
      </c>
      <c r="V166" s="330" t="s">
        <v>561</v>
      </c>
      <c r="W166" s="340" t="s">
        <v>2807</v>
      </c>
      <c r="X166" s="340" t="s">
        <v>561</v>
      </c>
      <c r="Y166" s="340" t="s">
        <v>2807</v>
      </c>
      <c r="Z166" s="317" t="s">
        <v>2795</v>
      </c>
      <c r="AA166" s="317" t="s">
        <v>561</v>
      </c>
      <c r="AB166" s="317" t="s">
        <v>561</v>
      </c>
      <c r="AC166" s="317" t="s">
        <v>2795</v>
      </c>
      <c r="AD166" s="317" t="s">
        <v>2795</v>
      </c>
      <c r="AE166" s="317" t="s">
        <v>561</v>
      </c>
      <c r="AF166" s="317" t="s">
        <v>561</v>
      </c>
      <c r="AG166" s="317" t="s">
        <v>561</v>
      </c>
      <c r="AH166" s="317" t="s">
        <v>561</v>
      </c>
      <c r="AI166" s="317" t="s">
        <v>561</v>
      </c>
      <c r="AJ166" s="317" t="s">
        <v>2807</v>
      </c>
      <c r="AK166" s="317" t="s">
        <v>801</v>
      </c>
      <c r="AL166" s="317" t="s">
        <v>2807</v>
      </c>
      <c r="AM166" s="317" t="s">
        <v>2807</v>
      </c>
      <c r="AN166" s="317" t="s">
        <v>2795</v>
      </c>
      <c r="AO166" s="317" t="s">
        <v>2807</v>
      </c>
      <c r="AP166" s="317" t="s">
        <v>561</v>
      </c>
      <c r="AQ166" s="317" t="s">
        <v>561</v>
      </c>
      <c r="AR166" s="317" t="s">
        <v>561</v>
      </c>
      <c r="AS166" s="317" t="s">
        <v>2807</v>
      </c>
      <c r="AT166" s="317" t="s">
        <v>561</v>
      </c>
      <c r="AU166" s="317" t="s">
        <v>561</v>
      </c>
      <c r="AV166" s="317" t="s">
        <v>2795</v>
      </c>
      <c r="AW166" s="317" t="s">
        <v>561</v>
      </c>
      <c r="AX166" s="317" t="s">
        <v>561</v>
      </c>
      <c r="AY166" s="317" t="s">
        <v>561</v>
      </c>
      <c r="AZ166" s="317" t="s">
        <v>561</v>
      </c>
      <c r="BA166" s="317" t="s">
        <v>2796</v>
      </c>
      <c r="BB166" s="317" t="s">
        <v>561</v>
      </c>
      <c r="BC166" s="317" t="s">
        <v>2806</v>
      </c>
      <c r="BD166" s="317" t="s">
        <v>2807</v>
      </c>
      <c r="BE166" s="317" t="s">
        <v>561</v>
      </c>
      <c r="BF166" s="317" t="s">
        <v>561</v>
      </c>
      <c r="BG166" s="317" t="s">
        <v>561</v>
      </c>
      <c r="BH166" s="317" t="s">
        <v>561</v>
      </c>
      <c r="BI166" s="317" t="s">
        <v>561</v>
      </c>
      <c r="BJ166" s="317" t="s">
        <v>561</v>
      </c>
      <c r="BK166" s="317" t="s">
        <v>561</v>
      </c>
      <c r="BL166" s="317" t="s">
        <v>2796</v>
      </c>
      <c r="BM166" s="317" t="s">
        <v>2796</v>
      </c>
      <c r="BN166" s="317" t="s">
        <v>561</v>
      </c>
      <c r="BO166" s="317" t="s">
        <v>2806</v>
      </c>
      <c r="BP166" s="317" t="s">
        <v>2806</v>
      </c>
      <c r="BQ166" s="317" t="s">
        <v>561</v>
      </c>
      <c r="BR166" s="317" t="s">
        <v>561</v>
      </c>
      <c r="BS166" s="317" t="s">
        <v>53</v>
      </c>
      <c r="BT166" s="317" t="s">
        <v>561</v>
      </c>
      <c r="BU166" s="317" t="s">
        <v>561</v>
      </c>
      <c r="BV166" s="317" t="s">
        <v>561</v>
      </c>
      <c r="BW166" s="317" t="s">
        <v>561</v>
      </c>
      <c r="BX166" s="317" t="s">
        <v>561</v>
      </c>
      <c r="BY166" s="317" t="s">
        <v>561</v>
      </c>
      <c r="BZ166" s="317" t="s">
        <v>561</v>
      </c>
      <c r="CA166" s="317" t="s">
        <v>53</v>
      </c>
      <c r="CB166" s="317" t="s">
        <v>561</v>
      </c>
      <c r="CC166" s="317" t="s">
        <v>561</v>
      </c>
      <c r="CD166" s="317" t="s">
        <v>561</v>
      </c>
      <c r="CE166" s="317" t="s">
        <v>561</v>
      </c>
      <c r="CF166" s="317" t="s">
        <v>561</v>
      </c>
      <c r="CG166" s="317" t="s">
        <v>561</v>
      </c>
      <c r="CH166" s="317" t="s">
        <v>561</v>
      </c>
      <c r="CI166" s="317" t="s">
        <v>561</v>
      </c>
      <c r="CJ166" s="317" t="s">
        <v>2806</v>
      </c>
      <c r="CK166" s="317" t="s">
        <v>561</v>
      </c>
      <c r="CL166" s="317" t="s">
        <v>561</v>
      </c>
      <c r="CM166" s="317" t="s">
        <v>600</v>
      </c>
      <c r="CN166" s="317" t="s">
        <v>600</v>
      </c>
      <c r="CO166" s="317" t="s">
        <v>600</v>
      </c>
      <c r="CP166" s="317" t="s">
        <v>600</v>
      </c>
      <c r="CQ166" s="319"/>
      <c r="CR166" s="319">
        <v>2017.0</v>
      </c>
      <c r="CS166" s="334" t="s">
        <v>2665</v>
      </c>
      <c r="CT166" s="334" t="s">
        <v>2030</v>
      </c>
      <c r="CU166" s="319" t="s">
        <v>23</v>
      </c>
      <c r="CV166" s="332" t="s">
        <v>75</v>
      </c>
      <c r="CW166" s="319"/>
      <c r="CX166" s="319"/>
      <c r="CY166" s="323">
        <f t="shared" si="24"/>
        <v>0.259</v>
      </c>
      <c r="CZ166" s="324">
        <v>0.62</v>
      </c>
      <c r="DA166" s="323">
        <v>0.361</v>
      </c>
      <c r="DB166" s="323"/>
      <c r="DC166" s="323">
        <f t="shared" si="25"/>
        <v>0.228</v>
      </c>
      <c r="DD166" s="324">
        <v>0.5770000000000001</v>
      </c>
      <c r="DE166" s="323">
        <v>0.349</v>
      </c>
      <c r="DF166" s="323"/>
      <c r="DG166" s="324">
        <v>0.616</v>
      </c>
      <c r="DH166" s="323">
        <v>0.212</v>
      </c>
      <c r="DI166" s="323">
        <v>0.071</v>
      </c>
      <c r="DJ166" s="323">
        <v>0.087</v>
      </c>
      <c r="DK166" s="323">
        <v>0.022000000000000002</v>
      </c>
      <c r="DL166" s="323">
        <v>0.002</v>
      </c>
      <c r="DM166" s="323"/>
      <c r="DN166" s="323">
        <v>0.45399999999999996</v>
      </c>
      <c r="DO166" s="324">
        <v>0.527</v>
      </c>
      <c r="DP166" s="323">
        <v>0.33899999999999997</v>
      </c>
    </row>
    <row r="167">
      <c r="A167" s="351" t="s">
        <v>426</v>
      </c>
      <c r="B167" s="351" t="s">
        <v>2461</v>
      </c>
      <c r="C167" s="311" t="s">
        <v>1197</v>
      </c>
      <c r="D167" s="311">
        <v>21.0</v>
      </c>
      <c r="E167" s="312">
        <f t="shared" si="19"/>
        <v>0</v>
      </c>
      <c r="F167" s="312" t="str">
        <f t="shared" si="20"/>
        <v>#DIV/0!</v>
      </c>
      <c r="G167" s="312" t="str">
        <f t="shared" si="21"/>
        <v>#DIV/0!</v>
      </c>
      <c r="H167" s="312" t="str">
        <f t="shared" si="22"/>
        <v>#DIV/0!</v>
      </c>
      <c r="I167" s="312" t="str">
        <f t="shared" si="82"/>
        <v>#DIV/0!</v>
      </c>
      <c r="J167" s="312" t="str">
        <f t="shared" si="83"/>
        <v>#DIV/0!</v>
      </c>
      <c r="K167" s="312" t="str">
        <f>(COUNTIF(CM167:CP167, "Nay")+COUNTIF(CM167:CP167, "Yea (Amend)")+(0.5*COUNTIF(CM167:CP167, "Present")))/(COUNTIF(CM167:CP167, "Nay")+COUNTIF(CM167:CP167, "Yea (Amend)")+COUNTIF(CM167:CP167, "Yea")+COUNTIF(CM167:CP167, "Nay (Amend)")+COUNTIF(CM167:CP167, "Present"))</f>
        <v>#DIV/0!</v>
      </c>
      <c r="L167" s="316" t="str">
        <f t="shared" si="23"/>
        <v>#DIV/0!</v>
      </c>
      <c r="M167" s="317" t="s">
        <v>594</v>
      </c>
      <c r="N167" s="317" t="s">
        <v>594</v>
      </c>
      <c r="O167" s="317" t="s">
        <v>594</v>
      </c>
      <c r="P167" s="317" t="s">
        <v>594</v>
      </c>
      <c r="Q167" s="317" t="s">
        <v>594</v>
      </c>
      <c r="R167" s="317" t="s">
        <v>594</v>
      </c>
      <c r="S167" s="318" t="s">
        <v>561</v>
      </c>
      <c r="T167" s="318" t="s">
        <v>561</v>
      </c>
      <c r="U167" s="330" t="s">
        <v>561</v>
      </c>
      <c r="V167" s="330" t="s">
        <v>561</v>
      </c>
      <c r="W167" s="339" t="s">
        <v>801</v>
      </c>
      <c r="X167" s="340" t="s">
        <v>561</v>
      </c>
      <c r="Y167" s="340" t="s">
        <v>2807</v>
      </c>
      <c r="Z167" s="317" t="s">
        <v>2795</v>
      </c>
      <c r="AA167" s="317" t="s">
        <v>561</v>
      </c>
      <c r="AB167" s="317" t="s">
        <v>561</v>
      </c>
      <c r="AC167" s="317" t="s">
        <v>2807</v>
      </c>
      <c r="AD167" s="317" t="s">
        <v>2795</v>
      </c>
      <c r="AE167" s="317" t="s">
        <v>561</v>
      </c>
      <c r="AF167" s="317" t="s">
        <v>561</v>
      </c>
      <c r="AG167" s="317" t="s">
        <v>561</v>
      </c>
      <c r="AH167" s="317" t="s">
        <v>561</v>
      </c>
      <c r="AI167" s="317" t="s">
        <v>561</v>
      </c>
      <c r="AJ167" s="317" t="s">
        <v>2807</v>
      </c>
      <c r="AK167" s="317" t="s">
        <v>2807</v>
      </c>
      <c r="AL167" s="317" t="s">
        <v>2795</v>
      </c>
      <c r="AM167" s="317" t="s">
        <v>2807</v>
      </c>
      <c r="AN167" s="317" t="s">
        <v>2795</v>
      </c>
      <c r="AO167" s="317" t="s">
        <v>2807</v>
      </c>
      <c r="AP167" s="317" t="s">
        <v>561</v>
      </c>
      <c r="AQ167" s="317" t="s">
        <v>561</v>
      </c>
      <c r="AR167" s="317" t="s">
        <v>561</v>
      </c>
      <c r="AS167" s="317" t="s">
        <v>2807</v>
      </c>
      <c r="AT167" s="317" t="s">
        <v>561</v>
      </c>
      <c r="AU167" s="317" t="s">
        <v>561</v>
      </c>
      <c r="AV167" s="317" t="s">
        <v>2807</v>
      </c>
      <c r="AW167" s="317" t="s">
        <v>561</v>
      </c>
      <c r="AX167" s="317" t="s">
        <v>561</v>
      </c>
      <c r="AY167" s="317" t="s">
        <v>561</v>
      </c>
      <c r="AZ167" s="317" t="s">
        <v>561</v>
      </c>
      <c r="BA167" s="317" t="s">
        <v>2806</v>
      </c>
      <c r="BB167" s="317" t="s">
        <v>561</v>
      </c>
      <c r="BC167" s="317" t="s">
        <v>2806</v>
      </c>
      <c r="BD167" s="317" t="s">
        <v>2795</v>
      </c>
      <c r="BE167" s="317" t="s">
        <v>561</v>
      </c>
      <c r="BF167" s="317" t="s">
        <v>561</v>
      </c>
      <c r="BG167" s="317" t="s">
        <v>561</v>
      </c>
      <c r="BH167" s="317" t="s">
        <v>561</v>
      </c>
      <c r="BI167" s="317" t="s">
        <v>561</v>
      </c>
      <c r="BJ167" s="317" t="s">
        <v>561</v>
      </c>
      <c r="BK167" s="317" t="s">
        <v>561</v>
      </c>
      <c r="BL167" s="317" t="s">
        <v>2796</v>
      </c>
      <c r="BM167" s="317" t="s">
        <v>2796</v>
      </c>
      <c r="BN167" s="317" t="s">
        <v>561</v>
      </c>
      <c r="BO167" s="317" t="s">
        <v>2796</v>
      </c>
      <c r="BP167" s="317" t="s">
        <v>2806</v>
      </c>
      <c r="BQ167" s="317" t="s">
        <v>53</v>
      </c>
      <c r="BR167" s="317" t="s">
        <v>561</v>
      </c>
      <c r="BS167" s="317" t="s">
        <v>561</v>
      </c>
      <c r="BT167" s="317" t="s">
        <v>561</v>
      </c>
      <c r="BU167" s="317" t="s">
        <v>561</v>
      </c>
      <c r="BV167" s="317" t="s">
        <v>561</v>
      </c>
      <c r="BW167" s="317" t="s">
        <v>561</v>
      </c>
      <c r="BX167" s="317" t="s">
        <v>561</v>
      </c>
      <c r="BY167" s="317" t="s">
        <v>561</v>
      </c>
      <c r="BZ167" s="317" t="s">
        <v>561</v>
      </c>
      <c r="CA167" s="317" t="s">
        <v>801</v>
      </c>
      <c r="CB167" s="317" t="s">
        <v>561</v>
      </c>
      <c r="CC167" s="317" t="s">
        <v>561</v>
      </c>
      <c r="CD167" s="317" t="s">
        <v>561</v>
      </c>
      <c r="CE167" s="317" t="s">
        <v>561</v>
      </c>
      <c r="CF167" s="317" t="s">
        <v>561</v>
      </c>
      <c r="CG167" s="317" t="s">
        <v>801</v>
      </c>
      <c r="CH167" s="317" t="s">
        <v>561</v>
      </c>
      <c r="CI167" s="317" t="s">
        <v>561</v>
      </c>
      <c r="CJ167" s="317" t="s">
        <v>2806</v>
      </c>
      <c r="CK167" s="317" t="s">
        <v>561</v>
      </c>
      <c r="CL167" s="317" t="s">
        <v>561</v>
      </c>
      <c r="CM167" s="317" t="s">
        <v>561</v>
      </c>
      <c r="CN167" s="317" t="s">
        <v>561</v>
      </c>
      <c r="CO167" s="317" t="s">
        <v>561</v>
      </c>
      <c r="CP167" s="317" t="s">
        <v>561</v>
      </c>
      <c r="CQ167" s="319"/>
      <c r="CR167" s="319">
        <v>2005.0</v>
      </c>
      <c r="CS167" s="334" t="s">
        <v>2665</v>
      </c>
      <c r="CT167" s="334" t="s">
        <v>122</v>
      </c>
      <c r="CU167" s="319" t="s">
        <v>2817</v>
      </c>
      <c r="CV167" s="332" t="s">
        <v>75</v>
      </c>
      <c r="CW167" s="336"/>
      <c r="CX167" s="319"/>
      <c r="CY167" s="323">
        <f t="shared" si="24"/>
        <v>0.203</v>
      </c>
      <c r="CZ167" s="337">
        <v>0.591</v>
      </c>
      <c r="DA167" s="338">
        <v>0.38799999999999996</v>
      </c>
      <c r="DB167" s="338"/>
      <c r="DC167" s="323">
        <f t="shared" si="25"/>
        <v>0.217</v>
      </c>
      <c r="DD167" s="337">
        <v>0.5820000000000001</v>
      </c>
      <c r="DE167" s="338">
        <v>0.365</v>
      </c>
      <c r="DF167" s="338"/>
      <c r="DG167" s="338">
        <v>0.212</v>
      </c>
      <c r="DH167" s="337">
        <v>0.607</v>
      </c>
      <c r="DI167" s="338">
        <v>0.057999999999999996</v>
      </c>
      <c r="DJ167" s="338">
        <v>0.113</v>
      </c>
      <c r="DK167" s="338">
        <v>0.043</v>
      </c>
      <c r="DL167" s="338">
        <v>0.004</v>
      </c>
      <c r="DM167" s="338"/>
      <c r="DN167" s="338">
        <v>0.149</v>
      </c>
      <c r="DO167" s="338">
        <v>0.254</v>
      </c>
      <c r="DP167" s="338">
        <v>0.20800000000000002</v>
      </c>
    </row>
    <row r="168">
      <c r="A168" s="311" t="s">
        <v>88</v>
      </c>
      <c r="B168" s="311" t="s">
        <v>2507</v>
      </c>
      <c r="C168" s="311" t="s">
        <v>1160</v>
      </c>
      <c r="D168" s="311">
        <v>2.0</v>
      </c>
      <c r="E168" s="312">
        <f t="shared" si="19"/>
        <v>0</v>
      </c>
      <c r="F168" s="312" t="str">
        <f t="shared" si="20"/>
        <v>#DIV/0!</v>
      </c>
      <c r="G168" s="312" t="str">
        <f t="shared" si="21"/>
        <v>#DIV/0!</v>
      </c>
      <c r="H168" s="312" t="str">
        <f t="shared" si="22"/>
        <v>#DIV/0!</v>
      </c>
      <c r="I168" s="312" t="str">
        <f t="shared" si="82"/>
        <v>#DIV/0!</v>
      </c>
      <c r="J168" s="315" t="s">
        <v>2794</v>
      </c>
      <c r="K168" s="315" t="s">
        <v>2794</v>
      </c>
      <c r="L168" s="316" t="str">
        <f t="shared" si="23"/>
        <v>#DIV/0!</v>
      </c>
      <c r="M168" s="317" t="s">
        <v>594</v>
      </c>
      <c r="N168" s="317" t="s">
        <v>594</v>
      </c>
      <c r="O168" s="317" t="s">
        <v>594</v>
      </c>
      <c r="P168" s="317" t="s">
        <v>594</v>
      </c>
      <c r="Q168" s="317" t="s">
        <v>594</v>
      </c>
      <c r="R168" s="317" t="s">
        <v>594</v>
      </c>
      <c r="S168" s="318" t="s">
        <v>561</v>
      </c>
      <c r="T168" s="318" t="s">
        <v>53</v>
      </c>
      <c r="U168" s="330" t="s">
        <v>561</v>
      </c>
      <c r="V168" s="330" t="s">
        <v>561</v>
      </c>
      <c r="W168" s="340" t="s">
        <v>2807</v>
      </c>
      <c r="X168" s="340" t="s">
        <v>561</v>
      </c>
      <c r="Y168" s="340" t="s">
        <v>2807</v>
      </c>
      <c r="Z168" s="317" t="s">
        <v>2795</v>
      </c>
      <c r="AA168" s="317" t="s">
        <v>561</v>
      </c>
      <c r="AB168" s="317" t="s">
        <v>561</v>
      </c>
      <c r="AC168" s="317" t="s">
        <v>2807</v>
      </c>
      <c r="AD168" s="317" t="s">
        <v>2807</v>
      </c>
      <c r="AE168" s="317" t="s">
        <v>561</v>
      </c>
      <c r="AF168" s="317" t="s">
        <v>561</v>
      </c>
      <c r="AG168" s="317" t="s">
        <v>561</v>
      </c>
      <c r="AH168" s="317" t="s">
        <v>561</v>
      </c>
      <c r="AI168" s="317" t="s">
        <v>561</v>
      </c>
      <c r="AJ168" s="317" t="s">
        <v>2807</v>
      </c>
      <c r="AK168" s="317" t="s">
        <v>2807</v>
      </c>
      <c r="AL168" s="317" t="s">
        <v>2807</v>
      </c>
      <c r="AM168" s="317" t="s">
        <v>2807</v>
      </c>
      <c r="AN168" s="317" t="s">
        <v>2807</v>
      </c>
      <c r="AO168" s="317" t="s">
        <v>2807</v>
      </c>
      <c r="AP168" s="317" t="s">
        <v>561</v>
      </c>
      <c r="AQ168" s="317" t="s">
        <v>561</v>
      </c>
      <c r="AR168" s="317" t="s">
        <v>561</v>
      </c>
      <c r="AS168" s="317" t="s">
        <v>2807</v>
      </c>
      <c r="AT168" s="317" t="s">
        <v>561</v>
      </c>
      <c r="AU168" s="317" t="s">
        <v>801</v>
      </c>
      <c r="AV168" s="317" t="s">
        <v>2795</v>
      </c>
      <c r="AW168" s="317" t="s">
        <v>561</v>
      </c>
      <c r="AX168" s="317" t="s">
        <v>561</v>
      </c>
      <c r="AY168" s="317" t="s">
        <v>561</v>
      </c>
      <c r="AZ168" s="317" t="s">
        <v>561</v>
      </c>
      <c r="BA168" s="317" t="s">
        <v>2806</v>
      </c>
      <c r="BB168" s="317" t="s">
        <v>561</v>
      </c>
      <c r="BC168" s="317" t="s">
        <v>2806</v>
      </c>
      <c r="BD168" s="317" t="s">
        <v>2807</v>
      </c>
      <c r="BE168" s="317" t="s">
        <v>53</v>
      </c>
      <c r="BF168" s="317" t="s">
        <v>53</v>
      </c>
      <c r="BG168" s="317" t="s">
        <v>561</v>
      </c>
      <c r="BH168" s="317" t="s">
        <v>561</v>
      </c>
      <c r="BI168" s="317" t="s">
        <v>561</v>
      </c>
      <c r="BJ168" s="317" t="s">
        <v>561</v>
      </c>
      <c r="BK168" s="317" t="s">
        <v>561</v>
      </c>
      <c r="BL168" s="317" t="s">
        <v>2806</v>
      </c>
      <c r="BM168" s="317" t="s">
        <v>2806</v>
      </c>
      <c r="BN168" s="317" t="s">
        <v>561</v>
      </c>
      <c r="BO168" s="317" t="s">
        <v>2806</v>
      </c>
      <c r="BP168" s="317" t="s">
        <v>2796</v>
      </c>
      <c r="BQ168" s="317" t="s">
        <v>600</v>
      </c>
      <c r="BR168" s="317" t="s">
        <v>600</v>
      </c>
      <c r="BS168" s="317" t="s">
        <v>600</v>
      </c>
      <c r="BT168" s="317" t="s">
        <v>600</v>
      </c>
      <c r="BU168" s="317" t="s">
        <v>600</v>
      </c>
      <c r="BV168" s="317" t="s">
        <v>600</v>
      </c>
      <c r="BW168" s="317" t="s">
        <v>600</v>
      </c>
      <c r="BX168" s="317" t="s">
        <v>600</v>
      </c>
      <c r="BY168" s="317" t="s">
        <v>600</v>
      </c>
      <c r="BZ168" s="317" t="s">
        <v>600</v>
      </c>
      <c r="CA168" s="317" t="s">
        <v>600</v>
      </c>
      <c r="CB168" s="317" t="s">
        <v>600</v>
      </c>
      <c r="CC168" s="317" t="s">
        <v>600</v>
      </c>
      <c r="CD168" s="317" t="s">
        <v>600</v>
      </c>
      <c r="CE168" s="317" t="s">
        <v>600</v>
      </c>
      <c r="CF168" s="317" t="s">
        <v>600</v>
      </c>
      <c r="CG168" s="317" t="s">
        <v>600</v>
      </c>
      <c r="CH168" s="317" t="s">
        <v>600</v>
      </c>
      <c r="CI168" s="317" t="s">
        <v>600</v>
      </c>
      <c r="CJ168" s="317" t="s">
        <v>600</v>
      </c>
      <c r="CK168" s="317" t="s">
        <v>600</v>
      </c>
      <c r="CL168" s="317" t="s">
        <v>600</v>
      </c>
      <c r="CM168" s="317" t="s">
        <v>600</v>
      </c>
      <c r="CN168" s="317" t="s">
        <v>600</v>
      </c>
      <c r="CO168" s="317" t="s">
        <v>600</v>
      </c>
      <c r="CP168" s="317" t="s">
        <v>600</v>
      </c>
      <c r="CQ168" s="319"/>
      <c r="CR168" s="319">
        <v>2019.0</v>
      </c>
      <c r="CS168" s="334" t="s">
        <v>2602</v>
      </c>
      <c r="CT168" s="334" t="s">
        <v>2030</v>
      </c>
      <c r="CU168" s="319" t="s">
        <v>1290</v>
      </c>
      <c r="CV168" s="347" t="s">
        <v>75</v>
      </c>
      <c r="CW168" s="336"/>
      <c r="CX168" s="319"/>
      <c r="CY168" s="323">
        <f t="shared" si="24"/>
        <v>-0.061</v>
      </c>
      <c r="CZ168" s="338">
        <v>0.455</v>
      </c>
      <c r="DA168" s="337">
        <v>0.516</v>
      </c>
      <c r="DB168" s="337"/>
      <c r="DC168" s="323">
        <f t="shared" si="25"/>
        <v>-0.09</v>
      </c>
      <c r="DD168" s="338">
        <v>0.41600000000000004</v>
      </c>
      <c r="DE168" s="337">
        <v>0.506</v>
      </c>
      <c r="DF168" s="337"/>
      <c r="DG168" s="337">
        <v>0.9229999999999999</v>
      </c>
      <c r="DH168" s="338">
        <v>0.013999999999999999</v>
      </c>
      <c r="DI168" s="338">
        <v>0.016</v>
      </c>
      <c r="DJ168" s="338">
        <v>0.012</v>
      </c>
      <c r="DK168" s="338">
        <v>0.027000000000000003</v>
      </c>
      <c r="DL168" s="338">
        <v>0.001</v>
      </c>
      <c r="DM168" s="338"/>
      <c r="DN168" s="338">
        <v>0.258</v>
      </c>
      <c r="DO168" s="338">
        <v>0.257</v>
      </c>
      <c r="DP168" s="337">
        <v>0.7090000000000001</v>
      </c>
    </row>
    <row r="169">
      <c r="A169" s="311" t="s">
        <v>534</v>
      </c>
      <c r="B169" s="311" t="s">
        <v>535</v>
      </c>
      <c r="C169" s="311" t="s">
        <v>910</v>
      </c>
      <c r="D169" s="311">
        <v>7.0</v>
      </c>
      <c r="E169" s="312">
        <f t="shared" si="19"/>
        <v>0</v>
      </c>
      <c r="F169" s="312" t="str">
        <f t="shared" si="20"/>
        <v>#DIV/0!</v>
      </c>
      <c r="G169" s="312" t="str">
        <f t="shared" si="21"/>
        <v>#DIV/0!</v>
      </c>
      <c r="H169" s="312" t="str">
        <f t="shared" si="22"/>
        <v>#DIV/0!</v>
      </c>
      <c r="I169" s="312" t="str">
        <f t="shared" si="82"/>
        <v>#DIV/0!</v>
      </c>
      <c r="J169" s="315" t="s">
        <v>2794</v>
      </c>
      <c r="K169" s="315" t="s">
        <v>2794</v>
      </c>
      <c r="L169" s="316" t="str">
        <f t="shared" si="23"/>
        <v>#DIV/0!</v>
      </c>
      <c r="M169" s="317" t="s">
        <v>594</v>
      </c>
      <c r="N169" s="317" t="s">
        <v>594</v>
      </c>
      <c r="O169" s="317" t="s">
        <v>594</v>
      </c>
      <c r="P169" s="317" t="s">
        <v>594</v>
      </c>
      <c r="Q169" s="317" t="s">
        <v>594</v>
      </c>
      <c r="R169" s="317" t="s">
        <v>594</v>
      </c>
      <c r="S169" s="318" t="s">
        <v>561</v>
      </c>
      <c r="T169" s="318" t="s">
        <v>561</v>
      </c>
      <c r="U169" s="330" t="s">
        <v>561</v>
      </c>
      <c r="V169" s="330" t="s">
        <v>561</v>
      </c>
      <c r="W169" s="318" t="s">
        <v>2795</v>
      </c>
      <c r="X169" s="340" t="s">
        <v>561</v>
      </c>
      <c r="Y169" s="340" t="s">
        <v>2807</v>
      </c>
      <c r="Z169" s="317" t="s">
        <v>2795</v>
      </c>
      <c r="AA169" s="317" t="s">
        <v>561</v>
      </c>
      <c r="AB169" s="317" t="s">
        <v>561</v>
      </c>
      <c r="AC169" s="317" t="s">
        <v>2795</v>
      </c>
      <c r="AD169" s="317" t="s">
        <v>2795</v>
      </c>
      <c r="AE169" s="317" t="s">
        <v>561</v>
      </c>
      <c r="AF169" s="317" t="s">
        <v>561</v>
      </c>
      <c r="AG169" s="317" t="s">
        <v>561</v>
      </c>
      <c r="AH169" s="317" t="s">
        <v>561</v>
      </c>
      <c r="AI169" s="317" t="s">
        <v>561</v>
      </c>
      <c r="AJ169" s="317" t="s">
        <v>2807</v>
      </c>
      <c r="AK169" s="317" t="s">
        <v>2807</v>
      </c>
      <c r="AL169" s="317" t="s">
        <v>2795</v>
      </c>
      <c r="AM169" s="317" t="s">
        <v>2807</v>
      </c>
      <c r="AN169" s="317" t="s">
        <v>2795</v>
      </c>
      <c r="AO169" s="317" t="s">
        <v>2807</v>
      </c>
      <c r="AP169" s="317" t="s">
        <v>561</v>
      </c>
      <c r="AQ169" s="317" t="s">
        <v>561</v>
      </c>
      <c r="AR169" s="317" t="s">
        <v>561</v>
      </c>
      <c r="AS169" s="317" t="s">
        <v>2807</v>
      </c>
      <c r="AT169" s="317" t="s">
        <v>561</v>
      </c>
      <c r="AU169" s="317" t="s">
        <v>561</v>
      </c>
      <c r="AV169" s="317" t="s">
        <v>2807</v>
      </c>
      <c r="AW169" s="317" t="s">
        <v>561</v>
      </c>
      <c r="AX169" s="317" t="s">
        <v>561</v>
      </c>
      <c r="AY169" s="317" t="s">
        <v>561</v>
      </c>
      <c r="AZ169" s="317" t="s">
        <v>561</v>
      </c>
      <c r="BA169" s="317" t="s">
        <v>2806</v>
      </c>
      <c r="BB169" s="317" t="s">
        <v>561</v>
      </c>
      <c r="BC169" s="317" t="s">
        <v>2806</v>
      </c>
      <c r="BD169" s="317" t="s">
        <v>2795</v>
      </c>
      <c r="BE169" s="317" t="s">
        <v>561</v>
      </c>
      <c r="BF169" s="317" t="s">
        <v>561</v>
      </c>
      <c r="BG169" s="317" t="s">
        <v>561</v>
      </c>
      <c r="BH169" s="317" t="s">
        <v>561</v>
      </c>
      <c r="BI169" s="317" t="s">
        <v>561</v>
      </c>
      <c r="BJ169" s="317" t="s">
        <v>561</v>
      </c>
      <c r="BK169" s="317" t="s">
        <v>561</v>
      </c>
      <c r="BL169" s="317" t="s">
        <v>2806</v>
      </c>
      <c r="BM169" s="317" t="s">
        <v>2806</v>
      </c>
      <c r="BN169" s="317" t="s">
        <v>561</v>
      </c>
      <c r="BO169" s="317" t="s">
        <v>2806</v>
      </c>
      <c r="BP169" s="317" t="s">
        <v>2806</v>
      </c>
      <c r="BQ169" s="317" t="s">
        <v>600</v>
      </c>
      <c r="BR169" s="317" t="s">
        <v>600</v>
      </c>
      <c r="BS169" s="317" t="s">
        <v>600</v>
      </c>
      <c r="BT169" s="317" t="s">
        <v>600</v>
      </c>
      <c r="BU169" s="317" t="s">
        <v>600</v>
      </c>
      <c r="BV169" s="317" t="s">
        <v>600</v>
      </c>
      <c r="BW169" s="317" t="s">
        <v>600</v>
      </c>
      <c r="BX169" s="317" t="s">
        <v>600</v>
      </c>
      <c r="BY169" s="317" t="s">
        <v>600</v>
      </c>
      <c r="BZ169" s="317" t="s">
        <v>600</v>
      </c>
      <c r="CA169" s="317" t="s">
        <v>600</v>
      </c>
      <c r="CB169" s="317" t="s">
        <v>600</v>
      </c>
      <c r="CC169" s="317" t="s">
        <v>600</v>
      </c>
      <c r="CD169" s="317" t="s">
        <v>600</v>
      </c>
      <c r="CE169" s="317" t="s">
        <v>600</v>
      </c>
      <c r="CF169" s="317" t="s">
        <v>600</v>
      </c>
      <c r="CG169" s="317" t="s">
        <v>600</v>
      </c>
      <c r="CH169" s="317" t="s">
        <v>600</v>
      </c>
      <c r="CI169" s="317" t="s">
        <v>600</v>
      </c>
      <c r="CJ169" s="317" t="s">
        <v>600</v>
      </c>
      <c r="CK169" s="317" t="s">
        <v>600</v>
      </c>
      <c r="CL169" s="317" t="s">
        <v>600</v>
      </c>
      <c r="CM169" s="317" t="s">
        <v>600</v>
      </c>
      <c r="CN169" s="317" t="s">
        <v>600</v>
      </c>
      <c r="CO169" s="317" t="s">
        <v>600</v>
      </c>
      <c r="CP169" s="317" t="s">
        <v>600</v>
      </c>
      <c r="CQ169" s="319"/>
      <c r="CR169" s="319">
        <v>2019.0</v>
      </c>
      <c r="CS169" s="343" t="s">
        <v>1569</v>
      </c>
      <c r="CT169" s="334" t="s">
        <v>2030</v>
      </c>
      <c r="CU169" s="319" t="s">
        <v>2834</v>
      </c>
      <c r="CV169" s="327" t="s">
        <v>28</v>
      </c>
      <c r="CW169" s="319"/>
      <c r="CX169" s="319"/>
      <c r="CY169" s="323">
        <f t="shared" si="24"/>
        <v>0.258</v>
      </c>
      <c r="CZ169" s="324">
        <v>0.623</v>
      </c>
      <c r="DA169" s="323">
        <v>0.365</v>
      </c>
      <c r="DB169" s="323"/>
      <c r="DC169" s="323">
        <f t="shared" si="25"/>
        <v>0.14</v>
      </c>
      <c r="DD169" s="324">
        <v>0.551</v>
      </c>
      <c r="DE169" s="323">
        <v>0.41100000000000003</v>
      </c>
      <c r="DF169" s="323"/>
      <c r="DG169" s="324">
        <v>0.32799999999999996</v>
      </c>
      <c r="DH169" s="323">
        <v>0.213</v>
      </c>
      <c r="DI169" s="323">
        <v>0.298</v>
      </c>
      <c r="DJ169" s="323">
        <v>0.159</v>
      </c>
      <c r="DK169" s="323">
        <v>0.021</v>
      </c>
      <c r="DL169" s="323">
        <v>0.002</v>
      </c>
      <c r="DM169" s="323"/>
      <c r="DN169" s="323">
        <v>0.397</v>
      </c>
      <c r="DO169" s="323">
        <v>0.48200000000000004</v>
      </c>
      <c r="DP169" s="323">
        <v>0.226</v>
      </c>
    </row>
    <row r="170">
      <c r="A170" s="311" t="s">
        <v>643</v>
      </c>
      <c r="B170" s="311" t="s">
        <v>897</v>
      </c>
      <c r="C170" s="311" t="s">
        <v>1182</v>
      </c>
      <c r="D170" s="311">
        <v>1.0</v>
      </c>
      <c r="E170" s="312">
        <f t="shared" si="19"/>
        <v>0</v>
      </c>
      <c r="F170" s="312" t="str">
        <f t="shared" si="20"/>
        <v>#DIV/0!</v>
      </c>
      <c r="G170" s="312" t="str">
        <f t="shared" si="21"/>
        <v>#DIV/0!</v>
      </c>
      <c r="H170" s="312" t="str">
        <f t="shared" si="22"/>
        <v>#DIV/0!</v>
      </c>
      <c r="I170" s="312" t="str">
        <f t="shared" si="82"/>
        <v>#DIV/0!</v>
      </c>
      <c r="J170" s="315" t="s">
        <v>2794</v>
      </c>
      <c r="K170" s="315" t="s">
        <v>2794</v>
      </c>
      <c r="L170" s="316" t="str">
        <f t="shared" si="23"/>
        <v>#DIV/0!</v>
      </c>
      <c r="M170" s="317" t="s">
        <v>594</v>
      </c>
      <c r="N170" s="317" t="s">
        <v>594</v>
      </c>
      <c r="O170" s="317" t="s">
        <v>594</v>
      </c>
      <c r="P170" s="317" t="s">
        <v>594</v>
      </c>
      <c r="Q170" s="317" t="s">
        <v>594</v>
      </c>
      <c r="R170" s="317" t="s">
        <v>594</v>
      </c>
      <c r="S170" s="318" t="s">
        <v>561</v>
      </c>
      <c r="T170" s="318" t="s">
        <v>561</v>
      </c>
      <c r="U170" s="330" t="s">
        <v>561</v>
      </c>
      <c r="V170" s="330" t="s">
        <v>561</v>
      </c>
      <c r="W170" s="340" t="s">
        <v>2807</v>
      </c>
      <c r="X170" s="340" t="s">
        <v>561</v>
      </c>
      <c r="Y170" s="340" t="s">
        <v>2807</v>
      </c>
      <c r="Z170" s="317" t="s">
        <v>2795</v>
      </c>
      <c r="AA170" s="317" t="s">
        <v>561</v>
      </c>
      <c r="AB170" s="317" t="s">
        <v>561</v>
      </c>
      <c r="AC170" s="317" t="s">
        <v>2807</v>
      </c>
      <c r="AD170" s="317" t="s">
        <v>2807</v>
      </c>
      <c r="AE170" s="317" t="s">
        <v>561</v>
      </c>
      <c r="AF170" s="317" t="s">
        <v>561</v>
      </c>
      <c r="AG170" s="317" t="s">
        <v>561</v>
      </c>
      <c r="AH170" s="317" t="s">
        <v>561</v>
      </c>
      <c r="AI170" s="317" t="s">
        <v>561</v>
      </c>
      <c r="AJ170" s="317" t="s">
        <v>2807</v>
      </c>
      <c r="AK170" s="317" t="s">
        <v>2807</v>
      </c>
      <c r="AL170" s="317" t="s">
        <v>2807</v>
      </c>
      <c r="AM170" s="317" t="s">
        <v>2807</v>
      </c>
      <c r="AN170" s="317" t="s">
        <v>2807</v>
      </c>
      <c r="AO170" s="317" t="s">
        <v>2807</v>
      </c>
      <c r="AP170" s="317" t="s">
        <v>561</v>
      </c>
      <c r="AQ170" s="317" t="s">
        <v>561</v>
      </c>
      <c r="AR170" s="317" t="s">
        <v>561</v>
      </c>
      <c r="AS170" s="317" t="s">
        <v>2807</v>
      </c>
      <c r="AT170" s="317" t="s">
        <v>561</v>
      </c>
      <c r="AU170" s="317" t="s">
        <v>561</v>
      </c>
      <c r="AV170" s="317" t="s">
        <v>2807</v>
      </c>
      <c r="AW170" s="317" t="s">
        <v>561</v>
      </c>
      <c r="AX170" s="317" t="s">
        <v>561</v>
      </c>
      <c r="AY170" s="317" t="s">
        <v>561</v>
      </c>
      <c r="AZ170" s="317" t="s">
        <v>561</v>
      </c>
      <c r="BA170" s="317" t="s">
        <v>2806</v>
      </c>
      <c r="BB170" s="317" t="s">
        <v>561</v>
      </c>
      <c r="BC170" s="317" t="s">
        <v>2806</v>
      </c>
      <c r="BD170" s="317" t="s">
        <v>2795</v>
      </c>
      <c r="BE170" s="317" t="s">
        <v>561</v>
      </c>
      <c r="BF170" s="317" t="s">
        <v>561</v>
      </c>
      <c r="BG170" s="317" t="s">
        <v>561</v>
      </c>
      <c r="BH170" s="317" t="s">
        <v>561</v>
      </c>
      <c r="BI170" s="317" t="s">
        <v>561</v>
      </c>
      <c r="BJ170" s="317" t="s">
        <v>561</v>
      </c>
      <c r="BK170" s="317" t="s">
        <v>561</v>
      </c>
      <c r="BL170" s="317" t="s">
        <v>2796</v>
      </c>
      <c r="BM170" s="317" t="s">
        <v>2806</v>
      </c>
      <c r="BN170" s="317" t="s">
        <v>561</v>
      </c>
      <c r="BO170" s="317" t="s">
        <v>2796</v>
      </c>
      <c r="BP170" s="317" t="s">
        <v>2796</v>
      </c>
      <c r="BQ170" s="317" t="s">
        <v>600</v>
      </c>
      <c r="BR170" s="317" t="s">
        <v>600</v>
      </c>
      <c r="BS170" s="317" t="s">
        <v>600</v>
      </c>
      <c r="BT170" s="317" t="s">
        <v>600</v>
      </c>
      <c r="BU170" s="317" t="s">
        <v>600</v>
      </c>
      <c r="BV170" s="317" t="s">
        <v>600</v>
      </c>
      <c r="BW170" s="317" t="s">
        <v>600</v>
      </c>
      <c r="BX170" s="317" t="s">
        <v>600</v>
      </c>
      <c r="BY170" s="317" t="s">
        <v>600</v>
      </c>
      <c r="BZ170" s="317" t="s">
        <v>600</v>
      </c>
      <c r="CA170" s="317" t="s">
        <v>600</v>
      </c>
      <c r="CB170" s="317" t="s">
        <v>600</v>
      </c>
      <c r="CC170" s="317" t="s">
        <v>600</v>
      </c>
      <c r="CD170" s="317" t="s">
        <v>600</v>
      </c>
      <c r="CE170" s="317" t="s">
        <v>600</v>
      </c>
      <c r="CF170" s="317" t="s">
        <v>600</v>
      </c>
      <c r="CG170" s="317" t="s">
        <v>600</v>
      </c>
      <c r="CH170" s="317" t="s">
        <v>600</v>
      </c>
      <c r="CI170" s="317" t="s">
        <v>600</v>
      </c>
      <c r="CJ170" s="317" t="s">
        <v>600</v>
      </c>
      <c r="CK170" s="317" t="s">
        <v>600</v>
      </c>
      <c r="CL170" s="317" t="s">
        <v>600</v>
      </c>
      <c r="CM170" s="317" t="s">
        <v>600</v>
      </c>
      <c r="CN170" s="317" t="s">
        <v>600</v>
      </c>
      <c r="CO170" s="317" t="s">
        <v>600</v>
      </c>
      <c r="CP170" s="317" t="s">
        <v>600</v>
      </c>
      <c r="CQ170" s="319"/>
      <c r="CR170" s="319">
        <v>2019.0</v>
      </c>
      <c r="CS170" s="343" t="s">
        <v>1569</v>
      </c>
      <c r="CT170" s="334" t="s">
        <v>2030</v>
      </c>
      <c r="CU170" s="326" t="s">
        <v>2476</v>
      </c>
      <c r="CV170" s="332" t="s">
        <v>75</v>
      </c>
      <c r="CW170" s="333" t="s">
        <v>304</v>
      </c>
      <c r="CX170" s="319"/>
      <c r="CY170" s="323">
        <f t="shared" si="24"/>
        <v>0.06</v>
      </c>
      <c r="CZ170" s="324">
        <v>0.522</v>
      </c>
      <c r="DA170" s="323">
        <v>0.462</v>
      </c>
      <c r="DB170" s="323"/>
      <c r="DC170" s="323">
        <f t="shared" si="25"/>
        <v>-0.016</v>
      </c>
      <c r="DD170" s="323">
        <v>0.45899999999999996</v>
      </c>
      <c r="DE170" s="324">
        <v>0.475</v>
      </c>
      <c r="DF170" s="324"/>
      <c r="DG170" s="324">
        <v>0.89</v>
      </c>
      <c r="DH170" s="323">
        <v>0.035</v>
      </c>
      <c r="DI170" s="323">
        <v>0.021</v>
      </c>
      <c r="DJ170" s="323">
        <v>0.03</v>
      </c>
      <c r="DK170" s="323">
        <v>0.016</v>
      </c>
      <c r="DL170" s="323">
        <v>0.001</v>
      </c>
      <c r="DM170" s="323"/>
      <c r="DN170" s="323">
        <v>0.38</v>
      </c>
      <c r="DO170" s="323">
        <v>0.38299999999999995</v>
      </c>
      <c r="DP170" s="324">
        <v>0.573</v>
      </c>
    </row>
    <row r="171">
      <c r="A171" s="311" t="s">
        <v>348</v>
      </c>
      <c r="B171" s="311" t="s">
        <v>349</v>
      </c>
      <c r="C171" s="311" t="s">
        <v>1197</v>
      </c>
      <c r="D171" s="311">
        <v>50.0</v>
      </c>
      <c r="E171" s="312">
        <f t="shared" si="19"/>
        <v>0</v>
      </c>
      <c r="F171" s="312" t="str">
        <f t="shared" si="20"/>
        <v>#DIV/0!</v>
      </c>
      <c r="G171" s="312" t="str">
        <f t="shared" si="21"/>
        <v>#DIV/0!</v>
      </c>
      <c r="H171" s="312" t="str">
        <f t="shared" si="22"/>
        <v>#DIV/0!</v>
      </c>
      <c r="I171" s="312" t="str">
        <f t="shared" si="82"/>
        <v>#DIV/0!</v>
      </c>
      <c r="J171" s="312" t="str">
        <f>(COUNTIF(BQ171:CL171, "Nay")+COUNTIF(BQ171:CL171, "Yea (Amend)")+(0.5*COUNTIF(BQ171:CL171, "Present")))/(COUNTIF(BQ171:CL171, "Nay")+COUNTIF(BQ171:CL171, "Yea (Amend)")+COUNTIF(BQ171:CL171, "Yea")+COUNTIF(BQ171:CL171, "Nay (Amend)")+COUNTIF(BQ171:CL171, "Present"))</f>
        <v>#DIV/0!</v>
      </c>
      <c r="K171" s="312" t="str">
        <f>(COUNTIF(CM171:CP171, "Nay")+COUNTIF(CM171:CP171, "Yea (Amend)")+(0.5*COUNTIF(CM171:CP171, "Present")))/(COUNTIF(CM171:CP171, "Nay")+COUNTIF(CM171:CP171, "Yea (Amend)")+COUNTIF(CM171:CP171, "Yea")+COUNTIF(CM171:CP171, "Nay (Amend)")+COUNTIF(CM171:CP171, "Present"))</f>
        <v>#DIV/0!</v>
      </c>
      <c r="L171" s="316" t="str">
        <f t="shared" si="23"/>
        <v>#DIV/0!</v>
      </c>
      <c r="M171" s="317" t="s">
        <v>594</v>
      </c>
      <c r="N171" s="317" t="s">
        <v>594</v>
      </c>
      <c r="O171" s="317" t="s">
        <v>594</v>
      </c>
      <c r="P171" s="317" t="s">
        <v>594</v>
      </c>
      <c r="Q171" s="317" t="s">
        <v>594</v>
      </c>
      <c r="R171" s="317" t="s">
        <v>594</v>
      </c>
      <c r="S171" s="318" t="s">
        <v>561</v>
      </c>
      <c r="T171" s="318" t="s">
        <v>561</v>
      </c>
      <c r="U171" s="330" t="s">
        <v>561</v>
      </c>
      <c r="V171" s="330" t="s">
        <v>561</v>
      </c>
      <c r="W171" s="318" t="s">
        <v>2795</v>
      </c>
      <c r="X171" s="340" t="s">
        <v>561</v>
      </c>
      <c r="Y171" s="340" t="s">
        <v>2807</v>
      </c>
      <c r="Z171" s="317" t="s">
        <v>2795</v>
      </c>
      <c r="AA171" s="317" t="s">
        <v>561</v>
      </c>
      <c r="AB171" s="317" t="s">
        <v>561</v>
      </c>
      <c r="AC171" s="317" t="s">
        <v>2807</v>
      </c>
      <c r="AD171" s="317" t="s">
        <v>2795</v>
      </c>
      <c r="AE171" s="317" t="s">
        <v>561</v>
      </c>
      <c r="AF171" s="317" t="s">
        <v>561</v>
      </c>
      <c r="AG171" s="317" t="s">
        <v>561</v>
      </c>
      <c r="AH171" s="317" t="s">
        <v>561</v>
      </c>
      <c r="AI171" s="317" t="s">
        <v>561</v>
      </c>
      <c r="AJ171" s="317" t="s">
        <v>2807</v>
      </c>
      <c r="AK171" s="317" t="s">
        <v>2807</v>
      </c>
      <c r="AL171" s="317" t="s">
        <v>2807</v>
      </c>
      <c r="AM171" s="317" t="s">
        <v>2807</v>
      </c>
      <c r="AN171" s="317" t="s">
        <v>2807</v>
      </c>
      <c r="AO171" s="317" t="s">
        <v>2807</v>
      </c>
      <c r="AP171" s="317" t="s">
        <v>561</v>
      </c>
      <c r="AQ171" s="317" t="s">
        <v>561</v>
      </c>
      <c r="AR171" s="317" t="s">
        <v>561</v>
      </c>
      <c r="AS171" s="317" t="s">
        <v>2807</v>
      </c>
      <c r="AT171" s="317" t="s">
        <v>561</v>
      </c>
      <c r="AU171" s="317" t="s">
        <v>561</v>
      </c>
      <c r="AV171" s="317" t="s">
        <v>2807</v>
      </c>
      <c r="AW171" s="317" t="s">
        <v>561</v>
      </c>
      <c r="AX171" s="317" t="s">
        <v>561</v>
      </c>
      <c r="AY171" s="317" t="s">
        <v>561</v>
      </c>
      <c r="AZ171" s="317" t="s">
        <v>561</v>
      </c>
      <c r="BA171" s="317" t="s">
        <v>2806</v>
      </c>
      <c r="BB171" s="317" t="s">
        <v>561</v>
      </c>
      <c r="BC171" s="317" t="s">
        <v>2806</v>
      </c>
      <c r="BD171" s="317" t="s">
        <v>2795</v>
      </c>
      <c r="BE171" s="317" t="s">
        <v>561</v>
      </c>
      <c r="BF171" s="317" t="s">
        <v>561</v>
      </c>
      <c r="BG171" s="317" t="s">
        <v>561</v>
      </c>
      <c r="BH171" s="317" t="s">
        <v>561</v>
      </c>
      <c r="BI171" s="317" t="s">
        <v>561</v>
      </c>
      <c r="BJ171" s="317" t="s">
        <v>561</v>
      </c>
      <c r="BK171" s="317" t="s">
        <v>561</v>
      </c>
      <c r="BL171" s="317" t="s">
        <v>2796</v>
      </c>
      <c r="BM171" s="317" t="s">
        <v>2806</v>
      </c>
      <c r="BN171" s="317" t="s">
        <v>561</v>
      </c>
      <c r="BO171" s="317" t="s">
        <v>2796</v>
      </c>
      <c r="BP171" s="317" t="s">
        <v>2806</v>
      </c>
      <c r="BQ171" s="317" t="s">
        <v>53</v>
      </c>
      <c r="BR171" s="317" t="s">
        <v>561</v>
      </c>
      <c r="BS171" s="317" t="s">
        <v>53</v>
      </c>
      <c r="BT171" s="317" t="s">
        <v>561</v>
      </c>
      <c r="BU171" s="317" t="s">
        <v>561</v>
      </c>
      <c r="BV171" s="317" t="s">
        <v>561</v>
      </c>
      <c r="BW171" s="317" t="s">
        <v>561</v>
      </c>
      <c r="BX171" s="317" t="s">
        <v>561</v>
      </c>
      <c r="BY171" s="317" t="s">
        <v>561</v>
      </c>
      <c r="BZ171" s="317" t="s">
        <v>561</v>
      </c>
      <c r="CA171" s="317" t="s">
        <v>561</v>
      </c>
      <c r="CB171" s="317" t="s">
        <v>561</v>
      </c>
      <c r="CC171" s="317" t="s">
        <v>561</v>
      </c>
      <c r="CD171" s="317" t="s">
        <v>561</v>
      </c>
      <c r="CE171" s="317" t="s">
        <v>561</v>
      </c>
      <c r="CF171" s="317" t="s">
        <v>801</v>
      </c>
      <c r="CG171" s="317" t="s">
        <v>561</v>
      </c>
      <c r="CH171" s="317" t="s">
        <v>561</v>
      </c>
      <c r="CI171" s="317" t="s">
        <v>561</v>
      </c>
      <c r="CJ171" s="317" t="s">
        <v>2806</v>
      </c>
      <c r="CK171" s="317" t="s">
        <v>561</v>
      </c>
      <c r="CL171" s="317" t="s">
        <v>561</v>
      </c>
      <c r="CM171" s="317" t="s">
        <v>561</v>
      </c>
      <c r="CN171" s="317" t="s">
        <v>561</v>
      </c>
      <c r="CO171" s="317" t="s">
        <v>561</v>
      </c>
      <c r="CP171" s="317" t="s">
        <v>561</v>
      </c>
      <c r="CQ171" s="319"/>
      <c r="CR171" s="319">
        <v>2013.0</v>
      </c>
      <c r="CS171" s="343" t="s">
        <v>1569</v>
      </c>
      <c r="CT171" s="334" t="s">
        <v>122</v>
      </c>
      <c r="CU171" s="319" t="s">
        <v>2834</v>
      </c>
      <c r="CV171" s="332" t="s">
        <v>75</v>
      </c>
      <c r="CW171" s="319"/>
      <c r="CX171" s="319"/>
      <c r="CY171" s="323">
        <f t="shared" si="24"/>
        <v>0.332</v>
      </c>
      <c r="CZ171" s="324">
        <v>0.654</v>
      </c>
      <c r="DA171" s="323">
        <v>0.322</v>
      </c>
      <c r="DB171" s="323"/>
      <c r="DC171" s="323">
        <f t="shared" si="25"/>
        <v>0.273</v>
      </c>
      <c r="DD171" s="324">
        <v>0.605</v>
      </c>
      <c r="DE171" s="323">
        <v>0.332</v>
      </c>
      <c r="DF171" s="323"/>
      <c r="DG171" s="324">
        <v>0.579</v>
      </c>
      <c r="DH171" s="323">
        <v>0.196</v>
      </c>
      <c r="DI171" s="323">
        <v>0.04</v>
      </c>
      <c r="DJ171" s="323">
        <v>0.168</v>
      </c>
      <c r="DK171" s="323">
        <v>0.021</v>
      </c>
      <c r="DL171" s="323">
        <v>0.006999999999999999</v>
      </c>
      <c r="DM171" s="323"/>
      <c r="DN171" s="324">
        <v>0.5760000000000001</v>
      </c>
      <c r="DO171" s="324">
        <v>0.632</v>
      </c>
      <c r="DP171" s="323">
        <v>0.24100000000000002</v>
      </c>
    </row>
    <row r="172">
      <c r="A172" s="311" t="s">
        <v>1175</v>
      </c>
      <c r="B172" s="311" t="s">
        <v>1176</v>
      </c>
      <c r="C172" s="311" t="s">
        <v>1661</v>
      </c>
      <c r="D172" s="311">
        <v>6.0</v>
      </c>
      <c r="E172" s="312">
        <f t="shared" si="19"/>
        <v>0</v>
      </c>
      <c r="F172" s="312" t="str">
        <f t="shared" si="20"/>
        <v>#DIV/0!</v>
      </c>
      <c r="G172" s="312" t="str">
        <f t="shared" si="21"/>
        <v>#DIV/0!</v>
      </c>
      <c r="H172" s="312" t="str">
        <f t="shared" si="22"/>
        <v>#DIV/0!</v>
      </c>
      <c r="I172" s="312" t="str">
        <f t="shared" si="82"/>
        <v>#DIV/0!</v>
      </c>
      <c r="J172" s="315" t="s">
        <v>2794</v>
      </c>
      <c r="K172" s="315" t="s">
        <v>2794</v>
      </c>
      <c r="L172" s="316" t="str">
        <f t="shared" si="23"/>
        <v>#DIV/0!</v>
      </c>
      <c r="M172" s="317" t="s">
        <v>594</v>
      </c>
      <c r="N172" s="317" t="s">
        <v>594</v>
      </c>
      <c r="O172" s="317" t="s">
        <v>594</v>
      </c>
      <c r="P172" s="317" t="s">
        <v>594</v>
      </c>
      <c r="Q172" s="317" t="s">
        <v>594</v>
      </c>
      <c r="R172" s="317" t="s">
        <v>594</v>
      </c>
      <c r="S172" s="318" t="s">
        <v>561</v>
      </c>
      <c r="T172" s="318" t="s">
        <v>561</v>
      </c>
      <c r="U172" s="330" t="s">
        <v>561</v>
      </c>
      <c r="V172" s="330" t="s">
        <v>561</v>
      </c>
      <c r="W172" s="318" t="s">
        <v>2795</v>
      </c>
      <c r="X172" s="340" t="s">
        <v>561</v>
      </c>
      <c r="Y172" s="318" t="s">
        <v>2795</v>
      </c>
      <c r="Z172" s="317" t="s">
        <v>2795</v>
      </c>
      <c r="AA172" s="317" t="s">
        <v>561</v>
      </c>
      <c r="AB172" s="317" t="s">
        <v>561</v>
      </c>
      <c r="AC172" s="317" t="s">
        <v>2807</v>
      </c>
      <c r="AD172" s="317" t="s">
        <v>2807</v>
      </c>
      <c r="AE172" s="317" t="s">
        <v>561</v>
      </c>
      <c r="AF172" s="317" t="s">
        <v>561</v>
      </c>
      <c r="AG172" s="317" t="s">
        <v>561</v>
      </c>
      <c r="AH172" s="317" t="s">
        <v>561</v>
      </c>
      <c r="AI172" s="317" t="s">
        <v>561</v>
      </c>
      <c r="AJ172" s="317" t="s">
        <v>2795</v>
      </c>
      <c r="AK172" s="317" t="s">
        <v>2807</v>
      </c>
      <c r="AL172" s="317" t="s">
        <v>2807</v>
      </c>
      <c r="AM172" s="317" t="s">
        <v>2807</v>
      </c>
      <c r="AN172" s="317" t="s">
        <v>2795</v>
      </c>
      <c r="AO172" s="317" t="s">
        <v>2807</v>
      </c>
      <c r="AP172" s="317" t="s">
        <v>561</v>
      </c>
      <c r="AQ172" s="317" t="s">
        <v>561</v>
      </c>
      <c r="AR172" s="317" t="s">
        <v>561</v>
      </c>
      <c r="AS172" s="317" t="s">
        <v>2807</v>
      </c>
      <c r="AT172" s="317" t="s">
        <v>561</v>
      </c>
      <c r="AU172" s="317" t="s">
        <v>561</v>
      </c>
      <c r="AV172" s="317" t="s">
        <v>2807</v>
      </c>
      <c r="AW172" s="317" t="s">
        <v>561</v>
      </c>
      <c r="AX172" s="317" t="s">
        <v>561</v>
      </c>
      <c r="AY172" s="317" t="s">
        <v>561</v>
      </c>
      <c r="AZ172" s="317" t="s">
        <v>561</v>
      </c>
      <c r="BA172" s="317" t="s">
        <v>2806</v>
      </c>
      <c r="BB172" s="317" t="s">
        <v>561</v>
      </c>
      <c r="BC172" s="317" t="s">
        <v>2806</v>
      </c>
      <c r="BD172" s="317" t="s">
        <v>2795</v>
      </c>
      <c r="BE172" s="317" t="s">
        <v>561</v>
      </c>
      <c r="BF172" s="317" t="s">
        <v>561</v>
      </c>
      <c r="BG172" s="317" t="s">
        <v>561</v>
      </c>
      <c r="BH172" s="317" t="s">
        <v>561</v>
      </c>
      <c r="BI172" s="317" t="s">
        <v>561</v>
      </c>
      <c r="BJ172" s="317" t="s">
        <v>561</v>
      </c>
      <c r="BK172" s="317" t="s">
        <v>561</v>
      </c>
      <c r="BL172" s="317" t="s">
        <v>2806</v>
      </c>
      <c r="BM172" s="317" t="s">
        <v>2806</v>
      </c>
      <c r="BN172" s="317" t="s">
        <v>561</v>
      </c>
      <c r="BO172" s="317" t="s">
        <v>2806</v>
      </c>
      <c r="BP172" s="317" t="s">
        <v>2806</v>
      </c>
      <c r="BQ172" s="317" t="s">
        <v>600</v>
      </c>
      <c r="BR172" s="317" t="s">
        <v>600</v>
      </c>
      <c r="BS172" s="317" t="s">
        <v>600</v>
      </c>
      <c r="BT172" s="317" t="s">
        <v>600</v>
      </c>
      <c r="BU172" s="317" t="s">
        <v>600</v>
      </c>
      <c r="BV172" s="317" t="s">
        <v>600</v>
      </c>
      <c r="BW172" s="317" t="s">
        <v>600</v>
      </c>
      <c r="BX172" s="317" t="s">
        <v>600</v>
      </c>
      <c r="BY172" s="317" t="s">
        <v>600</v>
      </c>
      <c r="BZ172" s="317" t="s">
        <v>600</v>
      </c>
      <c r="CA172" s="317" t="s">
        <v>600</v>
      </c>
      <c r="CB172" s="317" t="s">
        <v>600</v>
      </c>
      <c r="CC172" s="317" t="s">
        <v>600</v>
      </c>
      <c r="CD172" s="317" t="s">
        <v>600</v>
      </c>
      <c r="CE172" s="317" t="s">
        <v>600</v>
      </c>
      <c r="CF172" s="317" t="s">
        <v>600</v>
      </c>
      <c r="CG172" s="317" t="s">
        <v>600</v>
      </c>
      <c r="CH172" s="317" t="s">
        <v>600</v>
      </c>
      <c r="CI172" s="317" t="s">
        <v>600</v>
      </c>
      <c r="CJ172" s="317" t="s">
        <v>600</v>
      </c>
      <c r="CK172" s="317" t="s">
        <v>600</v>
      </c>
      <c r="CL172" s="317" t="s">
        <v>600</v>
      </c>
      <c r="CM172" s="317" t="s">
        <v>600</v>
      </c>
      <c r="CN172" s="317" t="s">
        <v>600</v>
      </c>
      <c r="CO172" s="317" t="s">
        <v>600</v>
      </c>
      <c r="CP172" s="317" t="s">
        <v>600</v>
      </c>
      <c r="CQ172" s="319"/>
      <c r="CR172" s="319">
        <v>2019.0</v>
      </c>
      <c r="CS172" s="343" t="s">
        <v>1569</v>
      </c>
      <c r="CT172" s="334" t="s">
        <v>2030</v>
      </c>
      <c r="CU172" s="326" t="s">
        <v>2476</v>
      </c>
      <c r="CV172" s="332" t="s">
        <v>75</v>
      </c>
      <c r="CW172" s="319"/>
      <c r="CX172" s="319"/>
      <c r="CY172" s="323">
        <f t="shared" si="24"/>
        <v>0.148</v>
      </c>
      <c r="CZ172" s="324">
        <v>0.568</v>
      </c>
      <c r="DA172" s="323">
        <v>0.42</v>
      </c>
      <c r="DB172" s="323"/>
      <c r="DC172" s="323">
        <f t="shared" si="25"/>
        <v>0.089</v>
      </c>
      <c r="DD172" s="324">
        <v>0.524</v>
      </c>
      <c r="DE172" s="323">
        <v>0.435</v>
      </c>
      <c r="DF172" s="323"/>
      <c r="DG172" s="324">
        <v>0.727</v>
      </c>
      <c r="DH172" s="323">
        <v>0.14</v>
      </c>
      <c r="DI172" s="323">
        <v>0.07400000000000001</v>
      </c>
      <c r="DJ172" s="323">
        <v>0.053</v>
      </c>
      <c r="DK172" s="323">
        <v>0.015</v>
      </c>
      <c r="DL172" s="323">
        <v>0.001</v>
      </c>
      <c r="DM172" s="323"/>
      <c r="DN172" s="323">
        <v>0.461</v>
      </c>
      <c r="DO172" s="324">
        <v>0.502</v>
      </c>
      <c r="DP172" s="323">
        <v>0.397</v>
      </c>
    </row>
    <row r="173">
      <c r="A173" s="311" t="s">
        <v>1244</v>
      </c>
      <c r="B173" s="311" t="s">
        <v>1245</v>
      </c>
      <c r="C173" s="311" t="s">
        <v>2824</v>
      </c>
      <c r="D173" s="311">
        <v>7.0</v>
      </c>
      <c r="E173" s="312">
        <f t="shared" si="19"/>
        <v>0</v>
      </c>
      <c r="F173" s="312" t="str">
        <f t="shared" si="20"/>
        <v>#DIV/0!</v>
      </c>
      <c r="G173" s="312" t="str">
        <f t="shared" si="21"/>
        <v>#DIV/0!</v>
      </c>
      <c r="H173" s="312" t="str">
        <f t="shared" si="22"/>
        <v>#DIV/0!</v>
      </c>
      <c r="I173" s="312" t="str">
        <f t="shared" si="82"/>
        <v>#DIV/0!</v>
      </c>
      <c r="J173" s="315" t="s">
        <v>2794</v>
      </c>
      <c r="K173" s="315" t="s">
        <v>2794</v>
      </c>
      <c r="L173" s="316" t="str">
        <f t="shared" si="23"/>
        <v>#DIV/0!</v>
      </c>
      <c r="M173" s="317" t="s">
        <v>594</v>
      </c>
      <c r="N173" s="317" t="s">
        <v>594</v>
      </c>
      <c r="O173" s="317" t="s">
        <v>594</v>
      </c>
      <c r="P173" s="317" t="s">
        <v>594</v>
      </c>
      <c r="Q173" s="317" t="s">
        <v>594</v>
      </c>
      <c r="R173" s="317" t="s">
        <v>594</v>
      </c>
      <c r="S173" s="318" t="s">
        <v>561</v>
      </c>
      <c r="T173" s="318" t="s">
        <v>561</v>
      </c>
      <c r="U173" s="330" t="s">
        <v>561</v>
      </c>
      <c r="V173" s="330" t="s">
        <v>561</v>
      </c>
      <c r="W173" s="340" t="s">
        <v>2807</v>
      </c>
      <c r="X173" s="340" t="s">
        <v>561</v>
      </c>
      <c r="Y173" s="340" t="s">
        <v>2807</v>
      </c>
      <c r="Z173" s="317" t="s">
        <v>2795</v>
      </c>
      <c r="AA173" s="317" t="s">
        <v>561</v>
      </c>
      <c r="AB173" s="317" t="s">
        <v>561</v>
      </c>
      <c r="AC173" s="317" t="s">
        <v>2807</v>
      </c>
      <c r="AD173" s="317" t="s">
        <v>2795</v>
      </c>
      <c r="AE173" s="317" t="s">
        <v>561</v>
      </c>
      <c r="AF173" s="317" t="s">
        <v>561</v>
      </c>
      <c r="AG173" s="317" t="s">
        <v>561</v>
      </c>
      <c r="AH173" s="317" t="s">
        <v>561</v>
      </c>
      <c r="AI173" s="317" t="s">
        <v>561</v>
      </c>
      <c r="AJ173" s="317" t="s">
        <v>2807</v>
      </c>
      <c r="AK173" s="317" t="s">
        <v>2807</v>
      </c>
      <c r="AL173" s="317" t="s">
        <v>2807</v>
      </c>
      <c r="AM173" s="317" t="s">
        <v>2807</v>
      </c>
      <c r="AN173" s="317" t="s">
        <v>2807</v>
      </c>
      <c r="AO173" s="317" t="s">
        <v>2807</v>
      </c>
      <c r="AP173" s="317" t="s">
        <v>561</v>
      </c>
      <c r="AQ173" s="317" t="s">
        <v>561</v>
      </c>
      <c r="AR173" s="317" t="s">
        <v>561</v>
      </c>
      <c r="AS173" s="317" t="s">
        <v>2807</v>
      </c>
      <c r="AT173" s="317" t="s">
        <v>561</v>
      </c>
      <c r="AU173" s="317" t="s">
        <v>561</v>
      </c>
      <c r="AV173" s="317" t="s">
        <v>2807</v>
      </c>
      <c r="AW173" s="317" t="s">
        <v>561</v>
      </c>
      <c r="AX173" s="317" t="s">
        <v>561</v>
      </c>
      <c r="AY173" s="317" t="s">
        <v>561</v>
      </c>
      <c r="AZ173" s="317" t="s">
        <v>561</v>
      </c>
      <c r="BA173" s="317" t="s">
        <v>2806</v>
      </c>
      <c r="BB173" s="317" t="s">
        <v>561</v>
      </c>
      <c r="BC173" s="317" t="s">
        <v>2806</v>
      </c>
      <c r="BD173" s="317" t="s">
        <v>2795</v>
      </c>
      <c r="BE173" s="317" t="s">
        <v>561</v>
      </c>
      <c r="BF173" s="317" t="s">
        <v>561</v>
      </c>
      <c r="BG173" s="317" t="s">
        <v>561</v>
      </c>
      <c r="BH173" s="317" t="s">
        <v>561</v>
      </c>
      <c r="BI173" s="317" t="s">
        <v>561</v>
      </c>
      <c r="BJ173" s="317" t="s">
        <v>561</v>
      </c>
      <c r="BK173" s="317" t="s">
        <v>561</v>
      </c>
      <c r="BL173" s="317" t="s">
        <v>2796</v>
      </c>
      <c r="BM173" s="317" t="s">
        <v>2806</v>
      </c>
      <c r="BN173" s="317" t="s">
        <v>561</v>
      </c>
      <c r="BO173" s="317" t="s">
        <v>2796</v>
      </c>
      <c r="BP173" s="317" t="s">
        <v>2806</v>
      </c>
      <c r="BQ173" s="317" t="s">
        <v>600</v>
      </c>
      <c r="BR173" s="317" t="s">
        <v>600</v>
      </c>
      <c r="BS173" s="317" t="s">
        <v>600</v>
      </c>
      <c r="BT173" s="317" t="s">
        <v>600</v>
      </c>
      <c r="BU173" s="317" t="s">
        <v>600</v>
      </c>
      <c r="BV173" s="317" t="s">
        <v>600</v>
      </c>
      <c r="BW173" s="317" t="s">
        <v>600</v>
      </c>
      <c r="BX173" s="317" t="s">
        <v>600</v>
      </c>
      <c r="BY173" s="317" t="s">
        <v>600</v>
      </c>
      <c r="BZ173" s="317" t="s">
        <v>600</v>
      </c>
      <c r="CA173" s="317" t="s">
        <v>600</v>
      </c>
      <c r="CB173" s="317" t="s">
        <v>600</v>
      </c>
      <c r="CC173" s="317" t="s">
        <v>600</v>
      </c>
      <c r="CD173" s="317" t="s">
        <v>600</v>
      </c>
      <c r="CE173" s="317" t="s">
        <v>600</v>
      </c>
      <c r="CF173" s="317" t="s">
        <v>600</v>
      </c>
      <c r="CG173" s="317" t="s">
        <v>600</v>
      </c>
      <c r="CH173" s="317" t="s">
        <v>600</v>
      </c>
      <c r="CI173" s="317" t="s">
        <v>600</v>
      </c>
      <c r="CJ173" s="317" t="s">
        <v>600</v>
      </c>
      <c r="CK173" s="317" t="s">
        <v>600</v>
      </c>
      <c r="CL173" s="317" t="s">
        <v>600</v>
      </c>
      <c r="CM173" s="317" t="s">
        <v>600</v>
      </c>
      <c r="CN173" s="317" t="s">
        <v>600</v>
      </c>
      <c r="CO173" s="317" t="s">
        <v>600</v>
      </c>
      <c r="CP173" s="317" t="s">
        <v>600</v>
      </c>
      <c r="CQ173" s="319"/>
      <c r="CR173" s="319">
        <v>2019.0</v>
      </c>
      <c r="CS173" s="343" t="s">
        <v>1569</v>
      </c>
      <c r="CT173" s="334" t="s">
        <v>2030</v>
      </c>
      <c r="CU173" s="326" t="s">
        <v>2476</v>
      </c>
      <c r="CV173" s="332" t="s">
        <v>75</v>
      </c>
      <c r="CW173" s="319"/>
      <c r="CX173" s="319"/>
      <c r="CY173" s="323">
        <f t="shared" si="24"/>
        <v>0.297</v>
      </c>
      <c r="CZ173" s="324">
        <v>0.642</v>
      </c>
      <c r="DA173" s="323">
        <v>0.345</v>
      </c>
      <c r="DB173" s="323"/>
      <c r="DC173" s="323">
        <f t="shared" si="25"/>
        <v>0.299</v>
      </c>
      <c r="DD173" s="324">
        <v>0.625</v>
      </c>
      <c r="DE173" s="323">
        <v>0.326</v>
      </c>
      <c r="DF173" s="323"/>
      <c r="DG173" s="324">
        <v>0.302</v>
      </c>
      <c r="DH173" s="323">
        <v>0.28300000000000003</v>
      </c>
      <c r="DI173" s="323">
        <v>0.196</v>
      </c>
      <c r="DJ173" s="323">
        <v>0.214</v>
      </c>
      <c r="DK173" s="323">
        <v>0.02</v>
      </c>
      <c r="DL173" s="323">
        <v>0.002</v>
      </c>
      <c r="DM173" s="323"/>
      <c r="DN173" s="323">
        <v>0.483</v>
      </c>
      <c r="DO173" s="324">
        <v>0.6809999999999999</v>
      </c>
      <c r="DP173" s="323">
        <v>0.125</v>
      </c>
    </row>
    <row r="174">
      <c r="A174" s="311" t="s">
        <v>548</v>
      </c>
      <c r="B174" s="311" t="s">
        <v>549</v>
      </c>
      <c r="C174" s="311" t="s">
        <v>703</v>
      </c>
      <c r="D174" s="311">
        <v>1.0</v>
      </c>
      <c r="E174" s="312">
        <f t="shared" si="19"/>
        <v>0</v>
      </c>
      <c r="F174" s="312" t="str">
        <f t="shared" si="20"/>
        <v>#DIV/0!</v>
      </c>
      <c r="G174" s="312" t="str">
        <f t="shared" si="21"/>
        <v>#DIV/0!</v>
      </c>
      <c r="H174" s="312" t="str">
        <f t="shared" si="22"/>
        <v>#DIV/0!</v>
      </c>
      <c r="I174" s="312" t="str">
        <f t="shared" si="82"/>
        <v>#DIV/0!</v>
      </c>
      <c r="J174" s="315" t="s">
        <v>2794</v>
      </c>
      <c r="K174" s="315" t="s">
        <v>2794</v>
      </c>
      <c r="L174" s="316" t="str">
        <f t="shared" si="23"/>
        <v>#DIV/0!</v>
      </c>
      <c r="M174" s="317" t="s">
        <v>594</v>
      </c>
      <c r="N174" s="317" t="s">
        <v>594</v>
      </c>
      <c r="O174" s="317" t="s">
        <v>594</v>
      </c>
      <c r="P174" s="317" t="s">
        <v>594</v>
      </c>
      <c r="Q174" s="317" t="s">
        <v>594</v>
      </c>
      <c r="R174" s="317" t="s">
        <v>594</v>
      </c>
      <c r="S174" s="318" t="s">
        <v>561</v>
      </c>
      <c r="T174" s="318" t="s">
        <v>561</v>
      </c>
      <c r="U174" s="330" t="s">
        <v>561</v>
      </c>
      <c r="V174" s="330" t="s">
        <v>561</v>
      </c>
      <c r="W174" s="340" t="s">
        <v>2807</v>
      </c>
      <c r="X174" s="340" t="s">
        <v>561</v>
      </c>
      <c r="Y174" s="340" t="s">
        <v>2807</v>
      </c>
      <c r="Z174" s="317" t="s">
        <v>2807</v>
      </c>
      <c r="AA174" s="317" t="s">
        <v>561</v>
      </c>
      <c r="AB174" s="317" t="s">
        <v>561</v>
      </c>
      <c r="AC174" s="317" t="s">
        <v>2795</v>
      </c>
      <c r="AD174" s="317" t="s">
        <v>2795</v>
      </c>
      <c r="AE174" s="317" t="s">
        <v>561</v>
      </c>
      <c r="AF174" s="317" t="s">
        <v>561</v>
      </c>
      <c r="AG174" s="317" t="s">
        <v>561</v>
      </c>
      <c r="AH174" s="317" t="s">
        <v>561</v>
      </c>
      <c r="AI174" s="317" t="s">
        <v>561</v>
      </c>
      <c r="AJ174" s="317" t="s">
        <v>2807</v>
      </c>
      <c r="AK174" s="317" t="s">
        <v>2807</v>
      </c>
      <c r="AL174" s="317" t="s">
        <v>2807</v>
      </c>
      <c r="AM174" s="317" t="s">
        <v>2807</v>
      </c>
      <c r="AN174" s="317" t="s">
        <v>2795</v>
      </c>
      <c r="AO174" s="317" t="s">
        <v>2807</v>
      </c>
      <c r="AP174" s="317" t="s">
        <v>561</v>
      </c>
      <c r="AQ174" s="317" t="s">
        <v>561</v>
      </c>
      <c r="AR174" s="317" t="s">
        <v>561</v>
      </c>
      <c r="AS174" s="317" t="s">
        <v>2807</v>
      </c>
      <c r="AT174" s="317" t="s">
        <v>561</v>
      </c>
      <c r="AU174" s="317" t="s">
        <v>561</v>
      </c>
      <c r="AV174" s="317" t="s">
        <v>2807</v>
      </c>
      <c r="AW174" s="317" t="s">
        <v>561</v>
      </c>
      <c r="AX174" s="317" t="s">
        <v>561</v>
      </c>
      <c r="AY174" s="317" t="s">
        <v>561</v>
      </c>
      <c r="AZ174" s="317" t="s">
        <v>561</v>
      </c>
      <c r="BA174" s="317" t="s">
        <v>2806</v>
      </c>
      <c r="BB174" s="317" t="s">
        <v>561</v>
      </c>
      <c r="BC174" s="317" t="s">
        <v>2806</v>
      </c>
      <c r="BD174" s="317" t="s">
        <v>2807</v>
      </c>
      <c r="BE174" s="317" t="s">
        <v>561</v>
      </c>
      <c r="BF174" s="317" t="s">
        <v>561</v>
      </c>
      <c r="BG174" s="317" t="s">
        <v>561</v>
      </c>
      <c r="BH174" s="317" t="s">
        <v>561</v>
      </c>
      <c r="BI174" s="317" t="s">
        <v>561</v>
      </c>
      <c r="BJ174" s="317" t="s">
        <v>561</v>
      </c>
      <c r="BK174" s="317" t="s">
        <v>561</v>
      </c>
      <c r="BL174" s="317" t="s">
        <v>2796</v>
      </c>
      <c r="BM174" s="317" t="s">
        <v>2806</v>
      </c>
      <c r="BN174" s="317" t="s">
        <v>561</v>
      </c>
      <c r="BO174" s="317" t="s">
        <v>2796</v>
      </c>
      <c r="BP174" s="317" t="s">
        <v>2806</v>
      </c>
      <c r="BQ174" s="317" t="s">
        <v>600</v>
      </c>
      <c r="BR174" s="317" t="s">
        <v>600</v>
      </c>
      <c r="BS174" s="317" t="s">
        <v>600</v>
      </c>
      <c r="BT174" s="317" t="s">
        <v>600</v>
      </c>
      <c r="BU174" s="317" t="s">
        <v>600</v>
      </c>
      <c r="BV174" s="317" t="s">
        <v>600</v>
      </c>
      <c r="BW174" s="317" t="s">
        <v>600</v>
      </c>
      <c r="BX174" s="317" t="s">
        <v>600</v>
      </c>
      <c r="BY174" s="317" t="s">
        <v>600</v>
      </c>
      <c r="BZ174" s="317" t="s">
        <v>600</v>
      </c>
      <c r="CA174" s="317" t="s">
        <v>600</v>
      </c>
      <c r="CB174" s="317" t="s">
        <v>600</v>
      </c>
      <c r="CC174" s="317" t="s">
        <v>600</v>
      </c>
      <c r="CD174" s="317" t="s">
        <v>600</v>
      </c>
      <c r="CE174" s="317" t="s">
        <v>600</v>
      </c>
      <c r="CF174" s="317" t="s">
        <v>600</v>
      </c>
      <c r="CG174" s="317" t="s">
        <v>600</v>
      </c>
      <c r="CH174" s="317" t="s">
        <v>600</v>
      </c>
      <c r="CI174" s="317" t="s">
        <v>600</v>
      </c>
      <c r="CJ174" s="317" t="s">
        <v>600</v>
      </c>
      <c r="CK174" s="317" t="s">
        <v>600</v>
      </c>
      <c r="CL174" s="317" t="s">
        <v>600</v>
      </c>
      <c r="CM174" s="317" t="s">
        <v>600</v>
      </c>
      <c r="CN174" s="317" t="s">
        <v>600</v>
      </c>
      <c r="CO174" s="317" t="s">
        <v>600</v>
      </c>
      <c r="CP174" s="317" t="s">
        <v>600</v>
      </c>
      <c r="CQ174" s="319"/>
      <c r="CR174" s="319">
        <v>2019.0</v>
      </c>
      <c r="CS174" s="334" t="s">
        <v>2665</v>
      </c>
      <c r="CT174" s="334" t="s">
        <v>122</v>
      </c>
      <c r="CU174" s="326" t="s">
        <v>2476</v>
      </c>
      <c r="CV174" s="332" t="s">
        <v>75</v>
      </c>
      <c r="CW174" s="319"/>
      <c r="CX174" s="319"/>
      <c r="CY174" s="323">
        <f t="shared" si="24"/>
        <v>0.294</v>
      </c>
      <c r="CZ174" s="324">
        <v>0.639</v>
      </c>
      <c r="DA174" s="323">
        <v>0.345</v>
      </c>
      <c r="DB174" s="323"/>
      <c r="DC174" s="323">
        <f t="shared" si="25"/>
        <v>0.326</v>
      </c>
      <c r="DD174" s="324">
        <v>0.631</v>
      </c>
      <c r="DE174" s="323">
        <v>0.305</v>
      </c>
      <c r="DF174" s="323"/>
      <c r="DG174" s="323">
        <v>0.161</v>
      </c>
      <c r="DH174" s="323">
        <v>0.066</v>
      </c>
      <c r="DI174" s="323">
        <v>0.031</v>
      </c>
      <c r="DJ174" s="324">
        <v>0.6809999999999999</v>
      </c>
      <c r="DK174" s="323">
        <v>0.019</v>
      </c>
      <c r="DL174" s="323">
        <v>0.179</v>
      </c>
      <c r="DM174" s="323"/>
      <c r="DN174" s="323">
        <v>0.369</v>
      </c>
      <c r="DO174" s="324">
        <v>0.514</v>
      </c>
      <c r="DP174" s="323">
        <v>0.086</v>
      </c>
    </row>
    <row r="175">
      <c r="A175" s="311" t="s">
        <v>1334</v>
      </c>
      <c r="B175" s="311" t="s">
        <v>1335</v>
      </c>
      <c r="C175" s="311" t="s">
        <v>1060</v>
      </c>
      <c r="D175" s="311">
        <v>7.0</v>
      </c>
      <c r="E175" s="312">
        <f t="shared" si="19"/>
        <v>0.1666666667</v>
      </c>
      <c r="F175" s="312" t="str">
        <f t="shared" si="20"/>
        <v>#DIV/0!</v>
      </c>
      <c r="G175" s="312" t="str">
        <f t="shared" si="21"/>
        <v>#DIV/0!</v>
      </c>
      <c r="H175" s="312" t="str">
        <f t="shared" si="22"/>
        <v>#DIV/0!</v>
      </c>
      <c r="I175" s="312" t="str">
        <f t="shared" si="82"/>
        <v>#DIV/0!</v>
      </c>
      <c r="J175" s="315" t="s">
        <v>2794</v>
      </c>
      <c r="K175" s="315" t="s">
        <v>2794</v>
      </c>
      <c r="L175" s="316" t="str">
        <f t="shared" si="23"/>
        <v>#DIV/0!</v>
      </c>
      <c r="M175" s="317" t="s">
        <v>594</v>
      </c>
      <c r="N175" s="317" t="s">
        <v>594</v>
      </c>
      <c r="O175" s="317" t="s">
        <v>487</v>
      </c>
      <c r="P175" s="317" t="s">
        <v>594</v>
      </c>
      <c r="Q175" s="317" t="s">
        <v>594</v>
      </c>
      <c r="R175" s="317" t="s">
        <v>594</v>
      </c>
      <c r="S175" s="318" t="s">
        <v>561</v>
      </c>
      <c r="T175" s="318" t="s">
        <v>561</v>
      </c>
      <c r="U175" s="330" t="s">
        <v>561</v>
      </c>
      <c r="V175" s="330" t="s">
        <v>561</v>
      </c>
      <c r="W175" s="340" t="s">
        <v>2807</v>
      </c>
      <c r="X175" s="340" t="s">
        <v>561</v>
      </c>
      <c r="Y175" s="340" t="s">
        <v>2807</v>
      </c>
      <c r="Z175" s="317" t="s">
        <v>2807</v>
      </c>
      <c r="AA175" s="317" t="s">
        <v>561</v>
      </c>
      <c r="AB175" s="317" t="s">
        <v>561</v>
      </c>
      <c r="AC175" s="317" t="s">
        <v>2807</v>
      </c>
      <c r="AD175" s="317" t="s">
        <v>2807</v>
      </c>
      <c r="AE175" s="317" t="s">
        <v>561</v>
      </c>
      <c r="AF175" s="317" t="s">
        <v>561</v>
      </c>
      <c r="AG175" s="317" t="s">
        <v>561</v>
      </c>
      <c r="AH175" s="317" t="s">
        <v>561</v>
      </c>
      <c r="AI175" s="317" t="s">
        <v>561</v>
      </c>
      <c r="AJ175" s="317" t="s">
        <v>2807</v>
      </c>
      <c r="AK175" s="317" t="s">
        <v>2807</v>
      </c>
      <c r="AL175" s="317" t="s">
        <v>2807</v>
      </c>
      <c r="AM175" s="317" t="s">
        <v>2807</v>
      </c>
      <c r="AN175" s="317" t="s">
        <v>2795</v>
      </c>
      <c r="AO175" s="317" t="s">
        <v>2807</v>
      </c>
      <c r="AP175" s="317" t="s">
        <v>561</v>
      </c>
      <c r="AQ175" s="317" t="s">
        <v>561</v>
      </c>
      <c r="AR175" s="317" t="s">
        <v>561</v>
      </c>
      <c r="AS175" s="317" t="s">
        <v>2807</v>
      </c>
      <c r="AT175" s="317" t="s">
        <v>561</v>
      </c>
      <c r="AU175" s="317" t="s">
        <v>561</v>
      </c>
      <c r="AV175" s="317" t="s">
        <v>2807</v>
      </c>
      <c r="AW175" s="317" t="s">
        <v>561</v>
      </c>
      <c r="AX175" s="317" t="s">
        <v>561</v>
      </c>
      <c r="AY175" s="317" t="s">
        <v>561</v>
      </c>
      <c r="AZ175" s="317" t="s">
        <v>561</v>
      </c>
      <c r="BA175" s="317" t="s">
        <v>2806</v>
      </c>
      <c r="BB175" s="317" t="s">
        <v>561</v>
      </c>
      <c r="BC175" s="317" t="s">
        <v>2806</v>
      </c>
      <c r="BD175" s="317" t="s">
        <v>2807</v>
      </c>
      <c r="BE175" s="317" t="s">
        <v>561</v>
      </c>
      <c r="BF175" s="317" t="s">
        <v>561</v>
      </c>
      <c r="BG175" s="317" t="s">
        <v>561</v>
      </c>
      <c r="BH175" s="317" t="s">
        <v>561</v>
      </c>
      <c r="BI175" s="317" t="s">
        <v>561</v>
      </c>
      <c r="BJ175" s="317" t="s">
        <v>561</v>
      </c>
      <c r="BK175" s="317" t="s">
        <v>561</v>
      </c>
      <c r="BL175" s="317" t="s">
        <v>2806</v>
      </c>
      <c r="BM175" s="317" t="s">
        <v>2806</v>
      </c>
      <c r="BN175" s="317" t="s">
        <v>561</v>
      </c>
      <c r="BO175" s="317" t="s">
        <v>2796</v>
      </c>
      <c r="BP175" s="317" t="s">
        <v>2806</v>
      </c>
      <c r="BQ175" s="317" t="s">
        <v>600</v>
      </c>
      <c r="BR175" s="317" t="s">
        <v>600</v>
      </c>
      <c r="BS175" s="317" t="s">
        <v>600</v>
      </c>
      <c r="BT175" s="317" t="s">
        <v>600</v>
      </c>
      <c r="BU175" s="317" t="s">
        <v>600</v>
      </c>
      <c r="BV175" s="317" t="s">
        <v>600</v>
      </c>
      <c r="BW175" s="317" t="s">
        <v>600</v>
      </c>
      <c r="BX175" s="317" t="s">
        <v>600</v>
      </c>
      <c r="BY175" s="317" t="s">
        <v>600</v>
      </c>
      <c r="BZ175" s="317" t="s">
        <v>600</v>
      </c>
      <c r="CA175" s="317" t="s">
        <v>600</v>
      </c>
      <c r="CB175" s="317" t="s">
        <v>600</v>
      </c>
      <c r="CC175" s="317" t="s">
        <v>600</v>
      </c>
      <c r="CD175" s="317" t="s">
        <v>600</v>
      </c>
      <c r="CE175" s="317" t="s">
        <v>600</v>
      </c>
      <c r="CF175" s="317" t="s">
        <v>600</v>
      </c>
      <c r="CG175" s="317" t="s">
        <v>600</v>
      </c>
      <c r="CH175" s="317" t="s">
        <v>600</v>
      </c>
      <c r="CI175" s="317" t="s">
        <v>600</v>
      </c>
      <c r="CJ175" s="317" t="s">
        <v>600</v>
      </c>
      <c r="CK175" s="317" t="s">
        <v>600</v>
      </c>
      <c r="CL175" s="317" t="s">
        <v>600</v>
      </c>
      <c r="CM175" s="317" t="s">
        <v>600</v>
      </c>
      <c r="CN175" s="317" t="s">
        <v>600</v>
      </c>
      <c r="CO175" s="317" t="s">
        <v>600</v>
      </c>
      <c r="CP175" s="317" t="s">
        <v>600</v>
      </c>
      <c r="CQ175" s="319"/>
      <c r="CR175" s="319">
        <v>2019.0</v>
      </c>
      <c r="CS175" s="334" t="s">
        <v>2854</v>
      </c>
      <c r="CT175" s="334" t="s">
        <v>2030</v>
      </c>
      <c r="CU175" s="319" t="s">
        <v>23</v>
      </c>
      <c r="CV175" s="332" t="s">
        <v>75</v>
      </c>
      <c r="CW175" s="319"/>
      <c r="CX175" s="319"/>
      <c r="CY175" s="323">
        <f t="shared" si="24"/>
        <v>0.068</v>
      </c>
      <c r="CZ175" s="324">
        <v>0.526</v>
      </c>
      <c r="DA175" s="323">
        <v>0.45799999999999996</v>
      </c>
      <c r="DB175" s="323"/>
      <c r="DC175" s="323">
        <f t="shared" si="25"/>
        <v>0.022</v>
      </c>
      <c r="DD175" s="324">
        <v>0.48100000000000004</v>
      </c>
      <c r="DE175" s="323">
        <v>0.45899999999999996</v>
      </c>
      <c r="DF175" s="323"/>
      <c r="DG175" s="324">
        <v>0.542</v>
      </c>
      <c r="DH175" s="323">
        <v>0.153</v>
      </c>
      <c r="DI175" s="323">
        <v>0.22399999999999998</v>
      </c>
      <c r="DJ175" s="323">
        <v>0.067</v>
      </c>
      <c r="DK175" s="323">
        <v>0.026000000000000002</v>
      </c>
      <c r="DL175" s="323">
        <v>0.003</v>
      </c>
      <c r="DM175" s="323"/>
      <c r="DN175" s="323">
        <v>0.354</v>
      </c>
      <c r="DO175" s="323">
        <v>0.382</v>
      </c>
      <c r="DP175" s="323">
        <v>0.38299999999999995</v>
      </c>
    </row>
    <row r="176">
      <c r="A176" s="311" t="s">
        <v>586</v>
      </c>
      <c r="B176" s="311" t="s">
        <v>1386</v>
      </c>
      <c r="C176" s="311" t="s">
        <v>1217</v>
      </c>
      <c r="D176" s="311">
        <v>8.0</v>
      </c>
      <c r="E176" s="312">
        <f t="shared" si="19"/>
        <v>0</v>
      </c>
      <c r="F176" s="312" t="str">
        <f t="shared" si="20"/>
        <v>#DIV/0!</v>
      </c>
      <c r="G176" s="312" t="str">
        <f t="shared" si="21"/>
        <v>#DIV/0!</v>
      </c>
      <c r="H176" s="312" t="str">
        <f t="shared" si="22"/>
        <v>#DIV/0!</v>
      </c>
      <c r="I176" s="312" t="str">
        <f t="shared" si="82"/>
        <v>#DIV/0!</v>
      </c>
      <c r="J176" s="315" t="s">
        <v>2794</v>
      </c>
      <c r="K176" s="315" t="s">
        <v>2794</v>
      </c>
      <c r="L176" s="316" t="str">
        <f t="shared" si="23"/>
        <v>#DIV/0!</v>
      </c>
      <c r="M176" s="317" t="s">
        <v>594</v>
      </c>
      <c r="N176" s="317" t="s">
        <v>594</v>
      </c>
      <c r="O176" s="317" t="s">
        <v>594</v>
      </c>
      <c r="P176" s="317" t="s">
        <v>594</v>
      </c>
      <c r="Q176" s="317" t="s">
        <v>594</v>
      </c>
      <c r="R176" s="317" t="s">
        <v>594</v>
      </c>
      <c r="S176" s="318" t="s">
        <v>561</v>
      </c>
      <c r="T176" s="318" t="s">
        <v>561</v>
      </c>
      <c r="U176" s="330" t="s">
        <v>561</v>
      </c>
      <c r="V176" s="330" t="s">
        <v>561</v>
      </c>
      <c r="W176" s="318" t="s">
        <v>2795</v>
      </c>
      <c r="X176" s="340" t="s">
        <v>561</v>
      </c>
      <c r="Y176" s="340" t="s">
        <v>2807</v>
      </c>
      <c r="Z176" s="317" t="s">
        <v>2807</v>
      </c>
      <c r="AA176" s="317" t="s">
        <v>561</v>
      </c>
      <c r="AB176" s="317" t="s">
        <v>561</v>
      </c>
      <c r="AC176" s="317" t="s">
        <v>2807</v>
      </c>
      <c r="AD176" s="317" t="s">
        <v>2807</v>
      </c>
      <c r="AE176" s="317" t="s">
        <v>561</v>
      </c>
      <c r="AF176" s="317" t="s">
        <v>561</v>
      </c>
      <c r="AG176" s="317" t="s">
        <v>561</v>
      </c>
      <c r="AH176" s="317" t="s">
        <v>561</v>
      </c>
      <c r="AI176" s="317" t="s">
        <v>561</v>
      </c>
      <c r="AJ176" s="317" t="s">
        <v>2807</v>
      </c>
      <c r="AK176" s="317" t="s">
        <v>2807</v>
      </c>
      <c r="AL176" s="317" t="s">
        <v>2807</v>
      </c>
      <c r="AM176" s="317" t="s">
        <v>2807</v>
      </c>
      <c r="AN176" s="317" t="s">
        <v>2807</v>
      </c>
      <c r="AO176" s="317" t="s">
        <v>2807</v>
      </c>
      <c r="AP176" s="317" t="s">
        <v>561</v>
      </c>
      <c r="AQ176" s="317" t="s">
        <v>561</v>
      </c>
      <c r="AR176" s="317" t="s">
        <v>561</v>
      </c>
      <c r="AS176" s="317" t="s">
        <v>2807</v>
      </c>
      <c r="AT176" s="317" t="s">
        <v>561</v>
      </c>
      <c r="AU176" s="317" t="s">
        <v>561</v>
      </c>
      <c r="AV176" s="317" t="s">
        <v>2807</v>
      </c>
      <c r="AW176" s="317" t="s">
        <v>561</v>
      </c>
      <c r="AX176" s="317" t="s">
        <v>561</v>
      </c>
      <c r="AY176" s="317" t="s">
        <v>561</v>
      </c>
      <c r="AZ176" s="317" t="s">
        <v>561</v>
      </c>
      <c r="BA176" s="317" t="s">
        <v>2806</v>
      </c>
      <c r="BB176" s="317" t="s">
        <v>561</v>
      </c>
      <c r="BC176" s="317" t="s">
        <v>2806</v>
      </c>
      <c r="BD176" s="317" t="s">
        <v>2795</v>
      </c>
      <c r="BE176" s="317" t="s">
        <v>561</v>
      </c>
      <c r="BF176" s="317" t="s">
        <v>561</v>
      </c>
      <c r="BG176" s="317" t="s">
        <v>561</v>
      </c>
      <c r="BH176" s="317" t="s">
        <v>561</v>
      </c>
      <c r="BI176" s="317" t="s">
        <v>561</v>
      </c>
      <c r="BJ176" s="317" t="s">
        <v>561</v>
      </c>
      <c r="BK176" s="317" t="s">
        <v>561</v>
      </c>
      <c r="BL176" s="317" t="s">
        <v>2796</v>
      </c>
      <c r="BM176" s="317" t="s">
        <v>2806</v>
      </c>
      <c r="BN176" s="317" t="s">
        <v>561</v>
      </c>
      <c r="BO176" s="317" t="s">
        <v>2806</v>
      </c>
      <c r="BP176" s="317" t="s">
        <v>2806</v>
      </c>
      <c r="BQ176" s="317" t="s">
        <v>600</v>
      </c>
      <c r="BR176" s="317" t="s">
        <v>600</v>
      </c>
      <c r="BS176" s="317" t="s">
        <v>600</v>
      </c>
      <c r="BT176" s="317" t="s">
        <v>600</v>
      </c>
      <c r="BU176" s="317" t="s">
        <v>600</v>
      </c>
      <c r="BV176" s="317" t="s">
        <v>600</v>
      </c>
      <c r="BW176" s="317" t="s">
        <v>600</v>
      </c>
      <c r="BX176" s="317" t="s">
        <v>600</v>
      </c>
      <c r="BY176" s="317" t="s">
        <v>600</v>
      </c>
      <c r="BZ176" s="317" t="s">
        <v>600</v>
      </c>
      <c r="CA176" s="317" t="s">
        <v>600</v>
      </c>
      <c r="CB176" s="317" t="s">
        <v>600</v>
      </c>
      <c r="CC176" s="317" t="s">
        <v>600</v>
      </c>
      <c r="CD176" s="317" t="s">
        <v>600</v>
      </c>
      <c r="CE176" s="317" t="s">
        <v>600</v>
      </c>
      <c r="CF176" s="317" t="s">
        <v>600</v>
      </c>
      <c r="CG176" s="317" t="s">
        <v>600</v>
      </c>
      <c r="CH176" s="317" t="s">
        <v>600</v>
      </c>
      <c r="CI176" s="317" t="s">
        <v>600</v>
      </c>
      <c r="CJ176" s="317" t="s">
        <v>600</v>
      </c>
      <c r="CK176" s="317" t="s">
        <v>600</v>
      </c>
      <c r="CL176" s="317" t="s">
        <v>600</v>
      </c>
      <c r="CM176" s="317" t="s">
        <v>600</v>
      </c>
      <c r="CN176" s="317" t="s">
        <v>600</v>
      </c>
      <c r="CO176" s="317" t="s">
        <v>600</v>
      </c>
      <c r="CP176" s="317" t="s">
        <v>600</v>
      </c>
      <c r="CQ176" s="319"/>
      <c r="CR176" s="319">
        <v>2019.0</v>
      </c>
      <c r="CS176" s="343" t="s">
        <v>1569</v>
      </c>
      <c r="CT176" s="334" t="s">
        <v>2030</v>
      </c>
      <c r="CU176" s="319" t="s">
        <v>2845</v>
      </c>
      <c r="CV176" s="332" t="s">
        <v>75</v>
      </c>
      <c r="CW176" s="319"/>
      <c r="CX176" s="319"/>
      <c r="CY176" s="323">
        <f t="shared" si="24"/>
        <v>0.067</v>
      </c>
      <c r="CZ176" s="324">
        <v>0.52</v>
      </c>
      <c r="DA176" s="323">
        <v>0.45299999999999996</v>
      </c>
      <c r="DB176" s="323"/>
      <c r="DC176" s="323">
        <f t="shared" si="25"/>
        <v>0.032</v>
      </c>
      <c r="DD176" s="324">
        <v>0.47700000000000004</v>
      </c>
      <c r="DE176" s="323">
        <v>0.445</v>
      </c>
      <c r="DF176" s="323"/>
      <c r="DG176" s="324">
        <v>0.728</v>
      </c>
      <c r="DH176" s="323">
        <v>0.08800000000000001</v>
      </c>
      <c r="DI176" s="323">
        <v>0.028999999999999998</v>
      </c>
      <c r="DJ176" s="323">
        <v>0.11199999999999999</v>
      </c>
      <c r="DK176" s="323">
        <v>0.032</v>
      </c>
      <c r="DL176" s="323">
        <v>0.01</v>
      </c>
      <c r="DM176" s="323"/>
      <c r="DN176" s="323">
        <v>0.385</v>
      </c>
      <c r="DO176" s="323">
        <v>0.373</v>
      </c>
      <c r="DP176" s="324">
        <v>0.516</v>
      </c>
    </row>
    <row r="177">
      <c r="A177" s="311" t="s">
        <v>833</v>
      </c>
      <c r="B177" s="311" t="s">
        <v>835</v>
      </c>
      <c r="C177" s="311" t="s">
        <v>878</v>
      </c>
      <c r="D177" s="311">
        <v>2.0</v>
      </c>
      <c r="E177" s="312">
        <f t="shared" si="19"/>
        <v>0</v>
      </c>
      <c r="F177" s="312" t="str">
        <f t="shared" si="20"/>
        <v>#DIV/0!</v>
      </c>
      <c r="G177" s="312" t="str">
        <f t="shared" si="21"/>
        <v>#DIV/0!</v>
      </c>
      <c r="H177" s="312" t="str">
        <f t="shared" si="22"/>
        <v>#DIV/0!</v>
      </c>
      <c r="I177" s="312" t="str">
        <f t="shared" si="82"/>
        <v>#DIV/0!</v>
      </c>
      <c r="J177" s="315" t="s">
        <v>2794</v>
      </c>
      <c r="K177" s="315" t="s">
        <v>2794</v>
      </c>
      <c r="L177" s="316" t="str">
        <f t="shared" si="23"/>
        <v>#DIV/0!</v>
      </c>
      <c r="M177" s="317" t="s">
        <v>594</v>
      </c>
      <c r="N177" s="317" t="s">
        <v>594</v>
      </c>
      <c r="O177" s="317" t="s">
        <v>594</v>
      </c>
      <c r="P177" s="317" t="s">
        <v>594</v>
      </c>
      <c r="Q177" s="317" t="s">
        <v>594</v>
      </c>
      <c r="R177" s="317" t="s">
        <v>594</v>
      </c>
      <c r="S177" s="318" t="s">
        <v>561</v>
      </c>
      <c r="T177" s="318" t="s">
        <v>561</v>
      </c>
      <c r="U177" s="330" t="s">
        <v>561</v>
      </c>
      <c r="V177" s="330" t="s">
        <v>561</v>
      </c>
      <c r="W177" s="340" t="s">
        <v>2807</v>
      </c>
      <c r="X177" s="340" t="s">
        <v>561</v>
      </c>
      <c r="Y177" s="340" t="s">
        <v>2807</v>
      </c>
      <c r="Z177" s="317" t="s">
        <v>2795</v>
      </c>
      <c r="AA177" s="317" t="s">
        <v>561</v>
      </c>
      <c r="AB177" s="317" t="s">
        <v>561</v>
      </c>
      <c r="AC177" s="317" t="s">
        <v>2807</v>
      </c>
      <c r="AD177" s="317" t="s">
        <v>2807</v>
      </c>
      <c r="AE177" s="317" t="s">
        <v>561</v>
      </c>
      <c r="AF177" s="317" t="s">
        <v>561</v>
      </c>
      <c r="AG177" s="317" t="s">
        <v>561</v>
      </c>
      <c r="AH177" s="317" t="s">
        <v>561</v>
      </c>
      <c r="AI177" s="317" t="s">
        <v>561</v>
      </c>
      <c r="AJ177" s="317" t="s">
        <v>2807</v>
      </c>
      <c r="AK177" s="317" t="s">
        <v>2807</v>
      </c>
      <c r="AL177" s="317" t="s">
        <v>2807</v>
      </c>
      <c r="AM177" s="317" t="s">
        <v>2807</v>
      </c>
      <c r="AN177" s="317" t="s">
        <v>2795</v>
      </c>
      <c r="AO177" s="317" t="s">
        <v>2807</v>
      </c>
      <c r="AP177" s="317" t="s">
        <v>561</v>
      </c>
      <c r="AQ177" s="317" t="s">
        <v>561</v>
      </c>
      <c r="AR177" s="317" t="s">
        <v>561</v>
      </c>
      <c r="AS177" s="317" t="s">
        <v>2807</v>
      </c>
      <c r="AT177" s="317" t="s">
        <v>561</v>
      </c>
      <c r="AU177" s="317" t="s">
        <v>561</v>
      </c>
      <c r="AV177" s="317" t="s">
        <v>2807</v>
      </c>
      <c r="AW177" s="317" t="s">
        <v>561</v>
      </c>
      <c r="AX177" s="317" t="s">
        <v>561</v>
      </c>
      <c r="AY177" s="317" t="s">
        <v>561</v>
      </c>
      <c r="AZ177" s="317" t="s">
        <v>561</v>
      </c>
      <c r="BA177" s="317" t="s">
        <v>2806</v>
      </c>
      <c r="BB177" s="317" t="s">
        <v>561</v>
      </c>
      <c r="BC177" s="317" t="s">
        <v>2806</v>
      </c>
      <c r="BD177" s="317" t="s">
        <v>2795</v>
      </c>
      <c r="BE177" s="317" t="s">
        <v>561</v>
      </c>
      <c r="BF177" s="317" t="s">
        <v>561</v>
      </c>
      <c r="BG177" s="317" t="s">
        <v>561</v>
      </c>
      <c r="BH177" s="317" t="s">
        <v>561</v>
      </c>
      <c r="BI177" s="317" t="s">
        <v>561</v>
      </c>
      <c r="BJ177" s="317" t="s">
        <v>561</v>
      </c>
      <c r="BK177" s="317" t="s">
        <v>561</v>
      </c>
      <c r="BL177" s="317" t="s">
        <v>2806</v>
      </c>
      <c r="BM177" s="317" t="s">
        <v>2806</v>
      </c>
      <c r="BN177" s="317" t="s">
        <v>561</v>
      </c>
      <c r="BO177" s="317" t="s">
        <v>2806</v>
      </c>
      <c r="BP177" s="317" t="s">
        <v>2806</v>
      </c>
      <c r="BQ177" s="317" t="s">
        <v>600</v>
      </c>
      <c r="BR177" s="317" t="s">
        <v>600</v>
      </c>
      <c r="BS177" s="317" t="s">
        <v>600</v>
      </c>
      <c r="BT177" s="317" t="s">
        <v>600</v>
      </c>
      <c r="BU177" s="317" t="s">
        <v>600</v>
      </c>
      <c r="BV177" s="317" t="s">
        <v>600</v>
      </c>
      <c r="BW177" s="317" t="s">
        <v>600</v>
      </c>
      <c r="BX177" s="317" t="s">
        <v>600</v>
      </c>
      <c r="BY177" s="317" t="s">
        <v>600</v>
      </c>
      <c r="BZ177" s="317" t="s">
        <v>600</v>
      </c>
      <c r="CA177" s="317" t="s">
        <v>600</v>
      </c>
      <c r="CB177" s="317" t="s">
        <v>600</v>
      </c>
      <c r="CC177" s="317" t="s">
        <v>600</v>
      </c>
      <c r="CD177" s="317" t="s">
        <v>600</v>
      </c>
      <c r="CE177" s="317" t="s">
        <v>600</v>
      </c>
      <c r="CF177" s="317" t="s">
        <v>600</v>
      </c>
      <c r="CG177" s="317" t="s">
        <v>600</v>
      </c>
      <c r="CH177" s="317" t="s">
        <v>600</v>
      </c>
      <c r="CI177" s="317" t="s">
        <v>600</v>
      </c>
      <c r="CJ177" s="317" t="s">
        <v>600</v>
      </c>
      <c r="CK177" s="317" t="s">
        <v>600</v>
      </c>
      <c r="CL177" s="317" t="s">
        <v>600</v>
      </c>
      <c r="CM177" s="317" t="s">
        <v>600</v>
      </c>
      <c r="CN177" s="317" t="s">
        <v>600</v>
      </c>
      <c r="CO177" s="317" t="s">
        <v>600</v>
      </c>
      <c r="CP177" s="317" t="s">
        <v>600</v>
      </c>
      <c r="CQ177" s="319"/>
      <c r="CR177" s="319">
        <v>2019.0</v>
      </c>
      <c r="CS177" s="343" t="s">
        <v>1569</v>
      </c>
      <c r="CT177" s="334" t="s">
        <v>2030</v>
      </c>
      <c r="CU177" s="319" t="s">
        <v>1132</v>
      </c>
      <c r="CV177" s="332" t="s">
        <v>75</v>
      </c>
      <c r="CW177" s="350" t="s">
        <v>666</v>
      </c>
      <c r="CX177" s="319"/>
      <c r="CY177" s="323">
        <f t="shared" si="24"/>
        <v>0.071</v>
      </c>
      <c r="CZ177" s="324">
        <v>0.525</v>
      </c>
      <c r="DA177" s="323">
        <v>0.45399999999999996</v>
      </c>
      <c r="DB177" s="323"/>
      <c r="DC177" s="323">
        <f t="shared" si="25"/>
        <v>-0.01</v>
      </c>
      <c r="DD177" s="323">
        <v>0.45</v>
      </c>
      <c r="DE177" s="324">
        <v>0.46</v>
      </c>
      <c r="DF177" s="324"/>
      <c r="DG177" s="324">
        <v>0.79</v>
      </c>
      <c r="DH177" s="323">
        <v>0.064</v>
      </c>
      <c r="DI177" s="323">
        <v>0.061</v>
      </c>
      <c r="DJ177" s="323">
        <v>0.062</v>
      </c>
      <c r="DK177" s="323">
        <v>0.018000000000000002</v>
      </c>
      <c r="DL177" s="323">
        <v>0.001</v>
      </c>
      <c r="DM177" s="323"/>
      <c r="DN177" s="323">
        <v>0.409</v>
      </c>
      <c r="DO177" s="323">
        <v>0.424</v>
      </c>
      <c r="DP177" s="323">
        <v>0.494</v>
      </c>
    </row>
    <row r="178">
      <c r="A178" s="311" t="s">
        <v>885</v>
      </c>
      <c r="B178" s="311" t="s">
        <v>144</v>
      </c>
      <c r="C178" s="311" t="s">
        <v>1637</v>
      </c>
      <c r="D178" s="311">
        <v>3.0</v>
      </c>
      <c r="E178" s="312">
        <f t="shared" si="19"/>
        <v>0</v>
      </c>
      <c r="F178" s="312" t="str">
        <f t="shared" si="20"/>
        <v>#DIV/0!</v>
      </c>
      <c r="G178" s="312" t="str">
        <f t="shared" si="21"/>
        <v>#DIV/0!</v>
      </c>
      <c r="H178" s="312" t="str">
        <f t="shared" si="22"/>
        <v>#DIV/0!</v>
      </c>
      <c r="I178" s="312" t="str">
        <f t="shared" si="82"/>
        <v>#DIV/0!</v>
      </c>
      <c r="J178" s="315" t="s">
        <v>2794</v>
      </c>
      <c r="K178" s="315" t="s">
        <v>2794</v>
      </c>
      <c r="L178" s="316" t="str">
        <f t="shared" si="23"/>
        <v>#DIV/0!</v>
      </c>
      <c r="M178" s="317" t="s">
        <v>594</v>
      </c>
      <c r="N178" s="317" t="s">
        <v>594</v>
      </c>
      <c r="O178" s="317" t="s">
        <v>594</v>
      </c>
      <c r="P178" s="317" t="s">
        <v>594</v>
      </c>
      <c r="Q178" s="317" t="s">
        <v>594</v>
      </c>
      <c r="R178" s="317" t="s">
        <v>594</v>
      </c>
      <c r="S178" s="318" t="s">
        <v>561</v>
      </c>
      <c r="T178" s="318" t="s">
        <v>561</v>
      </c>
      <c r="U178" s="330" t="s">
        <v>561</v>
      </c>
      <c r="V178" s="330" t="s">
        <v>561</v>
      </c>
      <c r="W178" s="340" t="s">
        <v>2807</v>
      </c>
      <c r="X178" s="340" t="s">
        <v>561</v>
      </c>
      <c r="Y178" s="340" t="s">
        <v>2807</v>
      </c>
      <c r="Z178" s="317" t="s">
        <v>2807</v>
      </c>
      <c r="AA178" s="317" t="s">
        <v>561</v>
      </c>
      <c r="AB178" s="317" t="s">
        <v>561</v>
      </c>
      <c r="AC178" s="317" t="s">
        <v>2807</v>
      </c>
      <c r="AD178" s="317" t="s">
        <v>2807</v>
      </c>
      <c r="AE178" s="317" t="s">
        <v>561</v>
      </c>
      <c r="AF178" s="317" t="s">
        <v>561</v>
      </c>
      <c r="AG178" s="317" t="s">
        <v>561</v>
      </c>
      <c r="AH178" s="317" t="s">
        <v>561</v>
      </c>
      <c r="AI178" s="317" t="s">
        <v>561</v>
      </c>
      <c r="AJ178" s="317" t="s">
        <v>2807</v>
      </c>
      <c r="AK178" s="317" t="s">
        <v>2807</v>
      </c>
      <c r="AL178" s="317" t="s">
        <v>2807</v>
      </c>
      <c r="AM178" s="317" t="s">
        <v>2807</v>
      </c>
      <c r="AN178" s="317" t="s">
        <v>2807</v>
      </c>
      <c r="AO178" s="317" t="s">
        <v>2807</v>
      </c>
      <c r="AP178" s="317" t="s">
        <v>561</v>
      </c>
      <c r="AQ178" s="317" t="s">
        <v>561</v>
      </c>
      <c r="AR178" s="317" t="s">
        <v>561</v>
      </c>
      <c r="AS178" s="317" t="s">
        <v>2807</v>
      </c>
      <c r="AT178" s="317" t="s">
        <v>561</v>
      </c>
      <c r="AU178" s="317" t="s">
        <v>561</v>
      </c>
      <c r="AV178" s="317" t="s">
        <v>2807</v>
      </c>
      <c r="AW178" s="317" t="s">
        <v>561</v>
      </c>
      <c r="AX178" s="317" t="s">
        <v>561</v>
      </c>
      <c r="AY178" s="317" t="s">
        <v>561</v>
      </c>
      <c r="AZ178" s="317" t="s">
        <v>561</v>
      </c>
      <c r="BA178" s="317" t="s">
        <v>2806</v>
      </c>
      <c r="BB178" s="317" t="s">
        <v>561</v>
      </c>
      <c r="BC178" s="317" t="s">
        <v>2806</v>
      </c>
      <c r="BD178" s="317" t="s">
        <v>2795</v>
      </c>
      <c r="BE178" s="317" t="s">
        <v>561</v>
      </c>
      <c r="BF178" s="317" t="s">
        <v>561</v>
      </c>
      <c r="BG178" s="317" t="s">
        <v>561</v>
      </c>
      <c r="BH178" s="317" t="s">
        <v>561</v>
      </c>
      <c r="BI178" s="317" t="s">
        <v>561</v>
      </c>
      <c r="BJ178" s="317" t="s">
        <v>561</v>
      </c>
      <c r="BK178" s="317" t="s">
        <v>561</v>
      </c>
      <c r="BL178" s="317" t="s">
        <v>2806</v>
      </c>
      <c r="BM178" s="317" t="s">
        <v>2806</v>
      </c>
      <c r="BN178" s="317" t="s">
        <v>561</v>
      </c>
      <c r="BO178" s="317" t="s">
        <v>2806</v>
      </c>
      <c r="BP178" s="317" t="s">
        <v>2796</v>
      </c>
      <c r="BQ178" s="317" t="s">
        <v>600</v>
      </c>
      <c r="BR178" s="317" t="s">
        <v>600</v>
      </c>
      <c r="BS178" s="317" t="s">
        <v>600</v>
      </c>
      <c r="BT178" s="317" t="s">
        <v>600</v>
      </c>
      <c r="BU178" s="317" t="s">
        <v>600</v>
      </c>
      <c r="BV178" s="317" t="s">
        <v>600</v>
      </c>
      <c r="BW178" s="317" t="s">
        <v>600</v>
      </c>
      <c r="BX178" s="317" t="s">
        <v>600</v>
      </c>
      <c r="BY178" s="317" t="s">
        <v>600</v>
      </c>
      <c r="BZ178" s="317" t="s">
        <v>600</v>
      </c>
      <c r="CA178" s="317" t="s">
        <v>600</v>
      </c>
      <c r="CB178" s="317" t="s">
        <v>600</v>
      </c>
      <c r="CC178" s="317" t="s">
        <v>600</v>
      </c>
      <c r="CD178" s="317" t="s">
        <v>600</v>
      </c>
      <c r="CE178" s="317" t="s">
        <v>600</v>
      </c>
      <c r="CF178" s="317" t="s">
        <v>600</v>
      </c>
      <c r="CG178" s="317" t="s">
        <v>600</v>
      </c>
      <c r="CH178" s="317" t="s">
        <v>600</v>
      </c>
      <c r="CI178" s="317" t="s">
        <v>600</v>
      </c>
      <c r="CJ178" s="317" t="s">
        <v>600</v>
      </c>
      <c r="CK178" s="317" t="s">
        <v>600</v>
      </c>
      <c r="CL178" s="317" t="s">
        <v>600</v>
      </c>
      <c r="CM178" s="317" t="s">
        <v>600</v>
      </c>
      <c r="CN178" s="317" t="s">
        <v>600</v>
      </c>
      <c r="CO178" s="317" t="s">
        <v>600</v>
      </c>
      <c r="CP178" s="317" t="s">
        <v>600</v>
      </c>
      <c r="CQ178" s="319"/>
      <c r="CR178" s="319">
        <v>2019.0</v>
      </c>
      <c r="CS178" s="343" t="s">
        <v>1569</v>
      </c>
      <c r="CT178" s="334" t="s">
        <v>2030</v>
      </c>
      <c r="CU178" s="326" t="s">
        <v>2476</v>
      </c>
      <c r="CV178" s="332" t="s">
        <v>75</v>
      </c>
      <c r="CW178" s="336"/>
      <c r="CX178" s="319"/>
      <c r="CY178" s="323">
        <f t="shared" si="24"/>
        <v>0.067</v>
      </c>
      <c r="CZ178" s="324">
        <v>0.524</v>
      </c>
      <c r="DA178" s="323">
        <v>0.457</v>
      </c>
      <c r="DB178" s="323"/>
      <c r="DC178" s="323">
        <f t="shared" si="25"/>
        <v>0.067</v>
      </c>
      <c r="DD178" s="324">
        <v>0.505</v>
      </c>
      <c r="DE178" s="323">
        <v>0.43799999999999994</v>
      </c>
      <c r="DF178" s="323"/>
      <c r="DG178" s="324">
        <v>0.47100000000000003</v>
      </c>
      <c r="DH178" s="323">
        <v>0.188</v>
      </c>
      <c r="DI178" s="323">
        <v>0.113</v>
      </c>
      <c r="DJ178" s="323">
        <v>0.20800000000000002</v>
      </c>
      <c r="DK178" s="323">
        <v>0.023</v>
      </c>
      <c r="DL178" s="323">
        <v>0.02</v>
      </c>
      <c r="DM178" s="323"/>
      <c r="DN178" s="323">
        <v>0.313</v>
      </c>
      <c r="DO178" s="323">
        <v>0.35200000000000004</v>
      </c>
      <c r="DP178" s="323">
        <v>0.35</v>
      </c>
    </row>
    <row r="179">
      <c r="A179" s="311" t="s">
        <v>922</v>
      </c>
      <c r="B179" s="311" t="s">
        <v>923</v>
      </c>
      <c r="C179" s="311" t="s">
        <v>587</v>
      </c>
      <c r="D179" s="311">
        <v>5.0</v>
      </c>
      <c r="E179" s="312">
        <f t="shared" si="19"/>
        <v>0</v>
      </c>
      <c r="F179" s="312" t="str">
        <f t="shared" si="20"/>
        <v>#DIV/0!</v>
      </c>
      <c r="G179" s="312" t="str">
        <f t="shared" si="21"/>
        <v>#DIV/0!</v>
      </c>
      <c r="H179" s="312" t="str">
        <f t="shared" si="22"/>
        <v>#DIV/0!</v>
      </c>
      <c r="I179" s="312" t="str">
        <f t="shared" si="82"/>
        <v>#DIV/0!</v>
      </c>
      <c r="J179" s="312" t="str">
        <f>(COUNTIF(BQ179:CL179, "Nay")+COUNTIF(BQ179:CL179, "Yea (Amend)")+(0.5*COUNTIF(BQ179:CL179, "Present")))/(COUNTIF(BQ179:CL179, "Nay")+COUNTIF(BQ179:CL179, "Yea (Amend)")+COUNTIF(BQ179:CL179, "Yea")+COUNTIF(BQ179:CL179, "Nay (Amend)")+COUNTIF(BQ179:CL179, "Present"))</f>
        <v>#DIV/0!</v>
      </c>
      <c r="K179" s="315" t="s">
        <v>2794</v>
      </c>
      <c r="L179" s="316" t="str">
        <f t="shared" si="23"/>
        <v>#DIV/0!</v>
      </c>
      <c r="M179" s="317" t="s">
        <v>594</v>
      </c>
      <c r="N179" s="317" t="s">
        <v>594</v>
      </c>
      <c r="O179" s="317" t="s">
        <v>594</v>
      </c>
      <c r="P179" s="317" t="s">
        <v>594</v>
      </c>
      <c r="Q179" s="317" t="s">
        <v>594</v>
      </c>
      <c r="R179" s="317" t="s">
        <v>594</v>
      </c>
      <c r="S179" s="318" t="s">
        <v>561</v>
      </c>
      <c r="T179" s="318" t="s">
        <v>561</v>
      </c>
      <c r="U179" s="330" t="s">
        <v>561</v>
      </c>
      <c r="V179" s="330" t="s">
        <v>561</v>
      </c>
      <c r="W179" s="340" t="s">
        <v>2807</v>
      </c>
      <c r="X179" s="340" t="s">
        <v>561</v>
      </c>
      <c r="Y179" s="340" t="s">
        <v>2807</v>
      </c>
      <c r="Z179" s="317" t="s">
        <v>2807</v>
      </c>
      <c r="AA179" s="317" t="s">
        <v>561</v>
      </c>
      <c r="AB179" s="317" t="s">
        <v>561</v>
      </c>
      <c r="AC179" s="317" t="s">
        <v>2807</v>
      </c>
      <c r="AD179" s="317" t="s">
        <v>2807</v>
      </c>
      <c r="AE179" s="317" t="s">
        <v>561</v>
      </c>
      <c r="AF179" s="317" t="s">
        <v>561</v>
      </c>
      <c r="AG179" s="317" t="s">
        <v>561</v>
      </c>
      <c r="AH179" s="317" t="s">
        <v>561</v>
      </c>
      <c r="AI179" s="317" t="s">
        <v>561</v>
      </c>
      <c r="AJ179" s="317" t="s">
        <v>2807</v>
      </c>
      <c r="AK179" s="317" t="s">
        <v>2807</v>
      </c>
      <c r="AL179" s="317" t="s">
        <v>2807</v>
      </c>
      <c r="AM179" s="317" t="s">
        <v>801</v>
      </c>
      <c r="AN179" s="317" t="s">
        <v>2807</v>
      </c>
      <c r="AO179" s="317" t="s">
        <v>2807</v>
      </c>
      <c r="AP179" s="317" t="s">
        <v>561</v>
      </c>
      <c r="AQ179" s="317" t="s">
        <v>561</v>
      </c>
      <c r="AR179" s="317" t="s">
        <v>561</v>
      </c>
      <c r="AS179" s="317" t="s">
        <v>2807</v>
      </c>
      <c r="AT179" s="317" t="s">
        <v>561</v>
      </c>
      <c r="AU179" s="317" t="s">
        <v>561</v>
      </c>
      <c r="AV179" s="317" t="s">
        <v>2807</v>
      </c>
      <c r="AW179" s="317" t="s">
        <v>561</v>
      </c>
      <c r="AX179" s="317" t="s">
        <v>561</v>
      </c>
      <c r="AY179" s="317" t="s">
        <v>561</v>
      </c>
      <c r="AZ179" s="317" t="s">
        <v>561</v>
      </c>
      <c r="BA179" s="317" t="s">
        <v>2806</v>
      </c>
      <c r="BB179" s="317" t="s">
        <v>561</v>
      </c>
      <c r="BC179" s="317" t="s">
        <v>2806</v>
      </c>
      <c r="BD179" s="317" t="s">
        <v>2795</v>
      </c>
      <c r="BE179" s="317" t="s">
        <v>561</v>
      </c>
      <c r="BF179" s="317" t="s">
        <v>561</v>
      </c>
      <c r="BG179" s="317" t="s">
        <v>561</v>
      </c>
      <c r="BH179" s="317" t="s">
        <v>561</v>
      </c>
      <c r="BI179" s="317" t="s">
        <v>561</v>
      </c>
      <c r="BJ179" s="317" t="s">
        <v>561</v>
      </c>
      <c r="BK179" s="317" t="s">
        <v>561</v>
      </c>
      <c r="BL179" s="317" t="s">
        <v>2806</v>
      </c>
      <c r="BM179" s="317" t="s">
        <v>2806</v>
      </c>
      <c r="BN179" s="317" t="s">
        <v>561</v>
      </c>
      <c r="BO179" s="317" t="s">
        <v>2806</v>
      </c>
      <c r="BP179" s="317" t="s">
        <v>2806</v>
      </c>
      <c r="BQ179" s="317" t="s">
        <v>561</v>
      </c>
      <c r="BR179" s="317" t="s">
        <v>561</v>
      </c>
      <c r="BS179" s="317" t="s">
        <v>561</v>
      </c>
      <c r="BT179" s="317" t="s">
        <v>561</v>
      </c>
      <c r="BU179" s="317" t="s">
        <v>561</v>
      </c>
      <c r="BV179" s="317" t="s">
        <v>561</v>
      </c>
      <c r="BW179" s="317" t="s">
        <v>561</v>
      </c>
      <c r="BX179" s="317" t="s">
        <v>561</v>
      </c>
      <c r="BY179" s="317" t="s">
        <v>561</v>
      </c>
      <c r="BZ179" s="317" t="s">
        <v>561</v>
      </c>
      <c r="CA179" s="317" t="s">
        <v>53</v>
      </c>
      <c r="CB179" s="317" t="s">
        <v>561</v>
      </c>
      <c r="CC179" s="317" t="s">
        <v>561</v>
      </c>
      <c r="CD179" s="317" t="s">
        <v>561</v>
      </c>
      <c r="CE179" s="317" t="s">
        <v>561</v>
      </c>
      <c r="CF179" s="317" t="s">
        <v>53</v>
      </c>
      <c r="CG179" s="317" t="s">
        <v>561</v>
      </c>
      <c r="CH179" s="317" t="s">
        <v>561</v>
      </c>
      <c r="CI179" s="317" t="s">
        <v>561</v>
      </c>
      <c r="CJ179" s="317" t="s">
        <v>2806</v>
      </c>
      <c r="CK179" s="317" t="s">
        <v>561</v>
      </c>
      <c r="CL179" s="317" t="s">
        <v>561</v>
      </c>
      <c r="CM179" s="317" t="s">
        <v>600</v>
      </c>
      <c r="CN179" s="317" t="s">
        <v>600</v>
      </c>
      <c r="CO179" s="317" t="s">
        <v>600</v>
      </c>
      <c r="CP179" s="317" t="s">
        <v>600</v>
      </c>
      <c r="CQ179" s="319"/>
      <c r="CR179" s="319">
        <v>2017.0</v>
      </c>
      <c r="CS179" s="334" t="s">
        <v>2854</v>
      </c>
      <c r="CT179" s="334" t="s">
        <v>2030</v>
      </c>
      <c r="CU179" s="319" t="s">
        <v>2853</v>
      </c>
      <c r="CV179" s="332" t="s">
        <v>75</v>
      </c>
      <c r="CW179" s="319"/>
      <c r="CX179" s="319"/>
      <c r="CY179" s="323">
        <f t="shared" si="24"/>
        <v>0.124</v>
      </c>
      <c r="CZ179" s="324">
        <v>0.556</v>
      </c>
      <c r="DA179" s="323">
        <v>0.43200000000000005</v>
      </c>
      <c r="DB179" s="323"/>
      <c r="DC179" s="323">
        <f t="shared" si="25"/>
        <v>0.077</v>
      </c>
      <c r="DD179" s="324">
        <v>0.522</v>
      </c>
      <c r="DE179" s="323">
        <v>0.445</v>
      </c>
      <c r="DF179" s="323"/>
      <c r="DG179" s="324">
        <v>0.612</v>
      </c>
      <c r="DH179" s="323">
        <v>0.149</v>
      </c>
      <c r="DI179" s="323">
        <v>0.07</v>
      </c>
      <c r="DJ179" s="323">
        <v>0.16699999999999998</v>
      </c>
      <c r="DK179" s="323">
        <v>0.011000000000000001</v>
      </c>
      <c r="DL179" s="323">
        <v>0.001</v>
      </c>
      <c r="DM179" s="323"/>
      <c r="DN179" s="324">
        <v>0.523</v>
      </c>
      <c r="DO179" s="324">
        <v>0.528</v>
      </c>
      <c r="DP179" s="323">
        <v>0.32299999999999995</v>
      </c>
    </row>
    <row r="180">
      <c r="A180" s="311" t="s">
        <v>805</v>
      </c>
      <c r="B180" s="311" t="s">
        <v>806</v>
      </c>
      <c r="C180" s="311" t="s">
        <v>815</v>
      </c>
      <c r="D180" s="311">
        <v>7.0</v>
      </c>
      <c r="E180" s="312">
        <f t="shared" si="19"/>
        <v>0</v>
      </c>
      <c r="F180" s="312" t="str">
        <f t="shared" si="20"/>
        <v>#DIV/0!</v>
      </c>
      <c r="G180" s="312" t="str">
        <f t="shared" si="21"/>
        <v>#DIV/0!</v>
      </c>
      <c r="H180" s="312" t="str">
        <f t="shared" si="22"/>
        <v>#DIV/0!</v>
      </c>
      <c r="I180" s="312" t="str">
        <f t="shared" si="82"/>
        <v>#DIV/0!</v>
      </c>
      <c r="J180" s="315" t="s">
        <v>2794</v>
      </c>
      <c r="K180" s="315" t="s">
        <v>2794</v>
      </c>
      <c r="L180" s="316" t="str">
        <f t="shared" si="23"/>
        <v>#DIV/0!</v>
      </c>
      <c r="M180" s="317" t="s">
        <v>594</v>
      </c>
      <c r="N180" s="317" t="s">
        <v>594</v>
      </c>
      <c r="O180" s="317" t="s">
        <v>594</v>
      </c>
      <c r="P180" s="317" t="s">
        <v>594</v>
      </c>
      <c r="Q180" s="317" t="s">
        <v>594</v>
      </c>
      <c r="R180" s="317" t="s">
        <v>594</v>
      </c>
      <c r="S180" s="318" t="s">
        <v>561</v>
      </c>
      <c r="T180" s="318" t="s">
        <v>561</v>
      </c>
      <c r="U180" s="330" t="s">
        <v>561</v>
      </c>
      <c r="V180" s="330" t="s">
        <v>561</v>
      </c>
      <c r="W180" s="340" t="s">
        <v>2807</v>
      </c>
      <c r="X180" s="340" t="s">
        <v>561</v>
      </c>
      <c r="Y180" s="340" t="s">
        <v>2807</v>
      </c>
      <c r="Z180" s="317" t="s">
        <v>2807</v>
      </c>
      <c r="AA180" s="317" t="s">
        <v>561</v>
      </c>
      <c r="AB180" s="317" t="s">
        <v>561</v>
      </c>
      <c r="AC180" s="317" t="s">
        <v>2807</v>
      </c>
      <c r="AD180" s="317" t="s">
        <v>801</v>
      </c>
      <c r="AE180" s="317" t="s">
        <v>561</v>
      </c>
      <c r="AF180" s="317" t="s">
        <v>561</v>
      </c>
      <c r="AG180" s="317" t="s">
        <v>561</v>
      </c>
      <c r="AH180" s="317" t="s">
        <v>561</v>
      </c>
      <c r="AI180" s="317" t="s">
        <v>561</v>
      </c>
      <c r="AJ180" s="317" t="s">
        <v>2807</v>
      </c>
      <c r="AK180" s="317" t="s">
        <v>2807</v>
      </c>
      <c r="AL180" s="317" t="s">
        <v>2807</v>
      </c>
      <c r="AM180" s="317" t="s">
        <v>2807</v>
      </c>
      <c r="AN180" s="317" t="s">
        <v>2795</v>
      </c>
      <c r="AO180" s="317" t="s">
        <v>2807</v>
      </c>
      <c r="AP180" s="317" t="s">
        <v>561</v>
      </c>
      <c r="AQ180" s="317" t="s">
        <v>561</v>
      </c>
      <c r="AR180" s="317" t="s">
        <v>561</v>
      </c>
      <c r="AS180" s="317" t="s">
        <v>2807</v>
      </c>
      <c r="AT180" s="317" t="s">
        <v>561</v>
      </c>
      <c r="AU180" s="317" t="s">
        <v>561</v>
      </c>
      <c r="AV180" s="317" t="s">
        <v>2807</v>
      </c>
      <c r="AW180" s="317" t="s">
        <v>561</v>
      </c>
      <c r="AX180" s="317" t="s">
        <v>561</v>
      </c>
      <c r="AY180" s="317" t="s">
        <v>561</v>
      </c>
      <c r="AZ180" s="317" t="s">
        <v>561</v>
      </c>
      <c r="BA180" s="317" t="s">
        <v>2806</v>
      </c>
      <c r="BB180" s="317" t="s">
        <v>561</v>
      </c>
      <c r="BC180" s="317" t="s">
        <v>2806</v>
      </c>
      <c r="BD180" s="317" t="s">
        <v>2807</v>
      </c>
      <c r="BE180" s="317" t="s">
        <v>561</v>
      </c>
      <c r="BF180" s="317" t="s">
        <v>561</v>
      </c>
      <c r="BG180" s="317" t="s">
        <v>561</v>
      </c>
      <c r="BH180" s="317" t="s">
        <v>561</v>
      </c>
      <c r="BI180" s="317" t="s">
        <v>561</v>
      </c>
      <c r="BJ180" s="317" t="s">
        <v>561</v>
      </c>
      <c r="BK180" s="317" t="s">
        <v>561</v>
      </c>
      <c r="BL180" s="317" t="s">
        <v>2806</v>
      </c>
      <c r="BM180" s="317" t="s">
        <v>2806</v>
      </c>
      <c r="BN180" s="317" t="s">
        <v>561</v>
      </c>
      <c r="BO180" s="317" t="s">
        <v>2806</v>
      </c>
      <c r="BP180" s="317" t="s">
        <v>2806</v>
      </c>
      <c r="BQ180" s="317" t="s">
        <v>600</v>
      </c>
      <c r="BR180" s="317" t="s">
        <v>600</v>
      </c>
      <c r="BS180" s="317" t="s">
        <v>600</v>
      </c>
      <c r="BT180" s="317" t="s">
        <v>600</v>
      </c>
      <c r="BU180" s="317" t="s">
        <v>600</v>
      </c>
      <c r="BV180" s="317" t="s">
        <v>600</v>
      </c>
      <c r="BW180" s="317" t="s">
        <v>600</v>
      </c>
      <c r="BX180" s="317" t="s">
        <v>600</v>
      </c>
      <c r="BY180" s="317" t="s">
        <v>600</v>
      </c>
      <c r="BZ180" s="317" t="s">
        <v>600</v>
      </c>
      <c r="CA180" s="317" t="s">
        <v>600</v>
      </c>
      <c r="CB180" s="317" t="s">
        <v>600</v>
      </c>
      <c r="CC180" s="317" t="s">
        <v>600</v>
      </c>
      <c r="CD180" s="317" t="s">
        <v>600</v>
      </c>
      <c r="CE180" s="317" t="s">
        <v>600</v>
      </c>
      <c r="CF180" s="317" t="s">
        <v>600</v>
      </c>
      <c r="CG180" s="317" t="s">
        <v>600</v>
      </c>
      <c r="CH180" s="317" t="s">
        <v>600</v>
      </c>
      <c r="CI180" s="317" t="s">
        <v>600</v>
      </c>
      <c r="CJ180" s="317" t="s">
        <v>600</v>
      </c>
      <c r="CK180" s="317" t="s">
        <v>600</v>
      </c>
      <c r="CL180" s="317" t="s">
        <v>600</v>
      </c>
      <c r="CM180" s="317" t="s">
        <v>600</v>
      </c>
      <c r="CN180" s="317" t="s">
        <v>600</v>
      </c>
      <c r="CO180" s="317" t="s">
        <v>600</v>
      </c>
      <c r="CP180" s="317" t="s">
        <v>600</v>
      </c>
      <c r="CQ180" s="319"/>
      <c r="CR180" s="319">
        <v>2019.0</v>
      </c>
      <c r="CS180" s="343" t="s">
        <v>1569</v>
      </c>
      <c r="CT180" s="334" t="s">
        <v>2030</v>
      </c>
      <c r="CU180" s="319" t="s">
        <v>23</v>
      </c>
      <c r="CV180" s="332" t="s">
        <v>75</v>
      </c>
      <c r="CW180" s="319"/>
      <c r="CX180" s="319"/>
      <c r="CY180" s="348">
        <f t="shared" si="24"/>
        <v>0.005</v>
      </c>
      <c r="CZ180" s="316">
        <v>0.494</v>
      </c>
      <c r="DA180" s="348">
        <v>0.489</v>
      </c>
      <c r="DB180" s="348"/>
      <c r="DC180" s="323">
        <f t="shared" si="25"/>
        <v>-0.038</v>
      </c>
      <c r="DD180" s="323">
        <v>0.451</v>
      </c>
      <c r="DE180" s="324">
        <v>0.489</v>
      </c>
      <c r="DF180" s="324"/>
      <c r="DG180" s="324">
        <v>0.82</v>
      </c>
      <c r="DH180" s="323">
        <v>0.048</v>
      </c>
      <c r="DI180" s="323">
        <v>0.068</v>
      </c>
      <c r="DJ180" s="323">
        <v>0.038</v>
      </c>
      <c r="DK180" s="323">
        <v>0.022000000000000002</v>
      </c>
      <c r="DL180" s="323">
        <v>0.001</v>
      </c>
      <c r="DM180" s="323"/>
      <c r="DN180" s="323">
        <v>0.349</v>
      </c>
      <c r="DO180" s="323">
        <v>0.349</v>
      </c>
      <c r="DP180" s="324">
        <v>0.563</v>
      </c>
    </row>
    <row r="181">
      <c r="A181" s="311" t="s">
        <v>1689</v>
      </c>
      <c r="B181" s="311" t="s">
        <v>2432</v>
      </c>
      <c r="C181" s="311" t="s">
        <v>2855</v>
      </c>
      <c r="D181" s="311" t="s">
        <v>307</v>
      </c>
      <c r="E181" s="312"/>
      <c r="F181" s="312" t="str">
        <f t="shared" si="20"/>
        <v>#DIV/0!</v>
      </c>
      <c r="G181" s="312" t="str">
        <f t="shared" si="21"/>
        <v>#DIV/0!</v>
      </c>
      <c r="H181" s="312" t="str">
        <f t="shared" si="22"/>
        <v>#DIV/0!</v>
      </c>
      <c r="I181" s="352"/>
      <c r="J181" s="352"/>
      <c r="K181" s="352"/>
      <c r="L181" s="352"/>
      <c r="M181" s="353" t="s">
        <v>2521</v>
      </c>
      <c r="N181" s="353" t="s">
        <v>2521</v>
      </c>
      <c r="O181" s="353" t="s">
        <v>2521</v>
      </c>
      <c r="P181" s="353" t="s">
        <v>2521</v>
      </c>
      <c r="Q181" s="353" t="s">
        <v>2521</v>
      </c>
      <c r="R181" s="353" t="s">
        <v>2521</v>
      </c>
      <c r="S181" s="318" t="s">
        <v>561</v>
      </c>
      <c r="T181" s="318" t="s">
        <v>53</v>
      </c>
      <c r="U181" s="330" t="s">
        <v>561</v>
      </c>
      <c r="V181" s="330" t="s">
        <v>561</v>
      </c>
      <c r="W181" s="317" t="s">
        <v>600</v>
      </c>
      <c r="X181" s="317" t="s">
        <v>600</v>
      </c>
      <c r="Y181" s="317" t="s">
        <v>600</v>
      </c>
      <c r="Z181" s="317" t="s">
        <v>600</v>
      </c>
      <c r="AA181" s="317" t="s">
        <v>600</v>
      </c>
      <c r="AB181" s="317" t="s">
        <v>600</v>
      </c>
      <c r="AC181" s="317" t="s">
        <v>600</v>
      </c>
      <c r="AD181" s="317" t="s">
        <v>600</v>
      </c>
      <c r="AE181" s="317" t="s">
        <v>600</v>
      </c>
      <c r="AF181" s="317" t="s">
        <v>600</v>
      </c>
      <c r="AG181" s="317" t="s">
        <v>600</v>
      </c>
      <c r="AH181" s="317" t="s">
        <v>600</v>
      </c>
      <c r="AI181" s="317" t="s">
        <v>600</v>
      </c>
      <c r="AJ181" s="317" t="s">
        <v>600</v>
      </c>
      <c r="AK181" s="317" t="s">
        <v>600</v>
      </c>
      <c r="AL181" s="317" t="s">
        <v>600</v>
      </c>
      <c r="AM181" s="317" t="s">
        <v>600</v>
      </c>
      <c r="AN181" s="317" t="s">
        <v>600</v>
      </c>
      <c r="AO181" s="317" t="s">
        <v>600</v>
      </c>
      <c r="AP181" s="317" t="s">
        <v>600</v>
      </c>
      <c r="AQ181" s="317" t="s">
        <v>600</v>
      </c>
      <c r="AR181" s="317" t="s">
        <v>600</v>
      </c>
      <c r="AS181" s="317" t="s">
        <v>600</v>
      </c>
      <c r="AT181" s="317" t="s">
        <v>600</v>
      </c>
      <c r="AU181" s="317" t="s">
        <v>600</v>
      </c>
      <c r="AV181" s="317" t="s">
        <v>600</v>
      </c>
      <c r="AW181" s="317" t="s">
        <v>600</v>
      </c>
      <c r="AX181" s="317" t="s">
        <v>600</v>
      </c>
      <c r="AY181" s="317" t="s">
        <v>600</v>
      </c>
      <c r="AZ181" s="317" t="s">
        <v>600</v>
      </c>
      <c r="BA181" s="317" t="s">
        <v>600</v>
      </c>
      <c r="BB181" s="317" t="s">
        <v>600</v>
      </c>
      <c r="BC181" s="317" t="s">
        <v>600</v>
      </c>
      <c r="BD181" s="317" t="s">
        <v>600</v>
      </c>
      <c r="BE181" s="317" t="s">
        <v>600</v>
      </c>
      <c r="BF181" s="317" t="s">
        <v>600</v>
      </c>
      <c r="BG181" s="317" t="s">
        <v>600</v>
      </c>
      <c r="BH181" s="317" t="s">
        <v>600</v>
      </c>
      <c r="BI181" s="317" t="s">
        <v>600</v>
      </c>
      <c r="BJ181" s="317" t="s">
        <v>600</v>
      </c>
      <c r="BK181" s="317" t="s">
        <v>600</v>
      </c>
      <c r="BL181" s="317" t="s">
        <v>600</v>
      </c>
      <c r="BM181" s="317" t="s">
        <v>600</v>
      </c>
      <c r="BN181" s="317" t="s">
        <v>600</v>
      </c>
      <c r="BO181" s="317" t="s">
        <v>600</v>
      </c>
      <c r="BP181" s="317" t="s">
        <v>600</v>
      </c>
      <c r="BQ181" s="317" t="s">
        <v>600</v>
      </c>
      <c r="BR181" s="317" t="s">
        <v>600</v>
      </c>
      <c r="BS181" s="317" t="s">
        <v>600</v>
      </c>
      <c r="BT181" s="317" t="s">
        <v>600</v>
      </c>
      <c r="BU181" s="317" t="s">
        <v>600</v>
      </c>
      <c r="BV181" s="317" t="s">
        <v>600</v>
      </c>
      <c r="BW181" s="317" t="s">
        <v>600</v>
      </c>
      <c r="BX181" s="317" t="s">
        <v>600</v>
      </c>
      <c r="BY181" s="317" t="s">
        <v>600</v>
      </c>
      <c r="BZ181" s="317" t="s">
        <v>600</v>
      </c>
      <c r="CA181" s="317" t="s">
        <v>600</v>
      </c>
      <c r="CB181" s="317" t="s">
        <v>600</v>
      </c>
      <c r="CC181" s="317" t="s">
        <v>600</v>
      </c>
      <c r="CD181" s="317" t="s">
        <v>600</v>
      </c>
      <c r="CE181" s="317" t="s">
        <v>600</v>
      </c>
      <c r="CF181" s="317" t="s">
        <v>600</v>
      </c>
      <c r="CG181" s="317" t="s">
        <v>600</v>
      </c>
      <c r="CH181" s="317" t="s">
        <v>600</v>
      </c>
      <c r="CI181" s="317" t="s">
        <v>600</v>
      </c>
      <c r="CJ181" s="317" t="s">
        <v>600</v>
      </c>
      <c r="CK181" s="317" t="s">
        <v>600</v>
      </c>
      <c r="CL181" s="317" t="s">
        <v>600</v>
      </c>
      <c r="CM181" s="317" t="s">
        <v>600</v>
      </c>
      <c r="CN181" s="317" t="s">
        <v>600</v>
      </c>
      <c r="CO181" s="317" t="s">
        <v>600</v>
      </c>
      <c r="CP181" s="317" t="s">
        <v>600</v>
      </c>
      <c r="CQ181" s="319"/>
      <c r="CR181" s="327" t="s">
        <v>2616</v>
      </c>
      <c r="CS181" s="342" t="s">
        <v>2476</v>
      </c>
      <c r="CT181" s="319"/>
      <c r="CU181" s="345" t="s">
        <v>600</v>
      </c>
      <c r="CV181" s="354" t="s">
        <v>2433</v>
      </c>
      <c r="CW181" s="336"/>
      <c r="CX181" s="319"/>
      <c r="CY181" s="323">
        <f t="shared" si="24"/>
        <v>-0.101</v>
      </c>
      <c r="CZ181" s="338">
        <v>0.43</v>
      </c>
      <c r="DA181" s="337">
        <v>0.531</v>
      </c>
      <c r="DB181" s="337"/>
      <c r="DC181" s="323">
        <f t="shared" si="25"/>
        <v>-0.152</v>
      </c>
      <c r="DD181" s="338">
        <v>0.376</v>
      </c>
      <c r="DE181" s="337">
        <v>0.528</v>
      </c>
      <c r="DF181" s="337"/>
      <c r="DG181" s="337">
        <v>0.615</v>
      </c>
      <c r="DH181" s="338">
        <v>0.06</v>
      </c>
      <c r="DI181" s="338">
        <v>0.043</v>
      </c>
      <c r="DJ181" s="338">
        <v>0.078</v>
      </c>
      <c r="DK181" s="338">
        <v>0.191</v>
      </c>
      <c r="DL181" s="338">
        <v>0.02</v>
      </c>
      <c r="DM181" s="338"/>
      <c r="DN181" s="338">
        <v>0.3</v>
      </c>
      <c r="DO181" s="338">
        <v>0.364</v>
      </c>
      <c r="DP181" s="338">
        <v>0.42100000000000004</v>
      </c>
    </row>
    <row r="182">
      <c r="A182" s="325" t="s">
        <v>1048</v>
      </c>
      <c r="B182" s="325" t="s">
        <v>1049</v>
      </c>
      <c r="C182" s="311" t="s">
        <v>1530</v>
      </c>
      <c r="D182" s="311">
        <v>19.0</v>
      </c>
      <c r="E182" s="312"/>
      <c r="F182" s="312" t="str">
        <f t="shared" si="20"/>
        <v>#DIV/0!</v>
      </c>
      <c r="G182" s="312" t="str">
        <f t="shared" si="21"/>
        <v>#DIV/0!</v>
      </c>
      <c r="H182" s="312" t="str">
        <f t="shared" si="22"/>
        <v>#DIV/0!</v>
      </c>
      <c r="I182" s="352"/>
      <c r="J182" s="352"/>
      <c r="K182" s="352"/>
      <c r="L182" s="352"/>
      <c r="M182" s="355" t="s">
        <v>2521</v>
      </c>
      <c r="N182" s="353" t="s">
        <v>2521</v>
      </c>
      <c r="O182" s="353" t="s">
        <v>2521</v>
      </c>
      <c r="P182" s="353" t="s">
        <v>2521</v>
      </c>
      <c r="Q182" s="353" t="s">
        <v>2521</v>
      </c>
      <c r="R182" s="353" t="s">
        <v>2521</v>
      </c>
      <c r="S182" s="318" t="s">
        <v>561</v>
      </c>
      <c r="T182" s="318" t="s">
        <v>561</v>
      </c>
      <c r="U182" s="330" t="s">
        <v>561</v>
      </c>
      <c r="V182" s="330" t="s">
        <v>561</v>
      </c>
      <c r="W182" s="317" t="s">
        <v>600</v>
      </c>
      <c r="X182" s="317" t="s">
        <v>600</v>
      </c>
      <c r="Y182" s="317" t="s">
        <v>600</v>
      </c>
      <c r="Z182" s="317" t="s">
        <v>600</v>
      </c>
      <c r="AA182" s="317" t="s">
        <v>600</v>
      </c>
      <c r="AB182" s="317" t="s">
        <v>600</v>
      </c>
      <c r="AC182" s="317" t="s">
        <v>600</v>
      </c>
      <c r="AD182" s="317" t="s">
        <v>600</v>
      </c>
      <c r="AE182" s="317" t="s">
        <v>600</v>
      </c>
      <c r="AF182" s="317" t="s">
        <v>600</v>
      </c>
      <c r="AG182" s="317" t="s">
        <v>600</v>
      </c>
      <c r="AH182" s="317" t="s">
        <v>600</v>
      </c>
      <c r="AI182" s="317" t="s">
        <v>600</v>
      </c>
      <c r="AJ182" s="317" t="s">
        <v>600</v>
      </c>
      <c r="AK182" s="317" t="s">
        <v>600</v>
      </c>
      <c r="AL182" s="317" t="s">
        <v>600</v>
      </c>
      <c r="AM182" s="317" t="s">
        <v>600</v>
      </c>
      <c r="AN182" s="317" t="s">
        <v>600</v>
      </c>
      <c r="AO182" s="317" t="s">
        <v>600</v>
      </c>
      <c r="AP182" s="317" t="s">
        <v>600</v>
      </c>
      <c r="AQ182" s="317" t="s">
        <v>600</v>
      </c>
      <c r="AR182" s="317" t="s">
        <v>600</v>
      </c>
      <c r="AS182" s="317" t="s">
        <v>600</v>
      </c>
      <c r="AT182" s="317" t="s">
        <v>600</v>
      </c>
      <c r="AU182" s="317" t="s">
        <v>600</v>
      </c>
      <c r="AV182" s="317" t="s">
        <v>600</v>
      </c>
      <c r="AW182" s="317" t="s">
        <v>600</v>
      </c>
      <c r="AX182" s="317" t="s">
        <v>600</v>
      </c>
      <c r="AY182" s="317" t="s">
        <v>600</v>
      </c>
      <c r="AZ182" s="317" t="s">
        <v>600</v>
      </c>
      <c r="BA182" s="317" t="s">
        <v>600</v>
      </c>
      <c r="BB182" s="317" t="s">
        <v>600</v>
      </c>
      <c r="BC182" s="317" t="s">
        <v>600</v>
      </c>
      <c r="BD182" s="317" t="s">
        <v>600</v>
      </c>
      <c r="BE182" s="317" t="s">
        <v>600</v>
      </c>
      <c r="BF182" s="317" t="s">
        <v>600</v>
      </c>
      <c r="BG182" s="317" t="s">
        <v>600</v>
      </c>
      <c r="BH182" s="317" t="s">
        <v>600</v>
      </c>
      <c r="BI182" s="317" t="s">
        <v>600</v>
      </c>
      <c r="BJ182" s="317" t="s">
        <v>600</v>
      </c>
      <c r="BK182" s="317" t="s">
        <v>600</v>
      </c>
      <c r="BL182" s="317" t="s">
        <v>600</v>
      </c>
      <c r="BM182" s="317" t="s">
        <v>600</v>
      </c>
      <c r="BN182" s="317" t="s">
        <v>600</v>
      </c>
      <c r="BO182" s="317" t="s">
        <v>600</v>
      </c>
      <c r="BP182" s="317" t="s">
        <v>600</v>
      </c>
      <c r="BQ182" s="317" t="s">
        <v>600</v>
      </c>
      <c r="BR182" s="317" t="s">
        <v>600</v>
      </c>
      <c r="BS182" s="317" t="s">
        <v>600</v>
      </c>
      <c r="BT182" s="317" t="s">
        <v>600</v>
      </c>
      <c r="BU182" s="317" t="s">
        <v>600</v>
      </c>
      <c r="BV182" s="317" t="s">
        <v>600</v>
      </c>
      <c r="BW182" s="317" t="s">
        <v>600</v>
      </c>
      <c r="BX182" s="317" t="s">
        <v>600</v>
      </c>
      <c r="BY182" s="317" t="s">
        <v>600</v>
      </c>
      <c r="BZ182" s="317" t="s">
        <v>600</v>
      </c>
      <c r="CA182" s="317" t="s">
        <v>600</v>
      </c>
      <c r="CB182" s="317" t="s">
        <v>600</v>
      </c>
      <c r="CC182" s="317" t="s">
        <v>600</v>
      </c>
      <c r="CD182" s="317" t="s">
        <v>600</v>
      </c>
      <c r="CE182" s="317" t="s">
        <v>600</v>
      </c>
      <c r="CF182" s="317" t="s">
        <v>600</v>
      </c>
      <c r="CG182" s="317" t="s">
        <v>600</v>
      </c>
      <c r="CH182" s="317" t="s">
        <v>600</v>
      </c>
      <c r="CI182" s="317" t="s">
        <v>600</v>
      </c>
      <c r="CJ182" s="317" t="s">
        <v>600</v>
      </c>
      <c r="CK182" s="317" t="s">
        <v>600</v>
      </c>
      <c r="CL182" s="317" t="s">
        <v>600</v>
      </c>
      <c r="CM182" s="317" t="s">
        <v>600</v>
      </c>
      <c r="CN182" s="317" t="s">
        <v>600</v>
      </c>
      <c r="CO182" s="317" t="s">
        <v>600</v>
      </c>
      <c r="CP182" s="317" t="s">
        <v>600</v>
      </c>
      <c r="CQ182" s="319"/>
      <c r="CR182" s="327" t="s">
        <v>2616</v>
      </c>
      <c r="CS182" s="343" t="s">
        <v>1569</v>
      </c>
      <c r="CT182" s="319"/>
      <c r="CU182" s="345" t="s">
        <v>600</v>
      </c>
      <c r="CV182" s="332" t="s">
        <v>75</v>
      </c>
      <c r="CW182" s="319"/>
      <c r="CX182" s="319"/>
      <c r="CY182" s="323">
        <f t="shared" si="24"/>
        <v>0.084</v>
      </c>
      <c r="CZ182" s="324">
        <v>0.534</v>
      </c>
      <c r="DA182" s="323">
        <v>0.45</v>
      </c>
      <c r="DB182" s="323"/>
      <c r="DC182" s="323">
        <f t="shared" si="25"/>
        <v>0.009</v>
      </c>
      <c r="DD182" s="324">
        <v>0.479</v>
      </c>
      <c r="DE182" s="323">
        <v>0.47</v>
      </c>
      <c r="DF182" s="323"/>
      <c r="DG182" s="324">
        <v>0.6609999999999999</v>
      </c>
      <c r="DH182" s="323">
        <v>0.162</v>
      </c>
      <c r="DI182" s="323">
        <v>0.126</v>
      </c>
      <c r="DJ182" s="323">
        <v>0.038</v>
      </c>
      <c r="DK182" s="323">
        <v>0.02</v>
      </c>
      <c r="DL182" s="323">
        <v>0.001</v>
      </c>
      <c r="DM182" s="323"/>
      <c r="DN182" s="323">
        <v>0.331</v>
      </c>
      <c r="DO182" s="323">
        <v>0.359</v>
      </c>
      <c r="DP182" s="323">
        <v>0.47100000000000003</v>
      </c>
    </row>
    <row r="183">
      <c r="A183" s="356" t="s">
        <v>1317</v>
      </c>
      <c r="B183" s="356" t="s">
        <v>1318</v>
      </c>
      <c r="C183" s="357" t="s">
        <v>459</v>
      </c>
      <c r="D183" s="357" t="s">
        <v>307</v>
      </c>
      <c r="E183" s="353"/>
      <c r="F183" s="353"/>
      <c r="G183" s="312"/>
      <c r="H183" s="352"/>
      <c r="I183" s="352"/>
      <c r="J183" s="352"/>
      <c r="K183" s="352"/>
      <c r="L183" s="352"/>
      <c r="M183" s="353" t="s">
        <v>2521</v>
      </c>
      <c r="N183" s="353" t="s">
        <v>2521</v>
      </c>
      <c r="O183" s="353" t="s">
        <v>2521</v>
      </c>
      <c r="P183" s="353" t="s">
        <v>2521</v>
      </c>
      <c r="Q183" s="353" t="s">
        <v>2521</v>
      </c>
      <c r="R183" s="353" t="s">
        <v>2521</v>
      </c>
      <c r="S183" s="358" t="s">
        <v>600</v>
      </c>
      <c r="T183" s="358" t="s">
        <v>600</v>
      </c>
      <c r="U183" s="358" t="s">
        <v>600</v>
      </c>
      <c r="V183" s="358" t="s">
        <v>600</v>
      </c>
      <c r="W183" s="358" t="s">
        <v>600</v>
      </c>
      <c r="X183" s="358" t="s">
        <v>600</v>
      </c>
      <c r="Y183" s="358" t="s">
        <v>600</v>
      </c>
      <c r="Z183" s="358" t="s">
        <v>600</v>
      </c>
      <c r="AA183" s="358" t="s">
        <v>600</v>
      </c>
      <c r="AB183" s="358" t="s">
        <v>600</v>
      </c>
      <c r="AC183" s="358" t="s">
        <v>600</v>
      </c>
      <c r="AD183" s="358" t="s">
        <v>600</v>
      </c>
      <c r="AE183" s="358" t="s">
        <v>600</v>
      </c>
      <c r="AF183" s="358" t="s">
        <v>600</v>
      </c>
      <c r="AG183" s="358" t="s">
        <v>600</v>
      </c>
      <c r="AH183" s="358" t="s">
        <v>600</v>
      </c>
      <c r="AI183" s="358" t="s">
        <v>600</v>
      </c>
      <c r="AJ183" s="358" t="s">
        <v>600</v>
      </c>
      <c r="AK183" s="358" t="s">
        <v>600</v>
      </c>
      <c r="AL183" s="358" t="s">
        <v>600</v>
      </c>
      <c r="AM183" s="358" t="s">
        <v>600</v>
      </c>
      <c r="AN183" s="358" t="s">
        <v>600</v>
      </c>
      <c r="AO183" s="358" t="s">
        <v>600</v>
      </c>
      <c r="AP183" s="358" t="s">
        <v>600</v>
      </c>
      <c r="AQ183" s="358" t="s">
        <v>600</v>
      </c>
      <c r="AR183" s="358" t="s">
        <v>600</v>
      </c>
      <c r="AS183" s="358" t="s">
        <v>600</v>
      </c>
      <c r="AT183" s="358" t="s">
        <v>600</v>
      </c>
      <c r="AU183" s="358" t="s">
        <v>600</v>
      </c>
      <c r="AV183" s="358" t="s">
        <v>600</v>
      </c>
      <c r="AW183" s="358" t="s">
        <v>600</v>
      </c>
      <c r="AX183" s="358" t="s">
        <v>600</v>
      </c>
      <c r="AY183" s="358" t="s">
        <v>600</v>
      </c>
      <c r="AZ183" s="358" t="s">
        <v>600</v>
      </c>
      <c r="BA183" s="358" t="s">
        <v>600</v>
      </c>
      <c r="BB183" s="358" t="s">
        <v>600</v>
      </c>
      <c r="BC183" s="358" t="s">
        <v>600</v>
      </c>
      <c r="BD183" s="358" t="s">
        <v>600</v>
      </c>
      <c r="BE183" s="358" t="s">
        <v>600</v>
      </c>
      <c r="BF183" s="358" t="s">
        <v>600</v>
      </c>
      <c r="BG183" s="358" t="s">
        <v>600</v>
      </c>
      <c r="BH183" s="358" t="s">
        <v>600</v>
      </c>
      <c r="BI183" s="358" t="s">
        <v>600</v>
      </c>
      <c r="BJ183" s="358" t="s">
        <v>600</v>
      </c>
      <c r="BK183" s="358" t="s">
        <v>600</v>
      </c>
      <c r="BL183" s="358" t="s">
        <v>600</v>
      </c>
      <c r="BM183" s="358" t="s">
        <v>600</v>
      </c>
      <c r="BN183" s="358" t="s">
        <v>600</v>
      </c>
      <c r="BO183" s="358" t="s">
        <v>600</v>
      </c>
      <c r="BP183" s="358" t="s">
        <v>600</v>
      </c>
      <c r="BQ183" s="358" t="s">
        <v>600</v>
      </c>
      <c r="BR183" s="358" t="s">
        <v>600</v>
      </c>
      <c r="BS183" s="358" t="s">
        <v>600</v>
      </c>
      <c r="BT183" s="358" t="s">
        <v>600</v>
      </c>
      <c r="BU183" s="358" t="s">
        <v>600</v>
      </c>
      <c r="BV183" s="358" t="s">
        <v>600</v>
      </c>
      <c r="BW183" s="358" t="s">
        <v>600</v>
      </c>
      <c r="BX183" s="358" t="s">
        <v>600</v>
      </c>
      <c r="BY183" s="358" t="s">
        <v>600</v>
      </c>
      <c r="BZ183" s="358" t="s">
        <v>600</v>
      </c>
      <c r="CA183" s="358" t="s">
        <v>600</v>
      </c>
      <c r="CB183" s="358" t="s">
        <v>600</v>
      </c>
      <c r="CC183" s="358" t="s">
        <v>600</v>
      </c>
      <c r="CD183" s="358" t="s">
        <v>600</v>
      </c>
      <c r="CE183" s="358" t="s">
        <v>600</v>
      </c>
      <c r="CF183" s="358" t="s">
        <v>600</v>
      </c>
      <c r="CG183" s="358" t="s">
        <v>600</v>
      </c>
      <c r="CH183" s="358" t="s">
        <v>600</v>
      </c>
      <c r="CI183" s="358" t="s">
        <v>600</v>
      </c>
      <c r="CJ183" s="358" t="s">
        <v>600</v>
      </c>
      <c r="CK183" s="358" t="s">
        <v>600</v>
      </c>
      <c r="CL183" s="358" t="s">
        <v>600</v>
      </c>
      <c r="CM183" s="358" t="s">
        <v>600</v>
      </c>
      <c r="CN183" s="358" t="s">
        <v>600</v>
      </c>
      <c r="CO183" s="358" t="s">
        <v>600</v>
      </c>
      <c r="CP183" s="358" t="s">
        <v>600</v>
      </c>
      <c r="CQ183" s="353"/>
      <c r="CR183" s="359">
        <v>2022.0</v>
      </c>
      <c r="CS183" s="320" t="s">
        <v>850</v>
      </c>
      <c r="CT183" s="319"/>
      <c r="CU183" s="360" t="s">
        <v>600</v>
      </c>
      <c r="CV183" s="332" t="s">
        <v>75</v>
      </c>
      <c r="CW183" s="350" t="s">
        <v>666</v>
      </c>
      <c r="CX183" s="319"/>
      <c r="CY183" s="323">
        <f t="shared" si="24"/>
        <v>0.356</v>
      </c>
      <c r="CZ183" s="324">
        <v>0.664</v>
      </c>
      <c r="DA183" s="323">
        <v>0.308</v>
      </c>
      <c r="DB183" s="323"/>
      <c r="DC183" s="323">
        <f t="shared" si="25"/>
        <v>0.264</v>
      </c>
      <c r="DD183" s="324">
        <v>0.5670000000000001</v>
      </c>
      <c r="DE183" s="323">
        <v>0.303</v>
      </c>
      <c r="DF183" s="323"/>
      <c r="DG183" s="324">
        <v>0.904</v>
      </c>
      <c r="DH183" s="323">
        <v>0.021</v>
      </c>
      <c r="DI183" s="323">
        <v>0.017</v>
      </c>
      <c r="DJ183" s="323">
        <v>0.022000000000000002</v>
      </c>
      <c r="DK183" s="323">
        <v>0.024</v>
      </c>
      <c r="DL183" s="323">
        <v>0.001</v>
      </c>
      <c r="DM183" s="323"/>
      <c r="DN183" s="323">
        <v>0.397</v>
      </c>
      <c r="DO183" s="323">
        <v>0.396</v>
      </c>
      <c r="DP183" s="324">
        <v>0.5720000000000001</v>
      </c>
    </row>
    <row r="184">
      <c r="A184" s="356" t="s">
        <v>634</v>
      </c>
      <c r="B184" s="356" t="s">
        <v>635</v>
      </c>
      <c r="C184" s="357" t="s">
        <v>848</v>
      </c>
      <c r="D184" s="357">
        <v>13.0</v>
      </c>
      <c r="E184" s="353"/>
      <c r="F184" s="353"/>
      <c r="G184" s="312"/>
      <c r="H184" s="352"/>
      <c r="I184" s="352"/>
      <c r="J184" s="352"/>
      <c r="K184" s="352"/>
      <c r="L184" s="352"/>
      <c r="M184" s="353" t="s">
        <v>2521</v>
      </c>
      <c r="N184" s="353" t="s">
        <v>2521</v>
      </c>
      <c r="O184" s="353" t="s">
        <v>2521</v>
      </c>
      <c r="P184" s="353" t="s">
        <v>2521</v>
      </c>
      <c r="Q184" s="353" t="s">
        <v>2521</v>
      </c>
      <c r="R184" s="353" t="s">
        <v>2521</v>
      </c>
      <c r="S184" s="358" t="s">
        <v>600</v>
      </c>
      <c r="T184" s="358" t="s">
        <v>600</v>
      </c>
      <c r="U184" s="358" t="s">
        <v>600</v>
      </c>
      <c r="V184" s="358" t="s">
        <v>600</v>
      </c>
      <c r="W184" s="358" t="s">
        <v>600</v>
      </c>
      <c r="X184" s="358" t="s">
        <v>600</v>
      </c>
      <c r="Y184" s="358" t="s">
        <v>600</v>
      </c>
      <c r="Z184" s="358" t="s">
        <v>600</v>
      </c>
      <c r="AA184" s="358" t="s">
        <v>600</v>
      </c>
      <c r="AB184" s="358" t="s">
        <v>600</v>
      </c>
      <c r="AC184" s="358" t="s">
        <v>600</v>
      </c>
      <c r="AD184" s="358" t="s">
        <v>600</v>
      </c>
      <c r="AE184" s="358" t="s">
        <v>600</v>
      </c>
      <c r="AF184" s="358" t="s">
        <v>600</v>
      </c>
      <c r="AG184" s="358" t="s">
        <v>600</v>
      </c>
      <c r="AH184" s="358" t="s">
        <v>600</v>
      </c>
      <c r="AI184" s="358" t="s">
        <v>600</v>
      </c>
      <c r="AJ184" s="358" t="s">
        <v>600</v>
      </c>
      <c r="AK184" s="358" t="s">
        <v>600</v>
      </c>
      <c r="AL184" s="358" t="s">
        <v>600</v>
      </c>
      <c r="AM184" s="358" t="s">
        <v>600</v>
      </c>
      <c r="AN184" s="358" t="s">
        <v>600</v>
      </c>
      <c r="AO184" s="358" t="s">
        <v>600</v>
      </c>
      <c r="AP184" s="358" t="s">
        <v>600</v>
      </c>
      <c r="AQ184" s="358" t="s">
        <v>600</v>
      </c>
      <c r="AR184" s="358" t="s">
        <v>600</v>
      </c>
      <c r="AS184" s="358" t="s">
        <v>600</v>
      </c>
      <c r="AT184" s="358" t="s">
        <v>600</v>
      </c>
      <c r="AU184" s="358" t="s">
        <v>600</v>
      </c>
      <c r="AV184" s="358" t="s">
        <v>600</v>
      </c>
      <c r="AW184" s="358" t="s">
        <v>600</v>
      </c>
      <c r="AX184" s="358" t="s">
        <v>600</v>
      </c>
      <c r="AY184" s="358" t="s">
        <v>600</v>
      </c>
      <c r="AZ184" s="358" t="s">
        <v>600</v>
      </c>
      <c r="BA184" s="358" t="s">
        <v>600</v>
      </c>
      <c r="BB184" s="358" t="s">
        <v>600</v>
      </c>
      <c r="BC184" s="358" t="s">
        <v>600</v>
      </c>
      <c r="BD184" s="358" t="s">
        <v>600</v>
      </c>
      <c r="BE184" s="358" t="s">
        <v>600</v>
      </c>
      <c r="BF184" s="358" t="s">
        <v>600</v>
      </c>
      <c r="BG184" s="358" t="s">
        <v>600</v>
      </c>
      <c r="BH184" s="358" t="s">
        <v>600</v>
      </c>
      <c r="BI184" s="358" t="s">
        <v>600</v>
      </c>
      <c r="BJ184" s="358" t="s">
        <v>600</v>
      </c>
      <c r="BK184" s="358" t="s">
        <v>600</v>
      </c>
      <c r="BL184" s="358" t="s">
        <v>600</v>
      </c>
      <c r="BM184" s="358" t="s">
        <v>600</v>
      </c>
      <c r="BN184" s="358" t="s">
        <v>600</v>
      </c>
      <c r="BO184" s="358" t="s">
        <v>600</v>
      </c>
      <c r="BP184" s="358" t="s">
        <v>600</v>
      </c>
      <c r="BQ184" s="358" t="s">
        <v>600</v>
      </c>
      <c r="BR184" s="358" t="s">
        <v>600</v>
      </c>
      <c r="BS184" s="358" t="s">
        <v>600</v>
      </c>
      <c r="BT184" s="358" t="s">
        <v>600</v>
      </c>
      <c r="BU184" s="358" t="s">
        <v>600</v>
      </c>
      <c r="BV184" s="358" t="s">
        <v>600</v>
      </c>
      <c r="BW184" s="358" t="s">
        <v>600</v>
      </c>
      <c r="BX184" s="358" t="s">
        <v>600</v>
      </c>
      <c r="BY184" s="358" t="s">
        <v>600</v>
      </c>
      <c r="BZ184" s="358" t="s">
        <v>600</v>
      </c>
      <c r="CA184" s="358" t="s">
        <v>600</v>
      </c>
      <c r="CB184" s="358" t="s">
        <v>600</v>
      </c>
      <c r="CC184" s="358" t="s">
        <v>600</v>
      </c>
      <c r="CD184" s="358" t="s">
        <v>600</v>
      </c>
      <c r="CE184" s="358" t="s">
        <v>600</v>
      </c>
      <c r="CF184" s="358" t="s">
        <v>600</v>
      </c>
      <c r="CG184" s="358" t="s">
        <v>600</v>
      </c>
      <c r="CH184" s="358" t="s">
        <v>600</v>
      </c>
      <c r="CI184" s="358" t="s">
        <v>600</v>
      </c>
      <c r="CJ184" s="358" t="s">
        <v>600</v>
      </c>
      <c r="CK184" s="358" t="s">
        <v>600</v>
      </c>
      <c r="CL184" s="358" t="s">
        <v>600</v>
      </c>
      <c r="CM184" s="358" t="s">
        <v>600</v>
      </c>
      <c r="CN184" s="358" t="s">
        <v>600</v>
      </c>
      <c r="CO184" s="358" t="s">
        <v>600</v>
      </c>
      <c r="CP184" s="358" t="s">
        <v>600</v>
      </c>
      <c r="CQ184" s="353"/>
      <c r="CR184" s="359">
        <v>2022.0</v>
      </c>
      <c r="CS184" s="343" t="s">
        <v>1569</v>
      </c>
      <c r="CT184" s="343" t="s">
        <v>135</v>
      </c>
      <c r="CU184" s="360" t="s">
        <v>600</v>
      </c>
      <c r="CV184" s="332" t="s">
        <v>75</v>
      </c>
      <c r="CW184" s="319"/>
      <c r="CX184" s="319"/>
      <c r="CY184" s="323">
        <f t="shared" si="24"/>
        <v>0.112</v>
      </c>
      <c r="CZ184" s="324">
        <v>0.544</v>
      </c>
      <c r="DA184" s="323">
        <v>0.43200000000000005</v>
      </c>
      <c r="DB184" s="323"/>
      <c r="DC184" s="323">
        <f t="shared" si="25"/>
        <v>0.083</v>
      </c>
      <c r="DD184" s="324">
        <v>0.506</v>
      </c>
      <c r="DE184" s="323">
        <v>0.423</v>
      </c>
      <c r="DF184" s="323"/>
      <c r="DG184" s="324">
        <v>0.6779999999999999</v>
      </c>
      <c r="DH184" s="323">
        <v>0.043</v>
      </c>
      <c r="DI184" s="323">
        <v>0.203</v>
      </c>
      <c r="DJ184" s="323">
        <v>0.054000000000000006</v>
      </c>
      <c r="DK184" s="323">
        <v>0.021</v>
      </c>
      <c r="DL184" s="323">
        <v>0.001</v>
      </c>
      <c r="DM184" s="323"/>
      <c r="DN184" s="323">
        <v>0.3</v>
      </c>
      <c r="DO184" s="323">
        <v>0.319</v>
      </c>
      <c r="DP184" s="324">
        <v>0.506</v>
      </c>
    </row>
    <row r="185">
      <c r="A185" s="356" t="s">
        <v>401</v>
      </c>
      <c r="B185" s="356" t="s">
        <v>402</v>
      </c>
      <c r="C185" s="357" t="s">
        <v>1291</v>
      </c>
      <c r="D185" s="357">
        <v>8.0</v>
      </c>
      <c r="E185" s="353"/>
      <c r="F185" s="353"/>
      <c r="G185" s="312"/>
      <c r="H185" s="353"/>
      <c r="I185" s="353"/>
      <c r="J185" s="353"/>
      <c r="K185" s="353"/>
      <c r="L185" s="353"/>
      <c r="M185" s="353" t="s">
        <v>2521</v>
      </c>
      <c r="N185" s="353" t="s">
        <v>2521</v>
      </c>
      <c r="O185" s="353" t="s">
        <v>2521</v>
      </c>
      <c r="P185" s="353" t="s">
        <v>2521</v>
      </c>
      <c r="Q185" s="353" t="s">
        <v>2521</v>
      </c>
      <c r="R185" s="353" t="s">
        <v>2521</v>
      </c>
      <c r="S185" s="358" t="s">
        <v>600</v>
      </c>
      <c r="T185" s="358" t="s">
        <v>600</v>
      </c>
      <c r="U185" s="358" t="s">
        <v>600</v>
      </c>
      <c r="V185" s="358" t="s">
        <v>600</v>
      </c>
      <c r="W185" s="358" t="s">
        <v>600</v>
      </c>
      <c r="X185" s="358" t="s">
        <v>600</v>
      </c>
      <c r="Y185" s="358" t="s">
        <v>600</v>
      </c>
      <c r="Z185" s="358" t="s">
        <v>600</v>
      </c>
      <c r="AA185" s="358" t="s">
        <v>600</v>
      </c>
      <c r="AB185" s="358" t="s">
        <v>600</v>
      </c>
      <c r="AC185" s="358" t="s">
        <v>600</v>
      </c>
      <c r="AD185" s="358" t="s">
        <v>600</v>
      </c>
      <c r="AE185" s="358" t="s">
        <v>600</v>
      </c>
      <c r="AF185" s="358" t="s">
        <v>600</v>
      </c>
      <c r="AG185" s="358" t="s">
        <v>600</v>
      </c>
      <c r="AH185" s="358" t="s">
        <v>600</v>
      </c>
      <c r="AI185" s="358" t="s">
        <v>600</v>
      </c>
      <c r="AJ185" s="358" t="s">
        <v>600</v>
      </c>
      <c r="AK185" s="358" t="s">
        <v>600</v>
      </c>
      <c r="AL185" s="358" t="s">
        <v>600</v>
      </c>
      <c r="AM185" s="358" t="s">
        <v>600</v>
      </c>
      <c r="AN185" s="358" t="s">
        <v>600</v>
      </c>
      <c r="AO185" s="358" t="s">
        <v>600</v>
      </c>
      <c r="AP185" s="358" t="s">
        <v>600</v>
      </c>
      <c r="AQ185" s="358" t="s">
        <v>600</v>
      </c>
      <c r="AR185" s="358" t="s">
        <v>600</v>
      </c>
      <c r="AS185" s="358" t="s">
        <v>600</v>
      </c>
      <c r="AT185" s="358" t="s">
        <v>600</v>
      </c>
      <c r="AU185" s="358" t="s">
        <v>600</v>
      </c>
      <c r="AV185" s="358" t="s">
        <v>600</v>
      </c>
      <c r="AW185" s="358" t="s">
        <v>600</v>
      </c>
      <c r="AX185" s="358" t="s">
        <v>600</v>
      </c>
      <c r="AY185" s="358" t="s">
        <v>600</v>
      </c>
      <c r="AZ185" s="358" t="s">
        <v>600</v>
      </c>
      <c r="BA185" s="358" t="s">
        <v>600</v>
      </c>
      <c r="BB185" s="358" t="s">
        <v>600</v>
      </c>
      <c r="BC185" s="358" t="s">
        <v>600</v>
      </c>
      <c r="BD185" s="358" t="s">
        <v>600</v>
      </c>
      <c r="BE185" s="358" t="s">
        <v>600</v>
      </c>
      <c r="BF185" s="358" t="s">
        <v>600</v>
      </c>
      <c r="BG185" s="358" t="s">
        <v>600</v>
      </c>
      <c r="BH185" s="358" t="s">
        <v>600</v>
      </c>
      <c r="BI185" s="358" t="s">
        <v>600</v>
      </c>
      <c r="BJ185" s="358" t="s">
        <v>600</v>
      </c>
      <c r="BK185" s="358" t="s">
        <v>600</v>
      </c>
      <c r="BL185" s="358" t="s">
        <v>600</v>
      </c>
      <c r="BM185" s="358" t="s">
        <v>600</v>
      </c>
      <c r="BN185" s="358" t="s">
        <v>600</v>
      </c>
      <c r="BO185" s="358" t="s">
        <v>600</v>
      </c>
      <c r="BP185" s="358" t="s">
        <v>600</v>
      </c>
      <c r="BQ185" s="358" t="s">
        <v>600</v>
      </c>
      <c r="BR185" s="358" t="s">
        <v>600</v>
      </c>
      <c r="BS185" s="358" t="s">
        <v>600</v>
      </c>
      <c r="BT185" s="358" t="s">
        <v>600</v>
      </c>
      <c r="BU185" s="358" t="s">
        <v>600</v>
      </c>
      <c r="BV185" s="358" t="s">
        <v>600</v>
      </c>
      <c r="BW185" s="358" t="s">
        <v>600</v>
      </c>
      <c r="BX185" s="358" t="s">
        <v>600</v>
      </c>
      <c r="BY185" s="358" t="s">
        <v>600</v>
      </c>
      <c r="BZ185" s="358" t="s">
        <v>600</v>
      </c>
      <c r="CA185" s="358" t="s">
        <v>600</v>
      </c>
      <c r="CB185" s="358" t="s">
        <v>600</v>
      </c>
      <c r="CC185" s="358" t="s">
        <v>600</v>
      </c>
      <c r="CD185" s="358" t="s">
        <v>600</v>
      </c>
      <c r="CE185" s="358" t="s">
        <v>600</v>
      </c>
      <c r="CF185" s="358" t="s">
        <v>600</v>
      </c>
      <c r="CG185" s="358" t="s">
        <v>600</v>
      </c>
      <c r="CH185" s="358" t="s">
        <v>600</v>
      </c>
      <c r="CI185" s="358" t="s">
        <v>600</v>
      </c>
      <c r="CJ185" s="358" t="s">
        <v>600</v>
      </c>
      <c r="CK185" s="358" t="s">
        <v>600</v>
      </c>
      <c r="CL185" s="358" t="s">
        <v>600</v>
      </c>
      <c r="CM185" s="358" t="s">
        <v>600</v>
      </c>
      <c r="CN185" s="358" t="s">
        <v>600</v>
      </c>
      <c r="CO185" s="358" t="s">
        <v>600</v>
      </c>
      <c r="CP185" s="358" t="s">
        <v>600</v>
      </c>
      <c r="CQ185" s="353"/>
      <c r="CR185" s="359">
        <v>2022.0</v>
      </c>
      <c r="CS185" s="343" t="s">
        <v>1569</v>
      </c>
      <c r="CT185" s="343" t="s">
        <v>135</v>
      </c>
      <c r="CU185" s="360" t="s">
        <v>600</v>
      </c>
      <c r="CV185" s="320" t="s">
        <v>83</v>
      </c>
      <c r="CW185" s="319"/>
      <c r="CX185" s="319"/>
      <c r="CY185" s="319"/>
      <c r="CZ185" s="323">
        <v>0.508</v>
      </c>
      <c r="DA185" s="323">
        <v>0.46299999999999997</v>
      </c>
      <c r="DB185" s="323"/>
      <c r="DC185" s="319"/>
      <c r="DD185" s="323">
        <v>0.446</v>
      </c>
      <c r="DE185" s="324">
        <v>0.46399999999999997</v>
      </c>
      <c r="DF185" s="323"/>
      <c r="DG185" s="324">
        <v>0.561</v>
      </c>
      <c r="DH185" s="323">
        <v>0.345</v>
      </c>
      <c r="DI185" s="323">
        <v>0.026000000000000002</v>
      </c>
      <c r="DJ185" s="323">
        <v>0.043</v>
      </c>
      <c r="DK185" s="323">
        <v>0.04</v>
      </c>
      <c r="DL185" s="323">
        <v>0.003</v>
      </c>
      <c r="DM185" s="323"/>
      <c r="DN185" s="323">
        <v>0.259</v>
      </c>
      <c r="DO185" s="323">
        <v>0.327</v>
      </c>
      <c r="DP185" s="323">
        <v>0.43700000000000006</v>
      </c>
    </row>
    <row r="186">
      <c r="A186" s="356" t="s">
        <v>73</v>
      </c>
      <c r="B186" s="356" t="s">
        <v>1209</v>
      </c>
      <c r="C186" s="357" t="s">
        <v>2824</v>
      </c>
      <c r="D186" s="357">
        <v>35.0</v>
      </c>
      <c r="E186" s="353"/>
      <c r="F186" s="353"/>
      <c r="G186" s="312"/>
      <c r="H186" s="352"/>
      <c r="I186" s="352"/>
      <c r="J186" s="352"/>
      <c r="K186" s="352"/>
      <c r="L186" s="352"/>
      <c r="M186" s="353" t="s">
        <v>2521</v>
      </c>
      <c r="N186" s="353" t="s">
        <v>2521</v>
      </c>
      <c r="O186" s="353" t="s">
        <v>2521</v>
      </c>
      <c r="P186" s="353" t="s">
        <v>2521</v>
      </c>
      <c r="Q186" s="353" t="s">
        <v>2521</v>
      </c>
      <c r="R186" s="353" t="s">
        <v>2521</v>
      </c>
      <c r="S186" s="358" t="s">
        <v>600</v>
      </c>
      <c r="T186" s="358" t="s">
        <v>600</v>
      </c>
      <c r="U186" s="358" t="s">
        <v>600</v>
      </c>
      <c r="V186" s="358" t="s">
        <v>600</v>
      </c>
      <c r="W186" s="358" t="s">
        <v>600</v>
      </c>
      <c r="X186" s="358" t="s">
        <v>600</v>
      </c>
      <c r="Y186" s="358" t="s">
        <v>600</v>
      </c>
      <c r="Z186" s="358" t="s">
        <v>600</v>
      </c>
      <c r="AA186" s="358" t="s">
        <v>600</v>
      </c>
      <c r="AB186" s="358" t="s">
        <v>600</v>
      </c>
      <c r="AC186" s="358" t="s">
        <v>600</v>
      </c>
      <c r="AD186" s="358" t="s">
        <v>600</v>
      </c>
      <c r="AE186" s="358" t="s">
        <v>600</v>
      </c>
      <c r="AF186" s="358" t="s">
        <v>600</v>
      </c>
      <c r="AG186" s="358" t="s">
        <v>600</v>
      </c>
      <c r="AH186" s="358" t="s">
        <v>600</v>
      </c>
      <c r="AI186" s="358" t="s">
        <v>600</v>
      </c>
      <c r="AJ186" s="358" t="s">
        <v>600</v>
      </c>
      <c r="AK186" s="358" t="s">
        <v>600</v>
      </c>
      <c r="AL186" s="358" t="s">
        <v>600</v>
      </c>
      <c r="AM186" s="358" t="s">
        <v>600</v>
      </c>
      <c r="AN186" s="358" t="s">
        <v>600</v>
      </c>
      <c r="AO186" s="358" t="s">
        <v>600</v>
      </c>
      <c r="AP186" s="358" t="s">
        <v>600</v>
      </c>
      <c r="AQ186" s="358" t="s">
        <v>600</v>
      </c>
      <c r="AR186" s="358" t="s">
        <v>600</v>
      </c>
      <c r="AS186" s="358" t="s">
        <v>600</v>
      </c>
      <c r="AT186" s="358" t="s">
        <v>600</v>
      </c>
      <c r="AU186" s="358" t="s">
        <v>600</v>
      </c>
      <c r="AV186" s="358" t="s">
        <v>600</v>
      </c>
      <c r="AW186" s="358" t="s">
        <v>600</v>
      </c>
      <c r="AX186" s="358" t="s">
        <v>600</v>
      </c>
      <c r="AY186" s="358" t="s">
        <v>600</v>
      </c>
      <c r="AZ186" s="358" t="s">
        <v>600</v>
      </c>
      <c r="BA186" s="358" t="s">
        <v>600</v>
      </c>
      <c r="BB186" s="358" t="s">
        <v>600</v>
      </c>
      <c r="BC186" s="358" t="s">
        <v>600</v>
      </c>
      <c r="BD186" s="358" t="s">
        <v>600</v>
      </c>
      <c r="BE186" s="358" t="s">
        <v>600</v>
      </c>
      <c r="BF186" s="358" t="s">
        <v>600</v>
      </c>
      <c r="BG186" s="358" t="s">
        <v>600</v>
      </c>
      <c r="BH186" s="358" t="s">
        <v>600</v>
      </c>
      <c r="BI186" s="358" t="s">
        <v>600</v>
      </c>
      <c r="BJ186" s="358" t="s">
        <v>600</v>
      </c>
      <c r="BK186" s="358" t="s">
        <v>600</v>
      </c>
      <c r="BL186" s="358" t="s">
        <v>600</v>
      </c>
      <c r="BM186" s="358" t="s">
        <v>600</v>
      </c>
      <c r="BN186" s="358" t="s">
        <v>600</v>
      </c>
      <c r="BO186" s="358" t="s">
        <v>600</v>
      </c>
      <c r="BP186" s="358" t="s">
        <v>600</v>
      </c>
      <c r="BQ186" s="358" t="s">
        <v>600</v>
      </c>
      <c r="BR186" s="358" t="s">
        <v>600</v>
      </c>
      <c r="BS186" s="358" t="s">
        <v>600</v>
      </c>
      <c r="BT186" s="358" t="s">
        <v>600</v>
      </c>
      <c r="BU186" s="358" t="s">
        <v>600</v>
      </c>
      <c r="BV186" s="358" t="s">
        <v>600</v>
      </c>
      <c r="BW186" s="358" t="s">
        <v>600</v>
      </c>
      <c r="BX186" s="358" t="s">
        <v>600</v>
      </c>
      <c r="BY186" s="358" t="s">
        <v>600</v>
      </c>
      <c r="BZ186" s="358" t="s">
        <v>600</v>
      </c>
      <c r="CA186" s="358" t="s">
        <v>600</v>
      </c>
      <c r="CB186" s="358" t="s">
        <v>600</v>
      </c>
      <c r="CC186" s="358" t="s">
        <v>600</v>
      </c>
      <c r="CD186" s="358" t="s">
        <v>600</v>
      </c>
      <c r="CE186" s="358" t="s">
        <v>600</v>
      </c>
      <c r="CF186" s="358" t="s">
        <v>600</v>
      </c>
      <c r="CG186" s="358" t="s">
        <v>600</v>
      </c>
      <c r="CH186" s="358" t="s">
        <v>600</v>
      </c>
      <c r="CI186" s="358" t="s">
        <v>600</v>
      </c>
      <c r="CJ186" s="358" t="s">
        <v>600</v>
      </c>
      <c r="CK186" s="358" t="s">
        <v>600</v>
      </c>
      <c r="CL186" s="358" t="s">
        <v>600</v>
      </c>
      <c r="CM186" s="358" t="s">
        <v>600</v>
      </c>
      <c r="CN186" s="358" t="s">
        <v>600</v>
      </c>
      <c r="CO186" s="358" t="s">
        <v>600</v>
      </c>
      <c r="CP186" s="358" t="s">
        <v>600</v>
      </c>
      <c r="CQ186" s="353"/>
      <c r="CR186" s="359">
        <v>2022.0</v>
      </c>
      <c r="CS186" s="320" t="s">
        <v>850</v>
      </c>
      <c r="CT186" s="320" t="s">
        <v>940</v>
      </c>
      <c r="CU186" s="360" t="s">
        <v>600</v>
      </c>
      <c r="CV186" s="320" t="s">
        <v>83</v>
      </c>
      <c r="CW186" s="319"/>
      <c r="CX186" s="319"/>
      <c r="CY186" s="323">
        <f t="shared" ref="CY186:CY209" si="84">CZ186-DA186</f>
        <v>0.452</v>
      </c>
      <c r="CZ186" s="324">
        <v>0.7170000000000001</v>
      </c>
      <c r="DA186" s="323">
        <v>0.265</v>
      </c>
      <c r="DB186" s="323"/>
      <c r="DC186" s="323">
        <f t="shared" ref="DC186:DC209" si="85">DD186-DE186</f>
        <v>0.424</v>
      </c>
      <c r="DD186" s="324">
        <v>0.6809999999999999</v>
      </c>
      <c r="DE186" s="323">
        <v>0.257</v>
      </c>
      <c r="DF186" s="323"/>
      <c r="DG186" s="323">
        <v>0.298</v>
      </c>
      <c r="DH186" s="324">
        <v>0.513</v>
      </c>
      <c r="DI186" s="323">
        <v>0.139</v>
      </c>
      <c r="DJ186" s="323">
        <v>0.046</v>
      </c>
      <c r="DK186" s="323">
        <v>0.031</v>
      </c>
      <c r="DL186" s="323">
        <v>0.006999999999999999</v>
      </c>
      <c r="DM186" s="323"/>
      <c r="DN186" s="323">
        <v>0.26899999999999996</v>
      </c>
      <c r="DO186" s="323">
        <v>0.44</v>
      </c>
      <c r="DP186" s="323">
        <v>0.18899999999999997</v>
      </c>
    </row>
    <row r="187">
      <c r="A187" s="356" t="s">
        <v>1284</v>
      </c>
      <c r="B187" s="356" t="s">
        <v>1285</v>
      </c>
      <c r="C187" s="357" t="s">
        <v>2824</v>
      </c>
      <c r="D187" s="357">
        <v>30.0</v>
      </c>
      <c r="E187" s="353"/>
      <c r="F187" s="353"/>
      <c r="G187" s="312"/>
      <c r="H187" s="352"/>
      <c r="I187" s="352"/>
      <c r="J187" s="352"/>
      <c r="K187" s="352"/>
      <c r="L187" s="352"/>
      <c r="M187" s="353" t="s">
        <v>2521</v>
      </c>
      <c r="N187" s="353" t="s">
        <v>2521</v>
      </c>
      <c r="O187" s="353" t="s">
        <v>2521</v>
      </c>
      <c r="P187" s="353" t="s">
        <v>2521</v>
      </c>
      <c r="Q187" s="353" t="s">
        <v>2521</v>
      </c>
      <c r="R187" s="353" t="s">
        <v>2521</v>
      </c>
      <c r="S187" s="358" t="s">
        <v>600</v>
      </c>
      <c r="T187" s="358" t="s">
        <v>600</v>
      </c>
      <c r="U187" s="358" t="s">
        <v>600</v>
      </c>
      <c r="V187" s="358" t="s">
        <v>600</v>
      </c>
      <c r="W187" s="358" t="s">
        <v>600</v>
      </c>
      <c r="X187" s="358" t="s">
        <v>600</v>
      </c>
      <c r="Y187" s="358" t="s">
        <v>600</v>
      </c>
      <c r="Z187" s="358" t="s">
        <v>600</v>
      </c>
      <c r="AA187" s="358" t="s">
        <v>600</v>
      </c>
      <c r="AB187" s="358" t="s">
        <v>600</v>
      </c>
      <c r="AC187" s="358" t="s">
        <v>600</v>
      </c>
      <c r="AD187" s="358" t="s">
        <v>600</v>
      </c>
      <c r="AE187" s="358" t="s">
        <v>600</v>
      </c>
      <c r="AF187" s="358" t="s">
        <v>600</v>
      </c>
      <c r="AG187" s="358" t="s">
        <v>600</v>
      </c>
      <c r="AH187" s="358" t="s">
        <v>600</v>
      </c>
      <c r="AI187" s="358" t="s">
        <v>600</v>
      </c>
      <c r="AJ187" s="358" t="s">
        <v>600</v>
      </c>
      <c r="AK187" s="358" t="s">
        <v>600</v>
      </c>
      <c r="AL187" s="358" t="s">
        <v>600</v>
      </c>
      <c r="AM187" s="358" t="s">
        <v>600</v>
      </c>
      <c r="AN187" s="358" t="s">
        <v>600</v>
      </c>
      <c r="AO187" s="358" t="s">
        <v>600</v>
      </c>
      <c r="AP187" s="358" t="s">
        <v>600</v>
      </c>
      <c r="AQ187" s="358" t="s">
        <v>600</v>
      </c>
      <c r="AR187" s="358" t="s">
        <v>600</v>
      </c>
      <c r="AS187" s="358" t="s">
        <v>600</v>
      </c>
      <c r="AT187" s="358" t="s">
        <v>600</v>
      </c>
      <c r="AU187" s="358" t="s">
        <v>600</v>
      </c>
      <c r="AV187" s="358" t="s">
        <v>600</v>
      </c>
      <c r="AW187" s="358" t="s">
        <v>600</v>
      </c>
      <c r="AX187" s="358" t="s">
        <v>600</v>
      </c>
      <c r="AY187" s="358" t="s">
        <v>600</v>
      </c>
      <c r="AZ187" s="358" t="s">
        <v>600</v>
      </c>
      <c r="BA187" s="358" t="s">
        <v>600</v>
      </c>
      <c r="BB187" s="358" t="s">
        <v>600</v>
      </c>
      <c r="BC187" s="358" t="s">
        <v>600</v>
      </c>
      <c r="BD187" s="358" t="s">
        <v>600</v>
      </c>
      <c r="BE187" s="358" t="s">
        <v>600</v>
      </c>
      <c r="BF187" s="358" t="s">
        <v>600</v>
      </c>
      <c r="BG187" s="358" t="s">
        <v>600</v>
      </c>
      <c r="BH187" s="358" t="s">
        <v>600</v>
      </c>
      <c r="BI187" s="358" t="s">
        <v>600</v>
      </c>
      <c r="BJ187" s="358" t="s">
        <v>600</v>
      </c>
      <c r="BK187" s="358" t="s">
        <v>600</v>
      </c>
      <c r="BL187" s="358" t="s">
        <v>600</v>
      </c>
      <c r="BM187" s="358" t="s">
        <v>600</v>
      </c>
      <c r="BN187" s="358" t="s">
        <v>600</v>
      </c>
      <c r="BO187" s="358" t="s">
        <v>600</v>
      </c>
      <c r="BP187" s="358" t="s">
        <v>600</v>
      </c>
      <c r="BQ187" s="358" t="s">
        <v>600</v>
      </c>
      <c r="BR187" s="358" t="s">
        <v>600</v>
      </c>
      <c r="BS187" s="358" t="s">
        <v>600</v>
      </c>
      <c r="BT187" s="358" t="s">
        <v>600</v>
      </c>
      <c r="BU187" s="358" t="s">
        <v>600</v>
      </c>
      <c r="BV187" s="358" t="s">
        <v>600</v>
      </c>
      <c r="BW187" s="358" t="s">
        <v>600</v>
      </c>
      <c r="BX187" s="358" t="s">
        <v>600</v>
      </c>
      <c r="BY187" s="358" t="s">
        <v>600</v>
      </c>
      <c r="BZ187" s="358" t="s">
        <v>600</v>
      </c>
      <c r="CA187" s="358" t="s">
        <v>600</v>
      </c>
      <c r="CB187" s="358" t="s">
        <v>600</v>
      </c>
      <c r="CC187" s="358" t="s">
        <v>600</v>
      </c>
      <c r="CD187" s="358" t="s">
        <v>600</v>
      </c>
      <c r="CE187" s="358" t="s">
        <v>600</v>
      </c>
      <c r="CF187" s="358" t="s">
        <v>600</v>
      </c>
      <c r="CG187" s="358" t="s">
        <v>600</v>
      </c>
      <c r="CH187" s="358" t="s">
        <v>600</v>
      </c>
      <c r="CI187" s="358" t="s">
        <v>600</v>
      </c>
      <c r="CJ187" s="358" t="s">
        <v>600</v>
      </c>
      <c r="CK187" s="358" t="s">
        <v>600</v>
      </c>
      <c r="CL187" s="358" t="s">
        <v>600</v>
      </c>
      <c r="CM187" s="358" t="s">
        <v>600</v>
      </c>
      <c r="CN187" s="358" t="s">
        <v>600</v>
      </c>
      <c r="CO187" s="358" t="s">
        <v>600</v>
      </c>
      <c r="CP187" s="358" t="s">
        <v>600</v>
      </c>
      <c r="CQ187" s="353"/>
      <c r="CR187" s="359">
        <v>2022.0</v>
      </c>
      <c r="CS187" s="320" t="s">
        <v>850</v>
      </c>
      <c r="CT187" s="319"/>
      <c r="CU187" s="360" t="s">
        <v>600</v>
      </c>
      <c r="CV187" s="327" t="s">
        <v>28</v>
      </c>
      <c r="CW187" s="319"/>
      <c r="CX187" s="319"/>
      <c r="CY187" s="323">
        <f t="shared" si="84"/>
        <v>0.568</v>
      </c>
      <c r="CZ187" s="324">
        <v>0.778</v>
      </c>
      <c r="DA187" s="323">
        <v>0.21</v>
      </c>
      <c r="DB187" s="323"/>
      <c r="DC187" s="323">
        <f t="shared" si="85"/>
        <v>0.563</v>
      </c>
      <c r="DD187" s="324">
        <v>0.767</v>
      </c>
      <c r="DE187" s="323">
        <v>0.204</v>
      </c>
      <c r="DF187" s="323"/>
      <c r="DG187" s="323">
        <v>0.214</v>
      </c>
      <c r="DH187" s="323">
        <v>0.32</v>
      </c>
      <c r="DI187" s="324">
        <v>0.419</v>
      </c>
      <c r="DJ187" s="323">
        <v>0.040999999999999995</v>
      </c>
      <c r="DK187" s="323">
        <v>0.026000000000000002</v>
      </c>
      <c r="DL187" s="323">
        <v>0.002</v>
      </c>
      <c r="DM187" s="323"/>
      <c r="DN187" s="323">
        <v>0.272</v>
      </c>
      <c r="DO187" s="323">
        <v>0.49200000000000005</v>
      </c>
      <c r="DP187" s="323">
        <v>0.13</v>
      </c>
    </row>
    <row r="188">
      <c r="A188" s="356" t="s">
        <v>1072</v>
      </c>
      <c r="B188" s="356" t="s">
        <v>607</v>
      </c>
      <c r="C188" s="357" t="s">
        <v>2835</v>
      </c>
      <c r="D188" s="357">
        <v>1.0</v>
      </c>
      <c r="E188" s="353"/>
      <c r="F188" s="353"/>
      <c r="G188" s="312"/>
      <c r="H188" s="352"/>
      <c r="I188" s="352"/>
      <c r="J188" s="352"/>
      <c r="K188" s="352"/>
      <c r="L188" s="352"/>
      <c r="M188" s="353" t="s">
        <v>2521</v>
      </c>
      <c r="N188" s="353" t="s">
        <v>2521</v>
      </c>
      <c r="O188" s="353" t="s">
        <v>2521</v>
      </c>
      <c r="P188" s="353" t="s">
        <v>2521</v>
      </c>
      <c r="Q188" s="353" t="s">
        <v>2521</v>
      </c>
      <c r="R188" s="353" t="s">
        <v>2521</v>
      </c>
      <c r="S188" s="358" t="s">
        <v>600</v>
      </c>
      <c r="T188" s="358" t="s">
        <v>600</v>
      </c>
      <c r="U188" s="358" t="s">
        <v>600</v>
      </c>
      <c r="V188" s="358" t="s">
        <v>600</v>
      </c>
      <c r="W188" s="358" t="s">
        <v>600</v>
      </c>
      <c r="X188" s="358" t="s">
        <v>600</v>
      </c>
      <c r="Y188" s="358" t="s">
        <v>600</v>
      </c>
      <c r="Z188" s="358" t="s">
        <v>600</v>
      </c>
      <c r="AA188" s="358" t="s">
        <v>600</v>
      </c>
      <c r="AB188" s="358" t="s">
        <v>600</v>
      </c>
      <c r="AC188" s="358" t="s">
        <v>600</v>
      </c>
      <c r="AD188" s="358" t="s">
        <v>600</v>
      </c>
      <c r="AE188" s="358" t="s">
        <v>600</v>
      </c>
      <c r="AF188" s="358" t="s">
        <v>600</v>
      </c>
      <c r="AG188" s="358" t="s">
        <v>600</v>
      </c>
      <c r="AH188" s="358" t="s">
        <v>600</v>
      </c>
      <c r="AI188" s="358" t="s">
        <v>600</v>
      </c>
      <c r="AJ188" s="358" t="s">
        <v>600</v>
      </c>
      <c r="AK188" s="358" t="s">
        <v>600</v>
      </c>
      <c r="AL188" s="358" t="s">
        <v>600</v>
      </c>
      <c r="AM188" s="358" t="s">
        <v>600</v>
      </c>
      <c r="AN188" s="358" t="s">
        <v>600</v>
      </c>
      <c r="AO188" s="358" t="s">
        <v>600</v>
      </c>
      <c r="AP188" s="358" t="s">
        <v>600</v>
      </c>
      <c r="AQ188" s="358" t="s">
        <v>600</v>
      </c>
      <c r="AR188" s="358" t="s">
        <v>600</v>
      </c>
      <c r="AS188" s="358" t="s">
        <v>600</v>
      </c>
      <c r="AT188" s="358" t="s">
        <v>600</v>
      </c>
      <c r="AU188" s="358" t="s">
        <v>600</v>
      </c>
      <c r="AV188" s="358" t="s">
        <v>600</v>
      </c>
      <c r="AW188" s="358" t="s">
        <v>600</v>
      </c>
      <c r="AX188" s="358" t="s">
        <v>600</v>
      </c>
      <c r="AY188" s="358" t="s">
        <v>600</v>
      </c>
      <c r="AZ188" s="358" t="s">
        <v>600</v>
      </c>
      <c r="BA188" s="358" t="s">
        <v>600</v>
      </c>
      <c r="BB188" s="358" t="s">
        <v>600</v>
      </c>
      <c r="BC188" s="358" t="s">
        <v>600</v>
      </c>
      <c r="BD188" s="358" t="s">
        <v>600</v>
      </c>
      <c r="BE188" s="358" t="s">
        <v>600</v>
      </c>
      <c r="BF188" s="358" t="s">
        <v>600</v>
      </c>
      <c r="BG188" s="358" t="s">
        <v>600</v>
      </c>
      <c r="BH188" s="358" t="s">
        <v>600</v>
      </c>
      <c r="BI188" s="358" t="s">
        <v>600</v>
      </c>
      <c r="BJ188" s="358" t="s">
        <v>600</v>
      </c>
      <c r="BK188" s="358" t="s">
        <v>600</v>
      </c>
      <c r="BL188" s="358" t="s">
        <v>600</v>
      </c>
      <c r="BM188" s="358" t="s">
        <v>600</v>
      </c>
      <c r="BN188" s="358" t="s">
        <v>600</v>
      </c>
      <c r="BO188" s="358" t="s">
        <v>600</v>
      </c>
      <c r="BP188" s="358" t="s">
        <v>600</v>
      </c>
      <c r="BQ188" s="358" t="s">
        <v>600</v>
      </c>
      <c r="BR188" s="358" t="s">
        <v>600</v>
      </c>
      <c r="BS188" s="358" t="s">
        <v>600</v>
      </c>
      <c r="BT188" s="358" t="s">
        <v>600</v>
      </c>
      <c r="BU188" s="358" t="s">
        <v>600</v>
      </c>
      <c r="BV188" s="358" t="s">
        <v>600</v>
      </c>
      <c r="BW188" s="358" t="s">
        <v>600</v>
      </c>
      <c r="BX188" s="358" t="s">
        <v>600</v>
      </c>
      <c r="BY188" s="358" t="s">
        <v>600</v>
      </c>
      <c r="BZ188" s="358" t="s">
        <v>600</v>
      </c>
      <c r="CA188" s="358" t="s">
        <v>600</v>
      </c>
      <c r="CB188" s="358" t="s">
        <v>600</v>
      </c>
      <c r="CC188" s="358" t="s">
        <v>600</v>
      </c>
      <c r="CD188" s="358" t="s">
        <v>600</v>
      </c>
      <c r="CE188" s="358" t="s">
        <v>600</v>
      </c>
      <c r="CF188" s="358" t="s">
        <v>600</v>
      </c>
      <c r="CG188" s="358" t="s">
        <v>600</v>
      </c>
      <c r="CH188" s="358" t="s">
        <v>600</v>
      </c>
      <c r="CI188" s="358" t="s">
        <v>600</v>
      </c>
      <c r="CJ188" s="358" t="s">
        <v>600</v>
      </c>
      <c r="CK188" s="358" t="s">
        <v>600</v>
      </c>
      <c r="CL188" s="358" t="s">
        <v>600</v>
      </c>
      <c r="CM188" s="358" t="s">
        <v>600</v>
      </c>
      <c r="CN188" s="358" t="s">
        <v>600</v>
      </c>
      <c r="CO188" s="358" t="s">
        <v>600</v>
      </c>
      <c r="CP188" s="358" t="s">
        <v>600</v>
      </c>
      <c r="CQ188" s="353"/>
      <c r="CR188" s="359">
        <v>2022.0</v>
      </c>
      <c r="CS188" s="343" t="s">
        <v>1569</v>
      </c>
      <c r="CT188" s="334" t="s">
        <v>2030</v>
      </c>
      <c r="CU188" s="360" t="s">
        <v>600</v>
      </c>
      <c r="CV188" s="327" t="s">
        <v>28</v>
      </c>
      <c r="CW188" s="319"/>
      <c r="CX188" s="319"/>
      <c r="CY188" s="323">
        <f t="shared" si="84"/>
        <v>0.073</v>
      </c>
      <c r="CZ188" s="324">
        <v>0.532</v>
      </c>
      <c r="DA188" s="323">
        <v>0.45899999999999996</v>
      </c>
      <c r="DB188" s="323"/>
      <c r="DC188" s="323">
        <f t="shared" si="85"/>
        <v>0.098</v>
      </c>
      <c r="DD188" s="324">
        <v>0.536</v>
      </c>
      <c r="DE188" s="323">
        <v>0.43799999999999994</v>
      </c>
      <c r="DF188" s="323"/>
      <c r="DG188" s="324">
        <v>0.501</v>
      </c>
      <c r="DH188" s="323">
        <v>0.059000000000000004</v>
      </c>
      <c r="DI188" s="323">
        <v>0.41200000000000003</v>
      </c>
      <c r="DJ188" s="323">
        <v>0.013000000000000001</v>
      </c>
      <c r="DK188" s="323">
        <v>0.022000000000000002</v>
      </c>
      <c r="DL188" s="323">
        <v>0.001</v>
      </c>
      <c r="DM188" s="323"/>
      <c r="DN188" s="323">
        <v>0.20800000000000002</v>
      </c>
      <c r="DO188" s="323">
        <v>0.26899999999999996</v>
      </c>
      <c r="DP188" s="323">
        <v>0.384</v>
      </c>
    </row>
    <row r="189">
      <c r="A189" s="356" t="s">
        <v>643</v>
      </c>
      <c r="B189" s="356" t="s">
        <v>1196</v>
      </c>
      <c r="C189" s="357" t="s">
        <v>1661</v>
      </c>
      <c r="D189" s="357">
        <v>17.0</v>
      </c>
      <c r="E189" s="353"/>
      <c r="F189" s="353"/>
      <c r="G189" s="312"/>
      <c r="H189" s="352"/>
      <c r="I189" s="352"/>
      <c r="J189" s="352"/>
      <c r="K189" s="352"/>
      <c r="L189" s="352"/>
      <c r="M189" s="353" t="s">
        <v>2521</v>
      </c>
      <c r="N189" s="353" t="s">
        <v>2521</v>
      </c>
      <c r="O189" s="353" t="s">
        <v>2521</v>
      </c>
      <c r="P189" s="353" t="s">
        <v>2521</v>
      </c>
      <c r="Q189" s="353" t="s">
        <v>2521</v>
      </c>
      <c r="R189" s="353" t="s">
        <v>2521</v>
      </c>
      <c r="S189" s="358" t="s">
        <v>600</v>
      </c>
      <c r="T189" s="358" t="s">
        <v>600</v>
      </c>
      <c r="U189" s="358" t="s">
        <v>600</v>
      </c>
      <c r="V189" s="358" t="s">
        <v>600</v>
      </c>
      <c r="W189" s="358" t="s">
        <v>600</v>
      </c>
      <c r="X189" s="358" t="s">
        <v>600</v>
      </c>
      <c r="Y189" s="358" t="s">
        <v>600</v>
      </c>
      <c r="Z189" s="358" t="s">
        <v>600</v>
      </c>
      <c r="AA189" s="358" t="s">
        <v>600</v>
      </c>
      <c r="AB189" s="358" t="s">
        <v>600</v>
      </c>
      <c r="AC189" s="358" t="s">
        <v>600</v>
      </c>
      <c r="AD189" s="358" t="s">
        <v>600</v>
      </c>
      <c r="AE189" s="358" t="s">
        <v>600</v>
      </c>
      <c r="AF189" s="358" t="s">
        <v>600</v>
      </c>
      <c r="AG189" s="358" t="s">
        <v>600</v>
      </c>
      <c r="AH189" s="358" t="s">
        <v>600</v>
      </c>
      <c r="AI189" s="358" t="s">
        <v>600</v>
      </c>
      <c r="AJ189" s="358" t="s">
        <v>600</v>
      </c>
      <c r="AK189" s="358" t="s">
        <v>600</v>
      </c>
      <c r="AL189" s="358" t="s">
        <v>600</v>
      </c>
      <c r="AM189" s="358" t="s">
        <v>600</v>
      </c>
      <c r="AN189" s="358" t="s">
        <v>600</v>
      </c>
      <c r="AO189" s="358" t="s">
        <v>600</v>
      </c>
      <c r="AP189" s="358" t="s">
        <v>600</v>
      </c>
      <c r="AQ189" s="358" t="s">
        <v>600</v>
      </c>
      <c r="AR189" s="358" t="s">
        <v>600</v>
      </c>
      <c r="AS189" s="358" t="s">
        <v>600</v>
      </c>
      <c r="AT189" s="358" t="s">
        <v>600</v>
      </c>
      <c r="AU189" s="358" t="s">
        <v>600</v>
      </c>
      <c r="AV189" s="358" t="s">
        <v>600</v>
      </c>
      <c r="AW189" s="358" t="s">
        <v>600</v>
      </c>
      <c r="AX189" s="358" t="s">
        <v>600</v>
      </c>
      <c r="AY189" s="358" t="s">
        <v>600</v>
      </c>
      <c r="AZ189" s="358" t="s">
        <v>600</v>
      </c>
      <c r="BA189" s="358" t="s">
        <v>600</v>
      </c>
      <c r="BB189" s="358" t="s">
        <v>600</v>
      </c>
      <c r="BC189" s="358" t="s">
        <v>600</v>
      </c>
      <c r="BD189" s="358" t="s">
        <v>600</v>
      </c>
      <c r="BE189" s="358" t="s">
        <v>600</v>
      </c>
      <c r="BF189" s="358" t="s">
        <v>600</v>
      </c>
      <c r="BG189" s="358" t="s">
        <v>600</v>
      </c>
      <c r="BH189" s="358" t="s">
        <v>600</v>
      </c>
      <c r="BI189" s="358" t="s">
        <v>600</v>
      </c>
      <c r="BJ189" s="358" t="s">
        <v>600</v>
      </c>
      <c r="BK189" s="358" t="s">
        <v>600</v>
      </c>
      <c r="BL189" s="358" t="s">
        <v>600</v>
      </c>
      <c r="BM189" s="358" t="s">
        <v>600</v>
      </c>
      <c r="BN189" s="358" t="s">
        <v>600</v>
      </c>
      <c r="BO189" s="358" t="s">
        <v>600</v>
      </c>
      <c r="BP189" s="358" t="s">
        <v>600</v>
      </c>
      <c r="BQ189" s="358" t="s">
        <v>600</v>
      </c>
      <c r="BR189" s="358" t="s">
        <v>600</v>
      </c>
      <c r="BS189" s="358" t="s">
        <v>600</v>
      </c>
      <c r="BT189" s="358" t="s">
        <v>600</v>
      </c>
      <c r="BU189" s="358" t="s">
        <v>600</v>
      </c>
      <c r="BV189" s="358" t="s">
        <v>600</v>
      </c>
      <c r="BW189" s="358" t="s">
        <v>600</v>
      </c>
      <c r="BX189" s="358" t="s">
        <v>600</v>
      </c>
      <c r="BY189" s="358" t="s">
        <v>600</v>
      </c>
      <c r="BZ189" s="358" t="s">
        <v>600</v>
      </c>
      <c r="CA189" s="358" t="s">
        <v>600</v>
      </c>
      <c r="CB189" s="358" t="s">
        <v>600</v>
      </c>
      <c r="CC189" s="358" t="s">
        <v>600</v>
      </c>
      <c r="CD189" s="358" t="s">
        <v>600</v>
      </c>
      <c r="CE189" s="358" t="s">
        <v>600</v>
      </c>
      <c r="CF189" s="358" t="s">
        <v>600</v>
      </c>
      <c r="CG189" s="358" t="s">
        <v>600</v>
      </c>
      <c r="CH189" s="358" t="s">
        <v>600</v>
      </c>
      <c r="CI189" s="358" t="s">
        <v>600</v>
      </c>
      <c r="CJ189" s="358" t="s">
        <v>600</v>
      </c>
      <c r="CK189" s="358" t="s">
        <v>600</v>
      </c>
      <c r="CL189" s="358" t="s">
        <v>600</v>
      </c>
      <c r="CM189" s="358" t="s">
        <v>600</v>
      </c>
      <c r="CN189" s="358" t="s">
        <v>600</v>
      </c>
      <c r="CO189" s="358" t="s">
        <v>600</v>
      </c>
      <c r="CP189" s="358" t="s">
        <v>600</v>
      </c>
      <c r="CQ189" s="353"/>
      <c r="CR189" s="359">
        <v>2022.0</v>
      </c>
      <c r="CS189" s="353"/>
      <c r="CT189" s="353"/>
      <c r="CU189" s="360" t="s">
        <v>600</v>
      </c>
      <c r="CV189" s="332" t="s">
        <v>75</v>
      </c>
      <c r="CW189" s="319"/>
      <c r="CX189" s="319"/>
      <c r="CY189" s="323">
        <f t="shared" si="84"/>
        <v>0.058</v>
      </c>
      <c r="CZ189" s="324">
        <v>0.523</v>
      </c>
      <c r="DA189" s="323">
        <v>0.465</v>
      </c>
      <c r="DB189" s="323"/>
      <c r="DC189" s="323">
        <f t="shared" si="85"/>
        <v>0.011</v>
      </c>
      <c r="DD189" s="324">
        <v>0.48700000000000004</v>
      </c>
      <c r="DE189" s="323">
        <v>0.47600000000000003</v>
      </c>
      <c r="DF189" s="323"/>
      <c r="DG189" s="324">
        <v>0.8420000000000001</v>
      </c>
      <c r="DH189" s="323">
        <v>0.02</v>
      </c>
      <c r="DI189" s="323">
        <v>0.083</v>
      </c>
      <c r="DJ189" s="323">
        <v>0.036000000000000004</v>
      </c>
      <c r="DK189" s="323">
        <v>0.012</v>
      </c>
      <c r="DL189" s="323">
        <v>0.001</v>
      </c>
      <c r="DM189" s="323"/>
      <c r="DN189" s="323">
        <v>0.42100000000000004</v>
      </c>
      <c r="DO189" s="323">
        <v>0.423</v>
      </c>
      <c r="DP189" s="324">
        <v>0.513</v>
      </c>
    </row>
    <row r="190">
      <c r="A190" s="356" t="s">
        <v>1082</v>
      </c>
      <c r="B190" s="356" t="s">
        <v>1084</v>
      </c>
      <c r="C190" s="357" t="s">
        <v>2835</v>
      </c>
      <c r="D190" s="357">
        <v>4.0</v>
      </c>
      <c r="E190" s="353"/>
      <c r="F190" s="353"/>
      <c r="G190" s="312"/>
      <c r="H190" s="352"/>
      <c r="I190" s="352"/>
      <c r="J190" s="352"/>
      <c r="K190" s="352"/>
      <c r="L190" s="352"/>
      <c r="M190" s="353" t="s">
        <v>2521</v>
      </c>
      <c r="N190" s="353" t="s">
        <v>2521</v>
      </c>
      <c r="O190" s="353" t="s">
        <v>2521</v>
      </c>
      <c r="P190" s="353" t="s">
        <v>2521</v>
      </c>
      <c r="Q190" s="353" t="s">
        <v>2521</v>
      </c>
      <c r="R190" s="353" t="s">
        <v>2521</v>
      </c>
      <c r="S190" s="358" t="s">
        <v>600</v>
      </c>
      <c r="T190" s="358" t="s">
        <v>600</v>
      </c>
      <c r="U190" s="358" t="s">
        <v>600</v>
      </c>
      <c r="V190" s="358" t="s">
        <v>600</v>
      </c>
      <c r="W190" s="358" t="s">
        <v>600</v>
      </c>
      <c r="X190" s="358" t="s">
        <v>600</v>
      </c>
      <c r="Y190" s="358" t="s">
        <v>600</v>
      </c>
      <c r="Z190" s="358" t="s">
        <v>600</v>
      </c>
      <c r="AA190" s="358" t="s">
        <v>600</v>
      </c>
      <c r="AB190" s="358" t="s">
        <v>600</v>
      </c>
      <c r="AC190" s="358" t="s">
        <v>600</v>
      </c>
      <c r="AD190" s="358" t="s">
        <v>600</v>
      </c>
      <c r="AE190" s="358" t="s">
        <v>600</v>
      </c>
      <c r="AF190" s="358" t="s">
        <v>600</v>
      </c>
      <c r="AG190" s="358" t="s">
        <v>600</v>
      </c>
      <c r="AH190" s="358" t="s">
        <v>600</v>
      </c>
      <c r="AI190" s="358" t="s">
        <v>600</v>
      </c>
      <c r="AJ190" s="358" t="s">
        <v>600</v>
      </c>
      <c r="AK190" s="358" t="s">
        <v>600</v>
      </c>
      <c r="AL190" s="358" t="s">
        <v>600</v>
      </c>
      <c r="AM190" s="358" t="s">
        <v>600</v>
      </c>
      <c r="AN190" s="358" t="s">
        <v>600</v>
      </c>
      <c r="AO190" s="358" t="s">
        <v>600</v>
      </c>
      <c r="AP190" s="358" t="s">
        <v>600</v>
      </c>
      <c r="AQ190" s="358" t="s">
        <v>600</v>
      </c>
      <c r="AR190" s="358" t="s">
        <v>600</v>
      </c>
      <c r="AS190" s="358" t="s">
        <v>600</v>
      </c>
      <c r="AT190" s="358" t="s">
        <v>600</v>
      </c>
      <c r="AU190" s="358" t="s">
        <v>600</v>
      </c>
      <c r="AV190" s="358" t="s">
        <v>600</v>
      </c>
      <c r="AW190" s="358" t="s">
        <v>600</v>
      </c>
      <c r="AX190" s="358" t="s">
        <v>600</v>
      </c>
      <c r="AY190" s="358" t="s">
        <v>600</v>
      </c>
      <c r="AZ190" s="358" t="s">
        <v>600</v>
      </c>
      <c r="BA190" s="358" t="s">
        <v>600</v>
      </c>
      <c r="BB190" s="358" t="s">
        <v>600</v>
      </c>
      <c r="BC190" s="358" t="s">
        <v>600</v>
      </c>
      <c r="BD190" s="358" t="s">
        <v>600</v>
      </c>
      <c r="BE190" s="358" t="s">
        <v>600</v>
      </c>
      <c r="BF190" s="358" t="s">
        <v>600</v>
      </c>
      <c r="BG190" s="358" t="s">
        <v>600</v>
      </c>
      <c r="BH190" s="358" t="s">
        <v>600</v>
      </c>
      <c r="BI190" s="358" t="s">
        <v>600</v>
      </c>
      <c r="BJ190" s="358" t="s">
        <v>600</v>
      </c>
      <c r="BK190" s="358" t="s">
        <v>600</v>
      </c>
      <c r="BL190" s="358" t="s">
        <v>600</v>
      </c>
      <c r="BM190" s="358" t="s">
        <v>600</v>
      </c>
      <c r="BN190" s="358" t="s">
        <v>600</v>
      </c>
      <c r="BO190" s="358" t="s">
        <v>600</v>
      </c>
      <c r="BP190" s="358" t="s">
        <v>600</v>
      </c>
      <c r="BQ190" s="358" t="s">
        <v>600</v>
      </c>
      <c r="BR190" s="358" t="s">
        <v>600</v>
      </c>
      <c r="BS190" s="358" t="s">
        <v>600</v>
      </c>
      <c r="BT190" s="358" t="s">
        <v>600</v>
      </c>
      <c r="BU190" s="358" t="s">
        <v>600</v>
      </c>
      <c r="BV190" s="358" t="s">
        <v>600</v>
      </c>
      <c r="BW190" s="358" t="s">
        <v>600</v>
      </c>
      <c r="BX190" s="358" t="s">
        <v>600</v>
      </c>
      <c r="BY190" s="358" t="s">
        <v>600</v>
      </c>
      <c r="BZ190" s="358" t="s">
        <v>600</v>
      </c>
      <c r="CA190" s="358" t="s">
        <v>600</v>
      </c>
      <c r="CB190" s="358" t="s">
        <v>600</v>
      </c>
      <c r="CC190" s="358" t="s">
        <v>600</v>
      </c>
      <c r="CD190" s="358" t="s">
        <v>600</v>
      </c>
      <c r="CE190" s="358" t="s">
        <v>600</v>
      </c>
      <c r="CF190" s="358" t="s">
        <v>600</v>
      </c>
      <c r="CG190" s="358" t="s">
        <v>600</v>
      </c>
      <c r="CH190" s="358" t="s">
        <v>600</v>
      </c>
      <c r="CI190" s="358" t="s">
        <v>600</v>
      </c>
      <c r="CJ190" s="358" t="s">
        <v>600</v>
      </c>
      <c r="CK190" s="358" t="s">
        <v>600</v>
      </c>
      <c r="CL190" s="358" t="s">
        <v>600</v>
      </c>
      <c r="CM190" s="358" t="s">
        <v>600</v>
      </c>
      <c r="CN190" s="358" t="s">
        <v>600</v>
      </c>
      <c r="CO190" s="358" t="s">
        <v>600</v>
      </c>
      <c r="CP190" s="358" t="s">
        <v>600</v>
      </c>
      <c r="CQ190" s="353"/>
      <c r="CR190" s="359">
        <v>2022.0</v>
      </c>
      <c r="CS190" s="343" t="s">
        <v>1569</v>
      </c>
      <c r="CT190" s="334" t="s">
        <v>2030</v>
      </c>
      <c r="CU190" s="360" t="s">
        <v>600</v>
      </c>
      <c r="CV190" s="327" t="s">
        <v>28</v>
      </c>
      <c r="CW190" s="319"/>
      <c r="CX190" s="319"/>
      <c r="CY190" s="323">
        <f t="shared" si="84"/>
        <v>0.35</v>
      </c>
      <c r="CZ190" s="324">
        <v>0.669</v>
      </c>
      <c r="DA190" s="323">
        <v>0.319</v>
      </c>
      <c r="DB190" s="323"/>
      <c r="DC190" s="323">
        <f t="shared" si="85"/>
        <v>0.34</v>
      </c>
      <c r="DD190" s="324">
        <v>0.65</v>
      </c>
      <c r="DE190" s="323">
        <v>0.31</v>
      </c>
      <c r="DF190" s="323"/>
      <c r="DG190" s="324">
        <v>0.556</v>
      </c>
      <c r="DH190" s="323">
        <v>0.109</v>
      </c>
      <c r="DI190" s="323">
        <v>0.266</v>
      </c>
      <c r="DJ190" s="323">
        <v>0.054000000000000006</v>
      </c>
      <c r="DK190" s="323">
        <v>0.022000000000000002</v>
      </c>
      <c r="DL190" s="323">
        <v>0.001</v>
      </c>
      <c r="DM190" s="323"/>
      <c r="DN190" s="323">
        <v>0.42</v>
      </c>
      <c r="DO190" s="323">
        <v>0.493</v>
      </c>
      <c r="DP190" s="323">
        <v>0.317</v>
      </c>
    </row>
    <row r="191">
      <c r="A191" s="356" t="s">
        <v>1357</v>
      </c>
      <c r="B191" s="356" t="s">
        <v>452</v>
      </c>
      <c r="C191" s="357" t="s">
        <v>2827</v>
      </c>
      <c r="D191" s="357">
        <v>10.0</v>
      </c>
      <c r="E191" s="353"/>
      <c r="F191" s="353"/>
      <c r="G191" s="312"/>
      <c r="H191" s="352"/>
      <c r="I191" s="352"/>
      <c r="J191" s="352"/>
      <c r="K191" s="352"/>
      <c r="L191" s="352"/>
      <c r="M191" s="353" t="s">
        <v>2521</v>
      </c>
      <c r="N191" s="353" t="s">
        <v>2521</v>
      </c>
      <c r="O191" s="353" t="s">
        <v>2521</v>
      </c>
      <c r="P191" s="353" t="s">
        <v>2521</v>
      </c>
      <c r="Q191" s="353" t="s">
        <v>2521</v>
      </c>
      <c r="R191" s="353" t="s">
        <v>2521</v>
      </c>
      <c r="S191" s="358" t="s">
        <v>600</v>
      </c>
      <c r="T191" s="358" t="s">
        <v>600</v>
      </c>
      <c r="U191" s="358" t="s">
        <v>600</v>
      </c>
      <c r="V191" s="358" t="s">
        <v>600</v>
      </c>
      <c r="W191" s="358" t="s">
        <v>600</v>
      </c>
      <c r="X191" s="358" t="s">
        <v>600</v>
      </c>
      <c r="Y191" s="358" t="s">
        <v>600</v>
      </c>
      <c r="Z191" s="358" t="s">
        <v>600</v>
      </c>
      <c r="AA191" s="358" t="s">
        <v>600</v>
      </c>
      <c r="AB191" s="358" t="s">
        <v>600</v>
      </c>
      <c r="AC191" s="358" t="s">
        <v>600</v>
      </c>
      <c r="AD191" s="358" t="s">
        <v>600</v>
      </c>
      <c r="AE191" s="358" t="s">
        <v>600</v>
      </c>
      <c r="AF191" s="358" t="s">
        <v>600</v>
      </c>
      <c r="AG191" s="358" t="s">
        <v>600</v>
      </c>
      <c r="AH191" s="358" t="s">
        <v>600</v>
      </c>
      <c r="AI191" s="358" t="s">
        <v>600</v>
      </c>
      <c r="AJ191" s="358" t="s">
        <v>600</v>
      </c>
      <c r="AK191" s="358" t="s">
        <v>600</v>
      </c>
      <c r="AL191" s="358" t="s">
        <v>600</v>
      </c>
      <c r="AM191" s="358" t="s">
        <v>600</v>
      </c>
      <c r="AN191" s="358" t="s">
        <v>600</v>
      </c>
      <c r="AO191" s="358" t="s">
        <v>600</v>
      </c>
      <c r="AP191" s="358" t="s">
        <v>600</v>
      </c>
      <c r="AQ191" s="358" t="s">
        <v>600</v>
      </c>
      <c r="AR191" s="358" t="s">
        <v>600</v>
      </c>
      <c r="AS191" s="358" t="s">
        <v>600</v>
      </c>
      <c r="AT191" s="358" t="s">
        <v>600</v>
      </c>
      <c r="AU191" s="358" t="s">
        <v>600</v>
      </c>
      <c r="AV191" s="358" t="s">
        <v>600</v>
      </c>
      <c r="AW191" s="358" t="s">
        <v>600</v>
      </c>
      <c r="AX191" s="358" t="s">
        <v>600</v>
      </c>
      <c r="AY191" s="358" t="s">
        <v>600</v>
      </c>
      <c r="AZ191" s="358" t="s">
        <v>600</v>
      </c>
      <c r="BA191" s="358" t="s">
        <v>600</v>
      </c>
      <c r="BB191" s="358" t="s">
        <v>600</v>
      </c>
      <c r="BC191" s="358" t="s">
        <v>600</v>
      </c>
      <c r="BD191" s="358" t="s">
        <v>600</v>
      </c>
      <c r="BE191" s="358" t="s">
        <v>600</v>
      </c>
      <c r="BF191" s="358" t="s">
        <v>600</v>
      </c>
      <c r="BG191" s="358" t="s">
        <v>600</v>
      </c>
      <c r="BH191" s="358" t="s">
        <v>600</v>
      </c>
      <c r="BI191" s="358" t="s">
        <v>600</v>
      </c>
      <c r="BJ191" s="358" t="s">
        <v>600</v>
      </c>
      <c r="BK191" s="358" t="s">
        <v>600</v>
      </c>
      <c r="BL191" s="358" t="s">
        <v>600</v>
      </c>
      <c r="BM191" s="358" t="s">
        <v>600</v>
      </c>
      <c r="BN191" s="358" t="s">
        <v>600</v>
      </c>
      <c r="BO191" s="358" t="s">
        <v>600</v>
      </c>
      <c r="BP191" s="358" t="s">
        <v>600</v>
      </c>
      <c r="BQ191" s="358" t="s">
        <v>600</v>
      </c>
      <c r="BR191" s="358" t="s">
        <v>600</v>
      </c>
      <c r="BS191" s="358" t="s">
        <v>600</v>
      </c>
      <c r="BT191" s="358" t="s">
        <v>600</v>
      </c>
      <c r="BU191" s="358" t="s">
        <v>600</v>
      </c>
      <c r="BV191" s="358" t="s">
        <v>600</v>
      </c>
      <c r="BW191" s="358" t="s">
        <v>600</v>
      </c>
      <c r="BX191" s="358" t="s">
        <v>600</v>
      </c>
      <c r="BY191" s="358" t="s">
        <v>600</v>
      </c>
      <c r="BZ191" s="358" t="s">
        <v>600</v>
      </c>
      <c r="CA191" s="358" t="s">
        <v>600</v>
      </c>
      <c r="CB191" s="358" t="s">
        <v>600</v>
      </c>
      <c r="CC191" s="358" t="s">
        <v>600</v>
      </c>
      <c r="CD191" s="358" t="s">
        <v>600</v>
      </c>
      <c r="CE191" s="358" t="s">
        <v>600</v>
      </c>
      <c r="CF191" s="358" t="s">
        <v>600</v>
      </c>
      <c r="CG191" s="358" t="s">
        <v>600</v>
      </c>
      <c r="CH191" s="358" t="s">
        <v>600</v>
      </c>
      <c r="CI191" s="358" t="s">
        <v>600</v>
      </c>
      <c r="CJ191" s="358" t="s">
        <v>600</v>
      </c>
      <c r="CK191" s="358" t="s">
        <v>600</v>
      </c>
      <c r="CL191" s="358" t="s">
        <v>600</v>
      </c>
      <c r="CM191" s="358" t="s">
        <v>600</v>
      </c>
      <c r="CN191" s="358" t="s">
        <v>600</v>
      </c>
      <c r="CO191" s="358" t="s">
        <v>600</v>
      </c>
      <c r="CP191" s="358" t="s">
        <v>600</v>
      </c>
      <c r="CQ191" s="353"/>
      <c r="CR191" s="359">
        <v>2022.0</v>
      </c>
      <c r="CS191" s="320" t="s">
        <v>850</v>
      </c>
      <c r="CT191" s="319"/>
      <c r="CU191" s="360" t="s">
        <v>600</v>
      </c>
      <c r="CV191" s="326" t="s">
        <v>2856</v>
      </c>
      <c r="CW191" s="319"/>
      <c r="CX191" s="319"/>
      <c r="CY191" s="323">
        <f t="shared" si="84"/>
        <v>0.318</v>
      </c>
      <c r="CZ191" s="324">
        <v>0.653</v>
      </c>
      <c r="DA191" s="323">
        <v>0.335</v>
      </c>
      <c r="DB191" s="323"/>
      <c r="DC191" s="323">
        <f t="shared" si="85"/>
        <v>0.322</v>
      </c>
      <c r="DD191" s="324">
        <v>0.636</v>
      </c>
      <c r="DE191" s="323">
        <v>0.314</v>
      </c>
      <c r="DF191" s="323"/>
      <c r="DG191" s="324">
        <v>0.385</v>
      </c>
      <c r="DH191" s="323">
        <v>0.28600000000000003</v>
      </c>
      <c r="DI191" s="323">
        <v>0.26</v>
      </c>
      <c r="DJ191" s="323">
        <v>0.061</v>
      </c>
      <c r="DK191" s="323">
        <v>0.017</v>
      </c>
      <c r="DL191" s="323">
        <v>0.003</v>
      </c>
      <c r="DM191" s="323"/>
      <c r="DN191" s="323">
        <v>0.34</v>
      </c>
      <c r="DO191" s="323">
        <v>0.47</v>
      </c>
      <c r="DP191" s="323">
        <v>0.23600000000000002</v>
      </c>
    </row>
    <row r="192">
      <c r="A192" s="356" t="s">
        <v>312</v>
      </c>
      <c r="B192" s="356" t="s">
        <v>313</v>
      </c>
      <c r="C192" s="357" t="s">
        <v>1197</v>
      </c>
      <c r="D192" s="357">
        <v>42.0</v>
      </c>
      <c r="E192" s="353"/>
      <c r="F192" s="353"/>
      <c r="G192" s="312"/>
      <c r="H192" s="352"/>
      <c r="I192" s="352"/>
      <c r="J192" s="352"/>
      <c r="K192" s="352"/>
      <c r="L192" s="352"/>
      <c r="M192" s="353" t="s">
        <v>2521</v>
      </c>
      <c r="N192" s="353" t="s">
        <v>2521</v>
      </c>
      <c r="O192" s="353" t="s">
        <v>2521</v>
      </c>
      <c r="P192" s="353" t="s">
        <v>2521</v>
      </c>
      <c r="Q192" s="353" t="s">
        <v>2521</v>
      </c>
      <c r="R192" s="353" t="s">
        <v>2521</v>
      </c>
      <c r="S192" s="358" t="s">
        <v>600</v>
      </c>
      <c r="T192" s="358" t="s">
        <v>600</v>
      </c>
      <c r="U192" s="358" t="s">
        <v>600</v>
      </c>
      <c r="V192" s="358" t="s">
        <v>600</v>
      </c>
      <c r="W192" s="358" t="s">
        <v>600</v>
      </c>
      <c r="X192" s="358" t="s">
        <v>600</v>
      </c>
      <c r="Y192" s="358" t="s">
        <v>600</v>
      </c>
      <c r="Z192" s="358" t="s">
        <v>600</v>
      </c>
      <c r="AA192" s="358" t="s">
        <v>600</v>
      </c>
      <c r="AB192" s="358" t="s">
        <v>600</v>
      </c>
      <c r="AC192" s="358" t="s">
        <v>600</v>
      </c>
      <c r="AD192" s="358" t="s">
        <v>600</v>
      </c>
      <c r="AE192" s="358" t="s">
        <v>600</v>
      </c>
      <c r="AF192" s="358" t="s">
        <v>600</v>
      </c>
      <c r="AG192" s="358" t="s">
        <v>600</v>
      </c>
      <c r="AH192" s="358" t="s">
        <v>600</v>
      </c>
      <c r="AI192" s="358" t="s">
        <v>600</v>
      </c>
      <c r="AJ192" s="358" t="s">
        <v>600</v>
      </c>
      <c r="AK192" s="358" t="s">
        <v>600</v>
      </c>
      <c r="AL192" s="358" t="s">
        <v>600</v>
      </c>
      <c r="AM192" s="358" t="s">
        <v>600</v>
      </c>
      <c r="AN192" s="358" t="s">
        <v>600</v>
      </c>
      <c r="AO192" s="358" t="s">
        <v>600</v>
      </c>
      <c r="AP192" s="358" t="s">
        <v>600</v>
      </c>
      <c r="AQ192" s="358" t="s">
        <v>600</v>
      </c>
      <c r="AR192" s="358" t="s">
        <v>600</v>
      </c>
      <c r="AS192" s="358" t="s">
        <v>600</v>
      </c>
      <c r="AT192" s="358" t="s">
        <v>600</v>
      </c>
      <c r="AU192" s="358" t="s">
        <v>600</v>
      </c>
      <c r="AV192" s="358" t="s">
        <v>600</v>
      </c>
      <c r="AW192" s="358" t="s">
        <v>600</v>
      </c>
      <c r="AX192" s="358" t="s">
        <v>600</v>
      </c>
      <c r="AY192" s="358" t="s">
        <v>600</v>
      </c>
      <c r="AZ192" s="358" t="s">
        <v>600</v>
      </c>
      <c r="BA192" s="358" t="s">
        <v>600</v>
      </c>
      <c r="BB192" s="358" t="s">
        <v>600</v>
      </c>
      <c r="BC192" s="358" t="s">
        <v>600</v>
      </c>
      <c r="BD192" s="358" t="s">
        <v>600</v>
      </c>
      <c r="BE192" s="358" t="s">
        <v>600</v>
      </c>
      <c r="BF192" s="358" t="s">
        <v>600</v>
      </c>
      <c r="BG192" s="358" t="s">
        <v>600</v>
      </c>
      <c r="BH192" s="358" t="s">
        <v>600</v>
      </c>
      <c r="BI192" s="358" t="s">
        <v>600</v>
      </c>
      <c r="BJ192" s="358" t="s">
        <v>600</v>
      </c>
      <c r="BK192" s="358" t="s">
        <v>600</v>
      </c>
      <c r="BL192" s="358" t="s">
        <v>600</v>
      </c>
      <c r="BM192" s="358" t="s">
        <v>600</v>
      </c>
      <c r="BN192" s="358" t="s">
        <v>600</v>
      </c>
      <c r="BO192" s="358" t="s">
        <v>600</v>
      </c>
      <c r="BP192" s="358" t="s">
        <v>600</v>
      </c>
      <c r="BQ192" s="358" t="s">
        <v>600</v>
      </c>
      <c r="BR192" s="358" t="s">
        <v>600</v>
      </c>
      <c r="BS192" s="358" t="s">
        <v>600</v>
      </c>
      <c r="BT192" s="358" t="s">
        <v>600</v>
      </c>
      <c r="BU192" s="358" t="s">
        <v>600</v>
      </c>
      <c r="BV192" s="358" t="s">
        <v>600</v>
      </c>
      <c r="BW192" s="358" t="s">
        <v>600</v>
      </c>
      <c r="BX192" s="358" t="s">
        <v>600</v>
      </c>
      <c r="BY192" s="358" t="s">
        <v>600</v>
      </c>
      <c r="BZ192" s="358" t="s">
        <v>600</v>
      </c>
      <c r="CA192" s="358" t="s">
        <v>600</v>
      </c>
      <c r="CB192" s="358" t="s">
        <v>600</v>
      </c>
      <c r="CC192" s="358" t="s">
        <v>600</v>
      </c>
      <c r="CD192" s="358" t="s">
        <v>600</v>
      </c>
      <c r="CE192" s="358" t="s">
        <v>600</v>
      </c>
      <c r="CF192" s="358" t="s">
        <v>600</v>
      </c>
      <c r="CG192" s="358" t="s">
        <v>600</v>
      </c>
      <c r="CH192" s="358" t="s">
        <v>600</v>
      </c>
      <c r="CI192" s="358" t="s">
        <v>600</v>
      </c>
      <c r="CJ192" s="358" t="s">
        <v>600</v>
      </c>
      <c r="CK192" s="358" t="s">
        <v>600</v>
      </c>
      <c r="CL192" s="358" t="s">
        <v>600</v>
      </c>
      <c r="CM192" s="358" t="s">
        <v>600</v>
      </c>
      <c r="CN192" s="358" t="s">
        <v>600</v>
      </c>
      <c r="CO192" s="358" t="s">
        <v>600</v>
      </c>
      <c r="CP192" s="358" t="s">
        <v>600</v>
      </c>
      <c r="CQ192" s="353"/>
      <c r="CR192" s="359">
        <v>2022.0</v>
      </c>
      <c r="CS192" s="320" t="s">
        <v>850</v>
      </c>
      <c r="CT192" s="334" t="s">
        <v>2030</v>
      </c>
      <c r="CU192" s="360" t="s">
        <v>600</v>
      </c>
      <c r="CV192" s="320" t="s">
        <v>314</v>
      </c>
      <c r="CW192" s="333" t="s">
        <v>304</v>
      </c>
      <c r="CX192" s="319"/>
      <c r="CY192" s="323">
        <f t="shared" si="84"/>
        <v>0.458</v>
      </c>
      <c r="CZ192" s="324">
        <v>0.7170000000000001</v>
      </c>
      <c r="DA192" s="323">
        <v>0.259</v>
      </c>
      <c r="DB192" s="323"/>
      <c r="DC192" s="323">
        <f t="shared" si="85"/>
        <v>0.507</v>
      </c>
      <c r="DD192" s="324">
        <v>0.723</v>
      </c>
      <c r="DE192" s="323">
        <v>0.21600000000000003</v>
      </c>
      <c r="DF192" s="323"/>
      <c r="DG192" s="323">
        <v>0.207</v>
      </c>
      <c r="DH192" s="324">
        <v>0.611</v>
      </c>
      <c r="DI192" s="323">
        <v>0.079</v>
      </c>
      <c r="DJ192" s="323">
        <v>0.098</v>
      </c>
      <c r="DK192" s="323">
        <v>0.04</v>
      </c>
      <c r="DL192" s="323">
        <v>0.006999999999999999</v>
      </c>
      <c r="DM192" s="323"/>
      <c r="DN192" s="323">
        <v>0.239</v>
      </c>
      <c r="DO192" s="323">
        <v>0.442</v>
      </c>
      <c r="DP192" s="323">
        <v>0.154</v>
      </c>
    </row>
    <row r="193">
      <c r="A193" s="356" t="s">
        <v>2857</v>
      </c>
      <c r="B193" s="356" t="s">
        <v>2858</v>
      </c>
      <c r="C193" s="357" t="s">
        <v>1217</v>
      </c>
      <c r="D193" s="357">
        <v>3.0</v>
      </c>
      <c r="E193" s="353"/>
      <c r="F193" s="353"/>
      <c r="G193" s="312"/>
      <c r="H193" s="352"/>
      <c r="I193" s="352"/>
      <c r="J193" s="352"/>
      <c r="K193" s="352"/>
      <c r="L193" s="352"/>
      <c r="M193" s="353" t="s">
        <v>2521</v>
      </c>
      <c r="N193" s="353" t="s">
        <v>2521</v>
      </c>
      <c r="O193" s="353" t="s">
        <v>2521</v>
      </c>
      <c r="P193" s="353" t="s">
        <v>2521</v>
      </c>
      <c r="Q193" s="353" t="s">
        <v>2521</v>
      </c>
      <c r="R193" s="353" t="s">
        <v>2521</v>
      </c>
      <c r="S193" s="358" t="s">
        <v>600</v>
      </c>
      <c r="T193" s="358" t="s">
        <v>600</v>
      </c>
      <c r="U193" s="358" t="s">
        <v>600</v>
      </c>
      <c r="V193" s="358" t="s">
        <v>600</v>
      </c>
      <c r="W193" s="358" t="s">
        <v>600</v>
      </c>
      <c r="X193" s="358" t="s">
        <v>600</v>
      </c>
      <c r="Y193" s="358" t="s">
        <v>600</v>
      </c>
      <c r="Z193" s="358" t="s">
        <v>600</v>
      </c>
      <c r="AA193" s="358" t="s">
        <v>600</v>
      </c>
      <c r="AB193" s="358" t="s">
        <v>600</v>
      </c>
      <c r="AC193" s="358" t="s">
        <v>600</v>
      </c>
      <c r="AD193" s="358" t="s">
        <v>600</v>
      </c>
      <c r="AE193" s="358" t="s">
        <v>600</v>
      </c>
      <c r="AF193" s="358" t="s">
        <v>600</v>
      </c>
      <c r="AG193" s="358" t="s">
        <v>600</v>
      </c>
      <c r="AH193" s="358" t="s">
        <v>600</v>
      </c>
      <c r="AI193" s="358" t="s">
        <v>600</v>
      </c>
      <c r="AJ193" s="358" t="s">
        <v>600</v>
      </c>
      <c r="AK193" s="358" t="s">
        <v>600</v>
      </c>
      <c r="AL193" s="358" t="s">
        <v>600</v>
      </c>
      <c r="AM193" s="358" t="s">
        <v>600</v>
      </c>
      <c r="AN193" s="358" t="s">
        <v>600</v>
      </c>
      <c r="AO193" s="358" t="s">
        <v>600</v>
      </c>
      <c r="AP193" s="358" t="s">
        <v>600</v>
      </c>
      <c r="AQ193" s="358" t="s">
        <v>600</v>
      </c>
      <c r="AR193" s="358" t="s">
        <v>600</v>
      </c>
      <c r="AS193" s="358" t="s">
        <v>600</v>
      </c>
      <c r="AT193" s="358" t="s">
        <v>600</v>
      </c>
      <c r="AU193" s="358" t="s">
        <v>600</v>
      </c>
      <c r="AV193" s="358" t="s">
        <v>600</v>
      </c>
      <c r="AW193" s="358" t="s">
        <v>600</v>
      </c>
      <c r="AX193" s="358" t="s">
        <v>600</v>
      </c>
      <c r="AY193" s="358" t="s">
        <v>600</v>
      </c>
      <c r="AZ193" s="358" t="s">
        <v>600</v>
      </c>
      <c r="BA193" s="358" t="s">
        <v>600</v>
      </c>
      <c r="BB193" s="358" t="s">
        <v>600</v>
      </c>
      <c r="BC193" s="358" t="s">
        <v>600</v>
      </c>
      <c r="BD193" s="358" t="s">
        <v>600</v>
      </c>
      <c r="BE193" s="358" t="s">
        <v>600</v>
      </c>
      <c r="BF193" s="358" t="s">
        <v>600</v>
      </c>
      <c r="BG193" s="358" t="s">
        <v>600</v>
      </c>
      <c r="BH193" s="358" t="s">
        <v>600</v>
      </c>
      <c r="BI193" s="358" t="s">
        <v>600</v>
      </c>
      <c r="BJ193" s="358" t="s">
        <v>600</v>
      </c>
      <c r="BK193" s="358" t="s">
        <v>600</v>
      </c>
      <c r="BL193" s="358" t="s">
        <v>600</v>
      </c>
      <c r="BM193" s="358" t="s">
        <v>600</v>
      </c>
      <c r="BN193" s="358" t="s">
        <v>600</v>
      </c>
      <c r="BO193" s="358" t="s">
        <v>600</v>
      </c>
      <c r="BP193" s="358" t="s">
        <v>600</v>
      </c>
      <c r="BQ193" s="358" t="s">
        <v>600</v>
      </c>
      <c r="BR193" s="358" t="s">
        <v>600</v>
      </c>
      <c r="BS193" s="358" t="s">
        <v>600</v>
      </c>
      <c r="BT193" s="358" t="s">
        <v>600</v>
      </c>
      <c r="BU193" s="358" t="s">
        <v>600</v>
      </c>
      <c r="BV193" s="358" t="s">
        <v>600</v>
      </c>
      <c r="BW193" s="358" t="s">
        <v>600</v>
      </c>
      <c r="BX193" s="358" t="s">
        <v>600</v>
      </c>
      <c r="BY193" s="358" t="s">
        <v>600</v>
      </c>
      <c r="BZ193" s="358" t="s">
        <v>600</v>
      </c>
      <c r="CA193" s="358" t="s">
        <v>600</v>
      </c>
      <c r="CB193" s="358" t="s">
        <v>600</v>
      </c>
      <c r="CC193" s="358" t="s">
        <v>600</v>
      </c>
      <c r="CD193" s="358" t="s">
        <v>600</v>
      </c>
      <c r="CE193" s="358" t="s">
        <v>600</v>
      </c>
      <c r="CF193" s="358" t="s">
        <v>600</v>
      </c>
      <c r="CG193" s="358" t="s">
        <v>600</v>
      </c>
      <c r="CH193" s="358" t="s">
        <v>600</v>
      </c>
      <c r="CI193" s="358" t="s">
        <v>600</v>
      </c>
      <c r="CJ193" s="358" t="s">
        <v>600</v>
      </c>
      <c r="CK193" s="358" t="s">
        <v>600</v>
      </c>
      <c r="CL193" s="358" t="s">
        <v>600</v>
      </c>
      <c r="CM193" s="358" t="s">
        <v>600</v>
      </c>
      <c r="CN193" s="358" t="s">
        <v>600</v>
      </c>
      <c r="CO193" s="358" t="s">
        <v>600</v>
      </c>
      <c r="CP193" s="358" t="s">
        <v>600</v>
      </c>
      <c r="CQ193" s="353"/>
      <c r="CR193" s="359">
        <v>2022.0</v>
      </c>
      <c r="CS193" s="353"/>
      <c r="CT193" s="353"/>
      <c r="CU193" s="360" t="s">
        <v>600</v>
      </c>
      <c r="CV193" s="320" t="s">
        <v>83</v>
      </c>
      <c r="CW193" s="319"/>
      <c r="CX193" s="319"/>
      <c r="CY193" s="323">
        <f t="shared" si="84"/>
        <v>-0.042</v>
      </c>
      <c r="CZ193" s="323">
        <v>0.466</v>
      </c>
      <c r="DA193" s="324">
        <v>0.508</v>
      </c>
      <c r="DB193" s="324"/>
      <c r="DC193" s="323">
        <f t="shared" si="85"/>
        <v>-0.076</v>
      </c>
      <c r="DD193" s="323">
        <v>0.424</v>
      </c>
      <c r="DE193" s="324">
        <v>0.5</v>
      </c>
      <c r="DF193" s="324"/>
      <c r="DG193" s="324">
        <v>0.784</v>
      </c>
      <c r="DH193" s="323">
        <v>0.08900000000000001</v>
      </c>
      <c r="DI193" s="323">
        <v>0.025</v>
      </c>
      <c r="DJ193" s="323">
        <v>0.051</v>
      </c>
      <c r="DK193" s="323">
        <v>0.039</v>
      </c>
      <c r="DL193" s="323">
        <v>0.012</v>
      </c>
      <c r="DM193" s="323"/>
      <c r="DN193" s="323">
        <v>0.268</v>
      </c>
      <c r="DO193" s="323">
        <v>0.26899999999999996</v>
      </c>
      <c r="DP193" s="324">
        <v>0.626</v>
      </c>
    </row>
    <row r="194">
      <c r="A194" s="356" t="s">
        <v>1564</v>
      </c>
      <c r="B194" s="356" t="s">
        <v>1015</v>
      </c>
      <c r="C194" s="357" t="s">
        <v>1530</v>
      </c>
      <c r="D194" s="357">
        <v>10.0</v>
      </c>
      <c r="E194" s="353"/>
      <c r="F194" s="353"/>
      <c r="G194" s="312"/>
      <c r="H194" s="352"/>
      <c r="I194" s="352"/>
      <c r="J194" s="352"/>
      <c r="K194" s="352"/>
      <c r="L194" s="352"/>
      <c r="M194" s="353" t="s">
        <v>2521</v>
      </c>
      <c r="N194" s="353" t="s">
        <v>2521</v>
      </c>
      <c r="O194" s="353" t="s">
        <v>2521</v>
      </c>
      <c r="P194" s="353" t="s">
        <v>2521</v>
      </c>
      <c r="Q194" s="353" t="s">
        <v>2521</v>
      </c>
      <c r="R194" s="353" t="s">
        <v>2521</v>
      </c>
      <c r="S194" s="358" t="s">
        <v>600</v>
      </c>
      <c r="T194" s="358" t="s">
        <v>600</v>
      </c>
      <c r="U194" s="358" t="s">
        <v>600</v>
      </c>
      <c r="V194" s="358" t="s">
        <v>600</v>
      </c>
      <c r="W194" s="358" t="s">
        <v>600</v>
      </c>
      <c r="X194" s="358" t="s">
        <v>600</v>
      </c>
      <c r="Y194" s="358" t="s">
        <v>600</v>
      </c>
      <c r="Z194" s="358" t="s">
        <v>600</v>
      </c>
      <c r="AA194" s="358" t="s">
        <v>600</v>
      </c>
      <c r="AB194" s="358" t="s">
        <v>600</v>
      </c>
      <c r="AC194" s="358" t="s">
        <v>600</v>
      </c>
      <c r="AD194" s="358" t="s">
        <v>600</v>
      </c>
      <c r="AE194" s="358" t="s">
        <v>600</v>
      </c>
      <c r="AF194" s="358" t="s">
        <v>600</v>
      </c>
      <c r="AG194" s="358" t="s">
        <v>600</v>
      </c>
      <c r="AH194" s="358" t="s">
        <v>600</v>
      </c>
      <c r="AI194" s="358" t="s">
        <v>600</v>
      </c>
      <c r="AJ194" s="358" t="s">
        <v>600</v>
      </c>
      <c r="AK194" s="358" t="s">
        <v>600</v>
      </c>
      <c r="AL194" s="358" t="s">
        <v>600</v>
      </c>
      <c r="AM194" s="358" t="s">
        <v>600</v>
      </c>
      <c r="AN194" s="358" t="s">
        <v>600</v>
      </c>
      <c r="AO194" s="358" t="s">
        <v>600</v>
      </c>
      <c r="AP194" s="358" t="s">
        <v>600</v>
      </c>
      <c r="AQ194" s="358" t="s">
        <v>600</v>
      </c>
      <c r="AR194" s="358" t="s">
        <v>600</v>
      </c>
      <c r="AS194" s="358" t="s">
        <v>600</v>
      </c>
      <c r="AT194" s="358" t="s">
        <v>600</v>
      </c>
      <c r="AU194" s="358" t="s">
        <v>600</v>
      </c>
      <c r="AV194" s="358" t="s">
        <v>600</v>
      </c>
      <c r="AW194" s="358" t="s">
        <v>600</v>
      </c>
      <c r="AX194" s="358" t="s">
        <v>600</v>
      </c>
      <c r="AY194" s="358" t="s">
        <v>600</v>
      </c>
      <c r="AZ194" s="358" t="s">
        <v>600</v>
      </c>
      <c r="BA194" s="358" t="s">
        <v>600</v>
      </c>
      <c r="BB194" s="358" t="s">
        <v>600</v>
      </c>
      <c r="BC194" s="358" t="s">
        <v>600</v>
      </c>
      <c r="BD194" s="358" t="s">
        <v>600</v>
      </c>
      <c r="BE194" s="358" t="s">
        <v>600</v>
      </c>
      <c r="BF194" s="358" t="s">
        <v>600</v>
      </c>
      <c r="BG194" s="358" t="s">
        <v>600</v>
      </c>
      <c r="BH194" s="358" t="s">
        <v>600</v>
      </c>
      <c r="BI194" s="358" t="s">
        <v>600</v>
      </c>
      <c r="BJ194" s="358" t="s">
        <v>600</v>
      </c>
      <c r="BK194" s="358" t="s">
        <v>600</v>
      </c>
      <c r="BL194" s="358" t="s">
        <v>600</v>
      </c>
      <c r="BM194" s="358" t="s">
        <v>600</v>
      </c>
      <c r="BN194" s="358" t="s">
        <v>600</v>
      </c>
      <c r="BO194" s="358" t="s">
        <v>600</v>
      </c>
      <c r="BP194" s="358" t="s">
        <v>600</v>
      </c>
      <c r="BQ194" s="358" t="s">
        <v>600</v>
      </c>
      <c r="BR194" s="358" t="s">
        <v>600</v>
      </c>
      <c r="BS194" s="358" t="s">
        <v>600</v>
      </c>
      <c r="BT194" s="358" t="s">
        <v>600</v>
      </c>
      <c r="BU194" s="358" t="s">
        <v>600</v>
      </c>
      <c r="BV194" s="358" t="s">
        <v>600</v>
      </c>
      <c r="BW194" s="358" t="s">
        <v>600</v>
      </c>
      <c r="BX194" s="358" t="s">
        <v>600</v>
      </c>
      <c r="BY194" s="358" t="s">
        <v>600</v>
      </c>
      <c r="BZ194" s="358" t="s">
        <v>600</v>
      </c>
      <c r="CA194" s="358" t="s">
        <v>600</v>
      </c>
      <c r="CB194" s="358" t="s">
        <v>600</v>
      </c>
      <c r="CC194" s="358" t="s">
        <v>600</v>
      </c>
      <c r="CD194" s="358" t="s">
        <v>600</v>
      </c>
      <c r="CE194" s="358" t="s">
        <v>600</v>
      </c>
      <c r="CF194" s="358" t="s">
        <v>600</v>
      </c>
      <c r="CG194" s="358" t="s">
        <v>600</v>
      </c>
      <c r="CH194" s="358" t="s">
        <v>600</v>
      </c>
      <c r="CI194" s="358" t="s">
        <v>600</v>
      </c>
      <c r="CJ194" s="358" t="s">
        <v>600</v>
      </c>
      <c r="CK194" s="358" t="s">
        <v>600</v>
      </c>
      <c r="CL194" s="358" t="s">
        <v>600</v>
      </c>
      <c r="CM194" s="358" t="s">
        <v>600</v>
      </c>
      <c r="CN194" s="358" t="s">
        <v>600</v>
      </c>
      <c r="CO194" s="358" t="s">
        <v>600</v>
      </c>
      <c r="CP194" s="358" t="s">
        <v>600</v>
      </c>
      <c r="CQ194" s="353"/>
      <c r="CR194" s="359">
        <v>2022.0</v>
      </c>
      <c r="CS194" s="353"/>
      <c r="CT194" s="334" t="s">
        <v>122</v>
      </c>
      <c r="CU194" s="360" t="s">
        <v>600</v>
      </c>
      <c r="CV194" s="332" t="s">
        <v>75</v>
      </c>
      <c r="CW194" s="319"/>
      <c r="CX194" s="319"/>
      <c r="CY194" s="323">
        <f t="shared" si="84"/>
        <v>0.712</v>
      </c>
      <c r="CZ194" s="324">
        <v>0.851</v>
      </c>
      <c r="DA194" s="323">
        <v>0.139</v>
      </c>
      <c r="DB194" s="323"/>
      <c r="DC194" s="323">
        <f t="shared" si="85"/>
        <v>0.745</v>
      </c>
      <c r="DD194" s="324">
        <v>0.853</v>
      </c>
      <c r="DE194" s="323">
        <v>0.10800000000000001</v>
      </c>
      <c r="DF194" s="323"/>
      <c r="DG194" s="324">
        <v>0.49700000000000005</v>
      </c>
      <c r="DH194" s="323">
        <v>0.184</v>
      </c>
      <c r="DI194" s="323">
        <v>0.083</v>
      </c>
      <c r="DJ194" s="323">
        <v>0.237</v>
      </c>
      <c r="DK194" s="323">
        <v>0.016</v>
      </c>
      <c r="DL194" s="323">
        <v>0.003</v>
      </c>
      <c r="DM194" s="323"/>
      <c r="DN194" s="324">
        <v>0.6</v>
      </c>
      <c r="DO194" s="324">
        <v>0.81</v>
      </c>
      <c r="DP194" s="323">
        <v>0.10800000000000001</v>
      </c>
    </row>
    <row r="195">
      <c r="A195" s="356" t="s">
        <v>1145</v>
      </c>
      <c r="B195" s="356" t="s">
        <v>1146</v>
      </c>
      <c r="C195" s="357" t="s">
        <v>532</v>
      </c>
      <c r="D195" s="357">
        <v>4.0</v>
      </c>
      <c r="E195" s="353"/>
      <c r="F195" s="353"/>
      <c r="G195" s="312"/>
      <c r="H195" s="352"/>
      <c r="I195" s="352"/>
      <c r="J195" s="352"/>
      <c r="K195" s="352"/>
      <c r="L195" s="352"/>
      <c r="M195" s="353" t="s">
        <v>2521</v>
      </c>
      <c r="N195" s="353" t="s">
        <v>2521</v>
      </c>
      <c r="O195" s="353" t="s">
        <v>2521</v>
      </c>
      <c r="P195" s="353" t="s">
        <v>2521</v>
      </c>
      <c r="Q195" s="353" t="s">
        <v>2521</v>
      </c>
      <c r="R195" s="353" t="s">
        <v>2521</v>
      </c>
      <c r="S195" s="358" t="s">
        <v>600</v>
      </c>
      <c r="T195" s="358" t="s">
        <v>600</v>
      </c>
      <c r="U195" s="358" t="s">
        <v>600</v>
      </c>
      <c r="V195" s="358" t="s">
        <v>600</v>
      </c>
      <c r="W195" s="358" t="s">
        <v>600</v>
      </c>
      <c r="X195" s="358" t="s">
        <v>600</v>
      </c>
      <c r="Y195" s="358" t="s">
        <v>600</v>
      </c>
      <c r="Z195" s="358" t="s">
        <v>600</v>
      </c>
      <c r="AA195" s="358" t="s">
        <v>600</v>
      </c>
      <c r="AB195" s="358" t="s">
        <v>600</v>
      </c>
      <c r="AC195" s="358" t="s">
        <v>600</v>
      </c>
      <c r="AD195" s="358" t="s">
        <v>600</v>
      </c>
      <c r="AE195" s="358" t="s">
        <v>600</v>
      </c>
      <c r="AF195" s="358" t="s">
        <v>600</v>
      </c>
      <c r="AG195" s="358" t="s">
        <v>600</v>
      </c>
      <c r="AH195" s="358" t="s">
        <v>600</v>
      </c>
      <c r="AI195" s="358" t="s">
        <v>600</v>
      </c>
      <c r="AJ195" s="358" t="s">
        <v>600</v>
      </c>
      <c r="AK195" s="358" t="s">
        <v>600</v>
      </c>
      <c r="AL195" s="358" t="s">
        <v>600</v>
      </c>
      <c r="AM195" s="358" t="s">
        <v>600</v>
      </c>
      <c r="AN195" s="358" t="s">
        <v>600</v>
      </c>
      <c r="AO195" s="358" t="s">
        <v>600</v>
      </c>
      <c r="AP195" s="358" t="s">
        <v>600</v>
      </c>
      <c r="AQ195" s="358" t="s">
        <v>600</v>
      </c>
      <c r="AR195" s="358" t="s">
        <v>600</v>
      </c>
      <c r="AS195" s="358" t="s">
        <v>600</v>
      </c>
      <c r="AT195" s="358" t="s">
        <v>600</v>
      </c>
      <c r="AU195" s="358" t="s">
        <v>600</v>
      </c>
      <c r="AV195" s="358" t="s">
        <v>600</v>
      </c>
      <c r="AW195" s="358" t="s">
        <v>600</v>
      </c>
      <c r="AX195" s="358" t="s">
        <v>600</v>
      </c>
      <c r="AY195" s="358" t="s">
        <v>600</v>
      </c>
      <c r="AZ195" s="358" t="s">
        <v>600</v>
      </c>
      <c r="BA195" s="358" t="s">
        <v>600</v>
      </c>
      <c r="BB195" s="358" t="s">
        <v>600</v>
      </c>
      <c r="BC195" s="358" t="s">
        <v>600</v>
      </c>
      <c r="BD195" s="358" t="s">
        <v>600</v>
      </c>
      <c r="BE195" s="358" t="s">
        <v>600</v>
      </c>
      <c r="BF195" s="358" t="s">
        <v>600</v>
      </c>
      <c r="BG195" s="358" t="s">
        <v>600</v>
      </c>
      <c r="BH195" s="358" t="s">
        <v>600</v>
      </c>
      <c r="BI195" s="358" t="s">
        <v>600</v>
      </c>
      <c r="BJ195" s="358" t="s">
        <v>600</v>
      </c>
      <c r="BK195" s="358" t="s">
        <v>600</v>
      </c>
      <c r="BL195" s="358" t="s">
        <v>600</v>
      </c>
      <c r="BM195" s="358" t="s">
        <v>600</v>
      </c>
      <c r="BN195" s="358" t="s">
        <v>600</v>
      </c>
      <c r="BO195" s="358" t="s">
        <v>600</v>
      </c>
      <c r="BP195" s="358" t="s">
        <v>600</v>
      </c>
      <c r="BQ195" s="358" t="s">
        <v>600</v>
      </c>
      <c r="BR195" s="358" t="s">
        <v>600</v>
      </c>
      <c r="BS195" s="358" t="s">
        <v>600</v>
      </c>
      <c r="BT195" s="358" t="s">
        <v>600</v>
      </c>
      <c r="BU195" s="358" t="s">
        <v>600</v>
      </c>
      <c r="BV195" s="358" t="s">
        <v>600</v>
      </c>
      <c r="BW195" s="358" t="s">
        <v>600</v>
      </c>
      <c r="BX195" s="358" t="s">
        <v>600</v>
      </c>
      <c r="BY195" s="358" t="s">
        <v>600</v>
      </c>
      <c r="BZ195" s="358" t="s">
        <v>600</v>
      </c>
      <c r="CA195" s="358" t="s">
        <v>600</v>
      </c>
      <c r="CB195" s="358" t="s">
        <v>600</v>
      </c>
      <c r="CC195" s="358" t="s">
        <v>600</v>
      </c>
      <c r="CD195" s="358" t="s">
        <v>600</v>
      </c>
      <c r="CE195" s="358" t="s">
        <v>600</v>
      </c>
      <c r="CF195" s="358" t="s">
        <v>600</v>
      </c>
      <c r="CG195" s="358" t="s">
        <v>600</v>
      </c>
      <c r="CH195" s="358" t="s">
        <v>600</v>
      </c>
      <c r="CI195" s="358" t="s">
        <v>600</v>
      </c>
      <c r="CJ195" s="358" t="s">
        <v>600</v>
      </c>
      <c r="CK195" s="358" t="s">
        <v>600</v>
      </c>
      <c r="CL195" s="358" t="s">
        <v>600</v>
      </c>
      <c r="CM195" s="358" t="s">
        <v>600</v>
      </c>
      <c r="CN195" s="358" t="s">
        <v>600</v>
      </c>
      <c r="CO195" s="358" t="s">
        <v>600</v>
      </c>
      <c r="CP195" s="358" t="s">
        <v>600</v>
      </c>
      <c r="CQ195" s="353"/>
      <c r="CR195" s="359">
        <v>2022.0</v>
      </c>
      <c r="CS195" s="343" t="s">
        <v>1569</v>
      </c>
      <c r="CT195" s="343" t="s">
        <v>135</v>
      </c>
      <c r="CU195" s="360" t="s">
        <v>600</v>
      </c>
      <c r="CV195" s="332" t="s">
        <v>75</v>
      </c>
      <c r="CW195" s="319"/>
      <c r="CX195" s="319"/>
      <c r="CY195" s="323">
        <f t="shared" si="84"/>
        <v>0.128</v>
      </c>
      <c r="CZ195" s="324">
        <v>0.551</v>
      </c>
      <c r="DA195" s="323">
        <v>0.423</v>
      </c>
      <c r="DB195" s="323"/>
      <c r="DC195" s="323">
        <f t="shared" si="85"/>
        <v>0.08</v>
      </c>
      <c r="DD195" s="324">
        <v>0.485</v>
      </c>
      <c r="DE195" s="323">
        <v>0.405</v>
      </c>
      <c r="DF195" s="323"/>
      <c r="DG195" s="324">
        <v>0.8140000000000001</v>
      </c>
      <c r="DH195" s="323">
        <v>0.073</v>
      </c>
      <c r="DI195" s="323">
        <v>0.016</v>
      </c>
      <c r="DJ195" s="323">
        <v>0.040999999999999995</v>
      </c>
      <c r="DK195" s="323">
        <v>0.046</v>
      </c>
      <c r="DL195" s="323">
        <v>0.006</v>
      </c>
      <c r="DM195" s="323"/>
      <c r="DN195" s="323">
        <v>0.309</v>
      </c>
      <c r="DO195" s="323">
        <v>0.312</v>
      </c>
      <c r="DP195" s="324">
        <v>0.599</v>
      </c>
    </row>
    <row r="196">
      <c r="A196" s="356" t="s">
        <v>701</v>
      </c>
      <c r="B196" s="356" t="s">
        <v>702</v>
      </c>
      <c r="C196" s="357" t="s">
        <v>646</v>
      </c>
      <c r="D196" s="357">
        <v>4.0</v>
      </c>
      <c r="E196" s="353"/>
      <c r="F196" s="353"/>
      <c r="G196" s="312"/>
      <c r="H196" s="352"/>
      <c r="I196" s="352"/>
      <c r="J196" s="352"/>
      <c r="K196" s="352"/>
      <c r="L196" s="352"/>
      <c r="M196" s="353" t="s">
        <v>2521</v>
      </c>
      <c r="N196" s="353" t="s">
        <v>2521</v>
      </c>
      <c r="O196" s="353" t="s">
        <v>2521</v>
      </c>
      <c r="P196" s="353" t="s">
        <v>2521</v>
      </c>
      <c r="Q196" s="353" t="s">
        <v>2521</v>
      </c>
      <c r="R196" s="353" t="s">
        <v>2521</v>
      </c>
      <c r="S196" s="358" t="s">
        <v>600</v>
      </c>
      <c r="T196" s="358" t="s">
        <v>600</v>
      </c>
      <c r="U196" s="358" t="s">
        <v>600</v>
      </c>
      <c r="V196" s="358" t="s">
        <v>600</v>
      </c>
      <c r="W196" s="358" t="s">
        <v>600</v>
      </c>
      <c r="X196" s="358" t="s">
        <v>600</v>
      </c>
      <c r="Y196" s="358" t="s">
        <v>600</v>
      </c>
      <c r="Z196" s="358" t="s">
        <v>600</v>
      </c>
      <c r="AA196" s="358" t="s">
        <v>600</v>
      </c>
      <c r="AB196" s="358" t="s">
        <v>600</v>
      </c>
      <c r="AC196" s="358" t="s">
        <v>600</v>
      </c>
      <c r="AD196" s="358" t="s">
        <v>600</v>
      </c>
      <c r="AE196" s="358" t="s">
        <v>600</v>
      </c>
      <c r="AF196" s="358" t="s">
        <v>600</v>
      </c>
      <c r="AG196" s="358" t="s">
        <v>600</v>
      </c>
      <c r="AH196" s="358" t="s">
        <v>600</v>
      </c>
      <c r="AI196" s="358" t="s">
        <v>600</v>
      </c>
      <c r="AJ196" s="358" t="s">
        <v>600</v>
      </c>
      <c r="AK196" s="358" t="s">
        <v>600</v>
      </c>
      <c r="AL196" s="358" t="s">
        <v>600</v>
      </c>
      <c r="AM196" s="358" t="s">
        <v>600</v>
      </c>
      <c r="AN196" s="358" t="s">
        <v>600</v>
      </c>
      <c r="AO196" s="358" t="s">
        <v>600</v>
      </c>
      <c r="AP196" s="358" t="s">
        <v>600</v>
      </c>
      <c r="AQ196" s="358" t="s">
        <v>600</v>
      </c>
      <c r="AR196" s="358" t="s">
        <v>600</v>
      </c>
      <c r="AS196" s="358" t="s">
        <v>600</v>
      </c>
      <c r="AT196" s="358" t="s">
        <v>600</v>
      </c>
      <c r="AU196" s="358" t="s">
        <v>600</v>
      </c>
      <c r="AV196" s="358" t="s">
        <v>600</v>
      </c>
      <c r="AW196" s="358" t="s">
        <v>600</v>
      </c>
      <c r="AX196" s="358" t="s">
        <v>600</v>
      </c>
      <c r="AY196" s="358" t="s">
        <v>600</v>
      </c>
      <c r="AZ196" s="358" t="s">
        <v>600</v>
      </c>
      <c r="BA196" s="358" t="s">
        <v>600</v>
      </c>
      <c r="BB196" s="358" t="s">
        <v>600</v>
      </c>
      <c r="BC196" s="358" t="s">
        <v>600</v>
      </c>
      <c r="BD196" s="358" t="s">
        <v>600</v>
      </c>
      <c r="BE196" s="358" t="s">
        <v>600</v>
      </c>
      <c r="BF196" s="358" t="s">
        <v>600</v>
      </c>
      <c r="BG196" s="358" t="s">
        <v>600</v>
      </c>
      <c r="BH196" s="358" t="s">
        <v>600</v>
      </c>
      <c r="BI196" s="358" t="s">
        <v>600</v>
      </c>
      <c r="BJ196" s="358" t="s">
        <v>600</v>
      </c>
      <c r="BK196" s="358" t="s">
        <v>600</v>
      </c>
      <c r="BL196" s="358" t="s">
        <v>600</v>
      </c>
      <c r="BM196" s="358" t="s">
        <v>600</v>
      </c>
      <c r="BN196" s="358" t="s">
        <v>600</v>
      </c>
      <c r="BO196" s="358" t="s">
        <v>600</v>
      </c>
      <c r="BP196" s="358" t="s">
        <v>600</v>
      </c>
      <c r="BQ196" s="358" t="s">
        <v>600</v>
      </c>
      <c r="BR196" s="358" t="s">
        <v>600</v>
      </c>
      <c r="BS196" s="358" t="s">
        <v>600</v>
      </c>
      <c r="BT196" s="358" t="s">
        <v>600</v>
      </c>
      <c r="BU196" s="358" t="s">
        <v>600</v>
      </c>
      <c r="BV196" s="358" t="s">
        <v>600</v>
      </c>
      <c r="BW196" s="358" t="s">
        <v>600</v>
      </c>
      <c r="BX196" s="358" t="s">
        <v>600</v>
      </c>
      <c r="BY196" s="358" t="s">
        <v>600</v>
      </c>
      <c r="BZ196" s="358" t="s">
        <v>600</v>
      </c>
      <c r="CA196" s="358" t="s">
        <v>600</v>
      </c>
      <c r="CB196" s="358" t="s">
        <v>600</v>
      </c>
      <c r="CC196" s="358" t="s">
        <v>600</v>
      </c>
      <c r="CD196" s="358" t="s">
        <v>600</v>
      </c>
      <c r="CE196" s="358" t="s">
        <v>600</v>
      </c>
      <c r="CF196" s="358" t="s">
        <v>600</v>
      </c>
      <c r="CG196" s="358" t="s">
        <v>600</v>
      </c>
      <c r="CH196" s="358" t="s">
        <v>600</v>
      </c>
      <c r="CI196" s="358" t="s">
        <v>600</v>
      </c>
      <c r="CJ196" s="358" t="s">
        <v>600</v>
      </c>
      <c r="CK196" s="358" t="s">
        <v>600</v>
      </c>
      <c r="CL196" s="358" t="s">
        <v>600</v>
      </c>
      <c r="CM196" s="358" t="s">
        <v>600</v>
      </c>
      <c r="CN196" s="358" t="s">
        <v>600</v>
      </c>
      <c r="CO196" s="358" t="s">
        <v>600</v>
      </c>
      <c r="CP196" s="358" t="s">
        <v>600</v>
      </c>
      <c r="CQ196" s="353"/>
      <c r="CR196" s="359">
        <v>2022.0</v>
      </c>
      <c r="CS196" s="343" t="s">
        <v>1569</v>
      </c>
      <c r="CT196" s="334" t="s">
        <v>2030</v>
      </c>
      <c r="CU196" s="360" t="s">
        <v>600</v>
      </c>
      <c r="CV196" s="327" t="s">
        <v>28</v>
      </c>
      <c r="CW196" s="336"/>
      <c r="CX196" s="319"/>
      <c r="CY196" s="323">
        <f t="shared" si="84"/>
        <v>0.809</v>
      </c>
      <c r="CZ196" s="324">
        <v>0.8959999999999999</v>
      </c>
      <c r="DA196" s="323">
        <v>0.087</v>
      </c>
      <c r="DB196" s="323"/>
      <c r="DC196" s="323">
        <f t="shared" si="85"/>
        <v>0.818</v>
      </c>
      <c r="DD196" s="324">
        <v>0.892</v>
      </c>
      <c r="DE196" s="323">
        <v>0.07400000000000001</v>
      </c>
      <c r="DF196" s="323"/>
      <c r="DG196" s="323">
        <v>0.12300000000000001</v>
      </c>
      <c r="DH196" s="323">
        <v>0.22</v>
      </c>
      <c r="DI196" s="324">
        <v>0.598</v>
      </c>
      <c r="DJ196" s="323">
        <v>0.064</v>
      </c>
      <c r="DK196" s="323">
        <v>0.025</v>
      </c>
      <c r="DL196" s="323">
        <v>0.002</v>
      </c>
      <c r="DM196" s="323"/>
      <c r="DN196" s="323">
        <v>0.36</v>
      </c>
      <c r="DO196" s="324">
        <v>0.5489999999999999</v>
      </c>
      <c r="DP196" s="323">
        <v>0.07</v>
      </c>
    </row>
    <row r="197">
      <c r="A197" s="356" t="s">
        <v>562</v>
      </c>
      <c r="B197" s="356" t="s">
        <v>563</v>
      </c>
      <c r="C197" s="357" t="s">
        <v>848</v>
      </c>
      <c r="D197" s="357">
        <v>1.0</v>
      </c>
      <c r="E197" s="353"/>
      <c r="F197" s="353"/>
      <c r="G197" s="312"/>
      <c r="H197" s="352"/>
      <c r="I197" s="352"/>
      <c r="J197" s="352"/>
      <c r="K197" s="352"/>
      <c r="L197" s="352"/>
      <c r="M197" s="353" t="s">
        <v>2521</v>
      </c>
      <c r="N197" s="353" t="s">
        <v>2521</v>
      </c>
      <c r="O197" s="353" t="s">
        <v>2521</v>
      </c>
      <c r="P197" s="353" t="s">
        <v>2521</v>
      </c>
      <c r="Q197" s="353" t="s">
        <v>2521</v>
      </c>
      <c r="R197" s="353" t="s">
        <v>2521</v>
      </c>
      <c r="S197" s="358" t="s">
        <v>600</v>
      </c>
      <c r="T197" s="358" t="s">
        <v>600</v>
      </c>
      <c r="U197" s="358" t="s">
        <v>600</v>
      </c>
      <c r="V197" s="358" t="s">
        <v>600</v>
      </c>
      <c r="W197" s="358" t="s">
        <v>600</v>
      </c>
      <c r="X197" s="358" t="s">
        <v>600</v>
      </c>
      <c r="Y197" s="358" t="s">
        <v>600</v>
      </c>
      <c r="Z197" s="358" t="s">
        <v>600</v>
      </c>
      <c r="AA197" s="358" t="s">
        <v>600</v>
      </c>
      <c r="AB197" s="358" t="s">
        <v>600</v>
      </c>
      <c r="AC197" s="358" t="s">
        <v>600</v>
      </c>
      <c r="AD197" s="358" t="s">
        <v>600</v>
      </c>
      <c r="AE197" s="358" t="s">
        <v>600</v>
      </c>
      <c r="AF197" s="358" t="s">
        <v>600</v>
      </c>
      <c r="AG197" s="358" t="s">
        <v>600</v>
      </c>
      <c r="AH197" s="358" t="s">
        <v>600</v>
      </c>
      <c r="AI197" s="358" t="s">
        <v>600</v>
      </c>
      <c r="AJ197" s="358" t="s">
        <v>600</v>
      </c>
      <c r="AK197" s="358" t="s">
        <v>600</v>
      </c>
      <c r="AL197" s="358" t="s">
        <v>600</v>
      </c>
      <c r="AM197" s="358" t="s">
        <v>600</v>
      </c>
      <c r="AN197" s="358" t="s">
        <v>600</v>
      </c>
      <c r="AO197" s="358" t="s">
        <v>600</v>
      </c>
      <c r="AP197" s="358" t="s">
        <v>600</v>
      </c>
      <c r="AQ197" s="358" t="s">
        <v>600</v>
      </c>
      <c r="AR197" s="358" t="s">
        <v>600</v>
      </c>
      <c r="AS197" s="358" t="s">
        <v>600</v>
      </c>
      <c r="AT197" s="358" t="s">
        <v>600</v>
      </c>
      <c r="AU197" s="358" t="s">
        <v>600</v>
      </c>
      <c r="AV197" s="358" t="s">
        <v>600</v>
      </c>
      <c r="AW197" s="358" t="s">
        <v>600</v>
      </c>
      <c r="AX197" s="358" t="s">
        <v>600</v>
      </c>
      <c r="AY197" s="358" t="s">
        <v>600</v>
      </c>
      <c r="AZ197" s="358" t="s">
        <v>600</v>
      </c>
      <c r="BA197" s="358" t="s">
        <v>600</v>
      </c>
      <c r="BB197" s="358" t="s">
        <v>600</v>
      </c>
      <c r="BC197" s="358" t="s">
        <v>600</v>
      </c>
      <c r="BD197" s="358" t="s">
        <v>600</v>
      </c>
      <c r="BE197" s="358" t="s">
        <v>600</v>
      </c>
      <c r="BF197" s="358" t="s">
        <v>600</v>
      </c>
      <c r="BG197" s="358" t="s">
        <v>600</v>
      </c>
      <c r="BH197" s="358" t="s">
        <v>600</v>
      </c>
      <c r="BI197" s="358" t="s">
        <v>600</v>
      </c>
      <c r="BJ197" s="358" t="s">
        <v>600</v>
      </c>
      <c r="BK197" s="358" t="s">
        <v>600</v>
      </c>
      <c r="BL197" s="358" t="s">
        <v>600</v>
      </c>
      <c r="BM197" s="358" t="s">
        <v>600</v>
      </c>
      <c r="BN197" s="358" t="s">
        <v>600</v>
      </c>
      <c r="BO197" s="358" t="s">
        <v>600</v>
      </c>
      <c r="BP197" s="358" t="s">
        <v>600</v>
      </c>
      <c r="BQ197" s="358" t="s">
        <v>600</v>
      </c>
      <c r="BR197" s="358" t="s">
        <v>600</v>
      </c>
      <c r="BS197" s="358" t="s">
        <v>600</v>
      </c>
      <c r="BT197" s="358" t="s">
        <v>600</v>
      </c>
      <c r="BU197" s="358" t="s">
        <v>600</v>
      </c>
      <c r="BV197" s="358" t="s">
        <v>600</v>
      </c>
      <c r="BW197" s="358" t="s">
        <v>600</v>
      </c>
      <c r="BX197" s="358" t="s">
        <v>600</v>
      </c>
      <c r="BY197" s="358" t="s">
        <v>600</v>
      </c>
      <c r="BZ197" s="358" t="s">
        <v>600</v>
      </c>
      <c r="CA197" s="358" t="s">
        <v>600</v>
      </c>
      <c r="CB197" s="358" t="s">
        <v>600</v>
      </c>
      <c r="CC197" s="358" t="s">
        <v>600</v>
      </c>
      <c r="CD197" s="358" t="s">
        <v>600</v>
      </c>
      <c r="CE197" s="358" t="s">
        <v>600</v>
      </c>
      <c r="CF197" s="358" t="s">
        <v>600</v>
      </c>
      <c r="CG197" s="358" t="s">
        <v>600</v>
      </c>
      <c r="CH197" s="358" t="s">
        <v>600</v>
      </c>
      <c r="CI197" s="358" t="s">
        <v>600</v>
      </c>
      <c r="CJ197" s="358" t="s">
        <v>600</v>
      </c>
      <c r="CK197" s="358" t="s">
        <v>600</v>
      </c>
      <c r="CL197" s="358" t="s">
        <v>600</v>
      </c>
      <c r="CM197" s="358" t="s">
        <v>600</v>
      </c>
      <c r="CN197" s="358" t="s">
        <v>600</v>
      </c>
      <c r="CO197" s="358" t="s">
        <v>600</v>
      </c>
      <c r="CP197" s="358" t="s">
        <v>600</v>
      </c>
      <c r="CQ197" s="353"/>
      <c r="CR197" s="359">
        <v>2022.0</v>
      </c>
      <c r="CS197" s="320" t="s">
        <v>850</v>
      </c>
      <c r="CT197" s="319"/>
      <c r="CU197" s="360" t="s">
        <v>600</v>
      </c>
      <c r="CV197" s="327" t="s">
        <v>28</v>
      </c>
      <c r="CW197" s="319"/>
      <c r="CX197" s="319"/>
      <c r="CY197" s="323">
        <f t="shared" si="84"/>
        <v>0.424</v>
      </c>
      <c r="CZ197" s="324">
        <v>0.705</v>
      </c>
      <c r="DA197" s="323">
        <v>0.281</v>
      </c>
      <c r="DB197" s="323"/>
      <c r="DC197" s="323">
        <f t="shared" si="85"/>
        <v>0.479</v>
      </c>
      <c r="DD197" s="324">
        <v>0.7190000000000001</v>
      </c>
      <c r="DE197" s="323">
        <v>0.24</v>
      </c>
      <c r="DF197" s="323"/>
      <c r="DG197" s="323">
        <v>0.37</v>
      </c>
      <c r="DH197" s="323">
        <v>0.079</v>
      </c>
      <c r="DI197" s="324">
        <v>0.52</v>
      </c>
      <c r="DJ197" s="323">
        <v>0.026000000000000002</v>
      </c>
      <c r="DK197" s="323">
        <v>0.013999999999999999</v>
      </c>
      <c r="DL197" s="323">
        <v>0.001</v>
      </c>
      <c r="DM197" s="323"/>
      <c r="DN197" s="323">
        <v>0.303</v>
      </c>
      <c r="DO197" s="323">
        <v>0.37200000000000005</v>
      </c>
      <c r="DP197" s="323">
        <v>0.247</v>
      </c>
    </row>
    <row r="198">
      <c r="A198" s="356" t="s">
        <v>529</v>
      </c>
      <c r="B198" s="356" t="s">
        <v>563</v>
      </c>
      <c r="C198" s="357" t="s">
        <v>2835</v>
      </c>
      <c r="D198" s="357">
        <v>14.0</v>
      </c>
      <c r="E198" s="353"/>
      <c r="F198" s="353"/>
      <c r="G198" s="312"/>
      <c r="H198" s="352"/>
      <c r="I198" s="352"/>
      <c r="J198" s="352"/>
      <c r="K198" s="352"/>
      <c r="L198" s="352"/>
      <c r="M198" s="353" t="s">
        <v>2521</v>
      </c>
      <c r="N198" s="353" t="s">
        <v>2521</v>
      </c>
      <c r="O198" s="353" t="s">
        <v>2521</v>
      </c>
      <c r="P198" s="353" t="s">
        <v>2521</v>
      </c>
      <c r="Q198" s="353" t="s">
        <v>2521</v>
      </c>
      <c r="R198" s="353" t="s">
        <v>2521</v>
      </c>
      <c r="S198" s="358" t="s">
        <v>600</v>
      </c>
      <c r="T198" s="358" t="s">
        <v>600</v>
      </c>
      <c r="U198" s="358" t="s">
        <v>600</v>
      </c>
      <c r="V198" s="358" t="s">
        <v>600</v>
      </c>
      <c r="W198" s="358" t="s">
        <v>600</v>
      </c>
      <c r="X198" s="358" t="s">
        <v>600</v>
      </c>
      <c r="Y198" s="358" t="s">
        <v>600</v>
      </c>
      <c r="Z198" s="358" t="s">
        <v>600</v>
      </c>
      <c r="AA198" s="358" t="s">
        <v>600</v>
      </c>
      <c r="AB198" s="358" t="s">
        <v>600</v>
      </c>
      <c r="AC198" s="358" t="s">
        <v>600</v>
      </c>
      <c r="AD198" s="358" t="s">
        <v>600</v>
      </c>
      <c r="AE198" s="358" t="s">
        <v>600</v>
      </c>
      <c r="AF198" s="358" t="s">
        <v>600</v>
      </c>
      <c r="AG198" s="358" t="s">
        <v>600</v>
      </c>
      <c r="AH198" s="358" t="s">
        <v>600</v>
      </c>
      <c r="AI198" s="358" t="s">
        <v>600</v>
      </c>
      <c r="AJ198" s="358" t="s">
        <v>600</v>
      </c>
      <c r="AK198" s="358" t="s">
        <v>600</v>
      </c>
      <c r="AL198" s="358" t="s">
        <v>600</v>
      </c>
      <c r="AM198" s="358" t="s">
        <v>600</v>
      </c>
      <c r="AN198" s="358" t="s">
        <v>600</v>
      </c>
      <c r="AO198" s="358" t="s">
        <v>600</v>
      </c>
      <c r="AP198" s="358" t="s">
        <v>600</v>
      </c>
      <c r="AQ198" s="358" t="s">
        <v>600</v>
      </c>
      <c r="AR198" s="358" t="s">
        <v>600</v>
      </c>
      <c r="AS198" s="358" t="s">
        <v>600</v>
      </c>
      <c r="AT198" s="358" t="s">
        <v>600</v>
      </c>
      <c r="AU198" s="358" t="s">
        <v>600</v>
      </c>
      <c r="AV198" s="358" t="s">
        <v>600</v>
      </c>
      <c r="AW198" s="358" t="s">
        <v>600</v>
      </c>
      <c r="AX198" s="358" t="s">
        <v>600</v>
      </c>
      <c r="AY198" s="358" t="s">
        <v>600</v>
      </c>
      <c r="AZ198" s="358" t="s">
        <v>600</v>
      </c>
      <c r="BA198" s="358" t="s">
        <v>600</v>
      </c>
      <c r="BB198" s="358" t="s">
        <v>600</v>
      </c>
      <c r="BC198" s="358" t="s">
        <v>600</v>
      </c>
      <c r="BD198" s="358" t="s">
        <v>600</v>
      </c>
      <c r="BE198" s="358" t="s">
        <v>600</v>
      </c>
      <c r="BF198" s="358" t="s">
        <v>600</v>
      </c>
      <c r="BG198" s="358" t="s">
        <v>600</v>
      </c>
      <c r="BH198" s="358" t="s">
        <v>600</v>
      </c>
      <c r="BI198" s="358" t="s">
        <v>600</v>
      </c>
      <c r="BJ198" s="358" t="s">
        <v>600</v>
      </c>
      <c r="BK198" s="358" t="s">
        <v>600</v>
      </c>
      <c r="BL198" s="358" t="s">
        <v>600</v>
      </c>
      <c r="BM198" s="358" t="s">
        <v>600</v>
      </c>
      <c r="BN198" s="358" t="s">
        <v>600</v>
      </c>
      <c r="BO198" s="358" t="s">
        <v>600</v>
      </c>
      <c r="BP198" s="358" t="s">
        <v>600</v>
      </c>
      <c r="BQ198" s="358" t="s">
        <v>600</v>
      </c>
      <c r="BR198" s="358" t="s">
        <v>600</v>
      </c>
      <c r="BS198" s="358" t="s">
        <v>600</v>
      </c>
      <c r="BT198" s="358" t="s">
        <v>600</v>
      </c>
      <c r="BU198" s="358" t="s">
        <v>600</v>
      </c>
      <c r="BV198" s="358" t="s">
        <v>600</v>
      </c>
      <c r="BW198" s="358" t="s">
        <v>600</v>
      </c>
      <c r="BX198" s="358" t="s">
        <v>600</v>
      </c>
      <c r="BY198" s="358" t="s">
        <v>600</v>
      </c>
      <c r="BZ198" s="358" t="s">
        <v>600</v>
      </c>
      <c r="CA198" s="358" t="s">
        <v>600</v>
      </c>
      <c r="CB198" s="358" t="s">
        <v>600</v>
      </c>
      <c r="CC198" s="358" t="s">
        <v>600</v>
      </c>
      <c r="CD198" s="358" t="s">
        <v>600</v>
      </c>
      <c r="CE198" s="358" t="s">
        <v>600</v>
      </c>
      <c r="CF198" s="358" t="s">
        <v>600</v>
      </c>
      <c r="CG198" s="358" t="s">
        <v>600</v>
      </c>
      <c r="CH198" s="358" t="s">
        <v>600</v>
      </c>
      <c r="CI198" s="358" t="s">
        <v>600</v>
      </c>
      <c r="CJ198" s="358" t="s">
        <v>600</v>
      </c>
      <c r="CK198" s="358" t="s">
        <v>600</v>
      </c>
      <c r="CL198" s="358" t="s">
        <v>600</v>
      </c>
      <c r="CM198" s="358" t="s">
        <v>600</v>
      </c>
      <c r="CN198" s="358" t="s">
        <v>600</v>
      </c>
      <c r="CO198" s="358" t="s">
        <v>600</v>
      </c>
      <c r="CP198" s="358" t="s">
        <v>600</v>
      </c>
      <c r="CQ198" s="353"/>
      <c r="CR198" s="359">
        <v>2022.0</v>
      </c>
      <c r="CS198" s="343" t="s">
        <v>1569</v>
      </c>
      <c r="CT198" s="334" t="s">
        <v>2030</v>
      </c>
      <c r="CU198" s="360" t="s">
        <v>600</v>
      </c>
      <c r="CV198" s="332" t="s">
        <v>75</v>
      </c>
      <c r="CW198" s="319"/>
      <c r="CX198" s="319"/>
      <c r="CY198" s="323">
        <f t="shared" si="84"/>
        <v>0.164</v>
      </c>
      <c r="CZ198" s="324">
        <v>0.575</v>
      </c>
      <c r="DA198" s="323">
        <v>0.41100000000000003</v>
      </c>
      <c r="DB198" s="323"/>
      <c r="DC198" s="323">
        <f t="shared" si="85"/>
        <v>0.098</v>
      </c>
      <c r="DD198" s="324">
        <v>0.524</v>
      </c>
      <c r="DE198" s="323">
        <v>0.426</v>
      </c>
      <c r="DF198" s="323"/>
      <c r="DG198" s="324">
        <v>0.604</v>
      </c>
      <c r="DH198" s="323">
        <v>0.11199999999999999</v>
      </c>
      <c r="DI198" s="323">
        <v>0.207</v>
      </c>
      <c r="DJ198" s="323">
        <v>0.063</v>
      </c>
      <c r="DK198" s="323">
        <v>0.019</v>
      </c>
      <c r="DL198" s="323">
        <v>0.001</v>
      </c>
      <c r="DM198" s="323"/>
      <c r="DN198" s="323">
        <v>0.46</v>
      </c>
      <c r="DO198" s="324">
        <v>0.531</v>
      </c>
      <c r="DP198" s="323">
        <v>0.315</v>
      </c>
    </row>
    <row r="199">
      <c r="A199" s="356" t="s">
        <v>2300</v>
      </c>
      <c r="B199" s="356" t="s">
        <v>2478</v>
      </c>
      <c r="C199" s="357" t="s">
        <v>1197</v>
      </c>
      <c r="D199" s="357">
        <v>37.0</v>
      </c>
      <c r="E199" s="353"/>
      <c r="F199" s="353"/>
      <c r="G199" s="312"/>
      <c r="H199" s="352"/>
      <c r="I199" s="352"/>
      <c r="J199" s="352"/>
      <c r="K199" s="352"/>
      <c r="L199" s="352"/>
      <c r="M199" s="353" t="s">
        <v>2521</v>
      </c>
      <c r="N199" s="353" t="s">
        <v>2521</v>
      </c>
      <c r="O199" s="353" t="s">
        <v>2521</v>
      </c>
      <c r="P199" s="353" t="s">
        <v>2521</v>
      </c>
      <c r="Q199" s="353" t="s">
        <v>2521</v>
      </c>
      <c r="R199" s="353" t="s">
        <v>2521</v>
      </c>
      <c r="S199" s="358" t="s">
        <v>600</v>
      </c>
      <c r="T199" s="358" t="s">
        <v>600</v>
      </c>
      <c r="U199" s="358" t="s">
        <v>600</v>
      </c>
      <c r="V199" s="358" t="s">
        <v>600</v>
      </c>
      <c r="W199" s="358" t="s">
        <v>600</v>
      </c>
      <c r="X199" s="358" t="s">
        <v>600</v>
      </c>
      <c r="Y199" s="358" t="s">
        <v>600</v>
      </c>
      <c r="Z199" s="358" t="s">
        <v>600</v>
      </c>
      <c r="AA199" s="358" t="s">
        <v>600</v>
      </c>
      <c r="AB199" s="358" t="s">
        <v>600</v>
      </c>
      <c r="AC199" s="358" t="s">
        <v>600</v>
      </c>
      <c r="AD199" s="358" t="s">
        <v>600</v>
      </c>
      <c r="AE199" s="358" t="s">
        <v>600</v>
      </c>
      <c r="AF199" s="358" t="s">
        <v>600</v>
      </c>
      <c r="AG199" s="358" t="s">
        <v>600</v>
      </c>
      <c r="AH199" s="358" t="s">
        <v>600</v>
      </c>
      <c r="AI199" s="358" t="s">
        <v>600</v>
      </c>
      <c r="AJ199" s="358" t="s">
        <v>600</v>
      </c>
      <c r="AK199" s="358" t="s">
        <v>600</v>
      </c>
      <c r="AL199" s="358" t="s">
        <v>600</v>
      </c>
      <c r="AM199" s="358" t="s">
        <v>600</v>
      </c>
      <c r="AN199" s="358" t="s">
        <v>600</v>
      </c>
      <c r="AO199" s="358" t="s">
        <v>600</v>
      </c>
      <c r="AP199" s="358" t="s">
        <v>600</v>
      </c>
      <c r="AQ199" s="358" t="s">
        <v>600</v>
      </c>
      <c r="AR199" s="358" t="s">
        <v>600</v>
      </c>
      <c r="AS199" s="358" t="s">
        <v>600</v>
      </c>
      <c r="AT199" s="358" t="s">
        <v>600</v>
      </c>
      <c r="AU199" s="358" t="s">
        <v>600</v>
      </c>
      <c r="AV199" s="358" t="s">
        <v>600</v>
      </c>
      <c r="AW199" s="358" t="s">
        <v>600</v>
      </c>
      <c r="AX199" s="358" t="s">
        <v>600</v>
      </c>
      <c r="AY199" s="358" t="s">
        <v>600</v>
      </c>
      <c r="AZ199" s="358" t="s">
        <v>600</v>
      </c>
      <c r="BA199" s="358" t="s">
        <v>600</v>
      </c>
      <c r="BB199" s="358" t="s">
        <v>600</v>
      </c>
      <c r="BC199" s="358" t="s">
        <v>600</v>
      </c>
      <c r="BD199" s="358" t="s">
        <v>600</v>
      </c>
      <c r="BE199" s="358" t="s">
        <v>600</v>
      </c>
      <c r="BF199" s="358" t="s">
        <v>600</v>
      </c>
      <c r="BG199" s="358" t="s">
        <v>600</v>
      </c>
      <c r="BH199" s="358" t="s">
        <v>600</v>
      </c>
      <c r="BI199" s="358" t="s">
        <v>600</v>
      </c>
      <c r="BJ199" s="358" t="s">
        <v>600</v>
      </c>
      <c r="BK199" s="358" t="s">
        <v>600</v>
      </c>
      <c r="BL199" s="358" t="s">
        <v>600</v>
      </c>
      <c r="BM199" s="358" t="s">
        <v>600</v>
      </c>
      <c r="BN199" s="358" t="s">
        <v>600</v>
      </c>
      <c r="BO199" s="358" t="s">
        <v>600</v>
      </c>
      <c r="BP199" s="358" t="s">
        <v>600</v>
      </c>
      <c r="BQ199" s="358" t="s">
        <v>600</v>
      </c>
      <c r="BR199" s="358" t="s">
        <v>600</v>
      </c>
      <c r="BS199" s="358" t="s">
        <v>600</v>
      </c>
      <c r="BT199" s="358" t="s">
        <v>600</v>
      </c>
      <c r="BU199" s="358" t="s">
        <v>600</v>
      </c>
      <c r="BV199" s="358" t="s">
        <v>600</v>
      </c>
      <c r="BW199" s="358" t="s">
        <v>600</v>
      </c>
      <c r="BX199" s="358" t="s">
        <v>600</v>
      </c>
      <c r="BY199" s="358" t="s">
        <v>600</v>
      </c>
      <c r="BZ199" s="358" t="s">
        <v>600</v>
      </c>
      <c r="CA199" s="358" t="s">
        <v>600</v>
      </c>
      <c r="CB199" s="358" t="s">
        <v>600</v>
      </c>
      <c r="CC199" s="358" t="s">
        <v>600</v>
      </c>
      <c r="CD199" s="358" t="s">
        <v>600</v>
      </c>
      <c r="CE199" s="358" t="s">
        <v>600</v>
      </c>
      <c r="CF199" s="358" t="s">
        <v>600</v>
      </c>
      <c r="CG199" s="358" t="s">
        <v>600</v>
      </c>
      <c r="CH199" s="358" t="s">
        <v>600</v>
      </c>
      <c r="CI199" s="358" t="s">
        <v>600</v>
      </c>
      <c r="CJ199" s="358" t="s">
        <v>600</v>
      </c>
      <c r="CK199" s="358" t="s">
        <v>600</v>
      </c>
      <c r="CL199" s="358" t="s">
        <v>600</v>
      </c>
      <c r="CM199" s="358" t="s">
        <v>600</v>
      </c>
      <c r="CN199" s="358" t="s">
        <v>600</v>
      </c>
      <c r="CO199" s="358" t="s">
        <v>600</v>
      </c>
      <c r="CP199" s="358" t="s">
        <v>600</v>
      </c>
      <c r="CQ199" s="353"/>
      <c r="CR199" s="359">
        <v>2022.0</v>
      </c>
      <c r="CS199" s="353"/>
      <c r="CT199" s="343" t="s">
        <v>135</v>
      </c>
      <c r="CU199" s="360" t="s">
        <v>600</v>
      </c>
      <c r="CV199" s="361" t="s">
        <v>28</v>
      </c>
      <c r="CW199" s="336"/>
      <c r="CX199" s="319"/>
      <c r="CY199" s="323">
        <f t="shared" si="84"/>
        <v>0.733</v>
      </c>
      <c r="CZ199" s="337">
        <v>0.857</v>
      </c>
      <c r="DA199" s="338">
        <v>0.124</v>
      </c>
      <c r="DB199" s="338"/>
      <c r="DC199" s="323">
        <f t="shared" si="85"/>
        <v>0.811</v>
      </c>
      <c r="DD199" s="337">
        <v>0.884</v>
      </c>
      <c r="DE199" s="338">
        <v>0.073</v>
      </c>
      <c r="DF199" s="338"/>
      <c r="DG199" s="338">
        <v>0.146</v>
      </c>
      <c r="DH199" s="337">
        <v>0.503</v>
      </c>
      <c r="DI199" s="338">
        <v>0.265</v>
      </c>
      <c r="DJ199" s="338">
        <v>0.085</v>
      </c>
      <c r="DK199" s="338">
        <v>0.037000000000000005</v>
      </c>
      <c r="DL199" s="338">
        <v>0.003</v>
      </c>
      <c r="DM199" s="338"/>
      <c r="DN199" s="338">
        <v>0.264</v>
      </c>
      <c r="DO199" s="337">
        <v>0.6609999999999999</v>
      </c>
      <c r="DP199" s="338">
        <v>0.059000000000000004</v>
      </c>
    </row>
    <row r="200">
      <c r="A200" s="356" t="s">
        <v>73</v>
      </c>
      <c r="B200" s="356" t="s">
        <v>1107</v>
      </c>
      <c r="C200" s="357" t="s">
        <v>2208</v>
      </c>
      <c r="D200" s="357">
        <v>1.0</v>
      </c>
      <c r="E200" s="353"/>
      <c r="F200" s="353"/>
      <c r="G200" s="312"/>
      <c r="H200" s="352"/>
      <c r="I200" s="352"/>
      <c r="J200" s="352"/>
      <c r="K200" s="352"/>
      <c r="L200" s="352"/>
      <c r="M200" s="353" t="s">
        <v>2521</v>
      </c>
      <c r="N200" s="353" t="s">
        <v>2521</v>
      </c>
      <c r="O200" s="353" t="s">
        <v>2521</v>
      </c>
      <c r="P200" s="353" t="s">
        <v>2521</v>
      </c>
      <c r="Q200" s="353" t="s">
        <v>2521</v>
      </c>
      <c r="R200" s="353" t="s">
        <v>2521</v>
      </c>
      <c r="S200" s="358" t="s">
        <v>600</v>
      </c>
      <c r="T200" s="358" t="s">
        <v>600</v>
      </c>
      <c r="U200" s="358" t="s">
        <v>600</v>
      </c>
      <c r="V200" s="358" t="s">
        <v>600</v>
      </c>
      <c r="W200" s="358" t="s">
        <v>600</v>
      </c>
      <c r="X200" s="358" t="s">
        <v>600</v>
      </c>
      <c r="Y200" s="358" t="s">
        <v>600</v>
      </c>
      <c r="Z200" s="358" t="s">
        <v>600</v>
      </c>
      <c r="AA200" s="358" t="s">
        <v>600</v>
      </c>
      <c r="AB200" s="358" t="s">
        <v>600</v>
      </c>
      <c r="AC200" s="358" t="s">
        <v>600</v>
      </c>
      <c r="AD200" s="358" t="s">
        <v>600</v>
      </c>
      <c r="AE200" s="358" t="s">
        <v>600</v>
      </c>
      <c r="AF200" s="358" t="s">
        <v>600</v>
      </c>
      <c r="AG200" s="358" t="s">
        <v>600</v>
      </c>
      <c r="AH200" s="358" t="s">
        <v>600</v>
      </c>
      <c r="AI200" s="358" t="s">
        <v>600</v>
      </c>
      <c r="AJ200" s="358" t="s">
        <v>600</v>
      </c>
      <c r="AK200" s="358" t="s">
        <v>600</v>
      </c>
      <c r="AL200" s="358" t="s">
        <v>600</v>
      </c>
      <c r="AM200" s="358" t="s">
        <v>600</v>
      </c>
      <c r="AN200" s="358" t="s">
        <v>600</v>
      </c>
      <c r="AO200" s="358" t="s">
        <v>600</v>
      </c>
      <c r="AP200" s="358" t="s">
        <v>600</v>
      </c>
      <c r="AQ200" s="358" t="s">
        <v>600</v>
      </c>
      <c r="AR200" s="358" t="s">
        <v>600</v>
      </c>
      <c r="AS200" s="358" t="s">
        <v>600</v>
      </c>
      <c r="AT200" s="358" t="s">
        <v>600</v>
      </c>
      <c r="AU200" s="358" t="s">
        <v>600</v>
      </c>
      <c r="AV200" s="358" t="s">
        <v>600</v>
      </c>
      <c r="AW200" s="358" t="s">
        <v>600</v>
      </c>
      <c r="AX200" s="358" t="s">
        <v>600</v>
      </c>
      <c r="AY200" s="358" t="s">
        <v>600</v>
      </c>
      <c r="AZ200" s="358" t="s">
        <v>600</v>
      </c>
      <c r="BA200" s="358" t="s">
        <v>600</v>
      </c>
      <c r="BB200" s="358" t="s">
        <v>600</v>
      </c>
      <c r="BC200" s="358" t="s">
        <v>600</v>
      </c>
      <c r="BD200" s="358" t="s">
        <v>600</v>
      </c>
      <c r="BE200" s="358" t="s">
        <v>600</v>
      </c>
      <c r="BF200" s="358" t="s">
        <v>600</v>
      </c>
      <c r="BG200" s="358" t="s">
        <v>600</v>
      </c>
      <c r="BH200" s="358" t="s">
        <v>600</v>
      </c>
      <c r="BI200" s="358" t="s">
        <v>600</v>
      </c>
      <c r="BJ200" s="358" t="s">
        <v>600</v>
      </c>
      <c r="BK200" s="358" t="s">
        <v>600</v>
      </c>
      <c r="BL200" s="358" t="s">
        <v>600</v>
      </c>
      <c r="BM200" s="358" t="s">
        <v>600</v>
      </c>
      <c r="BN200" s="358" t="s">
        <v>600</v>
      </c>
      <c r="BO200" s="358" t="s">
        <v>600</v>
      </c>
      <c r="BP200" s="358" t="s">
        <v>600</v>
      </c>
      <c r="BQ200" s="358" t="s">
        <v>600</v>
      </c>
      <c r="BR200" s="358" t="s">
        <v>600</v>
      </c>
      <c r="BS200" s="358" t="s">
        <v>600</v>
      </c>
      <c r="BT200" s="358" t="s">
        <v>600</v>
      </c>
      <c r="BU200" s="358" t="s">
        <v>600</v>
      </c>
      <c r="BV200" s="358" t="s">
        <v>600</v>
      </c>
      <c r="BW200" s="358" t="s">
        <v>600</v>
      </c>
      <c r="BX200" s="358" t="s">
        <v>600</v>
      </c>
      <c r="BY200" s="358" t="s">
        <v>600</v>
      </c>
      <c r="BZ200" s="358" t="s">
        <v>600</v>
      </c>
      <c r="CA200" s="358" t="s">
        <v>600</v>
      </c>
      <c r="CB200" s="358" t="s">
        <v>600</v>
      </c>
      <c r="CC200" s="358" t="s">
        <v>600</v>
      </c>
      <c r="CD200" s="358" t="s">
        <v>600</v>
      </c>
      <c r="CE200" s="358" t="s">
        <v>600</v>
      </c>
      <c r="CF200" s="358" t="s">
        <v>600</v>
      </c>
      <c r="CG200" s="358" t="s">
        <v>600</v>
      </c>
      <c r="CH200" s="358" t="s">
        <v>600</v>
      </c>
      <c r="CI200" s="358" t="s">
        <v>600</v>
      </c>
      <c r="CJ200" s="358" t="s">
        <v>600</v>
      </c>
      <c r="CK200" s="358" t="s">
        <v>600</v>
      </c>
      <c r="CL200" s="358" t="s">
        <v>600</v>
      </c>
      <c r="CM200" s="358" t="s">
        <v>600</v>
      </c>
      <c r="CN200" s="358" t="s">
        <v>600</v>
      </c>
      <c r="CO200" s="358" t="s">
        <v>600</v>
      </c>
      <c r="CP200" s="358" t="s">
        <v>600</v>
      </c>
      <c r="CQ200" s="353"/>
      <c r="CR200" s="359">
        <v>2022.0</v>
      </c>
      <c r="CS200" s="343" t="s">
        <v>1569</v>
      </c>
      <c r="CT200" s="343" t="s">
        <v>135</v>
      </c>
      <c r="CU200" s="360" t="s">
        <v>600</v>
      </c>
      <c r="CV200" s="332" t="s">
        <v>75</v>
      </c>
      <c r="CW200" s="319"/>
      <c r="CX200" s="319"/>
      <c r="CY200" s="323">
        <f t="shared" si="84"/>
        <v>0.085</v>
      </c>
      <c r="CZ200" s="324">
        <v>0.535</v>
      </c>
      <c r="DA200" s="323">
        <v>0.45</v>
      </c>
      <c r="DB200" s="323"/>
      <c r="DC200" s="323">
        <f t="shared" si="85"/>
        <v>0.04</v>
      </c>
      <c r="DD200" s="324">
        <v>0.49700000000000005</v>
      </c>
      <c r="DE200" s="323">
        <v>0.457</v>
      </c>
      <c r="DF200" s="323"/>
      <c r="DG200" s="324">
        <v>0.7020000000000001</v>
      </c>
      <c r="DH200" s="323">
        <v>0.033</v>
      </c>
      <c r="DI200" s="323">
        <v>0.19699999999999998</v>
      </c>
      <c r="DJ200" s="323">
        <v>0.05</v>
      </c>
      <c r="DK200" s="323">
        <v>0.016</v>
      </c>
      <c r="DL200" s="323">
        <v>0.001</v>
      </c>
      <c r="DM200" s="323"/>
      <c r="DN200" s="323">
        <v>0.436</v>
      </c>
      <c r="DO200" s="323">
        <v>0.483</v>
      </c>
      <c r="DP200" s="323">
        <v>0.386</v>
      </c>
    </row>
    <row r="201">
      <c r="A201" s="356" t="s">
        <v>945</v>
      </c>
      <c r="B201" s="356" t="s">
        <v>144</v>
      </c>
      <c r="C201" s="357" t="s">
        <v>1661</v>
      </c>
      <c r="D201" s="357">
        <v>12.0</v>
      </c>
      <c r="E201" s="353"/>
      <c r="F201" s="353"/>
      <c r="G201" s="312"/>
      <c r="H201" s="352"/>
      <c r="I201" s="352"/>
      <c r="J201" s="352"/>
      <c r="K201" s="352"/>
      <c r="L201" s="352"/>
      <c r="M201" s="353" t="s">
        <v>2521</v>
      </c>
      <c r="N201" s="353" t="s">
        <v>2521</v>
      </c>
      <c r="O201" s="353" t="s">
        <v>2521</v>
      </c>
      <c r="P201" s="353" t="s">
        <v>2521</v>
      </c>
      <c r="Q201" s="353" t="s">
        <v>2521</v>
      </c>
      <c r="R201" s="353" t="s">
        <v>2521</v>
      </c>
      <c r="S201" s="358" t="s">
        <v>600</v>
      </c>
      <c r="T201" s="358" t="s">
        <v>600</v>
      </c>
      <c r="U201" s="358" t="s">
        <v>600</v>
      </c>
      <c r="V201" s="358" t="s">
        <v>600</v>
      </c>
      <c r="W201" s="358" t="s">
        <v>600</v>
      </c>
      <c r="X201" s="358" t="s">
        <v>600</v>
      </c>
      <c r="Y201" s="358" t="s">
        <v>600</v>
      </c>
      <c r="Z201" s="358" t="s">
        <v>600</v>
      </c>
      <c r="AA201" s="358" t="s">
        <v>600</v>
      </c>
      <c r="AB201" s="358" t="s">
        <v>600</v>
      </c>
      <c r="AC201" s="358" t="s">
        <v>600</v>
      </c>
      <c r="AD201" s="358" t="s">
        <v>600</v>
      </c>
      <c r="AE201" s="358" t="s">
        <v>600</v>
      </c>
      <c r="AF201" s="358" t="s">
        <v>600</v>
      </c>
      <c r="AG201" s="358" t="s">
        <v>600</v>
      </c>
      <c r="AH201" s="358" t="s">
        <v>600</v>
      </c>
      <c r="AI201" s="358" t="s">
        <v>600</v>
      </c>
      <c r="AJ201" s="358" t="s">
        <v>600</v>
      </c>
      <c r="AK201" s="358" t="s">
        <v>600</v>
      </c>
      <c r="AL201" s="358" t="s">
        <v>600</v>
      </c>
      <c r="AM201" s="358" t="s">
        <v>600</v>
      </c>
      <c r="AN201" s="358" t="s">
        <v>600</v>
      </c>
      <c r="AO201" s="358" t="s">
        <v>600</v>
      </c>
      <c r="AP201" s="358" t="s">
        <v>600</v>
      </c>
      <c r="AQ201" s="358" t="s">
        <v>600</v>
      </c>
      <c r="AR201" s="358" t="s">
        <v>600</v>
      </c>
      <c r="AS201" s="358" t="s">
        <v>600</v>
      </c>
      <c r="AT201" s="358" t="s">
        <v>600</v>
      </c>
      <c r="AU201" s="358" t="s">
        <v>600</v>
      </c>
      <c r="AV201" s="358" t="s">
        <v>600</v>
      </c>
      <c r="AW201" s="358" t="s">
        <v>600</v>
      </c>
      <c r="AX201" s="358" t="s">
        <v>600</v>
      </c>
      <c r="AY201" s="358" t="s">
        <v>600</v>
      </c>
      <c r="AZ201" s="358" t="s">
        <v>600</v>
      </c>
      <c r="BA201" s="358" t="s">
        <v>600</v>
      </c>
      <c r="BB201" s="358" t="s">
        <v>600</v>
      </c>
      <c r="BC201" s="358" t="s">
        <v>600</v>
      </c>
      <c r="BD201" s="358" t="s">
        <v>600</v>
      </c>
      <c r="BE201" s="358" t="s">
        <v>600</v>
      </c>
      <c r="BF201" s="358" t="s">
        <v>600</v>
      </c>
      <c r="BG201" s="358" t="s">
        <v>600</v>
      </c>
      <c r="BH201" s="358" t="s">
        <v>600</v>
      </c>
      <c r="BI201" s="358" t="s">
        <v>600</v>
      </c>
      <c r="BJ201" s="358" t="s">
        <v>600</v>
      </c>
      <c r="BK201" s="358" t="s">
        <v>600</v>
      </c>
      <c r="BL201" s="358" t="s">
        <v>600</v>
      </c>
      <c r="BM201" s="358" t="s">
        <v>600</v>
      </c>
      <c r="BN201" s="358" t="s">
        <v>600</v>
      </c>
      <c r="BO201" s="358" t="s">
        <v>600</v>
      </c>
      <c r="BP201" s="358" t="s">
        <v>600</v>
      </c>
      <c r="BQ201" s="358" t="s">
        <v>600</v>
      </c>
      <c r="BR201" s="358" t="s">
        <v>600</v>
      </c>
      <c r="BS201" s="358" t="s">
        <v>600</v>
      </c>
      <c r="BT201" s="358" t="s">
        <v>600</v>
      </c>
      <c r="BU201" s="358" t="s">
        <v>600</v>
      </c>
      <c r="BV201" s="358" t="s">
        <v>600</v>
      </c>
      <c r="BW201" s="358" t="s">
        <v>600</v>
      </c>
      <c r="BX201" s="358" t="s">
        <v>600</v>
      </c>
      <c r="BY201" s="358" t="s">
        <v>600</v>
      </c>
      <c r="BZ201" s="358" t="s">
        <v>600</v>
      </c>
      <c r="CA201" s="358" t="s">
        <v>600</v>
      </c>
      <c r="CB201" s="358" t="s">
        <v>600</v>
      </c>
      <c r="CC201" s="358" t="s">
        <v>600</v>
      </c>
      <c r="CD201" s="358" t="s">
        <v>600</v>
      </c>
      <c r="CE201" s="358" t="s">
        <v>600</v>
      </c>
      <c r="CF201" s="358" t="s">
        <v>600</v>
      </c>
      <c r="CG201" s="358" t="s">
        <v>600</v>
      </c>
      <c r="CH201" s="358" t="s">
        <v>600</v>
      </c>
      <c r="CI201" s="358" t="s">
        <v>600</v>
      </c>
      <c r="CJ201" s="358" t="s">
        <v>600</v>
      </c>
      <c r="CK201" s="358" t="s">
        <v>600</v>
      </c>
      <c r="CL201" s="358" t="s">
        <v>600</v>
      </c>
      <c r="CM201" s="358" t="s">
        <v>600</v>
      </c>
      <c r="CN201" s="358" t="s">
        <v>600</v>
      </c>
      <c r="CO201" s="358" t="s">
        <v>600</v>
      </c>
      <c r="CP201" s="358" t="s">
        <v>600</v>
      </c>
      <c r="CQ201" s="353"/>
      <c r="CR201" s="359">
        <v>2022.0</v>
      </c>
      <c r="CS201" s="320" t="s">
        <v>850</v>
      </c>
      <c r="CT201" s="320" t="s">
        <v>940</v>
      </c>
      <c r="CU201" s="360" t="s">
        <v>600</v>
      </c>
      <c r="CV201" s="327" t="s">
        <v>28</v>
      </c>
      <c r="CW201" s="319"/>
      <c r="CX201" s="319"/>
      <c r="CY201" s="323">
        <f t="shared" si="84"/>
        <v>0.199</v>
      </c>
      <c r="CZ201" s="324">
        <v>0.594</v>
      </c>
      <c r="DA201" s="323">
        <v>0.395</v>
      </c>
      <c r="DB201" s="323"/>
      <c r="DC201" s="323">
        <f t="shared" si="85"/>
        <v>0.175</v>
      </c>
      <c r="DD201" s="324">
        <v>0.5710000000000001</v>
      </c>
      <c r="DE201" s="323">
        <v>0.396</v>
      </c>
      <c r="DF201" s="323"/>
      <c r="DG201" s="324">
        <v>0.758</v>
      </c>
      <c r="DH201" s="323">
        <v>0.024</v>
      </c>
      <c r="DI201" s="323">
        <v>0.151</v>
      </c>
      <c r="DJ201" s="323">
        <v>0.052000000000000005</v>
      </c>
      <c r="DK201" s="323">
        <v>0.012</v>
      </c>
      <c r="DL201" s="323">
        <v>0.001</v>
      </c>
      <c r="DM201" s="323"/>
      <c r="DN201" s="323">
        <v>0.384</v>
      </c>
      <c r="DO201" s="323">
        <v>0.401</v>
      </c>
      <c r="DP201" s="323">
        <v>0.48200000000000004</v>
      </c>
    </row>
    <row r="202">
      <c r="A202" s="356" t="s">
        <v>767</v>
      </c>
      <c r="B202" s="356" t="s">
        <v>1226</v>
      </c>
      <c r="C202" s="357" t="s">
        <v>1206</v>
      </c>
      <c r="D202" s="357">
        <v>2.0</v>
      </c>
      <c r="E202" s="353"/>
      <c r="F202" s="353"/>
      <c r="G202" s="312"/>
      <c r="H202" s="352"/>
      <c r="I202" s="352"/>
      <c r="J202" s="352"/>
      <c r="K202" s="352"/>
      <c r="L202" s="352"/>
      <c r="M202" s="353" t="s">
        <v>2521</v>
      </c>
      <c r="N202" s="353" t="s">
        <v>2521</v>
      </c>
      <c r="O202" s="353" t="s">
        <v>2521</v>
      </c>
      <c r="P202" s="353" t="s">
        <v>2521</v>
      </c>
      <c r="Q202" s="353" t="s">
        <v>2521</v>
      </c>
      <c r="R202" s="353" t="s">
        <v>2521</v>
      </c>
      <c r="S202" s="358" t="s">
        <v>600</v>
      </c>
      <c r="T202" s="358" t="s">
        <v>600</v>
      </c>
      <c r="U202" s="358" t="s">
        <v>600</v>
      </c>
      <c r="V202" s="358" t="s">
        <v>600</v>
      </c>
      <c r="W202" s="358" t="s">
        <v>600</v>
      </c>
      <c r="X202" s="358" t="s">
        <v>600</v>
      </c>
      <c r="Y202" s="358" t="s">
        <v>600</v>
      </c>
      <c r="Z202" s="358" t="s">
        <v>600</v>
      </c>
      <c r="AA202" s="358" t="s">
        <v>600</v>
      </c>
      <c r="AB202" s="358" t="s">
        <v>600</v>
      </c>
      <c r="AC202" s="358" t="s">
        <v>600</v>
      </c>
      <c r="AD202" s="358" t="s">
        <v>600</v>
      </c>
      <c r="AE202" s="358" t="s">
        <v>600</v>
      </c>
      <c r="AF202" s="358" t="s">
        <v>600</v>
      </c>
      <c r="AG202" s="358" t="s">
        <v>600</v>
      </c>
      <c r="AH202" s="358" t="s">
        <v>600</v>
      </c>
      <c r="AI202" s="358" t="s">
        <v>600</v>
      </c>
      <c r="AJ202" s="358" t="s">
        <v>600</v>
      </c>
      <c r="AK202" s="358" t="s">
        <v>600</v>
      </c>
      <c r="AL202" s="358" t="s">
        <v>600</v>
      </c>
      <c r="AM202" s="358" t="s">
        <v>600</v>
      </c>
      <c r="AN202" s="358" t="s">
        <v>600</v>
      </c>
      <c r="AO202" s="358" t="s">
        <v>600</v>
      </c>
      <c r="AP202" s="358" t="s">
        <v>600</v>
      </c>
      <c r="AQ202" s="358" t="s">
        <v>600</v>
      </c>
      <c r="AR202" s="358" t="s">
        <v>600</v>
      </c>
      <c r="AS202" s="358" t="s">
        <v>600</v>
      </c>
      <c r="AT202" s="358" t="s">
        <v>600</v>
      </c>
      <c r="AU202" s="358" t="s">
        <v>600</v>
      </c>
      <c r="AV202" s="358" t="s">
        <v>600</v>
      </c>
      <c r="AW202" s="358" t="s">
        <v>600</v>
      </c>
      <c r="AX202" s="358" t="s">
        <v>600</v>
      </c>
      <c r="AY202" s="358" t="s">
        <v>600</v>
      </c>
      <c r="AZ202" s="358" t="s">
        <v>600</v>
      </c>
      <c r="BA202" s="358" t="s">
        <v>600</v>
      </c>
      <c r="BB202" s="358" t="s">
        <v>600</v>
      </c>
      <c r="BC202" s="358" t="s">
        <v>600</v>
      </c>
      <c r="BD202" s="358" t="s">
        <v>600</v>
      </c>
      <c r="BE202" s="358" t="s">
        <v>600</v>
      </c>
      <c r="BF202" s="358" t="s">
        <v>600</v>
      </c>
      <c r="BG202" s="358" t="s">
        <v>600</v>
      </c>
      <c r="BH202" s="358" t="s">
        <v>600</v>
      </c>
      <c r="BI202" s="358" t="s">
        <v>600</v>
      </c>
      <c r="BJ202" s="358" t="s">
        <v>600</v>
      </c>
      <c r="BK202" s="358" t="s">
        <v>600</v>
      </c>
      <c r="BL202" s="358" t="s">
        <v>600</v>
      </c>
      <c r="BM202" s="358" t="s">
        <v>600</v>
      </c>
      <c r="BN202" s="358" t="s">
        <v>600</v>
      </c>
      <c r="BO202" s="358" t="s">
        <v>600</v>
      </c>
      <c r="BP202" s="358" t="s">
        <v>600</v>
      </c>
      <c r="BQ202" s="358" t="s">
        <v>600</v>
      </c>
      <c r="BR202" s="358" t="s">
        <v>600</v>
      </c>
      <c r="BS202" s="358" t="s">
        <v>600</v>
      </c>
      <c r="BT202" s="358" t="s">
        <v>600</v>
      </c>
      <c r="BU202" s="358" t="s">
        <v>600</v>
      </c>
      <c r="BV202" s="358" t="s">
        <v>600</v>
      </c>
      <c r="BW202" s="358" t="s">
        <v>600</v>
      </c>
      <c r="BX202" s="358" t="s">
        <v>600</v>
      </c>
      <c r="BY202" s="358" t="s">
        <v>600</v>
      </c>
      <c r="BZ202" s="358" t="s">
        <v>600</v>
      </c>
      <c r="CA202" s="358" t="s">
        <v>600</v>
      </c>
      <c r="CB202" s="358" t="s">
        <v>600</v>
      </c>
      <c r="CC202" s="358" t="s">
        <v>600</v>
      </c>
      <c r="CD202" s="358" t="s">
        <v>600</v>
      </c>
      <c r="CE202" s="358" t="s">
        <v>600</v>
      </c>
      <c r="CF202" s="358" t="s">
        <v>600</v>
      </c>
      <c r="CG202" s="358" t="s">
        <v>600</v>
      </c>
      <c r="CH202" s="358" t="s">
        <v>600</v>
      </c>
      <c r="CI202" s="358" t="s">
        <v>600</v>
      </c>
      <c r="CJ202" s="358" t="s">
        <v>600</v>
      </c>
      <c r="CK202" s="358" t="s">
        <v>600</v>
      </c>
      <c r="CL202" s="358" t="s">
        <v>600</v>
      </c>
      <c r="CM202" s="358" t="s">
        <v>600</v>
      </c>
      <c r="CN202" s="358" t="s">
        <v>600</v>
      </c>
      <c r="CO202" s="358" t="s">
        <v>600</v>
      </c>
      <c r="CP202" s="358" t="s">
        <v>600</v>
      </c>
      <c r="CQ202" s="353"/>
      <c r="CR202" s="359">
        <v>2022.0</v>
      </c>
      <c r="CS202" s="353"/>
      <c r="CT202" s="343" t="s">
        <v>135</v>
      </c>
      <c r="CU202" s="360" t="s">
        <v>600</v>
      </c>
      <c r="CV202" s="332" t="s">
        <v>75</v>
      </c>
      <c r="CW202" s="319"/>
      <c r="CX202" s="319"/>
      <c r="CY202" s="323">
        <f t="shared" si="84"/>
        <v>0.137</v>
      </c>
      <c r="CZ202" s="324">
        <v>0.561</v>
      </c>
      <c r="DA202" s="323">
        <v>0.424</v>
      </c>
      <c r="DB202" s="323"/>
      <c r="DC202" s="323">
        <f t="shared" si="85"/>
        <v>0.073</v>
      </c>
      <c r="DD202" s="324">
        <v>0.502</v>
      </c>
      <c r="DE202" s="323">
        <v>0.429</v>
      </c>
      <c r="DF202" s="323"/>
      <c r="DG202" s="324">
        <v>0.768</v>
      </c>
      <c r="DH202" s="323">
        <v>0.125</v>
      </c>
      <c r="DI202" s="323">
        <v>0.057</v>
      </c>
      <c r="DJ202" s="323">
        <v>0.038</v>
      </c>
      <c r="DK202" s="323">
        <v>0.019</v>
      </c>
      <c r="DL202" s="323">
        <v>0.002</v>
      </c>
      <c r="DM202" s="323"/>
      <c r="DN202" s="323">
        <v>0.345</v>
      </c>
      <c r="DO202" s="323">
        <v>0.369</v>
      </c>
      <c r="DP202" s="324">
        <v>0.523</v>
      </c>
    </row>
    <row r="203">
      <c r="A203" s="356" t="s">
        <v>670</v>
      </c>
      <c r="B203" s="356" t="s">
        <v>671</v>
      </c>
      <c r="C203" s="357" t="s">
        <v>2859</v>
      </c>
      <c r="D203" s="357">
        <v>3.0</v>
      </c>
      <c r="E203" s="353"/>
      <c r="F203" s="353"/>
      <c r="G203" s="312"/>
      <c r="H203" s="352"/>
      <c r="I203" s="352"/>
      <c r="J203" s="352"/>
      <c r="K203" s="352"/>
      <c r="L203" s="352"/>
      <c r="M203" s="353" t="s">
        <v>2521</v>
      </c>
      <c r="N203" s="353" t="s">
        <v>2521</v>
      </c>
      <c r="O203" s="353" t="s">
        <v>2521</v>
      </c>
      <c r="P203" s="353" t="s">
        <v>2521</v>
      </c>
      <c r="Q203" s="353" t="s">
        <v>2521</v>
      </c>
      <c r="R203" s="353" t="s">
        <v>2521</v>
      </c>
      <c r="S203" s="358" t="s">
        <v>600</v>
      </c>
      <c r="T203" s="358" t="s">
        <v>600</v>
      </c>
      <c r="U203" s="358" t="s">
        <v>600</v>
      </c>
      <c r="V203" s="358" t="s">
        <v>600</v>
      </c>
      <c r="W203" s="358" t="s">
        <v>600</v>
      </c>
      <c r="X203" s="358" t="s">
        <v>600</v>
      </c>
      <c r="Y203" s="358" t="s">
        <v>600</v>
      </c>
      <c r="Z203" s="358" t="s">
        <v>600</v>
      </c>
      <c r="AA203" s="358" t="s">
        <v>600</v>
      </c>
      <c r="AB203" s="358" t="s">
        <v>600</v>
      </c>
      <c r="AC203" s="358" t="s">
        <v>600</v>
      </c>
      <c r="AD203" s="358" t="s">
        <v>600</v>
      </c>
      <c r="AE203" s="358" t="s">
        <v>600</v>
      </c>
      <c r="AF203" s="358" t="s">
        <v>600</v>
      </c>
      <c r="AG203" s="358" t="s">
        <v>600</v>
      </c>
      <c r="AH203" s="358" t="s">
        <v>600</v>
      </c>
      <c r="AI203" s="358" t="s">
        <v>600</v>
      </c>
      <c r="AJ203" s="358" t="s">
        <v>600</v>
      </c>
      <c r="AK203" s="358" t="s">
        <v>600</v>
      </c>
      <c r="AL203" s="358" t="s">
        <v>600</v>
      </c>
      <c r="AM203" s="358" t="s">
        <v>600</v>
      </c>
      <c r="AN203" s="358" t="s">
        <v>600</v>
      </c>
      <c r="AO203" s="358" t="s">
        <v>600</v>
      </c>
      <c r="AP203" s="358" t="s">
        <v>600</v>
      </c>
      <c r="AQ203" s="358" t="s">
        <v>600</v>
      </c>
      <c r="AR203" s="358" t="s">
        <v>600</v>
      </c>
      <c r="AS203" s="358" t="s">
        <v>600</v>
      </c>
      <c r="AT203" s="358" t="s">
        <v>600</v>
      </c>
      <c r="AU203" s="358" t="s">
        <v>600</v>
      </c>
      <c r="AV203" s="358" t="s">
        <v>600</v>
      </c>
      <c r="AW203" s="358" t="s">
        <v>600</v>
      </c>
      <c r="AX203" s="358" t="s">
        <v>600</v>
      </c>
      <c r="AY203" s="358" t="s">
        <v>600</v>
      </c>
      <c r="AZ203" s="358" t="s">
        <v>600</v>
      </c>
      <c r="BA203" s="358" t="s">
        <v>600</v>
      </c>
      <c r="BB203" s="358" t="s">
        <v>600</v>
      </c>
      <c r="BC203" s="358" t="s">
        <v>600</v>
      </c>
      <c r="BD203" s="358" t="s">
        <v>600</v>
      </c>
      <c r="BE203" s="358" t="s">
        <v>600</v>
      </c>
      <c r="BF203" s="358" t="s">
        <v>600</v>
      </c>
      <c r="BG203" s="358" t="s">
        <v>600</v>
      </c>
      <c r="BH203" s="358" t="s">
        <v>600</v>
      </c>
      <c r="BI203" s="358" t="s">
        <v>600</v>
      </c>
      <c r="BJ203" s="358" t="s">
        <v>600</v>
      </c>
      <c r="BK203" s="358" t="s">
        <v>600</v>
      </c>
      <c r="BL203" s="358" t="s">
        <v>600</v>
      </c>
      <c r="BM203" s="358" t="s">
        <v>600</v>
      </c>
      <c r="BN203" s="358" t="s">
        <v>600</v>
      </c>
      <c r="BO203" s="358" t="s">
        <v>600</v>
      </c>
      <c r="BP203" s="358" t="s">
        <v>600</v>
      </c>
      <c r="BQ203" s="358" t="s">
        <v>600</v>
      </c>
      <c r="BR203" s="358" t="s">
        <v>600</v>
      </c>
      <c r="BS203" s="358" t="s">
        <v>600</v>
      </c>
      <c r="BT203" s="358" t="s">
        <v>600</v>
      </c>
      <c r="BU203" s="358" t="s">
        <v>600</v>
      </c>
      <c r="BV203" s="358" t="s">
        <v>600</v>
      </c>
      <c r="BW203" s="358" t="s">
        <v>600</v>
      </c>
      <c r="BX203" s="358" t="s">
        <v>600</v>
      </c>
      <c r="BY203" s="358" t="s">
        <v>600</v>
      </c>
      <c r="BZ203" s="358" t="s">
        <v>600</v>
      </c>
      <c r="CA203" s="358" t="s">
        <v>600</v>
      </c>
      <c r="CB203" s="358" t="s">
        <v>600</v>
      </c>
      <c r="CC203" s="358" t="s">
        <v>600</v>
      </c>
      <c r="CD203" s="358" t="s">
        <v>600</v>
      </c>
      <c r="CE203" s="358" t="s">
        <v>600</v>
      </c>
      <c r="CF203" s="358" t="s">
        <v>600</v>
      </c>
      <c r="CG203" s="358" t="s">
        <v>600</v>
      </c>
      <c r="CH203" s="358" t="s">
        <v>600</v>
      </c>
      <c r="CI203" s="358" t="s">
        <v>600</v>
      </c>
      <c r="CJ203" s="358" t="s">
        <v>600</v>
      </c>
      <c r="CK203" s="358" t="s">
        <v>600</v>
      </c>
      <c r="CL203" s="358" t="s">
        <v>600</v>
      </c>
      <c r="CM203" s="358" t="s">
        <v>600</v>
      </c>
      <c r="CN203" s="358" t="s">
        <v>600</v>
      </c>
      <c r="CO203" s="358" t="s">
        <v>600</v>
      </c>
      <c r="CP203" s="358" t="s">
        <v>600</v>
      </c>
      <c r="CQ203" s="353"/>
      <c r="CR203" s="359">
        <v>2022.0</v>
      </c>
      <c r="CS203" s="343" t="s">
        <v>2860</v>
      </c>
      <c r="CT203" s="334" t="s">
        <v>2030</v>
      </c>
      <c r="CU203" s="360" t="s">
        <v>600</v>
      </c>
      <c r="CV203" s="332" t="s">
        <v>75</v>
      </c>
      <c r="CW203" s="319"/>
      <c r="CX203" s="319"/>
      <c r="CY203" s="323">
        <f t="shared" si="84"/>
        <v>0.223</v>
      </c>
      <c r="CZ203" s="324">
        <v>0.602</v>
      </c>
      <c r="DA203" s="323">
        <v>0.379</v>
      </c>
      <c r="DB203" s="323"/>
      <c r="DC203" s="323">
        <f t="shared" si="85"/>
        <v>0.154</v>
      </c>
      <c r="DD203" s="324">
        <v>0.551</v>
      </c>
      <c r="DE203" s="323">
        <v>0.397</v>
      </c>
      <c r="DF203" s="323"/>
      <c r="DG203" s="324">
        <v>0.6559999999999999</v>
      </c>
      <c r="DH203" s="323">
        <v>0.069</v>
      </c>
      <c r="DI203" s="323">
        <v>0.22</v>
      </c>
      <c r="DJ203" s="323">
        <v>0.037000000000000005</v>
      </c>
      <c r="DK203" s="323">
        <v>0.019</v>
      </c>
      <c r="DL203" s="323">
        <v>0.002</v>
      </c>
      <c r="DM203" s="323"/>
      <c r="DN203" s="323">
        <v>0.32799999999999996</v>
      </c>
      <c r="DO203" s="323">
        <v>0.369</v>
      </c>
      <c r="DP203" s="323">
        <v>0.45899999999999996</v>
      </c>
    </row>
    <row r="204">
      <c r="A204" s="356" t="s">
        <v>934</v>
      </c>
      <c r="B204" s="356" t="s">
        <v>935</v>
      </c>
      <c r="C204" s="357" t="s">
        <v>587</v>
      </c>
      <c r="D204" s="357">
        <v>8.0</v>
      </c>
      <c r="E204" s="353"/>
      <c r="F204" s="353"/>
      <c r="G204" s="312"/>
      <c r="H204" s="352"/>
      <c r="I204" s="352"/>
      <c r="J204" s="352"/>
      <c r="K204" s="352"/>
      <c r="L204" s="352"/>
      <c r="M204" s="353" t="s">
        <v>2521</v>
      </c>
      <c r="N204" s="353" t="s">
        <v>2521</v>
      </c>
      <c r="O204" s="353" t="s">
        <v>2521</v>
      </c>
      <c r="P204" s="353" t="s">
        <v>2521</v>
      </c>
      <c r="Q204" s="353" t="s">
        <v>2521</v>
      </c>
      <c r="R204" s="353" t="s">
        <v>2521</v>
      </c>
      <c r="S204" s="358" t="s">
        <v>600</v>
      </c>
      <c r="T204" s="358" t="s">
        <v>600</v>
      </c>
      <c r="U204" s="358" t="s">
        <v>600</v>
      </c>
      <c r="V204" s="358" t="s">
        <v>600</v>
      </c>
      <c r="W204" s="358" t="s">
        <v>600</v>
      </c>
      <c r="X204" s="358" t="s">
        <v>600</v>
      </c>
      <c r="Y204" s="358" t="s">
        <v>600</v>
      </c>
      <c r="Z204" s="358" t="s">
        <v>600</v>
      </c>
      <c r="AA204" s="358" t="s">
        <v>600</v>
      </c>
      <c r="AB204" s="358" t="s">
        <v>600</v>
      </c>
      <c r="AC204" s="358" t="s">
        <v>600</v>
      </c>
      <c r="AD204" s="358" t="s">
        <v>600</v>
      </c>
      <c r="AE204" s="358" t="s">
        <v>600</v>
      </c>
      <c r="AF204" s="358" t="s">
        <v>600</v>
      </c>
      <c r="AG204" s="358" t="s">
        <v>600</v>
      </c>
      <c r="AH204" s="358" t="s">
        <v>600</v>
      </c>
      <c r="AI204" s="358" t="s">
        <v>600</v>
      </c>
      <c r="AJ204" s="358" t="s">
        <v>600</v>
      </c>
      <c r="AK204" s="358" t="s">
        <v>600</v>
      </c>
      <c r="AL204" s="358" t="s">
        <v>600</v>
      </c>
      <c r="AM204" s="358" t="s">
        <v>600</v>
      </c>
      <c r="AN204" s="358" t="s">
        <v>600</v>
      </c>
      <c r="AO204" s="358" t="s">
        <v>600</v>
      </c>
      <c r="AP204" s="358" t="s">
        <v>600</v>
      </c>
      <c r="AQ204" s="358" t="s">
        <v>600</v>
      </c>
      <c r="AR204" s="358" t="s">
        <v>600</v>
      </c>
      <c r="AS204" s="358" t="s">
        <v>600</v>
      </c>
      <c r="AT204" s="358" t="s">
        <v>600</v>
      </c>
      <c r="AU204" s="358" t="s">
        <v>600</v>
      </c>
      <c r="AV204" s="358" t="s">
        <v>600</v>
      </c>
      <c r="AW204" s="358" t="s">
        <v>600</v>
      </c>
      <c r="AX204" s="358" t="s">
        <v>600</v>
      </c>
      <c r="AY204" s="358" t="s">
        <v>600</v>
      </c>
      <c r="AZ204" s="358" t="s">
        <v>600</v>
      </c>
      <c r="BA204" s="358" t="s">
        <v>600</v>
      </c>
      <c r="BB204" s="358" t="s">
        <v>600</v>
      </c>
      <c r="BC204" s="358" t="s">
        <v>600</v>
      </c>
      <c r="BD204" s="358" t="s">
        <v>600</v>
      </c>
      <c r="BE204" s="358" t="s">
        <v>600</v>
      </c>
      <c r="BF204" s="358" t="s">
        <v>600</v>
      </c>
      <c r="BG204" s="358" t="s">
        <v>600</v>
      </c>
      <c r="BH204" s="358" t="s">
        <v>600</v>
      </c>
      <c r="BI204" s="358" t="s">
        <v>600</v>
      </c>
      <c r="BJ204" s="358" t="s">
        <v>600</v>
      </c>
      <c r="BK204" s="358" t="s">
        <v>600</v>
      </c>
      <c r="BL204" s="358" t="s">
        <v>600</v>
      </c>
      <c r="BM204" s="358" t="s">
        <v>600</v>
      </c>
      <c r="BN204" s="358" t="s">
        <v>600</v>
      </c>
      <c r="BO204" s="358" t="s">
        <v>600</v>
      </c>
      <c r="BP204" s="358" t="s">
        <v>600</v>
      </c>
      <c r="BQ204" s="317" t="s">
        <v>600</v>
      </c>
      <c r="BR204" s="358" t="s">
        <v>600</v>
      </c>
      <c r="BS204" s="358" t="s">
        <v>600</v>
      </c>
      <c r="BT204" s="358" t="s">
        <v>600</v>
      </c>
      <c r="BU204" s="358" t="s">
        <v>600</v>
      </c>
      <c r="BV204" s="358" t="s">
        <v>600</v>
      </c>
      <c r="BW204" s="358" t="s">
        <v>600</v>
      </c>
      <c r="BX204" s="358" t="s">
        <v>600</v>
      </c>
      <c r="BY204" s="358" t="s">
        <v>600</v>
      </c>
      <c r="BZ204" s="358" t="s">
        <v>600</v>
      </c>
      <c r="CA204" s="358" t="s">
        <v>600</v>
      </c>
      <c r="CB204" s="358" t="s">
        <v>600</v>
      </c>
      <c r="CC204" s="358" t="s">
        <v>600</v>
      </c>
      <c r="CD204" s="358" t="s">
        <v>600</v>
      </c>
      <c r="CE204" s="358" t="s">
        <v>600</v>
      </c>
      <c r="CF204" s="358" t="s">
        <v>600</v>
      </c>
      <c r="CG204" s="358" t="s">
        <v>600</v>
      </c>
      <c r="CH204" s="358" t="s">
        <v>600</v>
      </c>
      <c r="CI204" s="358" t="s">
        <v>600</v>
      </c>
      <c r="CJ204" s="358" t="s">
        <v>600</v>
      </c>
      <c r="CK204" s="358" t="s">
        <v>600</v>
      </c>
      <c r="CL204" s="358" t="s">
        <v>600</v>
      </c>
      <c r="CM204" s="358" t="s">
        <v>600</v>
      </c>
      <c r="CN204" s="358" t="s">
        <v>600</v>
      </c>
      <c r="CO204" s="358" t="s">
        <v>600</v>
      </c>
      <c r="CP204" s="358" t="s">
        <v>600</v>
      </c>
      <c r="CQ204" s="353"/>
      <c r="CR204" s="359">
        <v>2022.0</v>
      </c>
      <c r="CS204" s="353"/>
      <c r="CT204" s="334" t="s">
        <v>2030</v>
      </c>
      <c r="CU204" s="360" t="s">
        <v>600</v>
      </c>
      <c r="CV204" s="320" t="s">
        <v>936</v>
      </c>
      <c r="CW204" s="319"/>
      <c r="CX204" s="319"/>
      <c r="CY204" s="323">
        <f t="shared" si="84"/>
        <v>0.453</v>
      </c>
      <c r="CZ204" s="324">
        <v>0.721</v>
      </c>
      <c r="DA204" s="323">
        <v>0.268</v>
      </c>
      <c r="DB204" s="323"/>
      <c r="DC204" s="323">
        <f t="shared" si="85"/>
        <v>0.543</v>
      </c>
      <c r="DD204" s="324">
        <v>0.757</v>
      </c>
      <c r="DE204" s="323">
        <v>0.214</v>
      </c>
      <c r="DF204" s="323"/>
      <c r="DG204" s="323">
        <v>0.268</v>
      </c>
      <c r="DH204" s="324">
        <v>0.489</v>
      </c>
      <c r="DI204" s="323">
        <v>0.11199999999999999</v>
      </c>
      <c r="DJ204" s="323">
        <v>0.133</v>
      </c>
      <c r="DK204" s="323">
        <v>0.022000000000000002</v>
      </c>
      <c r="DL204" s="323">
        <v>0.002</v>
      </c>
      <c r="DM204" s="323"/>
      <c r="DN204" s="323">
        <v>0.37</v>
      </c>
      <c r="DO204" s="324">
        <v>0.552</v>
      </c>
      <c r="DP204" s="323">
        <v>0.157</v>
      </c>
    </row>
    <row r="205">
      <c r="A205" s="356" t="s">
        <v>88</v>
      </c>
      <c r="B205" s="356" t="s">
        <v>484</v>
      </c>
      <c r="C205" s="357" t="s">
        <v>2827</v>
      </c>
      <c r="D205" s="357">
        <v>23.0</v>
      </c>
      <c r="E205" s="353"/>
      <c r="F205" s="353"/>
      <c r="G205" s="312"/>
      <c r="H205" s="352"/>
      <c r="I205" s="352"/>
      <c r="J205" s="352"/>
      <c r="K205" s="352"/>
      <c r="L205" s="352"/>
      <c r="M205" s="353" t="s">
        <v>2521</v>
      </c>
      <c r="N205" s="353" t="s">
        <v>2521</v>
      </c>
      <c r="O205" s="353" t="s">
        <v>2521</v>
      </c>
      <c r="P205" s="353" t="s">
        <v>2521</v>
      </c>
      <c r="Q205" s="353" t="s">
        <v>2521</v>
      </c>
      <c r="R205" s="353" t="s">
        <v>2521</v>
      </c>
      <c r="S205" s="358" t="s">
        <v>600</v>
      </c>
      <c r="T205" s="358" t="s">
        <v>600</v>
      </c>
      <c r="U205" s="358" t="s">
        <v>600</v>
      </c>
      <c r="V205" s="358" t="s">
        <v>600</v>
      </c>
      <c r="W205" s="358" t="s">
        <v>600</v>
      </c>
      <c r="X205" s="358" t="s">
        <v>600</v>
      </c>
      <c r="Y205" s="358" t="s">
        <v>600</v>
      </c>
      <c r="Z205" s="358" t="s">
        <v>600</v>
      </c>
      <c r="AA205" s="358" t="s">
        <v>600</v>
      </c>
      <c r="AB205" s="358" t="s">
        <v>600</v>
      </c>
      <c r="AC205" s="358" t="s">
        <v>600</v>
      </c>
      <c r="AD205" s="358" t="s">
        <v>600</v>
      </c>
      <c r="AE205" s="358" t="s">
        <v>600</v>
      </c>
      <c r="AF205" s="358" t="s">
        <v>600</v>
      </c>
      <c r="AG205" s="358" t="s">
        <v>600</v>
      </c>
      <c r="AH205" s="358" t="s">
        <v>600</v>
      </c>
      <c r="AI205" s="358" t="s">
        <v>600</v>
      </c>
      <c r="AJ205" s="358" t="s">
        <v>600</v>
      </c>
      <c r="AK205" s="358" t="s">
        <v>600</v>
      </c>
      <c r="AL205" s="358" t="s">
        <v>600</v>
      </c>
      <c r="AM205" s="358" t="s">
        <v>600</v>
      </c>
      <c r="AN205" s="358" t="s">
        <v>600</v>
      </c>
      <c r="AO205" s="358" t="s">
        <v>600</v>
      </c>
      <c r="AP205" s="358" t="s">
        <v>600</v>
      </c>
      <c r="AQ205" s="358" t="s">
        <v>600</v>
      </c>
      <c r="AR205" s="358" t="s">
        <v>600</v>
      </c>
      <c r="AS205" s="358" t="s">
        <v>600</v>
      </c>
      <c r="AT205" s="358" t="s">
        <v>600</v>
      </c>
      <c r="AU205" s="358" t="s">
        <v>600</v>
      </c>
      <c r="AV205" s="358" t="s">
        <v>600</v>
      </c>
      <c r="AW205" s="358" t="s">
        <v>600</v>
      </c>
      <c r="AX205" s="358" t="s">
        <v>600</v>
      </c>
      <c r="AY205" s="358" t="s">
        <v>600</v>
      </c>
      <c r="AZ205" s="358" t="s">
        <v>600</v>
      </c>
      <c r="BA205" s="358" t="s">
        <v>600</v>
      </c>
      <c r="BB205" s="358" t="s">
        <v>600</v>
      </c>
      <c r="BC205" s="358" t="s">
        <v>600</v>
      </c>
      <c r="BD205" s="358" t="s">
        <v>600</v>
      </c>
      <c r="BE205" s="358" t="s">
        <v>600</v>
      </c>
      <c r="BF205" s="358" t="s">
        <v>600</v>
      </c>
      <c r="BG205" s="358" t="s">
        <v>600</v>
      </c>
      <c r="BH205" s="358" t="s">
        <v>600</v>
      </c>
      <c r="BI205" s="358" t="s">
        <v>600</v>
      </c>
      <c r="BJ205" s="358" t="s">
        <v>600</v>
      </c>
      <c r="BK205" s="358" t="s">
        <v>600</v>
      </c>
      <c r="BL205" s="358" t="s">
        <v>600</v>
      </c>
      <c r="BM205" s="358" t="s">
        <v>600</v>
      </c>
      <c r="BN205" s="358" t="s">
        <v>600</v>
      </c>
      <c r="BO205" s="358" t="s">
        <v>600</v>
      </c>
      <c r="BP205" s="358" t="s">
        <v>600</v>
      </c>
      <c r="BQ205" s="358" t="s">
        <v>600</v>
      </c>
      <c r="BR205" s="358" t="s">
        <v>600</v>
      </c>
      <c r="BS205" s="358" t="s">
        <v>600</v>
      </c>
      <c r="BT205" s="358" t="s">
        <v>600</v>
      </c>
      <c r="BU205" s="358" t="s">
        <v>600</v>
      </c>
      <c r="BV205" s="358" t="s">
        <v>600</v>
      </c>
      <c r="BW205" s="358" t="s">
        <v>600</v>
      </c>
      <c r="BX205" s="358" t="s">
        <v>600</v>
      </c>
      <c r="BY205" s="358" t="s">
        <v>600</v>
      </c>
      <c r="BZ205" s="358" t="s">
        <v>600</v>
      </c>
      <c r="CA205" s="358" t="s">
        <v>600</v>
      </c>
      <c r="CB205" s="358" t="s">
        <v>600</v>
      </c>
      <c r="CC205" s="358" t="s">
        <v>600</v>
      </c>
      <c r="CD205" s="358" t="s">
        <v>600</v>
      </c>
      <c r="CE205" s="358" t="s">
        <v>600</v>
      </c>
      <c r="CF205" s="358" t="s">
        <v>600</v>
      </c>
      <c r="CG205" s="358" t="s">
        <v>600</v>
      </c>
      <c r="CH205" s="358" t="s">
        <v>600</v>
      </c>
      <c r="CI205" s="358" t="s">
        <v>600</v>
      </c>
      <c r="CJ205" s="358" t="s">
        <v>600</v>
      </c>
      <c r="CK205" s="358" t="s">
        <v>600</v>
      </c>
      <c r="CL205" s="358" t="s">
        <v>600</v>
      </c>
      <c r="CM205" s="358" t="s">
        <v>600</v>
      </c>
      <c r="CN205" s="358" t="s">
        <v>600</v>
      </c>
      <c r="CO205" s="358" t="s">
        <v>600</v>
      </c>
      <c r="CP205" s="358" t="s">
        <v>600</v>
      </c>
      <c r="CQ205" s="353"/>
      <c r="CR205" s="359">
        <v>2022.0</v>
      </c>
      <c r="CS205" s="343" t="s">
        <v>1569</v>
      </c>
      <c r="CT205" s="343" t="s">
        <v>135</v>
      </c>
      <c r="CU205" s="360" t="s">
        <v>600</v>
      </c>
      <c r="CV205" s="332" t="s">
        <v>75</v>
      </c>
      <c r="CW205" s="319"/>
      <c r="CX205" s="319"/>
      <c r="CY205" s="323">
        <f t="shared" si="84"/>
        <v>0.132</v>
      </c>
      <c r="CZ205" s="324">
        <v>0.563</v>
      </c>
      <c r="DA205" s="323">
        <v>0.431</v>
      </c>
      <c r="DB205" s="323"/>
      <c r="DC205" s="323">
        <f t="shared" si="85"/>
        <v>0.142</v>
      </c>
      <c r="DD205" s="324">
        <v>0.557</v>
      </c>
      <c r="DE205" s="323">
        <v>0.415</v>
      </c>
      <c r="DF205" s="323"/>
      <c r="DG205" s="324">
        <v>0.584</v>
      </c>
      <c r="DH205" s="323">
        <v>0.205</v>
      </c>
      <c r="DI205" s="323">
        <v>0.132</v>
      </c>
      <c r="DJ205" s="323">
        <v>0.044000000000000004</v>
      </c>
      <c r="DK205" s="323">
        <v>0.011000000000000001</v>
      </c>
      <c r="DL205" s="323">
        <v>0.002</v>
      </c>
      <c r="DM205" s="323"/>
      <c r="DN205" s="323">
        <v>0.424</v>
      </c>
      <c r="DO205" s="323">
        <v>0.461</v>
      </c>
      <c r="DP205" s="323">
        <v>0.361</v>
      </c>
    </row>
    <row r="206">
      <c r="A206" s="357" t="s">
        <v>160</v>
      </c>
      <c r="B206" s="357" t="s">
        <v>162</v>
      </c>
      <c r="C206" s="357" t="s">
        <v>1197</v>
      </c>
      <c r="D206" s="357">
        <v>15.0</v>
      </c>
      <c r="E206" s="353"/>
      <c r="F206" s="353"/>
      <c r="G206" s="312"/>
      <c r="H206" s="352"/>
      <c r="I206" s="352"/>
      <c r="J206" s="352"/>
      <c r="K206" s="352"/>
      <c r="L206" s="352"/>
      <c r="M206" s="353" t="s">
        <v>2521</v>
      </c>
      <c r="N206" s="353" t="s">
        <v>2521</v>
      </c>
      <c r="O206" s="353" t="s">
        <v>2521</v>
      </c>
      <c r="P206" s="353" t="s">
        <v>2521</v>
      </c>
      <c r="Q206" s="353" t="s">
        <v>2521</v>
      </c>
      <c r="R206" s="353" t="s">
        <v>2521</v>
      </c>
      <c r="S206" s="358" t="s">
        <v>600</v>
      </c>
      <c r="T206" s="358" t="s">
        <v>600</v>
      </c>
      <c r="U206" s="358" t="s">
        <v>600</v>
      </c>
      <c r="V206" s="358" t="s">
        <v>600</v>
      </c>
      <c r="W206" s="358" t="s">
        <v>600</v>
      </c>
      <c r="X206" s="358" t="s">
        <v>600</v>
      </c>
      <c r="Y206" s="358" t="s">
        <v>600</v>
      </c>
      <c r="Z206" s="358" t="s">
        <v>600</v>
      </c>
      <c r="AA206" s="358" t="s">
        <v>600</v>
      </c>
      <c r="AB206" s="358" t="s">
        <v>600</v>
      </c>
      <c r="AC206" s="358" t="s">
        <v>600</v>
      </c>
      <c r="AD206" s="358" t="s">
        <v>600</v>
      </c>
      <c r="AE206" s="358" t="s">
        <v>600</v>
      </c>
      <c r="AF206" s="358" t="s">
        <v>600</v>
      </c>
      <c r="AG206" s="358" t="s">
        <v>600</v>
      </c>
      <c r="AH206" s="358" t="s">
        <v>600</v>
      </c>
      <c r="AI206" s="358" t="s">
        <v>600</v>
      </c>
      <c r="AJ206" s="358" t="s">
        <v>600</v>
      </c>
      <c r="AK206" s="358" t="s">
        <v>600</v>
      </c>
      <c r="AL206" s="358" t="s">
        <v>600</v>
      </c>
      <c r="AM206" s="358" t="s">
        <v>600</v>
      </c>
      <c r="AN206" s="358" t="s">
        <v>600</v>
      </c>
      <c r="AO206" s="358" t="s">
        <v>600</v>
      </c>
      <c r="AP206" s="358" t="s">
        <v>600</v>
      </c>
      <c r="AQ206" s="358" t="s">
        <v>600</v>
      </c>
      <c r="AR206" s="358" t="s">
        <v>600</v>
      </c>
      <c r="AS206" s="358" t="s">
        <v>600</v>
      </c>
      <c r="AT206" s="358" t="s">
        <v>600</v>
      </c>
      <c r="AU206" s="358" t="s">
        <v>600</v>
      </c>
      <c r="AV206" s="358" t="s">
        <v>600</v>
      </c>
      <c r="AW206" s="358" t="s">
        <v>600</v>
      </c>
      <c r="AX206" s="358" t="s">
        <v>600</v>
      </c>
      <c r="AY206" s="358" t="s">
        <v>600</v>
      </c>
      <c r="AZ206" s="358" t="s">
        <v>600</v>
      </c>
      <c r="BA206" s="358" t="s">
        <v>600</v>
      </c>
      <c r="BB206" s="358" t="s">
        <v>600</v>
      </c>
      <c r="BC206" s="358" t="s">
        <v>600</v>
      </c>
      <c r="BD206" s="358" t="s">
        <v>600</v>
      </c>
      <c r="BE206" s="358" t="s">
        <v>600</v>
      </c>
      <c r="BF206" s="358" t="s">
        <v>600</v>
      </c>
      <c r="BG206" s="358" t="s">
        <v>600</v>
      </c>
      <c r="BH206" s="358" t="s">
        <v>600</v>
      </c>
      <c r="BI206" s="358" t="s">
        <v>600</v>
      </c>
      <c r="BJ206" s="358" t="s">
        <v>600</v>
      </c>
      <c r="BK206" s="358" t="s">
        <v>600</v>
      </c>
      <c r="BL206" s="358" t="s">
        <v>600</v>
      </c>
      <c r="BM206" s="358" t="s">
        <v>600</v>
      </c>
      <c r="BN206" s="358" t="s">
        <v>600</v>
      </c>
      <c r="BO206" s="358" t="s">
        <v>600</v>
      </c>
      <c r="BP206" s="358" t="s">
        <v>600</v>
      </c>
      <c r="BQ206" s="358" t="s">
        <v>600</v>
      </c>
      <c r="BR206" s="358" t="s">
        <v>600</v>
      </c>
      <c r="BS206" s="358" t="s">
        <v>600</v>
      </c>
      <c r="BT206" s="358" t="s">
        <v>600</v>
      </c>
      <c r="BU206" s="358" t="s">
        <v>600</v>
      </c>
      <c r="BV206" s="358" t="s">
        <v>600</v>
      </c>
      <c r="BW206" s="358" t="s">
        <v>600</v>
      </c>
      <c r="BX206" s="358" t="s">
        <v>600</v>
      </c>
      <c r="BY206" s="358" t="s">
        <v>600</v>
      </c>
      <c r="BZ206" s="358" t="s">
        <v>600</v>
      </c>
      <c r="CA206" s="358" t="s">
        <v>600</v>
      </c>
      <c r="CB206" s="358" t="s">
        <v>600</v>
      </c>
      <c r="CC206" s="358" t="s">
        <v>600</v>
      </c>
      <c r="CD206" s="358" t="s">
        <v>600</v>
      </c>
      <c r="CE206" s="358" t="s">
        <v>600</v>
      </c>
      <c r="CF206" s="358" t="s">
        <v>600</v>
      </c>
      <c r="CG206" s="358" t="s">
        <v>600</v>
      </c>
      <c r="CH206" s="358" t="s">
        <v>600</v>
      </c>
      <c r="CI206" s="358" t="s">
        <v>600</v>
      </c>
      <c r="CJ206" s="358" t="s">
        <v>600</v>
      </c>
      <c r="CK206" s="358" t="s">
        <v>600</v>
      </c>
      <c r="CL206" s="358" t="s">
        <v>600</v>
      </c>
      <c r="CM206" s="358" t="s">
        <v>600</v>
      </c>
      <c r="CN206" s="358" t="s">
        <v>600</v>
      </c>
      <c r="CO206" s="358" t="s">
        <v>600</v>
      </c>
      <c r="CP206" s="358" t="s">
        <v>600</v>
      </c>
      <c r="CQ206" s="353"/>
      <c r="CR206" s="359">
        <v>2022.0</v>
      </c>
      <c r="CS206" s="353"/>
      <c r="CT206" s="334" t="s">
        <v>2030</v>
      </c>
      <c r="CU206" s="360" t="s">
        <v>600</v>
      </c>
      <c r="CV206" s="332" t="s">
        <v>75</v>
      </c>
      <c r="CW206" s="319"/>
      <c r="CX206" s="319"/>
      <c r="CY206" s="323">
        <f t="shared" si="84"/>
        <v>0.573</v>
      </c>
      <c r="CZ206" s="324">
        <v>0.777</v>
      </c>
      <c r="DA206" s="323">
        <v>0.204</v>
      </c>
      <c r="DB206" s="323"/>
      <c r="DC206" s="323">
        <f t="shared" si="85"/>
        <v>0.594</v>
      </c>
      <c r="DD206" s="324">
        <v>0.773</v>
      </c>
      <c r="DE206" s="323">
        <v>0.179</v>
      </c>
      <c r="DF206" s="323"/>
      <c r="DG206" s="323">
        <v>0.302</v>
      </c>
      <c r="DH206" s="323">
        <v>0.24600000000000002</v>
      </c>
      <c r="DI206" s="323">
        <v>0.037000000000000005</v>
      </c>
      <c r="DJ206" s="324">
        <v>0.396</v>
      </c>
      <c r="DK206" s="323">
        <v>0.022000000000000002</v>
      </c>
      <c r="DL206" s="323">
        <v>0.018000000000000002</v>
      </c>
      <c r="DM206" s="323"/>
      <c r="DN206" s="323">
        <v>0.467</v>
      </c>
      <c r="DO206" s="324">
        <v>0.593</v>
      </c>
      <c r="DP206" s="323">
        <v>0.149</v>
      </c>
    </row>
    <row r="207">
      <c r="A207" s="356" t="s">
        <v>1098</v>
      </c>
      <c r="B207" s="356" t="s">
        <v>1099</v>
      </c>
      <c r="C207" s="357" t="s">
        <v>2835</v>
      </c>
      <c r="D207" s="357">
        <v>13.0</v>
      </c>
      <c r="E207" s="353"/>
      <c r="F207" s="353"/>
      <c r="G207" s="312"/>
      <c r="H207" s="352"/>
      <c r="I207" s="352"/>
      <c r="J207" s="352"/>
      <c r="K207" s="352"/>
      <c r="L207" s="352"/>
      <c r="M207" s="353" t="s">
        <v>2521</v>
      </c>
      <c r="N207" s="353" t="s">
        <v>2521</v>
      </c>
      <c r="O207" s="353" t="s">
        <v>2521</v>
      </c>
      <c r="P207" s="353" t="s">
        <v>2521</v>
      </c>
      <c r="Q207" s="353" t="s">
        <v>2521</v>
      </c>
      <c r="R207" s="353" t="s">
        <v>2521</v>
      </c>
      <c r="S207" s="358" t="s">
        <v>600</v>
      </c>
      <c r="T207" s="358" t="s">
        <v>600</v>
      </c>
      <c r="U207" s="358" t="s">
        <v>600</v>
      </c>
      <c r="V207" s="358" t="s">
        <v>600</v>
      </c>
      <c r="W207" s="358" t="s">
        <v>600</v>
      </c>
      <c r="X207" s="358" t="s">
        <v>600</v>
      </c>
      <c r="Y207" s="358" t="s">
        <v>600</v>
      </c>
      <c r="Z207" s="358" t="s">
        <v>600</v>
      </c>
      <c r="AA207" s="358" t="s">
        <v>600</v>
      </c>
      <c r="AB207" s="358" t="s">
        <v>600</v>
      </c>
      <c r="AC207" s="358" t="s">
        <v>600</v>
      </c>
      <c r="AD207" s="358" t="s">
        <v>600</v>
      </c>
      <c r="AE207" s="358" t="s">
        <v>600</v>
      </c>
      <c r="AF207" s="358" t="s">
        <v>600</v>
      </c>
      <c r="AG207" s="358" t="s">
        <v>600</v>
      </c>
      <c r="AH207" s="358" t="s">
        <v>600</v>
      </c>
      <c r="AI207" s="358" t="s">
        <v>600</v>
      </c>
      <c r="AJ207" s="358" t="s">
        <v>600</v>
      </c>
      <c r="AK207" s="358" t="s">
        <v>600</v>
      </c>
      <c r="AL207" s="358" t="s">
        <v>600</v>
      </c>
      <c r="AM207" s="358" t="s">
        <v>600</v>
      </c>
      <c r="AN207" s="358" t="s">
        <v>600</v>
      </c>
      <c r="AO207" s="358" t="s">
        <v>600</v>
      </c>
      <c r="AP207" s="358" t="s">
        <v>600</v>
      </c>
      <c r="AQ207" s="358" t="s">
        <v>600</v>
      </c>
      <c r="AR207" s="358" t="s">
        <v>600</v>
      </c>
      <c r="AS207" s="358" t="s">
        <v>600</v>
      </c>
      <c r="AT207" s="358" t="s">
        <v>600</v>
      </c>
      <c r="AU207" s="358" t="s">
        <v>600</v>
      </c>
      <c r="AV207" s="358" t="s">
        <v>600</v>
      </c>
      <c r="AW207" s="358" t="s">
        <v>600</v>
      </c>
      <c r="AX207" s="358" t="s">
        <v>600</v>
      </c>
      <c r="AY207" s="358" t="s">
        <v>600</v>
      </c>
      <c r="AZ207" s="358" t="s">
        <v>600</v>
      </c>
      <c r="BA207" s="358" t="s">
        <v>600</v>
      </c>
      <c r="BB207" s="358" t="s">
        <v>600</v>
      </c>
      <c r="BC207" s="358" t="s">
        <v>600</v>
      </c>
      <c r="BD207" s="358" t="s">
        <v>600</v>
      </c>
      <c r="BE207" s="358" t="s">
        <v>600</v>
      </c>
      <c r="BF207" s="358" t="s">
        <v>600</v>
      </c>
      <c r="BG207" s="358" t="s">
        <v>600</v>
      </c>
      <c r="BH207" s="358" t="s">
        <v>600</v>
      </c>
      <c r="BI207" s="358" t="s">
        <v>600</v>
      </c>
      <c r="BJ207" s="358" t="s">
        <v>600</v>
      </c>
      <c r="BK207" s="358" t="s">
        <v>600</v>
      </c>
      <c r="BL207" s="358" t="s">
        <v>600</v>
      </c>
      <c r="BM207" s="358" t="s">
        <v>600</v>
      </c>
      <c r="BN207" s="358" t="s">
        <v>600</v>
      </c>
      <c r="BO207" s="358" t="s">
        <v>600</v>
      </c>
      <c r="BP207" s="358" t="s">
        <v>600</v>
      </c>
      <c r="BQ207" s="358" t="s">
        <v>600</v>
      </c>
      <c r="BR207" s="358" t="s">
        <v>600</v>
      </c>
      <c r="BS207" s="358" t="s">
        <v>600</v>
      </c>
      <c r="BT207" s="358" t="s">
        <v>600</v>
      </c>
      <c r="BU207" s="358" t="s">
        <v>600</v>
      </c>
      <c r="BV207" s="358" t="s">
        <v>600</v>
      </c>
      <c r="BW207" s="358" t="s">
        <v>600</v>
      </c>
      <c r="BX207" s="358" t="s">
        <v>600</v>
      </c>
      <c r="BY207" s="358" t="s">
        <v>600</v>
      </c>
      <c r="BZ207" s="358" t="s">
        <v>600</v>
      </c>
      <c r="CA207" s="358" t="s">
        <v>600</v>
      </c>
      <c r="CB207" s="358" t="s">
        <v>600</v>
      </c>
      <c r="CC207" s="358" t="s">
        <v>600</v>
      </c>
      <c r="CD207" s="358" t="s">
        <v>600</v>
      </c>
      <c r="CE207" s="358" t="s">
        <v>600</v>
      </c>
      <c r="CF207" s="358" t="s">
        <v>600</v>
      </c>
      <c r="CG207" s="358" t="s">
        <v>600</v>
      </c>
      <c r="CH207" s="358" t="s">
        <v>600</v>
      </c>
      <c r="CI207" s="358" t="s">
        <v>600</v>
      </c>
      <c r="CJ207" s="358" t="s">
        <v>600</v>
      </c>
      <c r="CK207" s="358" t="s">
        <v>600</v>
      </c>
      <c r="CL207" s="358" t="s">
        <v>600</v>
      </c>
      <c r="CM207" s="358" t="s">
        <v>600</v>
      </c>
      <c r="CN207" s="358" t="s">
        <v>600</v>
      </c>
      <c r="CO207" s="358" t="s">
        <v>600</v>
      </c>
      <c r="CP207" s="358" t="s">
        <v>600</v>
      </c>
      <c r="CQ207" s="353"/>
      <c r="CR207" s="359">
        <v>2022.0</v>
      </c>
      <c r="CS207" s="343" t="s">
        <v>1569</v>
      </c>
      <c r="CT207" s="343" t="s">
        <v>135</v>
      </c>
      <c r="CU207" s="360" t="s">
        <v>600</v>
      </c>
      <c r="CV207" s="332" t="s">
        <v>75</v>
      </c>
      <c r="CW207" s="319"/>
      <c r="CX207" s="319"/>
      <c r="CY207" s="323">
        <f t="shared" si="84"/>
        <v>0.017</v>
      </c>
      <c r="CZ207" s="324">
        <v>0.501</v>
      </c>
      <c r="DA207" s="323">
        <v>0.484</v>
      </c>
      <c r="DB207" s="323"/>
      <c r="DC207" s="323">
        <f t="shared" si="85"/>
        <v>-0.024</v>
      </c>
      <c r="DD207" s="323">
        <v>0.466</v>
      </c>
      <c r="DE207" s="324">
        <v>0.49</v>
      </c>
      <c r="DF207" s="324"/>
      <c r="DG207" s="324">
        <v>0.618</v>
      </c>
      <c r="DH207" s="323">
        <v>0.11199999999999999</v>
      </c>
      <c r="DI207" s="323">
        <v>0.22</v>
      </c>
      <c r="DJ207" s="323">
        <v>0.033</v>
      </c>
      <c r="DK207" s="323">
        <v>0.022000000000000002</v>
      </c>
      <c r="DL207" s="323">
        <v>0.002</v>
      </c>
      <c r="DM207" s="323"/>
      <c r="DN207" s="323">
        <v>0.345</v>
      </c>
      <c r="DO207" s="323">
        <v>0.401</v>
      </c>
      <c r="DP207" s="323">
        <v>0.402</v>
      </c>
    </row>
    <row r="208">
      <c r="A208" s="356" t="s">
        <v>391</v>
      </c>
      <c r="B208" s="356" t="s">
        <v>392</v>
      </c>
      <c r="C208" s="357" t="s">
        <v>1291</v>
      </c>
      <c r="D208" s="357">
        <v>7.0</v>
      </c>
      <c r="E208" s="353"/>
      <c r="F208" s="353"/>
      <c r="G208" s="312"/>
      <c r="H208" s="352"/>
      <c r="I208" s="352"/>
      <c r="J208" s="352"/>
      <c r="K208" s="352"/>
      <c r="L208" s="352"/>
      <c r="M208" s="355" t="s">
        <v>2521</v>
      </c>
      <c r="N208" s="353" t="s">
        <v>2521</v>
      </c>
      <c r="O208" s="353" t="s">
        <v>2521</v>
      </c>
      <c r="P208" s="353" t="s">
        <v>2521</v>
      </c>
      <c r="Q208" s="353" t="s">
        <v>2521</v>
      </c>
      <c r="R208" s="353" t="s">
        <v>2521</v>
      </c>
      <c r="S208" s="358" t="s">
        <v>600</v>
      </c>
      <c r="T208" s="358" t="s">
        <v>600</v>
      </c>
      <c r="U208" s="358" t="s">
        <v>600</v>
      </c>
      <c r="V208" s="358" t="s">
        <v>600</v>
      </c>
      <c r="W208" s="358" t="s">
        <v>600</v>
      </c>
      <c r="X208" s="358" t="s">
        <v>600</v>
      </c>
      <c r="Y208" s="358" t="s">
        <v>600</v>
      </c>
      <c r="Z208" s="358" t="s">
        <v>600</v>
      </c>
      <c r="AA208" s="358" t="s">
        <v>600</v>
      </c>
      <c r="AB208" s="358" t="s">
        <v>600</v>
      </c>
      <c r="AC208" s="358" t="s">
        <v>600</v>
      </c>
      <c r="AD208" s="358" t="s">
        <v>600</v>
      </c>
      <c r="AE208" s="358" t="s">
        <v>600</v>
      </c>
      <c r="AF208" s="358" t="s">
        <v>600</v>
      </c>
      <c r="AG208" s="358" t="s">
        <v>600</v>
      </c>
      <c r="AH208" s="358" t="s">
        <v>600</v>
      </c>
      <c r="AI208" s="358" t="s">
        <v>600</v>
      </c>
      <c r="AJ208" s="358" t="s">
        <v>600</v>
      </c>
      <c r="AK208" s="358" t="s">
        <v>600</v>
      </c>
      <c r="AL208" s="358" t="s">
        <v>600</v>
      </c>
      <c r="AM208" s="358" t="s">
        <v>600</v>
      </c>
      <c r="AN208" s="358" t="s">
        <v>600</v>
      </c>
      <c r="AO208" s="358" t="s">
        <v>600</v>
      </c>
      <c r="AP208" s="358" t="s">
        <v>600</v>
      </c>
      <c r="AQ208" s="358" t="s">
        <v>600</v>
      </c>
      <c r="AR208" s="358" t="s">
        <v>600</v>
      </c>
      <c r="AS208" s="358" t="s">
        <v>600</v>
      </c>
      <c r="AT208" s="358" t="s">
        <v>600</v>
      </c>
      <c r="AU208" s="358" t="s">
        <v>600</v>
      </c>
      <c r="AV208" s="358" t="s">
        <v>600</v>
      </c>
      <c r="AW208" s="358" t="s">
        <v>600</v>
      </c>
      <c r="AX208" s="358" t="s">
        <v>600</v>
      </c>
      <c r="AY208" s="358" t="s">
        <v>600</v>
      </c>
      <c r="AZ208" s="358" t="s">
        <v>600</v>
      </c>
      <c r="BA208" s="358" t="s">
        <v>600</v>
      </c>
      <c r="BB208" s="358" t="s">
        <v>600</v>
      </c>
      <c r="BC208" s="358" t="s">
        <v>600</v>
      </c>
      <c r="BD208" s="358" t="s">
        <v>600</v>
      </c>
      <c r="BE208" s="358" t="s">
        <v>600</v>
      </c>
      <c r="BF208" s="358" t="s">
        <v>600</v>
      </c>
      <c r="BG208" s="358" t="s">
        <v>600</v>
      </c>
      <c r="BH208" s="358" t="s">
        <v>600</v>
      </c>
      <c r="BI208" s="358" t="s">
        <v>600</v>
      </c>
      <c r="BJ208" s="358" t="s">
        <v>600</v>
      </c>
      <c r="BK208" s="358" t="s">
        <v>600</v>
      </c>
      <c r="BL208" s="358" t="s">
        <v>600</v>
      </c>
      <c r="BM208" s="358" t="s">
        <v>600</v>
      </c>
      <c r="BN208" s="358" t="s">
        <v>600</v>
      </c>
      <c r="BO208" s="358" t="s">
        <v>600</v>
      </c>
      <c r="BP208" s="358" t="s">
        <v>600</v>
      </c>
      <c r="BQ208" s="358" t="s">
        <v>600</v>
      </c>
      <c r="BR208" s="358" t="s">
        <v>600</v>
      </c>
      <c r="BS208" s="358" t="s">
        <v>600</v>
      </c>
      <c r="BT208" s="358" t="s">
        <v>600</v>
      </c>
      <c r="BU208" s="358" t="s">
        <v>600</v>
      </c>
      <c r="BV208" s="358" t="s">
        <v>600</v>
      </c>
      <c r="BW208" s="358" t="s">
        <v>600</v>
      </c>
      <c r="BX208" s="358" t="s">
        <v>600</v>
      </c>
      <c r="BY208" s="358" t="s">
        <v>600</v>
      </c>
      <c r="BZ208" s="358" t="s">
        <v>600</v>
      </c>
      <c r="CA208" s="358" t="s">
        <v>600</v>
      </c>
      <c r="CB208" s="358" t="s">
        <v>600</v>
      </c>
      <c r="CC208" s="358" t="s">
        <v>600</v>
      </c>
      <c r="CD208" s="358" t="s">
        <v>600</v>
      </c>
      <c r="CE208" s="358" t="s">
        <v>600</v>
      </c>
      <c r="CF208" s="358" t="s">
        <v>600</v>
      </c>
      <c r="CG208" s="358" t="s">
        <v>600</v>
      </c>
      <c r="CH208" s="358" t="s">
        <v>600</v>
      </c>
      <c r="CI208" s="358" t="s">
        <v>600</v>
      </c>
      <c r="CJ208" s="358" t="s">
        <v>600</v>
      </c>
      <c r="CK208" s="358" t="s">
        <v>600</v>
      </c>
      <c r="CL208" s="358" t="s">
        <v>600</v>
      </c>
      <c r="CM208" s="358" t="s">
        <v>600</v>
      </c>
      <c r="CN208" s="358" t="s">
        <v>600</v>
      </c>
      <c r="CO208" s="358" t="s">
        <v>600</v>
      </c>
      <c r="CP208" s="358" t="s">
        <v>600</v>
      </c>
      <c r="CQ208" s="353"/>
      <c r="CR208" s="359">
        <v>2022.0</v>
      </c>
      <c r="CS208" s="343" t="s">
        <v>1569</v>
      </c>
      <c r="CT208" s="334" t="s">
        <v>2030</v>
      </c>
      <c r="CU208" s="360" t="s">
        <v>600</v>
      </c>
      <c r="CV208" s="332" t="s">
        <v>75</v>
      </c>
      <c r="CW208" s="319"/>
      <c r="CX208" s="319"/>
      <c r="CY208" s="323">
        <f t="shared" si="84"/>
        <v>0.142</v>
      </c>
      <c r="CZ208" s="324">
        <v>0.557</v>
      </c>
      <c r="DA208" s="323">
        <v>0.415</v>
      </c>
      <c r="DB208" s="323"/>
      <c r="DC208" s="323">
        <f t="shared" si="85"/>
        <v>0.029</v>
      </c>
      <c r="DD208" s="324">
        <v>0.47</v>
      </c>
      <c r="DE208" s="323">
        <v>0.441</v>
      </c>
      <c r="DF208" s="323"/>
      <c r="DG208" s="324">
        <v>0.774</v>
      </c>
      <c r="DH208" s="323">
        <v>0.133</v>
      </c>
      <c r="DI208" s="323">
        <v>0.02</v>
      </c>
      <c r="DJ208" s="323">
        <v>0.040999999999999995</v>
      </c>
      <c r="DK208" s="323">
        <v>0.032</v>
      </c>
      <c r="DL208" s="323">
        <v>0.002</v>
      </c>
      <c r="DM208" s="323"/>
      <c r="DN208" s="323">
        <v>0.43799999999999994</v>
      </c>
      <c r="DO208" s="323">
        <v>0.474</v>
      </c>
      <c r="DP208" s="323">
        <v>0.43200000000000005</v>
      </c>
    </row>
    <row r="209">
      <c r="A209" s="356" t="s">
        <v>579</v>
      </c>
      <c r="B209" s="356" t="s">
        <v>580</v>
      </c>
      <c r="C209" s="357" t="s">
        <v>848</v>
      </c>
      <c r="D209" s="357">
        <v>3.0</v>
      </c>
      <c r="E209" s="353"/>
      <c r="F209" s="353"/>
      <c r="G209" s="312"/>
      <c r="H209" s="352"/>
      <c r="I209" s="352"/>
      <c r="J209" s="352"/>
      <c r="K209" s="352"/>
      <c r="L209" s="352"/>
      <c r="M209" s="355" t="s">
        <v>2521</v>
      </c>
      <c r="N209" s="353" t="s">
        <v>2521</v>
      </c>
      <c r="O209" s="353" t="s">
        <v>2521</v>
      </c>
      <c r="P209" s="353" t="s">
        <v>2521</v>
      </c>
      <c r="Q209" s="353" t="s">
        <v>2521</v>
      </c>
      <c r="R209" s="353" t="s">
        <v>2521</v>
      </c>
      <c r="S209" s="358" t="s">
        <v>600</v>
      </c>
      <c r="T209" s="358" t="s">
        <v>600</v>
      </c>
      <c r="U209" s="358" t="s">
        <v>600</v>
      </c>
      <c r="V209" s="358" t="s">
        <v>600</v>
      </c>
      <c r="W209" s="358" t="s">
        <v>600</v>
      </c>
      <c r="X209" s="358" t="s">
        <v>600</v>
      </c>
      <c r="Y209" s="358" t="s">
        <v>600</v>
      </c>
      <c r="Z209" s="358" t="s">
        <v>600</v>
      </c>
      <c r="AA209" s="358" t="s">
        <v>600</v>
      </c>
      <c r="AB209" s="358" t="s">
        <v>600</v>
      </c>
      <c r="AC209" s="358" t="s">
        <v>600</v>
      </c>
      <c r="AD209" s="358" t="s">
        <v>600</v>
      </c>
      <c r="AE209" s="358" t="s">
        <v>600</v>
      </c>
      <c r="AF209" s="358" t="s">
        <v>600</v>
      </c>
      <c r="AG209" s="358" t="s">
        <v>600</v>
      </c>
      <c r="AH209" s="358" t="s">
        <v>600</v>
      </c>
      <c r="AI209" s="358" t="s">
        <v>600</v>
      </c>
      <c r="AJ209" s="358" t="s">
        <v>600</v>
      </c>
      <c r="AK209" s="358" t="s">
        <v>600</v>
      </c>
      <c r="AL209" s="358" t="s">
        <v>600</v>
      </c>
      <c r="AM209" s="358" t="s">
        <v>600</v>
      </c>
      <c r="AN209" s="358" t="s">
        <v>600</v>
      </c>
      <c r="AO209" s="358" t="s">
        <v>600</v>
      </c>
      <c r="AP209" s="358" t="s">
        <v>600</v>
      </c>
      <c r="AQ209" s="358" t="s">
        <v>600</v>
      </c>
      <c r="AR209" s="358" t="s">
        <v>600</v>
      </c>
      <c r="AS209" s="358" t="s">
        <v>600</v>
      </c>
      <c r="AT209" s="358" t="s">
        <v>600</v>
      </c>
      <c r="AU209" s="358" t="s">
        <v>600</v>
      </c>
      <c r="AV209" s="358" t="s">
        <v>600</v>
      </c>
      <c r="AW209" s="358" t="s">
        <v>600</v>
      </c>
      <c r="AX209" s="358" t="s">
        <v>600</v>
      </c>
      <c r="AY209" s="358" t="s">
        <v>600</v>
      </c>
      <c r="AZ209" s="358" t="s">
        <v>600</v>
      </c>
      <c r="BA209" s="358" t="s">
        <v>600</v>
      </c>
      <c r="BB209" s="358" t="s">
        <v>600</v>
      </c>
      <c r="BC209" s="358" t="s">
        <v>600</v>
      </c>
      <c r="BD209" s="358" t="s">
        <v>600</v>
      </c>
      <c r="BE209" s="358" t="s">
        <v>600</v>
      </c>
      <c r="BF209" s="358" t="s">
        <v>600</v>
      </c>
      <c r="BG209" s="358" t="s">
        <v>600</v>
      </c>
      <c r="BH209" s="358" t="s">
        <v>600</v>
      </c>
      <c r="BI209" s="358" t="s">
        <v>600</v>
      </c>
      <c r="BJ209" s="358" t="s">
        <v>600</v>
      </c>
      <c r="BK209" s="358" t="s">
        <v>600</v>
      </c>
      <c r="BL209" s="358" t="s">
        <v>600</v>
      </c>
      <c r="BM209" s="358" t="s">
        <v>600</v>
      </c>
      <c r="BN209" s="358" t="s">
        <v>600</v>
      </c>
      <c r="BO209" s="358" t="s">
        <v>600</v>
      </c>
      <c r="BP209" s="358" t="s">
        <v>600</v>
      </c>
      <c r="BQ209" s="358" t="s">
        <v>600</v>
      </c>
      <c r="BR209" s="358" t="s">
        <v>600</v>
      </c>
      <c r="BS209" s="358" t="s">
        <v>600</v>
      </c>
      <c r="BT209" s="358" t="s">
        <v>600</v>
      </c>
      <c r="BU209" s="358" t="s">
        <v>600</v>
      </c>
      <c r="BV209" s="358" t="s">
        <v>600</v>
      </c>
      <c r="BW209" s="358" t="s">
        <v>600</v>
      </c>
      <c r="BX209" s="358" t="s">
        <v>600</v>
      </c>
      <c r="BY209" s="358" t="s">
        <v>600</v>
      </c>
      <c r="BZ209" s="358" t="s">
        <v>600</v>
      </c>
      <c r="CA209" s="358" t="s">
        <v>600</v>
      </c>
      <c r="CB209" s="358" t="s">
        <v>600</v>
      </c>
      <c r="CC209" s="358" t="s">
        <v>600</v>
      </c>
      <c r="CD209" s="358" t="s">
        <v>600</v>
      </c>
      <c r="CE209" s="358" t="s">
        <v>600</v>
      </c>
      <c r="CF209" s="358" t="s">
        <v>600</v>
      </c>
      <c r="CG209" s="358" t="s">
        <v>600</v>
      </c>
      <c r="CH209" s="358" t="s">
        <v>600</v>
      </c>
      <c r="CI209" s="358" t="s">
        <v>600</v>
      </c>
      <c r="CJ209" s="358" t="s">
        <v>600</v>
      </c>
      <c r="CK209" s="358" t="s">
        <v>600</v>
      </c>
      <c r="CL209" s="358" t="s">
        <v>600</v>
      </c>
      <c r="CM209" s="358" t="s">
        <v>600</v>
      </c>
      <c r="CN209" s="358" t="s">
        <v>600</v>
      </c>
      <c r="CO209" s="358" t="s">
        <v>600</v>
      </c>
      <c r="CP209" s="358" t="s">
        <v>600</v>
      </c>
      <c r="CQ209" s="353"/>
      <c r="CR209" s="359">
        <v>2022.0</v>
      </c>
      <c r="CS209" s="320" t="s">
        <v>850</v>
      </c>
      <c r="CT209" s="319"/>
      <c r="CU209" s="360" t="s">
        <v>600</v>
      </c>
      <c r="CV209" s="320" t="s">
        <v>277</v>
      </c>
      <c r="CW209" s="319"/>
      <c r="CX209" s="319"/>
      <c r="CY209" s="323">
        <f t="shared" si="84"/>
        <v>0.414</v>
      </c>
      <c r="CZ209" s="324">
        <v>0.6970000000000001</v>
      </c>
      <c r="DA209" s="323">
        <v>0.28300000000000003</v>
      </c>
      <c r="DB209" s="323"/>
      <c r="DC209" s="323">
        <f t="shared" si="85"/>
        <v>0.445</v>
      </c>
      <c r="DD209" s="324">
        <v>0.691</v>
      </c>
      <c r="DE209" s="323">
        <v>0.24600000000000002</v>
      </c>
      <c r="DF209" s="323"/>
      <c r="DG209" s="323">
        <v>0.428</v>
      </c>
      <c r="DH209" s="324">
        <v>0.43799999999999994</v>
      </c>
      <c r="DI209" s="323">
        <v>0.06</v>
      </c>
      <c r="DJ209" s="323">
        <v>0.073</v>
      </c>
      <c r="DK209" s="323">
        <v>0.035</v>
      </c>
      <c r="DL209" s="323">
        <v>0.002</v>
      </c>
      <c r="DM209" s="323"/>
      <c r="DN209" s="323">
        <v>0.33799999999999997</v>
      </c>
      <c r="DO209" s="323">
        <v>0.478</v>
      </c>
      <c r="DP209" s="323">
        <v>0.268</v>
      </c>
    </row>
    <row r="210">
      <c r="A210" s="356" t="s">
        <v>2518</v>
      </c>
      <c r="B210" s="356" t="s">
        <v>2519</v>
      </c>
      <c r="C210" s="357" t="s">
        <v>532</v>
      </c>
      <c r="D210" s="357">
        <v>6.0</v>
      </c>
      <c r="E210" s="353"/>
      <c r="F210" s="353"/>
      <c r="G210" s="312"/>
      <c r="H210" s="353"/>
      <c r="I210" s="353"/>
      <c r="J210" s="353"/>
      <c r="K210" s="353"/>
      <c r="L210" s="353"/>
      <c r="M210" s="355" t="s">
        <v>2521</v>
      </c>
      <c r="N210" s="353" t="s">
        <v>2521</v>
      </c>
      <c r="O210" s="353" t="s">
        <v>2521</v>
      </c>
      <c r="P210" s="353" t="s">
        <v>2521</v>
      </c>
      <c r="Q210" s="353" t="s">
        <v>2521</v>
      </c>
      <c r="R210" s="353" t="s">
        <v>2521</v>
      </c>
      <c r="S210" s="358" t="s">
        <v>600</v>
      </c>
      <c r="T210" s="358" t="s">
        <v>600</v>
      </c>
      <c r="U210" s="358" t="s">
        <v>600</v>
      </c>
      <c r="V210" s="358" t="s">
        <v>600</v>
      </c>
      <c r="W210" s="358" t="s">
        <v>600</v>
      </c>
      <c r="X210" s="358" t="s">
        <v>600</v>
      </c>
      <c r="Y210" s="358" t="s">
        <v>600</v>
      </c>
      <c r="Z210" s="358" t="s">
        <v>600</v>
      </c>
      <c r="AA210" s="358" t="s">
        <v>600</v>
      </c>
      <c r="AB210" s="358" t="s">
        <v>600</v>
      </c>
      <c r="AC210" s="358" t="s">
        <v>600</v>
      </c>
      <c r="AD210" s="358" t="s">
        <v>600</v>
      </c>
      <c r="AE210" s="358" t="s">
        <v>600</v>
      </c>
      <c r="AF210" s="358" t="s">
        <v>600</v>
      </c>
      <c r="AG210" s="358" t="s">
        <v>600</v>
      </c>
      <c r="AH210" s="358" t="s">
        <v>600</v>
      </c>
      <c r="AI210" s="358" t="s">
        <v>600</v>
      </c>
      <c r="AJ210" s="358" t="s">
        <v>600</v>
      </c>
      <c r="AK210" s="358" t="s">
        <v>600</v>
      </c>
      <c r="AL210" s="358" t="s">
        <v>600</v>
      </c>
      <c r="AM210" s="358" t="s">
        <v>600</v>
      </c>
      <c r="AN210" s="358" t="s">
        <v>600</v>
      </c>
      <c r="AO210" s="358" t="s">
        <v>600</v>
      </c>
      <c r="AP210" s="358" t="s">
        <v>600</v>
      </c>
      <c r="AQ210" s="358" t="s">
        <v>600</v>
      </c>
      <c r="AR210" s="358" t="s">
        <v>600</v>
      </c>
      <c r="AS210" s="358" t="s">
        <v>600</v>
      </c>
      <c r="AT210" s="358" t="s">
        <v>600</v>
      </c>
      <c r="AU210" s="358" t="s">
        <v>600</v>
      </c>
      <c r="AV210" s="358" t="s">
        <v>600</v>
      </c>
      <c r="AW210" s="358" t="s">
        <v>600</v>
      </c>
      <c r="AX210" s="358" t="s">
        <v>600</v>
      </c>
      <c r="AY210" s="358" t="s">
        <v>600</v>
      </c>
      <c r="AZ210" s="358" t="s">
        <v>600</v>
      </c>
      <c r="BA210" s="358" t="s">
        <v>600</v>
      </c>
      <c r="BB210" s="358" t="s">
        <v>600</v>
      </c>
      <c r="BC210" s="358" t="s">
        <v>600</v>
      </c>
      <c r="BD210" s="358" t="s">
        <v>600</v>
      </c>
      <c r="BE210" s="358" t="s">
        <v>600</v>
      </c>
      <c r="BF210" s="358" t="s">
        <v>600</v>
      </c>
      <c r="BG210" s="358" t="s">
        <v>600</v>
      </c>
      <c r="BH210" s="358" t="s">
        <v>600</v>
      </c>
      <c r="BI210" s="358" t="s">
        <v>600</v>
      </c>
      <c r="BJ210" s="358" t="s">
        <v>600</v>
      </c>
      <c r="BK210" s="358" t="s">
        <v>600</v>
      </c>
      <c r="BL210" s="358" t="s">
        <v>600</v>
      </c>
      <c r="BM210" s="358" t="s">
        <v>600</v>
      </c>
      <c r="BN210" s="358" t="s">
        <v>600</v>
      </c>
      <c r="BO210" s="358" t="s">
        <v>600</v>
      </c>
      <c r="BP210" s="358" t="s">
        <v>600</v>
      </c>
      <c r="BQ210" s="358" t="s">
        <v>600</v>
      </c>
      <c r="BR210" s="358" t="s">
        <v>600</v>
      </c>
      <c r="BS210" s="358" t="s">
        <v>600</v>
      </c>
      <c r="BT210" s="358" t="s">
        <v>600</v>
      </c>
      <c r="BU210" s="358" t="s">
        <v>600</v>
      </c>
      <c r="BV210" s="358" t="s">
        <v>600</v>
      </c>
      <c r="BW210" s="358" t="s">
        <v>600</v>
      </c>
      <c r="BX210" s="358" t="s">
        <v>600</v>
      </c>
      <c r="BY210" s="358" t="s">
        <v>600</v>
      </c>
      <c r="BZ210" s="358" t="s">
        <v>600</v>
      </c>
      <c r="CA210" s="358" t="s">
        <v>600</v>
      </c>
      <c r="CB210" s="358" t="s">
        <v>600</v>
      </c>
      <c r="CC210" s="358" t="s">
        <v>600</v>
      </c>
      <c r="CD210" s="358" t="s">
        <v>600</v>
      </c>
      <c r="CE210" s="358" t="s">
        <v>600</v>
      </c>
      <c r="CF210" s="358" t="s">
        <v>600</v>
      </c>
      <c r="CG210" s="358" t="s">
        <v>600</v>
      </c>
      <c r="CH210" s="358" t="s">
        <v>600</v>
      </c>
      <c r="CI210" s="358" t="s">
        <v>600</v>
      </c>
      <c r="CJ210" s="358" t="s">
        <v>600</v>
      </c>
      <c r="CK210" s="358" t="s">
        <v>600</v>
      </c>
      <c r="CL210" s="358" t="s">
        <v>600</v>
      </c>
      <c r="CM210" s="358" t="s">
        <v>600</v>
      </c>
      <c r="CN210" s="358" t="s">
        <v>600</v>
      </c>
      <c r="CO210" s="358" t="s">
        <v>600</v>
      </c>
      <c r="CP210" s="358" t="s">
        <v>600</v>
      </c>
      <c r="CQ210" s="353"/>
      <c r="CR210" s="359">
        <v>2022.0</v>
      </c>
      <c r="CS210" s="353"/>
      <c r="CT210" s="353"/>
      <c r="CU210" s="360" t="s">
        <v>600</v>
      </c>
      <c r="CV210" s="320" t="s">
        <v>83</v>
      </c>
      <c r="CW210" s="336"/>
      <c r="CX210" s="336"/>
      <c r="CY210" s="336"/>
      <c r="CZ210" s="338">
        <v>0.552</v>
      </c>
      <c r="DA210" s="338">
        <v>0.42100000000000004</v>
      </c>
      <c r="DB210" s="338"/>
      <c r="DC210" s="336"/>
      <c r="DD210" s="338">
        <v>0.474</v>
      </c>
      <c r="DE210" s="338">
        <v>0.40700000000000003</v>
      </c>
      <c r="DF210" s="338"/>
      <c r="DG210" s="337">
        <v>0.7090000000000001</v>
      </c>
      <c r="DH210" s="338">
        <v>0.174</v>
      </c>
      <c r="DI210" s="338">
        <v>0.02</v>
      </c>
      <c r="DJ210" s="338">
        <v>0.051</v>
      </c>
      <c r="DK210" s="338">
        <v>0.040999999999999995</v>
      </c>
      <c r="DL210" s="338">
        <v>0.011000000000000001</v>
      </c>
      <c r="DM210" s="338"/>
      <c r="DN210" s="338">
        <v>0.332</v>
      </c>
      <c r="DO210" s="338">
        <v>0.365</v>
      </c>
      <c r="DP210" s="338">
        <v>0.507</v>
      </c>
    </row>
    <row r="211">
      <c r="A211" s="356" t="s">
        <v>793</v>
      </c>
      <c r="B211" s="356" t="s">
        <v>794</v>
      </c>
      <c r="C211" s="357" t="s">
        <v>815</v>
      </c>
      <c r="D211" s="357">
        <v>3.0</v>
      </c>
      <c r="E211" s="353"/>
      <c r="F211" s="353"/>
      <c r="G211" s="312"/>
      <c r="H211" s="352"/>
      <c r="I211" s="352"/>
      <c r="J211" s="352"/>
      <c r="K211" s="352"/>
      <c r="L211" s="352"/>
      <c r="M211" s="353" t="s">
        <v>2521</v>
      </c>
      <c r="N211" s="353" t="s">
        <v>2521</v>
      </c>
      <c r="O211" s="353" t="s">
        <v>2521</v>
      </c>
      <c r="P211" s="353" t="s">
        <v>2521</v>
      </c>
      <c r="Q211" s="353" t="s">
        <v>2521</v>
      </c>
      <c r="R211" s="353" t="s">
        <v>2521</v>
      </c>
      <c r="S211" s="358" t="s">
        <v>600</v>
      </c>
      <c r="T211" s="358" t="s">
        <v>600</v>
      </c>
      <c r="U211" s="358" t="s">
        <v>600</v>
      </c>
      <c r="V211" s="358" t="s">
        <v>600</v>
      </c>
      <c r="W211" s="358" t="s">
        <v>600</v>
      </c>
      <c r="X211" s="358" t="s">
        <v>600</v>
      </c>
      <c r="Y211" s="358" t="s">
        <v>600</v>
      </c>
      <c r="Z211" s="358" t="s">
        <v>600</v>
      </c>
      <c r="AA211" s="358" t="s">
        <v>600</v>
      </c>
      <c r="AB211" s="358" t="s">
        <v>600</v>
      </c>
      <c r="AC211" s="358" t="s">
        <v>600</v>
      </c>
      <c r="AD211" s="358" t="s">
        <v>600</v>
      </c>
      <c r="AE211" s="358" t="s">
        <v>600</v>
      </c>
      <c r="AF211" s="358" t="s">
        <v>600</v>
      </c>
      <c r="AG211" s="358" t="s">
        <v>600</v>
      </c>
      <c r="AH211" s="358" t="s">
        <v>600</v>
      </c>
      <c r="AI211" s="358" t="s">
        <v>600</v>
      </c>
      <c r="AJ211" s="358" t="s">
        <v>600</v>
      </c>
      <c r="AK211" s="358" t="s">
        <v>600</v>
      </c>
      <c r="AL211" s="358" t="s">
        <v>600</v>
      </c>
      <c r="AM211" s="358" t="s">
        <v>600</v>
      </c>
      <c r="AN211" s="358" t="s">
        <v>600</v>
      </c>
      <c r="AO211" s="358" t="s">
        <v>600</v>
      </c>
      <c r="AP211" s="358" t="s">
        <v>600</v>
      </c>
      <c r="AQ211" s="358" t="s">
        <v>600</v>
      </c>
      <c r="AR211" s="358" t="s">
        <v>600</v>
      </c>
      <c r="AS211" s="358" t="s">
        <v>600</v>
      </c>
      <c r="AT211" s="358" t="s">
        <v>600</v>
      </c>
      <c r="AU211" s="358" t="s">
        <v>600</v>
      </c>
      <c r="AV211" s="358" t="s">
        <v>600</v>
      </c>
      <c r="AW211" s="358" t="s">
        <v>600</v>
      </c>
      <c r="AX211" s="358" t="s">
        <v>600</v>
      </c>
      <c r="AY211" s="358" t="s">
        <v>600</v>
      </c>
      <c r="AZ211" s="358" t="s">
        <v>600</v>
      </c>
      <c r="BA211" s="358" t="s">
        <v>600</v>
      </c>
      <c r="BB211" s="358" t="s">
        <v>600</v>
      </c>
      <c r="BC211" s="358" t="s">
        <v>600</v>
      </c>
      <c r="BD211" s="358" t="s">
        <v>600</v>
      </c>
      <c r="BE211" s="358" t="s">
        <v>600</v>
      </c>
      <c r="BF211" s="358" t="s">
        <v>600</v>
      </c>
      <c r="BG211" s="358" t="s">
        <v>600</v>
      </c>
      <c r="BH211" s="358" t="s">
        <v>600</v>
      </c>
      <c r="BI211" s="358" t="s">
        <v>600</v>
      </c>
      <c r="BJ211" s="358" t="s">
        <v>600</v>
      </c>
      <c r="BK211" s="358" t="s">
        <v>600</v>
      </c>
      <c r="BL211" s="358" t="s">
        <v>600</v>
      </c>
      <c r="BM211" s="358" t="s">
        <v>600</v>
      </c>
      <c r="BN211" s="358" t="s">
        <v>600</v>
      </c>
      <c r="BO211" s="358" t="s">
        <v>600</v>
      </c>
      <c r="BP211" s="358" t="s">
        <v>600</v>
      </c>
      <c r="BQ211" s="358" t="s">
        <v>600</v>
      </c>
      <c r="BR211" s="358" t="s">
        <v>600</v>
      </c>
      <c r="BS211" s="358" t="s">
        <v>600</v>
      </c>
      <c r="BT211" s="358" t="s">
        <v>600</v>
      </c>
      <c r="BU211" s="358" t="s">
        <v>600</v>
      </c>
      <c r="BV211" s="358" t="s">
        <v>600</v>
      </c>
      <c r="BW211" s="358" t="s">
        <v>600</v>
      </c>
      <c r="BX211" s="358" t="s">
        <v>600</v>
      </c>
      <c r="BY211" s="358" t="s">
        <v>600</v>
      </c>
      <c r="BZ211" s="358" t="s">
        <v>600</v>
      </c>
      <c r="CA211" s="358" t="s">
        <v>600</v>
      </c>
      <c r="CB211" s="358" t="s">
        <v>600</v>
      </c>
      <c r="CC211" s="358" t="s">
        <v>600</v>
      </c>
      <c r="CD211" s="358" t="s">
        <v>600</v>
      </c>
      <c r="CE211" s="358" t="s">
        <v>600</v>
      </c>
      <c r="CF211" s="358" t="s">
        <v>600</v>
      </c>
      <c r="CG211" s="358" t="s">
        <v>600</v>
      </c>
      <c r="CH211" s="358" t="s">
        <v>600</v>
      </c>
      <c r="CI211" s="358" t="s">
        <v>600</v>
      </c>
      <c r="CJ211" s="358" t="s">
        <v>600</v>
      </c>
      <c r="CK211" s="358" t="s">
        <v>600</v>
      </c>
      <c r="CL211" s="358" t="s">
        <v>600</v>
      </c>
      <c r="CM211" s="358" t="s">
        <v>600</v>
      </c>
      <c r="CN211" s="358" t="s">
        <v>600</v>
      </c>
      <c r="CO211" s="358" t="s">
        <v>600</v>
      </c>
      <c r="CP211" s="358" t="s">
        <v>600</v>
      </c>
      <c r="CQ211" s="353"/>
      <c r="CR211" s="359">
        <v>2022.0</v>
      </c>
      <c r="CS211" s="343" t="s">
        <v>1569</v>
      </c>
      <c r="CT211" s="353"/>
      <c r="CU211" s="360" t="s">
        <v>600</v>
      </c>
      <c r="CV211" s="332" t="s">
        <v>75</v>
      </c>
      <c r="CW211" s="319"/>
      <c r="CX211" s="319"/>
      <c r="CY211" s="323">
        <f t="shared" ref="CY211:CY216" si="86">CZ211-DA211</f>
        <v>0.085</v>
      </c>
      <c r="CZ211" s="324">
        <v>0.5329999999999999</v>
      </c>
      <c r="DA211" s="323">
        <v>0.44799999999999995</v>
      </c>
      <c r="DB211" s="323"/>
      <c r="DC211" s="348">
        <f t="shared" ref="DC211:DC216" si="87">DD211-DE211</f>
        <v>0.001</v>
      </c>
      <c r="DD211" s="316">
        <v>0.467</v>
      </c>
      <c r="DE211" s="348">
        <v>0.466</v>
      </c>
      <c r="DF211" s="348"/>
      <c r="DG211" s="324">
        <v>0.74</v>
      </c>
      <c r="DH211" s="323">
        <v>0.08800000000000001</v>
      </c>
      <c r="DI211" s="323">
        <v>0.11699999999999999</v>
      </c>
      <c r="DJ211" s="323">
        <v>0.035</v>
      </c>
      <c r="DK211" s="323">
        <v>0.021</v>
      </c>
      <c r="DL211" s="323">
        <v>0.001</v>
      </c>
      <c r="DM211" s="323"/>
      <c r="DN211" s="323">
        <v>0.35200000000000004</v>
      </c>
      <c r="DO211" s="323">
        <v>0.391</v>
      </c>
      <c r="DP211" s="323">
        <v>0.485</v>
      </c>
    </row>
    <row r="212">
      <c r="A212" s="356" t="s">
        <v>151</v>
      </c>
      <c r="B212" s="356" t="s">
        <v>647</v>
      </c>
      <c r="C212" s="357" t="s">
        <v>848</v>
      </c>
      <c r="D212" s="357">
        <v>17.0</v>
      </c>
      <c r="E212" s="353"/>
      <c r="F212" s="353"/>
      <c r="G212" s="312"/>
      <c r="H212" s="352"/>
      <c r="I212" s="352"/>
      <c r="J212" s="352"/>
      <c r="K212" s="352"/>
      <c r="L212" s="352"/>
      <c r="M212" s="353" t="s">
        <v>2521</v>
      </c>
      <c r="N212" s="353" t="s">
        <v>2521</v>
      </c>
      <c r="O212" s="353" t="s">
        <v>2521</v>
      </c>
      <c r="P212" s="353" t="s">
        <v>2521</v>
      </c>
      <c r="Q212" s="353" t="s">
        <v>2521</v>
      </c>
      <c r="R212" s="353" t="s">
        <v>2521</v>
      </c>
      <c r="S212" s="358" t="s">
        <v>600</v>
      </c>
      <c r="T212" s="358" t="s">
        <v>600</v>
      </c>
      <c r="U212" s="358" t="s">
        <v>600</v>
      </c>
      <c r="V212" s="358" t="s">
        <v>600</v>
      </c>
      <c r="W212" s="358" t="s">
        <v>600</v>
      </c>
      <c r="X212" s="358" t="s">
        <v>600</v>
      </c>
      <c r="Y212" s="358" t="s">
        <v>600</v>
      </c>
      <c r="Z212" s="358" t="s">
        <v>600</v>
      </c>
      <c r="AA212" s="358" t="s">
        <v>600</v>
      </c>
      <c r="AB212" s="358" t="s">
        <v>600</v>
      </c>
      <c r="AC212" s="358" t="s">
        <v>600</v>
      </c>
      <c r="AD212" s="358" t="s">
        <v>600</v>
      </c>
      <c r="AE212" s="358" t="s">
        <v>600</v>
      </c>
      <c r="AF212" s="358" t="s">
        <v>600</v>
      </c>
      <c r="AG212" s="358" t="s">
        <v>600</v>
      </c>
      <c r="AH212" s="358" t="s">
        <v>600</v>
      </c>
      <c r="AI212" s="358" t="s">
        <v>600</v>
      </c>
      <c r="AJ212" s="358" t="s">
        <v>600</v>
      </c>
      <c r="AK212" s="358" t="s">
        <v>600</v>
      </c>
      <c r="AL212" s="358" t="s">
        <v>600</v>
      </c>
      <c r="AM212" s="358" t="s">
        <v>600</v>
      </c>
      <c r="AN212" s="358" t="s">
        <v>600</v>
      </c>
      <c r="AO212" s="358" t="s">
        <v>600</v>
      </c>
      <c r="AP212" s="358" t="s">
        <v>600</v>
      </c>
      <c r="AQ212" s="358" t="s">
        <v>600</v>
      </c>
      <c r="AR212" s="358" t="s">
        <v>600</v>
      </c>
      <c r="AS212" s="358" t="s">
        <v>600</v>
      </c>
      <c r="AT212" s="358" t="s">
        <v>600</v>
      </c>
      <c r="AU212" s="358" t="s">
        <v>600</v>
      </c>
      <c r="AV212" s="358" t="s">
        <v>600</v>
      </c>
      <c r="AW212" s="358" t="s">
        <v>600</v>
      </c>
      <c r="AX212" s="358" t="s">
        <v>600</v>
      </c>
      <c r="AY212" s="358" t="s">
        <v>600</v>
      </c>
      <c r="AZ212" s="358" t="s">
        <v>600</v>
      </c>
      <c r="BA212" s="358" t="s">
        <v>600</v>
      </c>
      <c r="BB212" s="358" t="s">
        <v>600</v>
      </c>
      <c r="BC212" s="358" t="s">
        <v>600</v>
      </c>
      <c r="BD212" s="358" t="s">
        <v>600</v>
      </c>
      <c r="BE212" s="358" t="s">
        <v>600</v>
      </c>
      <c r="BF212" s="358" t="s">
        <v>600</v>
      </c>
      <c r="BG212" s="358" t="s">
        <v>600</v>
      </c>
      <c r="BH212" s="358" t="s">
        <v>600</v>
      </c>
      <c r="BI212" s="358" t="s">
        <v>600</v>
      </c>
      <c r="BJ212" s="358" t="s">
        <v>600</v>
      </c>
      <c r="BK212" s="358" t="s">
        <v>600</v>
      </c>
      <c r="BL212" s="358" t="s">
        <v>600</v>
      </c>
      <c r="BM212" s="358" t="s">
        <v>600</v>
      </c>
      <c r="BN212" s="358" t="s">
        <v>600</v>
      </c>
      <c r="BO212" s="358" t="s">
        <v>600</v>
      </c>
      <c r="BP212" s="358" t="s">
        <v>600</v>
      </c>
      <c r="BQ212" s="358" t="s">
        <v>600</v>
      </c>
      <c r="BR212" s="358" t="s">
        <v>600</v>
      </c>
      <c r="BS212" s="358" t="s">
        <v>600</v>
      </c>
      <c r="BT212" s="358" t="s">
        <v>600</v>
      </c>
      <c r="BU212" s="358" t="s">
        <v>600</v>
      </c>
      <c r="BV212" s="358" t="s">
        <v>600</v>
      </c>
      <c r="BW212" s="358" t="s">
        <v>600</v>
      </c>
      <c r="BX212" s="358" t="s">
        <v>600</v>
      </c>
      <c r="BY212" s="358" t="s">
        <v>600</v>
      </c>
      <c r="BZ212" s="358" t="s">
        <v>600</v>
      </c>
      <c r="CA212" s="358" t="s">
        <v>600</v>
      </c>
      <c r="CB212" s="358" t="s">
        <v>600</v>
      </c>
      <c r="CC212" s="358" t="s">
        <v>600</v>
      </c>
      <c r="CD212" s="358" t="s">
        <v>600</v>
      </c>
      <c r="CE212" s="358" t="s">
        <v>600</v>
      </c>
      <c r="CF212" s="358" t="s">
        <v>600</v>
      </c>
      <c r="CG212" s="358" t="s">
        <v>600</v>
      </c>
      <c r="CH212" s="358" t="s">
        <v>600</v>
      </c>
      <c r="CI212" s="358" t="s">
        <v>600</v>
      </c>
      <c r="CJ212" s="358" t="s">
        <v>600</v>
      </c>
      <c r="CK212" s="358" t="s">
        <v>600</v>
      </c>
      <c r="CL212" s="358" t="s">
        <v>600</v>
      </c>
      <c r="CM212" s="358" t="s">
        <v>600</v>
      </c>
      <c r="CN212" s="358" t="s">
        <v>600</v>
      </c>
      <c r="CO212" s="358" t="s">
        <v>600</v>
      </c>
      <c r="CP212" s="358" t="s">
        <v>600</v>
      </c>
      <c r="CQ212" s="353"/>
      <c r="CR212" s="359">
        <v>2022.0</v>
      </c>
      <c r="CS212" s="343" t="s">
        <v>1569</v>
      </c>
      <c r="CT212" s="343" t="s">
        <v>135</v>
      </c>
      <c r="CU212" s="360" t="s">
        <v>600</v>
      </c>
      <c r="CV212" s="332" t="s">
        <v>75</v>
      </c>
      <c r="CW212" s="333" t="s">
        <v>304</v>
      </c>
      <c r="CX212" s="319"/>
      <c r="CY212" s="323">
        <f t="shared" si="86"/>
        <v>0.078</v>
      </c>
      <c r="CZ212" s="324">
        <v>0.527</v>
      </c>
      <c r="DA212" s="323">
        <v>0.449</v>
      </c>
      <c r="DB212" s="323"/>
      <c r="DC212" s="323">
        <f t="shared" si="87"/>
        <v>0.067</v>
      </c>
      <c r="DD212" s="324">
        <v>0.496</v>
      </c>
      <c r="DE212" s="323">
        <v>0.429</v>
      </c>
      <c r="DF212" s="323"/>
      <c r="DG212" s="324">
        <v>0.72</v>
      </c>
      <c r="DH212" s="323">
        <v>0.094</v>
      </c>
      <c r="DI212" s="323">
        <v>0.142</v>
      </c>
      <c r="DJ212" s="323">
        <v>0.026000000000000002</v>
      </c>
      <c r="DK212" s="323">
        <v>0.02</v>
      </c>
      <c r="DL212" s="323">
        <v>0.001</v>
      </c>
      <c r="DM212" s="323"/>
      <c r="DN212" s="323">
        <v>0.23600000000000002</v>
      </c>
      <c r="DO212" s="323">
        <v>0.257</v>
      </c>
      <c r="DP212" s="324">
        <v>0.583</v>
      </c>
    </row>
    <row r="213">
      <c r="A213" s="356" t="s">
        <v>1127</v>
      </c>
      <c r="B213" s="356" t="s">
        <v>1128</v>
      </c>
      <c r="C213" s="357" t="s">
        <v>2208</v>
      </c>
      <c r="D213" s="357">
        <v>13.0</v>
      </c>
      <c r="E213" s="353"/>
      <c r="F213" s="353"/>
      <c r="G213" s="312"/>
      <c r="H213" s="352"/>
      <c r="I213" s="352"/>
      <c r="J213" s="352"/>
      <c r="K213" s="352"/>
      <c r="L213" s="352"/>
      <c r="M213" s="353" t="s">
        <v>2521</v>
      </c>
      <c r="N213" s="353" t="s">
        <v>2521</v>
      </c>
      <c r="O213" s="353" t="s">
        <v>2521</v>
      </c>
      <c r="P213" s="353" t="s">
        <v>2521</v>
      </c>
      <c r="Q213" s="353" t="s">
        <v>2521</v>
      </c>
      <c r="R213" s="353" t="s">
        <v>2521</v>
      </c>
      <c r="S213" s="358" t="s">
        <v>600</v>
      </c>
      <c r="T213" s="358" t="s">
        <v>600</v>
      </c>
      <c r="U213" s="358" t="s">
        <v>600</v>
      </c>
      <c r="V213" s="358" t="s">
        <v>600</v>
      </c>
      <c r="W213" s="358" t="s">
        <v>600</v>
      </c>
      <c r="X213" s="358" t="s">
        <v>600</v>
      </c>
      <c r="Y213" s="358" t="s">
        <v>600</v>
      </c>
      <c r="Z213" s="358" t="s">
        <v>600</v>
      </c>
      <c r="AA213" s="358" t="s">
        <v>600</v>
      </c>
      <c r="AB213" s="358" t="s">
        <v>600</v>
      </c>
      <c r="AC213" s="358" t="s">
        <v>600</v>
      </c>
      <c r="AD213" s="358" t="s">
        <v>600</v>
      </c>
      <c r="AE213" s="358" t="s">
        <v>600</v>
      </c>
      <c r="AF213" s="358" t="s">
        <v>600</v>
      </c>
      <c r="AG213" s="358" t="s">
        <v>600</v>
      </c>
      <c r="AH213" s="358" t="s">
        <v>600</v>
      </c>
      <c r="AI213" s="358" t="s">
        <v>600</v>
      </c>
      <c r="AJ213" s="358" t="s">
        <v>600</v>
      </c>
      <c r="AK213" s="358" t="s">
        <v>600</v>
      </c>
      <c r="AL213" s="358" t="s">
        <v>600</v>
      </c>
      <c r="AM213" s="358" t="s">
        <v>600</v>
      </c>
      <c r="AN213" s="358" t="s">
        <v>600</v>
      </c>
      <c r="AO213" s="358" t="s">
        <v>600</v>
      </c>
      <c r="AP213" s="358" t="s">
        <v>600</v>
      </c>
      <c r="AQ213" s="358" t="s">
        <v>600</v>
      </c>
      <c r="AR213" s="358" t="s">
        <v>600</v>
      </c>
      <c r="AS213" s="358" t="s">
        <v>600</v>
      </c>
      <c r="AT213" s="358" t="s">
        <v>600</v>
      </c>
      <c r="AU213" s="358" t="s">
        <v>600</v>
      </c>
      <c r="AV213" s="358" t="s">
        <v>600</v>
      </c>
      <c r="AW213" s="358" t="s">
        <v>600</v>
      </c>
      <c r="AX213" s="358" t="s">
        <v>600</v>
      </c>
      <c r="AY213" s="358" t="s">
        <v>600</v>
      </c>
      <c r="AZ213" s="358" t="s">
        <v>600</v>
      </c>
      <c r="BA213" s="358" t="s">
        <v>600</v>
      </c>
      <c r="BB213" s="358" t="s">
        <v>600</v>
      </c>
      <c r="BC213" s="358" t="s">
        <v>600</v>
      </c>
      <c r="BD213" s="358" t="s">
        <v>600</v>
      </c>
      <c r="BE213" s="358" t="s">
        <v>600</v>
      </c>
      <c r="BF213" s="358" t="s">
        <v>600</v>
      </c>
      <c r="BG213" s="358" t="s">
        <v>600</v>
      </c>
      <c r="BH213" s="358" t="s">
        <v>600</v>
      </c>
      <c r="BI213" s="358" t="s">
        <v>600</v>
      </c>
      <c r="BJ213" s="358" t="s">
        <v>600</v>
      </c>
      <c r="BK213" s="358" t="s">
        <v>600</v>
      </c>
      <c r="BL213" s="358" t="s">
        <v>600</v>
      </c>
      <c r="BM213" s="358" t="s">
        <v>600</v>
      </c>
      <c r="BN213" s="358" t="s">
        <v>600</v>
      </c>
      <c r="BO213" s="358" t="s">
        <v>600</v>
      </c>
      <c r="BP213" s="358" t="s">
        <v>600</v>
      </c>
      <c r="BQ213" s="358" t="s">
        <v>600</v>
      </c>
      <c r="BR213" s="358" t="s">
        <v>600</v>
      </c>
      <c r="BS213" s="358" t="s">
        <v>600</v>
      </c>
      <c r="BT213" s="358" t="s">
        <v>600</v>
      </c>
      <c r="BU213" s="358" t="s">
        <v>600</v>
      </c>
      <c r="BV213" s="358" t="s">
        <v>600</v>
      </c>
      <c r="BW213" s="358" t="s">
        <v>600</v>
      </c>
      <c r="BX213" s="358" t="s">
        <v>600</v>
      </c>
      <c r="BY213" s="358" t="s">
        <v>600</v>
      </c>
      <c r="BZ213" s="358" t="s">
        <v>600</v>
      </c>
      <c r="CA213" s="358" t="s">
        <v>600</v>
      </c>
      <c r="CB213" s="358" t="s">
        <v>600</v>
      </c>
      <c r="CC213" s="358" t="s">
        <v>600</v>
      </c>
      <c r="CD213" s="358" t="s">
        <v>600</v>
      </c>
      <c r="CE213" s="358" t="s">
        <v>600</v>
      </c>
      <c r="CF213" s="358" t="s">
        <v>600</v>
      </c>
      <c r="CG213" s="358" t="s">
        <v>600</v>
      </c>
      <c r="CH213" s="358" t="s">
        <v>600</v>
      </c>
      <c r="CI213" s="358" t="s">
        <v>600</v>
      </c>
      <c r="CJ213" s="358" t="s">
        <v>600</v>
      </c>
      <c r="CK213" s="358" t="s">
        <v>600</v>
      </c>
      <c r="CL213" s="358" t="s">
        <v>600</v>
      </c>
      <c r="CM213" s="358" t="s">
        <v>600</v>
      </c>
      <c r="CN213" s="358" t="s">
        <v>600</v>
      </c>
      <c r="CO213" s="358" t="s">
        <v>600</v>
      </c>
      <c r="CP213" s="358" t="s">
        <v>600</v>
      </c>
      <c r="CQ213" s="353"/>
      <c r="CR213" s="359">
        <v>2022.0</v>
      </c>
      <c r="CS213" s="343" t="s">
        <v>1569</v>
      </c>
      <c r="CT213" s="343" t="s">
        <v>135</v>
      </c>
      <c r="CU213" s="360" t="s">
        <v>600</v>
      </c>
      <c r="CV213" s="327" t="s">
        <v>28</v>
      </c>
      <c r="CW213" s="319"/>
      <c r="CX213" s="319"/>
      <c r="CY213" s="323">
        <f t="shared" si="86"/>
        <v>0.028</v>
      </c>
      <c r="CZ213" s="324">
        <v>0.507</v>
      </c>
      <c r="DA213" s="323">
        <v>0.479</v>
      </c>
      <c r="DB213" s="323"/>
      <c r="DC213" s="323">
        <f t="shared" si="87"/>
        <v>0.021</v>
      </c>
      <c r="DD213" s="324">
        <v>0.489</v>
      </c>
      <c r="DE213" s="323">
        <v>0.46799999999999997</v>
      </c>
      <c r="DF213" s="323"/>
      <c r="DG213" s="324">
        <v>0.787</v>
      </c>
      <c r="DH213" s="323">
        <v>0.022000000000000002</v>
      </c>
      <c r="DI213" s="323">
        <v>0.134</v>
      </c>
      <c r="DJ213" s="323">
        <v>0.034</v>
      </c>
      <c r="DK213" s="323">
        <v>0.019</v>
      </c>
      <c r="DL213" s="323">
        <v>0.001</v>
      </c>
      <c r="DM213" s="323"/>
      <c r="DN213" s="323">
        <v>0.309</v>
      </c>
      <c r="DO213" s="323">
        <v>0.332</v>
      </c>
      <c r="DP213" s="324">
        <v>0.5529999999999999</v>
      </c>
    </row>
    <row r="214">
      <c r="A214" s="356" t="s">
        <v>827</v>
      </c>
      <c r="B214" s="356" t="s">
        <v>828</v>
      </c>
      <c r="C214" s="357" t="s">
        <v>815</v>
      </c>
      <c r="D214" s="357">
        <v>13.0</v>
      </c>
      <c r="E214" s="353"/>
      <c r="F214" s="353"/>
      <c r="G214" s="312"/>
      <c r="H214" s="352"/>
      <c r="I214" s="352"/>
      <c r="J214" s="352"/>
      <c r="K214" s="352"/>
      <c r="L214" s="352"/>
      <c r="M214" s="353" t="s">
        <v>2521</v>
      </c>
      <c r="N214" s="353" t="s">
        <v>2521</v>
      </c>
      <c r="O214" s="353" t="s">
        <v>2521</v>
      </c>
      <c r="P214" s="353" t="s">
        <v>2521</v>
      </c>
      <c r="Q214" s="353" t="s">
        <v>2521</v>
      </c>
      <c r="R214" s="353" t="s">
        <v>2521</v>
      </c>
      <c r="S214" s="358" t="s">
        <v>600</v>
      </c>
      <c r="T214" s="358" t="s">
        <v>600</v>
      </c>
      <c r="U214" s="358" t="s">
        <v>600</v>
      </c>
      <c r="V214" s="358" t="s">
        <v>600</v>
      </c>
      <c r="W214" s="358" t="s">
        <v>600</v>
      </c>
      <c r="X214" s="358" t="s">
        <v>600</v>
      </c>
      <c r="Y214" s="358" t="s">
        <v>600</v>
      </c>
      <c r="Z214" s="358" t="s">
        <v>600</v>
      </c>
      <c r="AA214" s="358" t="s">
        <v>600</v>
      </c>
      <c r="AB214" s="358" t="s">
        <v>600</v>
      </c>
      <c r="AC214" s="358" t="s">
        <v>600</v>
      </c>
      <c r="AD214" s="358" t="s">
        <v>600</v>
      </c>
      <c r="AE214" s="358" t="s">
        <v>600</v>
      </c>
      <c r="AF214" s="358" t="s">
        <v>600</v>
      </c>
      <c r="AG214" s="358" t="s">
        <v>600</v>
      </c>
      <c r="AH214" s="358" t="s">
        <v>600</v>
      </c>
      <c r="AI214" s="358" t="s">
        <v>600</v>
      </c>
      <c r="AJ214" s="358" t="s">
        <v>600</v>
      </c>
      <c r="AK214" s="358" t="s">
        <v>600</v>
      </c>
      <c r="AL214" s="358" t="s">
        <v>600</v>
      </c>
      <c r="AM214" s="358" t="s">
        <v>600</v>
      </c>
      <c r="AN214" s="358" t="s">
        <v>600</v>
      </c>
      <c r="AO214" s="358" t="s">
        <v>600</v>
      </c>
      <c r="AP214" s="358" t="s">
        <v>600</v>
      </c>
      <c r="AQ214" s="358" t="s">
        <v>600</v>
      </c>
      <c r="AR214" s="358" t="s">
        <v>600</v>
      </c>
      <c r="AS214" s="358" t="s">
        <v>600</v>
      </c>
      <c r="AT214" s="358" t="s">
        <v>600</v>
      </c>
      <c r="AU214" s="358" t="s">
        <v>600</v>
      </c>
      <c r="AV214" s="358" t="s">
        <v>600</v>
      </c>
      <c r="AW214" s="358" t="s">
        <v>600</v>
      </c>
      <c r="AX214" s="358" t="s">
        <v>600</v>
      </c>
      <c r="AY214" s="358" t="s">
        <v>600</v>
      </c>
      <c r="AZ214" s="358" t="s">
        <v>600</v>
      </c>
      <c r="BA214" s="358" t="s">
        <v>600</v>
      </c>
      <c r="BB214" s="358" t="s">
        <v>600</v>
      </c>
      <c r="BC214" s="358" t="s">
        <v>600</v>
      </c>
      <c r="BD214" s="358" t="s">
        <v>600</v>
      </c>
      <c r="BE214" s="358" t="s">
        <v>600</v>
      </c>
      <c r="BF214" s="358" t="s">
        <v>600</v>
      </c>
      <c r="BG214" s="358" t="s">
        <v>600</v>
      </c>
      <c r="BH214" s="358" t="s">
        <v>600</v>
      </c>
      <c r="BI214" s="358" t="s">
        <v>600</v>
      </c>
      <c r="BJ214" s="358" t="s">
        <v>600</v>
      </c>
      <c r="BK214" s="358" t="s">
        <v>600</v>
      </c>
      <c r="BL214" s="358" t="s">
        <v>600</v>
      </c>
      <c r="BM214" s="358" t="s">
        <v>600</v>
      </c>
      <c r="BN214" s="358" t="s">
        <v>600</v>
      </c>
      <c r="BO214" s="358" t="s">
        <v>600</v>
      </c>
      <c r="BP214" s="358" t="s">
        <v>600</v>
      </c>
      <c r="BQ214" s="358" t="s">
        <v>600</v>
      </c>
      <c r="BR214" s="358" t="s">
        <v>600</v>
      </c>
      <c r="BS214" s="358" t="s">
        <v>600</v>
      </c>
      <c r="BT214" s="358" t="s">
        <v>600</v>
      </c>
      <c r="BU214" s="358" t="s">
        <v>600</v>
      </c>
      <c r="BV214" s="358" t="s">
        <v>600</v>
      </c>
      <c r="BW214" s="358" t="s">
        <v>600</v>
      </c>
      <c r="BX214" s="358" t="s">
        <v>600</v>
      </c>
      <c r="BY214" s="358" t="s">
        <v>600</v>
      </c>
      <c r="BZ214" s="358" t="s">
        <v>600</v>
      </c>
      <c r="CA214" s="358" t="s">
        <v>600</v>
      </c>
      <c r="CB214" s="358" t="s">
        <v>600</v>
      </c>
      <c r="CC214" s="358" t="s">
        <v>600</v>
      </c>
      <c r="CD214" s="358" t="s">
        <v>600</v>
      </c>
      <c r="CE214" s="358" t="s">
        <v>600</v>
      </c>
      <c r="CF214" s="358" t="s">
        <v>600</v>
      </c>
      <c r="CG214" s="358" t="s">
        <v>600</v>
      </c>
      <c r="CH214" s="358" t="s">
        <v>600</v>
      </c>
      <c r="CI214" s="358" t="s">
        <v>600</v>
      </c>
      <c r="CJ214" s="358" t="s">
        <v>600</v>
      </c>
      <c r="CK214" s="358" t="s">
        <v>600</v>
      </c>
      <c r="CL214" s="358" t="s">
        <v>600</v>
      </c>
      <c r="CM214" s="358" t="s">
        <v>600</v>
      </c>
      <c r="CN214" s="358" t="s">
        <v>600</v>
      </c>
      <c r="CO214" s="358" t="s">
        <v>600</v>
      </c>
      <c r="CP214" s="358" t="s">
        <v>600</v>
      </c>
      <c r="CQ214" s="353"/>
      <c r="CR214" s="359">
        <v>2022.0</v>
      </c>
      <c r="CS214" s="343" t="s">
        <v>2860</v>
      </c>
      <c r="CT214" s="319"/>
      <c r="CU214" s="360" t="s">
        <v>600</v>
      </c>
      <c r="CV214" s="331" t="s">
        <v>105</v>
      </c>
      <c r="CW214" s="319"/>
      <c r="CX214" s="319"/>
      <c r="CY214" s="323">
        <f t="shared" si="86"/>
        <v>0.496</v>
      </c>
      <c r="CZ214" s="324">
        <v>0.742</v>
      </c>
      <c r="DA214" s="323">
        <v>0.24600000000000002</v>
      </c>
      <c r="DB214" s="323"/>
      <c r="DC214" s="323">
        <f t="shared" si="87"/>
        <v>0.514</v>
      </c>
      <c r="DD214" s="324">
        <v>0.741</v>
      </c>
      <c r="DE214" s="323">
        <v>0.22699999999999998</v>
      </c>
      <c r="DF214" s="323"/>
      <c r="DG214" s="323">
        <v>0.395</v>
      </c>
      <c r="DH214" s="323">
        <v>0.08800000000000001</v>
      </c>
      <c r="DI214" s="324">
        <v>0.469</v>
      </c>
      <c r="DJ214" s="323">
        <v>0.035</v>
      </c>
      <c r="DK214" s="323">
        <v>0.021</v>
      </c>
      <c r="DL214" s="323">
        <v>0.001</v>
      </c>
      <c r="DM214" s="323"/>
      <c r="DN214" s="323">
        <v>0.205</v>
      </c>
      <c r="DO214" s="323">
        <v>0.28</v>
      </c>
      <c r="DP214" s="323">
        <v>0.304</v>
      </c>
    </row>
    <row r="215">
      <c r="A215" s="356" t="s">
        <v>556</v>
      </c>
      <c r="B215" s="356" t="s">
        <v>557</v>
      </c>
      <c r="C215" s="357" t="s">
        <v>703</v>
      </c>
      <c r="D215" s="357">
        <v>2.0</v>
      </c>
      <c r="E215" s="353"/>
      <c r="F215" s="353"/>
      <c r="G215" s="312"/>
      <c r="H215" s="352"/>
      <c r="I215" s="352"/>
      <c r="J215" s="352"/>
      <c r="K215" s="352"/>
      <c r="L215" s="352"/>
      <c r="M215" s="353" t="s">
        <v>2521</v>
      </c>
      <c r="N215" s="353" t="s">
        <v>2521</v>
      </c>
      <c r="O215" s="353" t="s">
        <v>2521</v>
      </c>
      <c r="P215" s="353" t="s">
        <v>2521</v>
      </c>
      <c r="Q215" s="353" t="s">
        <v>2521</v>
      </c>
      <c r="R215" s="353" t="s">
        <v>2521</v>
      </c>
      <c r="S215" s="358" t="s">
        <v>600</v>
      </c>
      <c r="T215" s="358" t="s">
        <v>600</v>
      </c>
      <c r="U215" s="358" t="s">
        <v>600</v>
      </c>
      <c r="V215" s="358" t="s">
        <v>600</v>
      </c>
      <c r="W215" s="358" t="s">
        <v>600</v>
      </c>
      <c r="X215" s="358" t="s">
        <v>600</v>
      </c>
      <c r="Y215" s="358" t="s">
        <v>600</v>
      </c>
      <c r="Z215" s="358" t="s">
        <v>600</v>
      </c>
      <c r="AA215" s="358" t="s">
        <v>600</v>
      </c>
      <c r="AB215" s="358" t="s">
        <v>600</v>
      </c>
      <c r="AC215" s="358" t="s">
        <v>600</v>
      </c>
      <c r="AD215" s="358" t="s">
        <v>600</v>
      </c>
      <c r="AE215" s="358" t="s">
        <v>600</v>
      </c>
      <c r="AF215" s="358" t="s">
        <v>600</v>
      </c>
      <c r="AG215" s="358" t="s">
        <v>600</v>
      </c>
      <c r="AH215" s="358" t="s">
        <v>600</v>
      </c>
      <c r="AI215" s="358" t="s">
        <v>600</v>
      </c>
      <c r="AJ215" s="358" t="s">
        <v>600</v>
      </c>
      <c r="AK215" s="358" t="s">
        <v>600</v>
      </c>
      <c r="AL215" s="358" t="s">
        <v>600</v>
      </c>
      <c r="AM215" s="358" t="s">
        <v>600</v>
      </c>
      <c r="AN215" s="358" t="s">
        <v>600</v>
      </c>
      <c r="AO215" s="358" t="s">
        <v>600</v>
      </c>
      <c r="AP215" s="358" t="s">
        <v>600</v>
      </c>
      <c r="AQ215" s="358" t="s">
        <v>600</v>
      </c>
      <c r="AR215" s="358" t="s">
        <v>600</v>
      </c>
      <c r="AS215" s="358" t="s">
        <v>600</v>
      </c>
      <c r="AT215" s="358" t="s">
        <v>600</v>
      </c>
      <c r="AU215" s="358" t="s">
        <v>600</v>
      </c>
      <c r="AV215" s="358" t="s">
        <v>600</v>
      </c>
      <c r="AW215" s="358" t="s">
        <v>600</v>
      </c>
      <c r="AX215" s="358" t="s">
        <v>600</v>
      </c>
      <c r="AY215" s="358" t="s">
        <v>600</v>
      </c>
      <c r="AZ215" s="358" t="s">
        <v>600</v>
      </c>
      <c r="BA215" s="358" t="s">
        <v>600</v>
      </c>
      <c r="BB215" s="358" t="s">
        <v>600</v>
      </c>
      <c r="BC215" s="358" t="s">
        <v>600</v>
      </c>
      <c r="BD215" s="358" t="s">
        <v>600</v>
      </c>
      <c r="BE215" s="358" t="s">
        <v>600</v>
      </c>
      <c r="BF215" s="358" t="s">
        <v>600</v>
      </c>
      <c r="BG215" s="358" t="s">
        <v>600</v>
      </c>
      <c r="BH215" s="358" t="s">
        <v>600</v>
      </c>
      <c r="BI215" s="358" t="s">
        <v>600</v>
      </c>
      <c r="BJ215" s="358" t="s">
        <v>600</v>
      </c>
      <c r="BK215" s="358" t="s">
        <v>600</v>
      </c>
      <c r="BL215" s="358" t="s">
        <v>600</v>
      </c>
      <c r="BM215" s="358" t="s">
        <v>600</v>
      </c>
      <c r="BN215" s="358" t="s">
        <v>600</v>
      </c>
      <c r="BO215" s="358" t="s">
        <v>600</v>
      </c>
      <c r="BP215" s="358" t="s">
        <v>600</v>
      </c>
      <c r="BQ215" s="358" t="s">
        <v>600</v>
      </c>
      <c r="BR215" s="358" t="s">
        <v>600</v>
      </c>
      <c r="BS215" s="358" t="s">
        <v>600</v>
      </c>
      <c r="BT215" s="358" t="s">
        <v>600</v>
      </c>
      <c r="BU215" s="358" t="s">
        <v>600</v>
      </c>
      <c r="BV215" s="358" t="s">
        <v>600</v>
      </c>
      <c r="BW215" s="358" t="s">
        <v>600</v>
      </c>
      <c r="BX215" s="358" t="s">
        <v>600</v>
      </c>
      <c r="BY215" s="358" t="s">
        <v>600</v>
      </c>
      <c r="BZ215" s="358" t="s">
        <v>600</v>
      </c>
      <c r="CA215" s="358" t="s">
        <v>600</v>
      </c>
      <c r="CB215" s="358" t="s">
        <v>600</v>
      </c>
      <c r="CC215" s="358" t="s">
        <v>600</v>
      </c>
      <c r="CD215" s="358" t="s">
        <v>600</v>
      </c>
      <c r="CE215" s="358" t="s">
        <v>600</v>
      </c>
      <c r="CF215" s="358" t="s">
        <v>600</v>
      </c>
      <c r="CG215" s="358" t="s">
        <v>600</v>
      </c>
      <c r="CH215" s="358" t="s">
        <v>600</v>
      </c>
      <c r="CI215" s="358" t="s">
        <v>600</v>
      </c>
      <c r="CJ215" s="358" t="s">
        <v>600</v>
      </c>
      <c r="CK215" s="358" t="s">
        <v>600</v>
      </c>
      <c r="CL215" s="358" t="s">
        <v>600</v>
      </c>
      <c r="CM215" s="358" t="s">
        <v>600</v>
      </c>
      <c r="CN215" s="358" t="s">
        <v>600</v>
      </c>
      <c r="CO215" s="358" t="s">
        <v>600</v>
      </c>
      <c r="CP215" s="358" t="s">
        <v>600</v>
      </c>
      <c r="CQ215" s="353"/>
      <c r="CR215" s="359">
        <v>2022.0</v>
      </c>
      <c r="CS215" s="320" t="s">
        <v>850</v>
      </c>
      <c r="CT215" s="319"/>
      <c r="CU215" s="360" t="s">
        <v>600</v>
      </c>
      <c r="CV215" s="331" t="s">
        <v>113</v>
      </c>
      <c r="CW215" s="319"/>
      <c r="CX215" s="319"/>
      <c r="CY215" s="323">
        <f t="shared" si="86"/>
        <v>0.295</v>
      </c>
      <c r="CZ215" s="324">
        <v>0.636</v>
      </c>
      <c r="DA215" s="323">
        <v>0.341</v>
      </c>
      <c r="DB215" s="323"/>
      <c r="DC215" s="323">
        <f t="shared" si="87"/>
        <v>0.318</v>
      </c>
      <c r="DD215" s="324">
        <v>0.614</v>
      </c>
      <c r="DE215" s="323">
        <v>0.29600000000000004</v>
      </c>
      <c r="DF215" s="323"/>
      <c r="DG215" s="323">
        <v>0.318</v>
      </c>
      <c r="DH215" s="323">
        <v>0.095</v>
      </c>
      <c r="DI215" s="323">
        <v>0.024</v>
      </c>
      <c r="DJ215" s="324">
        <v>0.434</v>
      </c>
      <c r="DK215" s="323">
        <v>0.03</v>
      </c>
      <c r="DL215" s="323">
        <v>0.28</v>
      </c>
      <c r="DM215" s="323"/>
      <c r="DN215" s="323">
        <v>0.301</v>
      </c>
      <c r="DO215" s="323">
        <v>0.433</v>
      </c>
      <c r="DP215" s="323">
        <v>0.188</v>
      </c>
    </row>
    <row r="216">
      <c r="A216" s="356" t="s">
        <v>971</v>
      </c>
      <c r="B216" s="356" t="s">
        <v>972</v>
      </c>
      <c r="C216" s="357" t="s">
        <v>932</v>
      </c>
      <c r="D216" s="357">
        <v>2.0</v>
      </c>
      <c r="E216" s="353"/>
      <c r="F216" s="353"/>
      <c r="G216" s="312"/>
      <c r="H216" s="352"/>
      <c r="I216" s="352"/>
      <c r="J216" s="352"/>
      <c r="K216" s="352"/>
      <c r="L216" s="352"/>
      <c r="M216" s="353" t="s">
        <v>2521</v>
      </c>
      <c r="N216" s="353" t="s">
        <v>2521</v>
      </c>
      <c r="O216" s="353" t="s">
        <v>2521</v>
      </c>
      <c r="P216" s="353" t="s">
        <v>2521</v>
      </c>
      <c r="Q216" s="353" t="s">
        <v>2521</v>
      </c>
      <c r="R216" s="353" t="s">
        <v>2521</v>
      </c>
      <c r="S216" s="358" t="s">
        <v>600</v>
      </c>
      <c r="T216" s="358" t="s">
        <v>600</v>
      </c>
      <c r="U216" s="358" t="s">
        <v>600</v>
      </c>
      <c r="V216" s="358" t="s">
        <v>600</v>
      </c>
      <c r="W216" s="358" t="s">
        <v>600</v>
      </c>
      <c r="X216" s="358" t="s">
        <v>600</v>
      </c>
      <c r="Y216" s="358" t="s">
        <v>600</v>
      </c>
      <c r="Z216" s="358" t="s">
        <v>600</v>
      </c>
      <c r="AA216" s="358" t="s">
        <v>600</v>
      </c>
      <c r="AB216" s="358" t="s">
        <v>600</v>
      </c>
      <c r="AC216" s="358" t="s">
        <v>600</v>
      </c>
      <c r="AD216" s="358" t="s">
        <v>600</v>
      </c>
      <c r="AE216" s="358" t="s">
        <v>600</v>
      </c>
      <c r="AF216" s="358" t="s">
        <v>600</v>
      </c>
      <c r="AG216" s="358" t="s">
        <v>600</v>
      </c>
      <c r="AH216" s="358" t="s">
        <v>600</v>
      </c>
      <c r="AI216" s="358" t="s">
        <v>600</v>
      </c>
      <c r="AJ216" s="358" t="s">
        <v>600</v>
      </c>
      <c r="AK216" s="358" t="s">
        <v>600</v>
      </c>
      <c r="AL216" s="358" t="s">
        <v>600</v>
      </c>
      <c r="AM216" s="358" t="s">
        <v>600</v>
      </c>
      <c r="AN216" s="358" t="s">
        <v>600</v>
      </c>
      <c r="AO216" s="358" t="s">
        <v>600</v>
      </c>
      <c r="AP216" s="358" t="s">
        <v>600</v>
      </c>
      <c r="AQ216" s="358" t="s">
        <v>600</v>
      </c>
      <c r="AR216" s="358" t="s">
        <v>600</v>
      </c>
      <c r="AS216" s="358" t="s">
        <v>600</v>
      </c>
      <c r="AT216" s="358" t="s">
        <v>600</v>
      </c>
      <c r="AU216" s="358" t="s">
        <v>600</v>
      </c>
      <c r="AV216" s="358" t="s">
        <v>600</v>
      </c>
      <c r="AW216" s="358" t="s">
        <v>600</v>
      </c>
      <c r="AX216" s="358" t="s">
        <v>600</v>
      </c>
      <c r="AY216" s="358" t="s">
        <v>600</v>
      </c>
      <c r="AZ216" s="358" t="s">
        <v>600</v>
      </c>
      <c r="BA216" s="358" t="s">
        <v>600</v>
      </c>
      <c r="BB216" s="358" t="s">
        <v>600</v>
      </c>
      <c r="BC216" s="358" t="s">
        <v>600</v>
      </c>
      <c r="BD216" s="358" t="s">
        <v>600</v>
      </c>
      <c r="BE216" s="358" t="s">
        <v>600</v>
      </c>
      <c r="BF216" s="358" t="s">
        <v>600</v>
      </c>
      <c r="BG216" s="358" t="s">
        <v>600</v>
      </c>
      <c r="BH216" s="358" t="s">
        <v>600</v>
      </c>
      <c r="BI216" s="358" t="s">
        <v>600</v>
      </c>
      <c r="BJ216" s="358" t="s">
        <v>600</v>
      </c>
      <c r="BK216" s="358" t="s">
        <v>600</v>
      </c>
      <c r="BL216" s="358" t="s">
        <v>600</v>
      </c>
      <c r="BM216" s="358" t="s">
        <v>600</v>
      </c>
      <c r="BN216" s="358" t="s">
        <v>600</v>
      </c>
      <c r="BO216" s="358" t="s">
        <v>600</v>
      </c>
      <c r="BP216" s="358" t="s">
        <v>600</v>
      </c>
      <c r="BQ216" s="358" t="s">
        <v>600</v>
      </c>
      <c r="BR216" s="358" t="s">
        <v>600</v>
      </c>
      <c r="BS216" s="358" t="s">
        <v>600</v>
      </c>
      <c r="BT216" s="358" t="s">
        <v>600</v>
      </c>
      <c r="BU216" s="358" t="s">
        <v>600</v>
      </c>
      <c r="BV216" s="358" t="s">
        <v>600</v>
      </c>
      <c r="BW216" s="358" t="s">
        <v>600</v>
      </c>
      <c r="BX216" s="358" t="s">
        <v>600</v>
      </c>
      <c r="BY216" s="358" t="s">
        <v>600</v>
      </c>
      <c r="BZ216" s="358" t="s">
        <v>600</v>
      </c>
      <c r="CA216" s="358" t="s">
        <v>600</v>
      </c>
      <c r="CB216" s="358" t="s">
        <v>600</v>
      </c>
      <c r="CC216" s="358" t="s">
        <v>600</v>
      </c>
      <c r="CD216" s="358" t="s">
        <v>600</v>
      </c>
      <c r="CE216" s="358" t="s">
        <v>600</v>
      </c>
      <c r="CF216" s="358" t="s">
        <v>600</v>
      </c>
      <c r="CG216" s="358" t="s">
        <v>600</v>
      </c>
      <c r="CH216" s="358" t="s">
        <v>600</v>
      </c>
      <c r="CI216" s="358" t="s">
        <v>600</v>
      </c>
      <c r="CJ216" s="358" t="s">
        <v>600</v>
      </c>
      <c r="CK216" s="358" t="s">
        <v>600</v>
      </c>
      <c r="CL216" s="358" t="s">
        <v>600</v>
      </c>
      <c r="CM216" s="358" t="s">
        <v>600</v>
      </c>
      <c r="CN216" s="358" t="s">
        <v>600</v>
      </c>
      <c r="CO216" s="358" t="s">
        <v>600</v>
      </c>
      <c r="CP216" s="358" t="s">
        <v>600</v>
      </c>
      <c r="CQ216" s="353"/>
      <c r="CR216" s="359">
        <v>2022.0</v>
      </c>
      <c r="CS216" s="343" t="s">
        <v>1569</v>
      </c>
      <c r="CT216" s="343" t="s">
        <v>135</v>
      </c>
      <c r="CU216" s="360" t="s">
        <v>600</v>
      </c>
      <c r="CV216" s="320" t="s">
        <v>83</v>
      </c>
      <c r="CW216" s="319"/>
      <c r="CX216" s="319"/>
      <c r="CY216" s="323">
        <f t="shared" si="86"/>
        <v>0.058</v>
      </c>
      <c r="CZ216" s="324">
        <v>0.519</v>
      </c>
      <c r="DA216" s="323">
        <v>0.461</v>
      </c>
      <c r="DB216" s="323"/>
      <c r="DC216" s="323">
        <f t="shared" si="87"/>
        <v>0.061</v>
      </c>
      <c r="DD216" s="324">
        <v>0.47600000000000003</v>
      </c>
      <c r="DE216" s="323">
        <v>0.415</v>
      </c>
      <c r="DF216" s="323"/>
      <c r="DG216" s="323">
        <v>0.33299999999999996</v>
      </c>
      <c r="DH216" s="324">
        <v>0.561</v>
      </c>
      <c r="DI216" s="323">
        <v>0.027999999999999997</v>
      </c>
      <c r="DJ216" s="323">
        <v>0.018000000000000002</v>
      </c>
      <c r="DK216" s="323">
        <v>0.079</v>
      </c>
      <c r="DL216" s="323">
        <v>0.003</v>
      </c>
      <c r="DM216" s="323"/>
      <c r="DN216" s="323">
        <v>0.218</v>
      </c>
      <c r="DO216" s="323">
        <v>0.33899999999999997</v>
      </c>
      <c r="DP216" s="323">
        <v>0.239</v>
      </c>
    </row>
  </sheetData>
  <mergeCells count="2">
    <mergeCell ref="A2:F4"/>
    <mergeCell ref="CQ2:DP4"/>
  </mergeCells>
  <conditionalFormatting sqref="G4:CP4">
    <cfRule type="colorScale" priority="1">
      <colorScale>
        <cfvo type="min"/>
        <cfvo type="max"/>
        <color rgb="FFFFFFFF"/>
        <color rgb="FFFF00FF"/>
      </colorScale>
    </cfRule>
  </conditionalFormatting>
  <conditionalFormatting sqref="E1:F1 G1:L216 E5:F216 M5:R6 M37:R68 M181:R181 M183:R185 M189:R189 M204:R207 M211:R211">
    <cfRule type="colorScale" priority="2">
      <colorScale>
        <cfvo type="min"/>
        <cfvo type="max"/>
        <color rgb="FFFFFFFF"/>
        <color rgb="FFFF00FF"/>
      </colorScale>
    </cfRule>
  </conditionalFormatting>
  <conditionalFormatting sqref="CU1:DP1 CT5 CU5:CU216 CV5:DP216 CS9:CT9 CT12:CT18 CS15:CS16 CS18 CT23 CS25:CT26 CS28:CS29 CT28:CT30 CS34:CT35 CT37:CT42 CS39:CS40 CS42 CS44:CT48 CS50:CT53 CS55:CS57 CT55:CT68 CS59:CS65 CQ63:CR63 CS70:CS71 CT70:CT80 CS73:CS75 CS80 CS84:CS87 CT84:CT90 CS90 CT92 CS96 CT96:CT100 CS98:CS99 CS102 CT102:CT104 CT106 CS108:CS109 CT108:CT110 CS112:CT112 CT114 CT116:CT117 CS117 CS120:CS123 CT120:CT124 CS127:CT128 CT130:CT133 CT135:CT136 CS138 CT138:CT141 CT143:CT145 CS144 CT149:CT157 CS150 CS152 CS157 CT160:CT161 CT163:CT171 CS168 CS170 CS173:CT175 CS177 CT177:CT190 CS179:CS185 CQ181:CR181 CQ183:CR185 CS187:CS190 CQ189:CR189 CS192:CT193 CS195:CS196 CT196 CS198 CT198:CT214 CS200 CS202 CQ204:CR207 CS204:CS209 CR209 CQ211:CR211 CS211:CS213 CS216:CT216">
    <cfRule type="containsText" dxfId="6" priority="3" operator="containsText" text="Blue Dogs">
      <formula>NOT(ISERROR(SEARCH(("Blue Dogs"),(CU1))))</formula>
    </cfRule>
  </conditionalFormatting>
  <conditionalFormatting sqref="CU1:DP1 CT5 CU5:CU216 CV5:DP216 CS9:CT9 CT12:CT18 CS15:CS16 CS18 CT23 CS25:CT26 CS28:CS29 CT28:CT30 CS34:CT35 CT37:CT42 CS39:CS40 CS42 CS44:CT48 CS50:CT53 CS55:CS57 CT55:CT68 CS59:CS65 CQ63:CR63 CS70:CS71 CT70:CT80 CS73:CS75 CS80 CS84:CS87 CT84:CT90 CS90 CT92 CS96 CT96:CT100 CS98:CS99 CS102 CT102:CT104 CT106 CS108:CS109 CT108:CT110 CS112:CT112 CT114 CT116:CT117 CS117 CS120:CS123 CT120:CT124 CS127:CT128 CT130:CT133 CT135:CT136 CS138 CT138:CT141 CT143:CT145 CS144 CT149:CT157 CS150 CS152 CS157 CT160:CT161 CT163:CT171 CS168 CS170 CS173:CT175 CS177 CT177:CT190 CS179:CS185 CQ181:CR181 CQ183:CR185 CS187:CS190 CQ189:CR189 CS192:CT193 CS195:CS196 CT196 CS198 CT198:CT214 CS200 CS202 CQ204:CR207 CS204:CS209 CR209 CQ211:CR211 CS211:CS213 CS216:CT216">
    <cfRule type="cellIs" dxfId="8" priority="4" operator="equal">
      <formula>"Progressive"</formula>
    </cfRule>
  </conditionalFormatting>
  <conditionalFormatting sqref="CS1:CT1 CS5:CT216 CQ63:CR63 CU63 CV79:DP79 CQ181:CR181 CU181 CQ183:CR185 CU183:CU185 CQ189:CR189 CU189 CQ204:CR207 CU204:CU207 CR209 CQ211:CR211 CU211">
    <cfRule type="containsText" dxfId="9" priority="5" operator="containsText" text="Uncontested">
      <formula>NOT(ISERROR(SEARCH(("Uncontested"),(CS1))))</formula>
    </cfRule>
  </conditionalFormatting>
  <conditionalFormatting sqref="M1:R1 S1:Z216 AA1:AU1 AW1:CP216 M3:R216 AA3:AV216 CV135:CV216 CX135:DP216 CW138:CW216 CU161:CU185 CU187:CU188 CU192:CU193 CU202 CU208 CU213">
    <cfRule type="cellIs" dxfId="4" priority="6" operator="equal">
      <formula>"Sponsor"</formula>
    </cfRule>
  </conditionalFormatting>
  <conditionalFormatting sqref="M1:R1 S1:Z216 AA1:AU1 AW1:CP216 M3:R216 AA3:AV216 CV135:CV216 CX135:DP216 CW138:CW216 CU161:CU185 CU187:CU188 CU192:CU193 CU202 CU208 CU213">
    <cfRule type="cellIs" dxfId="6" priority="7" operator="equal">
      <formula>"Not sponsoring"</formula>
    </cfRule>
  </conditionalFormatting>
  <conditionalFormatting sqref="M1:R1 S1:Z216 AA1:AU1 AW1:CP216 M3:R216 AA3:AV216 CV135:CV216 CX135:DP216 CW138:CW216 CU161:CU185 CU187:CU188 CU192:CU193 CU202 CU208 CU213">
    <cfRule type="cellIs" dxfId="6" priority="8" operator="equal">
      <formula>"Yea"</formula>
    </cfRule>
  </conditionalFormatting>
  <conditionalFormatting sqref="M1:R1 S1:Z216 AA1:AU1 AW1:CP216 M3:R216 AA3:AV216 CV135:CV216 CX135:DP216 CW138:CW216 CU161:CU185 CU187:CU188 CU192:CU193 CU202 CU208 CU213">
    <cfRule type="cellIs" dxfId="4" priority="9" operator="equal">
      <formula>"Nay"</formula>
    </cfRule>
  </conditionalFormatting>
  <conditionalFormatting sqref="M1:R1 S1:Z216 AA1:AU1 AW1:CP216 M3:R216 AA3:AV216">
    <cfRule type="cellIs" dxfId="7" priority="10" operator="equal">
      <formula>"Not elected"</formula>
    </cfRule>
  </conditionalFormatting>
  <conditionalFormatting sqref="M1:R1 S1:Z216 AA1:AU1 AW1:CP216 M3:R216 AA3:AV216 CV135:CV216 CX135:DP216 CW138:CW216 CU161:CU185 CU187:CU188 CU192:CU193 CU202 CU208 CU213">
    <cfRule type="cellIs" dxfId="7" priority="11" operator="equal">
      <formula>"TBD"</formula>
    </cfRule>
  </conditionalFormatting>
  <conditionalFormatting sqref="M1:R1 S1:Z216 AA1:AU1 AW1:CP216 M3:R216 AA3:AV216 CV135:CV216 CX135:DP216 CW138:CW216 CU161:CU185 CU187:CU188 CU192:CU193 CU202 CU208 CU213">
    <cfRule type="cellIs" dxfId="7" priority="12" operator="equal">
      <formula>"Not voting"</formula>
    </cfRule>
  </conditionalFormatting>
  <conditionalFormatting sqref="M1:R1 S1:Z216 AA1:AU1 AW1:CP216 M3:R216 AA3:AV216 CV135:CV216 CX135:DP216 CW138:CW216 CU161:CU185 CU187:CU188 CU192:CU193 CU202 CU208 CU213">
    <cfRule type="cellIs" dxfId="6" priority="13" operator="equal">
      <formula>"Nay (Amend)"</formula>
    </cfRule>
  </conditionalFormatting>
  <conditionalFormatting sqref="M1:R1 S1:Z216 AA1:AU1 AW1:CP216 M3:R216 AA3:AV216 CV135:CV216 CX135:DP216 CW138:CW216 CU161:CU185 CU187:CU188 CU192:CU193 CU202 CU208 CU213">
    <cfRule type="cellIs" dxfId="4" priority="14" operator="equal">
      <formula>"Yea (Amend)"</formula>
    </cfRule>
  </conditionalFormatting>
  <conditionalFormatting sqref="M1:R1 S1:Z216 AA1:AU1 AW1:CP216 M3:R216 AA3:AV216 CV135:CV216 CX135:DP216 CW138:CW216 CU161:CU185 CU187:CU188 CU192:CU193 CU202 CU208 CU213">
    <cfRule type="cellIs" dxfId="9" priority="15" operator="equal">
      <formula>"Present"</formula>
    </cfRule>
  </conditionalFormatting>
  <conditionalFormatting sqref="CZ1 DD1 CZ5:CZ216 DD5:DD216">
    <cfRule type="colorScale" priority="16">
      <colorScale>
        <cfvo type="min"/>
        <cfvo type="max"/>
        <color rgb="FFC9DAF8"/>
        <color rgb="FF4A86E8"/>
      </colorScale>
    </cfRule>
  </conditionalFormatting>
  <conditionalFormatting sqref="DA1:DB1 DE1:DF1 DA5:DB216 DE5:DF216">
    <cfRule type="colorScale" priority="17">
      <colorScale>
        <cfvo type="min"/>
        <cfvo type="max"/>
        <color rgb="FFFFFFFF"/>
        <color rgb="FFEA9999"/>
      </colorScale>
    </cfRule>
  </conditionalFormatting>
  <conditionalFormatting sqref="DG1 DG5:DG216">
    <cfRule type="colorScale" priority="18">
      <colorScale>
        <cfvo type="min"/>
        <cfvo type="max"/>
        <color rgb="FFFFFFFF"/>
        <color rgb="FF00FFFF"/>
      </colorScale>
    </cfRule>
  </conditionalFormatting>
  <conditionalFormatting sqref="DH1 DH5:DH216">
    <cfRule type="colorScale" priority="19">
      <colorScale>
        <cfvo type="min"/>
        <cfvo type="max"/>
        <color rgb="FFFFFFFF"/>
        <color rgb="FF00FF00"/>
      </colorScale>
    </cfRule>
  </conditionalFormatting>
  <conditionalFormatting sqref="DI1 DI5:DI216">
    <cfRule type="colorScale" priority="20">
      <colorScale>
        <cfvo type="min"/>
        <cfvo type="max"/>
        <color rgb="FFFFFFFF"/>
        <color rgb="FFFF9900"/>
      </colorScale>
    </cfRule>
  </conditionalFormatting>
  <conditionalFormatting sqref="DJ1 DJ5:DJ216">
    <cfRule type="colorScale" priority="21">
      <colorScale>
        <cfvo type="min"/>
        <cfvo type="max"/>
        <color rgb="FFFFFFFF"/>
        <color rgb="FF9900FF"/>
      </colorScale>
    </cfRule>
  </conditionalFormatting>
  <conditionalFormatting sqref="DK1:DM1 DK5:DM216">
    <cfRule type="colorScale" priority="22">
      <colorScale>
        <cfvo type="min"/>
        <cfvo type="max"/>
        <color rgb="FFFFFFFF"/>
        <color rgb="FFFFD966"/>
      </colorScale>
    </cfRule>
  </conditionalFormatting>
  <conditionalFormatting sqref="DN1 DN5:DN216">
    <cfRule type="colorScale" priority="23">
      <colorScale>
        <cfvo type="min"/>
        <cfvo type="max"/>
        <color rgb="FFFFFFFF"/>
        <color rgb="FFFF00FF"/>
      </colorScale>
    </cfRule>
  </conditionalFormatting>
  <conditionalFormatting sqref="DO1 DO5:DO216">
    <cfRule type="colorScale" priority="24">
      <colorScale>
        <cfvo type="min"/>
        <cfvo type="max"/>
        <color rgb="FFFFFFFF"/>
        <color rgb="FF3D85C6"/>
      </colorScale>
    </cfRule>
  </conditionalFormatting>
  <conditionalFormatting sqref="DP1 DP5:DP216">
    <cfRule type="colorScale" priority="25">
      <colorScale>
        <cfvo type="min"/>
        <cfvo type="max"/>
        <color rgb="FFFFFFFF"/>
        <color rgb="FF46BDC6"/>
      </colorScale>
    </cfRule>
  </conditionalFormatting>
  <conditionalFormatting sqref="CX1:CY1 DC1 CX5:CY216 DC5:DC216">
    <cfRule type="colorScale" priority="26">
      <colorScale>
        <cfvo type="min"/>
        <cfvo type="formula" val="0"/>
        <cfvo type="max"/>
        <color rgb="FFEA9999"/>
        <color rgb="FFFFFFFF"/>
        <color rgb="FF4A86E8"/>
      </colorScale>
    </cfRule>
  </conditionalFormatting>
  <conditionalFormatting sqref="CU1 CU5:CU216">
    <cfRule type="cellIs" dxfId="10" priority="27" operator="equal">
      <formula>"Not elected"</formula>
    </cfRule>
  </conditionalFormatting>
  <conditionalFormatting sqref="CU1 CU5:CU216">
    <cfRule type="cellIs" dxfId="10" priority="28" operator="equal">
      <formula>"Not elected"</formula>
    </cfRule>
  </conditionalFormatting>
  <hyperlinks>
    <hyperlink r:id="rId1" ref="M1"/>
    <hyperlink r:id="rId2" ref="N1"/>
    <hyperlink r:id="rId3" ref="O1"/>
    <hyperlink r:id="rId4" ref="P1"/>
    <hyperlink r:id="rId5" ref="Q1"/>
    <hyperlink r:id="rId6" ref="R1"/>
    <hyperlink r:id="rId7" ref="S1"/>
    <hyperlink r:id="rId8" ref="T1"/>
    <hyperlink r:id="rId9" ref="U1"/>
    <hyperlink r:id="rId10" ref="V1"/>
    <hyperlink r:id="rId11" ref="W1"/>
    <hyperlink r:id="rId12" ref="Y1"/>
    <hyperlink r:id="rId13" ref="Z1"/>
    <hyperlink r:id="rId14" ref="AA1"/>
    <hyperlink r:id="rId15" ref="AB1"/>
    <hyperlink r:id="rId16" ref="AC1"/>
    <hyperlink r:id="rId17" ref="AD1"/>
    <hyperlink r:id="rId18" ref="AE1"/>
    <hyperlink r:id="rId19" ref="AF1"/>
    <hyperlink r:id="rId20" ref="AG1"/>
    <hyperlink r:id="rId21" ref="AH1"/>
    <hyperlink r:id="rId22" ref="AI1"/>
    <hyperlink r:id="rId23" ref="AJ1"/>
    <hyperlink r:id="rId24" ref="AK1"/>
    <hyperlink r:id="rId25" ref="AL1"/>
    <hyperlink r:id="rId26" ref="AM1"/>
    <hyperlink r:id="rId27" ref="AN1"/>
    <hyperlink r:id="rId28" ref="AO1"/>
    <hyperlink r:id="rId29" ref="AP1"/>
    <hyperlink r:id="rId30" ref="AQ1"/>
    <hyperlink r:id="rId31" ref="AR1"/>
    <hyperlink r:id="rId32" ref="AS1"/>
    <hyperlink r:id="rId33" ref="AT1"/>
    <hyperlink r:id="rId34" ref="AU1"/>
    <hyperlink r:id="rId35" ref="AV1"/>
    <hyperlink r:id="rId36" ref="AW1"/>
    <hyperlink r:id="rId37" ref="AX1"/>
    <hyperlink r:id="rId38" ref="AY1"/>
    <hyperlink r:id="rId39" ref="AZ1"/>
    <hyperlink r:id="rId40" ref="BA1"/>
    <hyperlink r:id="rId41" ref="BB1"/>
    <hyperlink r:id="rId42" ref="BC1"/>
    <hyperlink r:id="rId43" ref="BD1"/>
    <hyperlink r:id="rId44" ref="BE1"/>
    <hyperlink r:id="rId45" ref="BF1"/>
    <hyperlink r:id="rId46" ref="BH1"/>
    <hyperlink r:id="rId47" ref="BI1"/>
    <hyperlink r:id="rId48" ref="BJ1"/>
    <hyperlink r:id="rId49" ref="BK1"/>
    <hyperlink r:id="rId50" ref="BL1"/>
    <hyperlink r:id="rId51" ref="BN1"/>
    <hyperlink r:id="rId52" ref="BP1"/>
    <hyperlink r:id="rId53" ref="BQ1"/>
    <hyperlink r:id="rId54" ref="BR1"/>
    <hyperlink r:id="rId55" ref="BT1"/>
    <hyperlink r:id="rId56" ref="BU1"/>
    <hyperlink r:id="rId57" ref="BV1"/>
    <hyperlink r:id="rId58" ref="BX1"/>
    <hyperlink r:id="rId59" ref="BY1"/>
    <hyperlink r:id="rId60" ref="BZ1"/>
    <hyperlink r:id="rId61" ref="CA1"/>
    <hyperlink r:id="rId62" ref="CB1"/>
    <hyperlink r:id="rId63" ref="CC1"/>
    <hyperlink r:id="rId64" ref="CD1"/>
    <hyperlink r:id="rId65" ref="CE1"/>
    <hyperlink r:id="rId66" ref="CG1"/>
    <hyperlink r:id="rId67" ref="CH1"/>
    <hyperlink r:id="rId68" ref="CI1"/>
    <hyperlink r:id="rId69" ref="CJ1"/>
    <hyperlink r:id="rId70" ref="CK1"/>
    <hyperlink r:id="rId71" ref="CL1"/>
    <hyperlink r:id="rId72" ref="CM1"/>
    <hyperlink r:id="rId73" ref="CN1"/>
    <hyperlink r:id="rId74" ref="CO1"/>
    <hyperlink r:id="rId75" ref="CP1"/>
    <hyperlink r:id="rId76" ref="A2"/>
  </hyperlinks>
  <drawing r:id="rId77"/>
</worksheet>
</file>